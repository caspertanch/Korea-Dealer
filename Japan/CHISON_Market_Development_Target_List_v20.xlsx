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0" autoFilterDateGrouping="1"/>
  </bookViews>
  <sheets>
    <sheet xmlns:r="http://schemas.openxmlformats.org/officeDocument/2006/relationships" name="READ ME" sheetId="1" state="visible" r:id="rId1"/>
    <sheet xmlns:r="http://schemas.openxmlformats.org/officeDocument/2006/relationships" name="LinkedIn Outreach Log" sheetId="2" state="visible" r:id="rId2"/>
    <sheet xmlns:r="http://schemas.openxmlformats.org/officeDocument/2006/relationships" name="Outreach Summary" sheetId="3" state="visible" r:id="rId3"/>
    <sheet xmlns:r="http://schemas.openxmlformats.org/officeDocument/2006/relationships" name="Email Outreach Log" sheetId="4" state="visible" r:id="rId4"/>
    <sheet xmlns:r="http://schemas.openxmlformats.org/officeDocument/2006/relationships" name="Taiwan Dealers" sheetId="5" state="visible" r:id="rId5"/>
    <sheet xmlns:r="http://schemas.openxmlformats.org/officeDocument/2006/relationships" name="TW Visit Shortlist" sheetId="6" state="visible" r:id="rId6"/>
    <sheet xmlns:r="http://schemas.openxmlformats.org/officeDocument/2006/relationships" name="TW Emails Sent 6 Oct" sheetId="7" state="visible" r:id="rId7"/>
    <sheet xmlns:r="http://schemas.openxmlformats.org/officeDocument/2006/relationships" name="TW Draft Queue Round 2" sheetId="8" state="visible" r:id="rId8"/>
    <sheet xmlns:r="http://schemas.openxmlformats.org/officeDocument/2006/relationships" name="Korea Dealers" sheetId="9" state="visible" r:id="rId9"/>
    <sheet xmlns:r="http://schemas.openxmlformats.org/officeDocument/2006/relationships" name="Japan Dealers" sheetId="10" state="visible" r:id="rId10"/>
    <sheet xmlns:r="http://schemas.openxmlformats.org/officeDocument/2006/relationships" name="Japan Additional" sheetId="11" state="visible" r:id="rId11"/>
    <sheet xmlns:r="http://schemas.openxmlformats.org/officeDocument/2006/relationships" name="Singapore Dealers" sheetId="12" state="visible" r:id="rId12"/>
    <sheet xmlns:r="http://schemas.openxmlformats.org/officeDocument/2006/relationships" name="Singapore End-Users" sheetId="13" state="visible" r:id="rId13"/>
    <sheet xmlns:r="http://schemas.openxmlformats.org/officeDocument/2006/relationships" name="Singapore Contacts" sheetId="14" state="visible" r:id="rId14"/>
    <sheet xmlns:r="http://schemas.openxmlformats.org/officeDocument/2006/relationships" name="Singapore_private" sheetId="15" state="visible" r:id="rId15"/>
    <sheet xmlns:r="http://schemas.openxmlformats.org/officeDocument/2006/relationships" name="KR + SG Verification Log" sheetId="16" state="visible" r:id="rId16"/>
    <sheet xmlns:r="http://schemas.openxmlformats.org/officeDocument/2006/relationships" name="TW Relevance Changelog" sheetId="17" state="visible" r:id="rId17"/>
    <sheet xmlns:r="http://schemas.openxmlformats.org/officeDocument/2006/relationships" name="TW REF &amp; Excluded" sheetId="18" state="visible" r:id="rId18"/>
    <sheet xmlns:r="http://schemas.openxmlformats.org/officeDocument/2006/relationships" name="ALPS Tender Notes" sheetId="19" state="visible" r:id="rId19"/>
    <sheet xmlns:r="http://schemas.openxmlformats.org/officeDocument/2006/relationships" name="Priority Audit" sheetId="20" state="visible" r:id="rId20"/>
  </sheets>
  <definedNames>
    <definedName name="_xlnm._FilterDatabase" localSheetId="1" hidden="1">'LinkedIn Outreach Log'!$A$4:$I$61</definedName>
    <definedName name="_xlnm._FilterDatabase" localSheetId="4" hidden="1">'Taiwan Dealers'!$A$4:$S$429</definedName>
    <definedName name="_xlnm._FilterDatabase" localSheetId="8" hidden="1">'Korea Dealers'!$A$4:$S$303</definedName>
    <definedName name="_xlnm._FilterDatabase" localSheetId="9" hidden="1">'Japan Dealers'!$A$4:$S$72</definedName>
    <definedName name="_xlnm._FilterDatabase" localSheetId="10" hidden="1">'Japan Additional'!$A$4:$AG$292</definedName>
    <definedName name="_xlnm._FilterDatabase" localSheetId="11" hidden="1">'Singapore Dealers'!$A$4:$T$146</definedName>
    <definedName name="_xlnm._FilterDatabase" localSheetId="12" hidden="1">'Singapore End-Users'!$A$4:$N$65</definedName>
    <definedName name="_xlnm._FilterDatabase" localSheetId="13" hidden="1">'Singapore Contacts'!$A$4:$O$89</definedName>
    <definedName name="_xlnm._FilterDatabase" localSheetId="14" hidden="1">'Singapore_private'!$A$4:$U$217</definedName>
    <definedName name="_xlnm._FilterDatabase" localSheetId="15" hidden="1">'KR + SG Verification Log'!$A$4:$F$32</definedName>
    <definedName name="_xlnm._FilterDatabase" localSheetId="16" hidden="1">'TW Relevance Changelog'!$A$4:$E$12</definedName>
    <definedName name="_xlnm._FilterDatabase" localSheetId="17" hidden="1">'TW REF &amp; Excluded'!$A$4:$H$19</definedName>
    <definedName name="_xlnm._FilterDatabase" localSheetId="19" hidden="1">'Priority Audit'!$A$4:$F$23</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44">
    <font>
      <name val="Calibri"/>
      <charset val="1"/>
      <family val="2"/>
      <color theme="1"/>
      <sz val="11"/>
    </font>
    <font>
      <name val="Arial"/>
      <family val="0"/>
      <sz val="10"/>
    </font>
    <font>
      <name val="Arial"/>
      <family val="0"/>
      <sz val="10"/>
    </font>
    <font>
      <name val="Arial"/>
      <family val="0"/>
      <sz val="10"/>
    </font>
    <font>
      <name val="Calibri"/>
      <charset val="1"/>
      <family val="0"/>
      <b val="1"/>
      <color rgb="FF1F3864"/>
      <sz val="15"/>
    </font>
    <font>
      <name val="Calibri"/>
      <charset val="1"/>
      <family val="0"/>
      <color rgb="FF555555"/>
      <sz val="10"/>
    </font>
    <font>
      <name val="Calibri"/>
      <charset val="1"/>
      <family val="0"/>
      <b val="1"/>
      <color rgb="FF1F3864"/>
      <sz val="10"/>
    </font>
    <font>
      <name val="Calibri"/>
      <charset val="1"/>
      <family val="0"/>
      <sz val="9"/>
    </font>
    <font>
      <name val="Noto Sans CJK SC"/>
      <family val="2"/>
      <sz val="9"/>
    </font>
    <font>
      <name val="Calibri"/>
      <charset val="1"/>
      <family val="0"/>
      <b val="1"/>
      <color rgb="FF1F3864"/>
      <sz val="9"/>
    </font>
    <font>
      <name val="Calibri"/>
      <charset val="1"/>
      <family val="0"/>
      <b val="1"/>
      <color rgb="FF5A2FC6"/>
      <sz val="11"/>
    </font>
    <font>
      <name val="Arial"/>
      <charset val="1"/>
      <family val="0"/>
      <b val="1"/>
      <sz val="10"/>
    </font>
    <font>
      <name val="Noto Sans CJK SC"/>
      <family val="2"/>
      <color theme="1"/>
      <sz val="11"/>
    </font>
    <font>
      <name val="Arial"/>
      <charset val="1"/>
      <family val="0"/>
      <sz val="10"/>
    </font>
    <font>
      <name val="Noto Sans CJK SC"/>
      <family val="2"/>
      <sz val="10"/>
    </font>
    <font>
      <name val="Calibri"/>
      <charset val="1"/>
      <family val="0"/>
      <b val="1"/>
      <color rgb="FF1F3864"/>
      <sz val="14"/>
    </font>
    <font>
      <name val="Calibri"/>
      <charset val="1"/>
      <family val="0"/>
      <color rgb="FF555555"/>
      <sz val="9"/>
    </font>
    <font>
      <name val="Calibri"/>
      <charset val="1"/>
      <family val="0"/>
      <b val="1"/>
      <color rgb="FFFFFFFF"/>
      <sz val="10"/>
    </font>
    <font>
      <name val="Calibri"/>
      <charset val="1"/>
      <family val="0"/>
      <b val="1"/>
      <color rgb="FF1F4E79"/>
      <sz val="9"/>
    </font>
    <font>
      <name val="Calibri"/>
      <charset val="1"/>
      <family val="0"/>
      <b val="1"/>
      <sz val="9"/>
    </font>
    <font>
      <name val="Noto Sans CJK SC"/>
      <family val="2"/>
      <b val="1"/>
      <sz val="9"/>
    </font>
    <font>
      <name val="Noto Sans CJK SC"/>
      <charset val="1"/>
      <family val="2"/>
      <sz val="9"/>
    </font>
    <font>
      <name val="Arial"/>
      <charset val="1"/>
      <family val="0"/>
      <b val="1"/>
      <color rgb="FF6D37E3"/>
      <sz val="14"/>
    </font>
    <font>
      <name val="Arial"/>
      <charset val="1"/>
      <family val="0"/>
      <i val="1"/>
      <color rgb="FF404040"/>
      <sz val="9"/>
    </font>
    <font>
      <name val="Arial"/>
      <charset val="1"/>
      <family val="0"/>
      <b val="1"/>
      <color rgb="FFFFFFFF"/>
      <sz val="10"/>
    </font>
    <font>
      <name val="Arial"/>
      <charset val="1"/>
      <family val="0"/>
      <b val="1"/>
      <color rgb="FF6D37E3"/>
      <sz val="12"/>
    </font>
    <font>
      <name val="Noto Sans CJK SC"/>
      <charset val="1"/>
      <family val="2"/>
      <sz val="10"/>
    </font>
    <font>
      <name val="Arial"/>
      <charset val="1"/>
      <family val="0"/>
      <sz val="9"/>
    </font>
    <font>
      <name val="Noto Sans CJK SC"/>
      <charset val="1"/>
      <family val="2"/>
      <b val="1"/>
      <sz val="9"/>
    </font>
    <font>
      <name val="Noto Sans CJK SC"/>
      <charset val="1"/>
      <family val="0"/>
      <sz val="9"/>
    </font>
    <font>
      <name val="Calibri"/>
      <charset val="1"/>
      <family val="0"/>
      <i val="1"/>
      <color rgb="FF808080"/>
      <sz val="9"/>
    </font>
    <font>
      <name val="Calibri"/>
      <charset val="1"/>
      <family val="0"/>
      <color rgb="FF0000FF"/>
      <sz val="9"/>
    </font>
    <font>
      <name val="Arial"/>
      <charset val="1"/>
      <family val="0"/>
      <b val="1"/>
      <sz val="13"/>
    </font>
    <font>
      <name val="Calibri"/>
      <charset val="1"/>
      <family val="0"/>
      <color rgb="FF0563C1"/>
      <sz val="9"/>
      <u val="single"/>
    </font>
    <font>
      <name val="Calibri"/>
      <charset val="1"/>
      <family val="0"/>
      <i val="1"/>
      <color rgb="FF555555"/>
      <sz val="9"/>
    </font>
    <font>
      <name val="Calibri"/>
      <charset val="1"/>
      <family val="0"/>
      <b val="1"/>
      <strike val="1"/>
      <color rgb="FF7F7F7F"/>
      <sz val="9"/>
    </font>
    <font>
      <name val="Calibri"/>
      <b val="1"/>
      <color rgb="001F3864"/>
      <sz val="14"/>
    </font>
    <font>
      <name val="Calibri"/>
      <i val="1"/>
      <sz val="9"/>
    </font>
    <font>
      <name val="Calibri"/>
      <b val="1"/>
      <color rgb="00FFFFFF"/>
      <sz val="10"/>
    </font>
    <font>
      <name val="Calibri"/>
      <sz val="9"/>
    </font>
    <font>
      <name val="Calibri"/>
      <color rgb="000563C1"/>
      <sz val="9"/>
      <u val="single"/>
    </font>
    <font>
      <name val="Calibri"/>
      <b val="1"/>
      <sz val="9"/>
    </font>
    <font>
      <name val="Calibri"/>
      <b val="1"/>
      <color rgb="001F3864"/>
    </font>
    <font>
      <name val="Calibri"/>
      <b val="1"/>
    </font>
  </fonts>
  <fills count="20">
    <fill>
      <patternFill/>
    </fill>
    <fill>
      <patternFill patternType="gray125"/>
    </fill>
    <fill>
      <patternFill patternType="solid">
        <fgColor rgb="FF1F3864"/>
        <bgColor rgb="FF10314F"/>
      </patternFill>
    </fill>
    <fill>
      <patternFill patternType="solid">
        <fgColor rgb="FFDDEBF7"/>
        <bgColor rgb="FFD9E1F2"/>
      </patternFill>
    </fill>
    <fill>
      <patternFill patternType="solid">
        <fgColor rgb="FF5A2FC6"/>
        <bgColor rgb="FF6D37E3"/>
      </patternFill>
    </fill>
    <fill>
      <patternFill patternType="solid">
        <fgColor rgb="FFD9CCF7"/>
        <bgColor rgb="FFD9D9D9"/>
      </patternFill>
    </fill>
    <fill>
      <patternFill patternType="solid">
        <fgColor rgb="FFE2EFDA"/>
        <bgColor rgb="FFEDEDED"/>
      </patternFill>
    </fill>
    <fill>
      <patternFill patternType="solid">
        <fgColor rgb="FFFFF2CC"/>
        <bgColor rgb="FFFCE4B6"/>
      </patternFill>
    </fill>
    <fill>
      <patternFill patternType="solid">
        <fgColor rgb="FFF2F2F2"/>
        <bgColor rgb="FFEDEDED"/>
      </patternFill>
    </fill>
    <fill>
      <patternFill patternType="solid">
        <fgColor rgb="FFFCE4EC"/>
        <bgColor rgb="FFEDEDED"/>
      </patternFill>
    </fill>
    <fill>
      <patternFill patternType="solid">
        <fgColor rgb="FFFCE4B6"/>
        <bgColor rgb="FFFFE699"/>
      </patternFill>
    </fill>
    <fill>
      <patternFill patternType="solid">
        <fgColor rgb="FFFFC7CE"/>
        <bgColor rgb="FFFCE4B6"/>
      </patternFill>
    </fill>
    <fill>
      <patternFill patternType="solid">
        <fgColor rgb="FFD9E1F2"/>
        <bgColor rgb="FFE4DFEC"/>
      </patternFill>
    </fill>
    <fill>
      <patternFill patternType="solid">
        <fgColor rgb="001F3864"/>
      </patternFill>
    </fill>
    <fill>
      <patternFill patternType="solid">
        <fgColor rgb="00C6EFCE"/>
      </patternFill>
    </fill>
    <fill>
      <patternFill patternType="solid">
        <fgColor rgb="00F2F2F2"/>
      </patternFill>
    </fill>
    <fill>
      <patternFill patternType="solid">
        <fgColor rgb="00FFF2CC"/>
      </patternFill>
    </fill>
    <fill>
      <patternFill patternType="solid">
        <fgColor rgb="00FFEB9C"/>
      </patternFill>
    </fill>
    <fill>
      <patternFill patternType="solid">
        <fgColor rgb="00DDEBF7"/>
      </patternFill>
    </fill>
    <fill>
      <patternFill patternType="solid">
        <fgColor rgb="00E2EFDA"/>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0" fillId="0" borderId="0" applyAlignment="1" pivotButton="0" quotePrefix="0" xfId="0">
      <alignment horizontal="general" vertical="top" wrapText="1"/>
    </xf>
    <xf numFmtId="0" fontId="11" fillId="0" borderId="0" applyAlignment="1" pivotButton="0" quotePrefix="0" xfId="0">
      <alignment horizontal="general" vertical="bottom"/>
    </xf>
    <xf numFmtId="0" fontId="13"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2" borderId="1" applyAlignment="1" pivotButton="0" quotePrefix="0" xfId="0">
      <alignment horizontal="center" vertical="center" wrapText="1"/>
    </xf>
    <xf numFmtId="0" fontId="18" fillId="3" borderId="1" applyAlignment="1" pivotButton="0" quotePrefix="0" xfId="0">
      <alignment horizontal="general" vertical="top" wrapText="1"/>
    </xf>
    <xf numFmtId="0" fontId="7" fillId="0" borderId="1" applyAlignment="1" pivotButton="0" quotePrefix="0" xfId="0">
      <alignment horizontal="general" vertical="top" wrapText="1"/>
    </xf>
    <xf numFmtId="0" fontId="19" fillId="0" borderId="1" applyAlignment="1" pivotButton="0" quotePrefix="0" xfId="0">
      <alignment horizontal="general" vertical="top" wrapText="1"/>
    </xf>
    <xf numFmtId="0" fontId="7" fillId="0" borderId="1" applyAlignment="1" pivotButton="0" quotePrefix="0" xfId="0">
      <alignment horizontal="center" vertical="top" wrapText="1"/>
    </xf>
    <xf numFmtId="0" fontId="21" fillId="0" borderId="1" applyAlignment="1" pivotButton="0" quotePrefix="0" xfId="0">
      <alignment horizontal="general" vertical="top" wrapText="1"/>
    </xf>
    <xf numFmtId="0" fontId="7" fillId="0" borderId="0" applyAlignment="1" pivotButton="0" quotePrefix="0" xfId="0">
      <alignment horizontal="general" vertical="top" wrapText="1"/>
    </xf>
    <xf numFmtId="0" fontId="22" fillId="0" borderId="0" applyAlignment="1" pivotButton="0" quotePrefix="0" xfId="0">
      <alignment horizontal="general" vertical="bottom"/>
    </xf>
    <xf numFmtId="0" fontId="23" fillId="0" borderId="0" applyAlignment="1" pivotButton="0" quotePrefix="0" xfId="0">
      <alignment horizontal="general" vertical="bottom" wrapText="1"/>
    </xf>
    <xf numFmtId="0" fontId="24" fillId="4" borderId="1" applyAlignment="1" pivotButton="0" quotePrefix="0" xfId="0">
      <alignment horizontal="center" vertical="center" wrapText="1"/>
    </xf>
    <xf numFmtId="0" fontId="13" fillId="0" borderId="1" applyAlignment="1" pivotButton="0" quotePrefix="0" xfId="0">
      <alignment horizontal="left" vertical="bottom"/>
    </xf>
    <xf numFmtId="0" fontId="13" fillId="0" borderId="1" applyAlignment="1" pivotButton="0" quotePrefix="0" xfId="0">
      <alignment horizontal="center" vertical="bottom"/>
    </xf>
    <xf numFmtId="9" fontId="13" fillId="0" borderId="1" applyAlignment="1" pivotButton="0" quotePrefix="0" xfId="0">
      <alignment horizontal="center" vertical="bottom"/>
    </xf>
    <xf numFmtId="0" fontId="11" fillId="5" borderId="1" applyAlignment="1" pivotButton="0" quotePrefix="0" xfId="0">
      <alignment horizontal="left" vertical="bottom"/>
    </xf>
    <xf numFmtId="0" fontId="11" fillId="5" borderId="1" applyAlignment="1" pivotButton="0" quotePrefix="0" xfId="0">
      <alignment horizontal="center" vertical="bottom"/>
    </xf>
    <xf numFmtId="9" fontId="11" fillId="5" borderId="1" applyAlignment="1" pivotButton="0" quotePrefix="0" xfId="0">
      <alignment horizontal="center" vertical="bottom"/>
    </xf>
    <xf numFmtId="0" fontId="25" fillId="0" borderId="0" applyAlignment="1" pivotButton="0" quotePrefix="0" xfId="0">
      <alignment horizontal="general" vertical="bottom"/>
    </xf>
    <xf numFmtId="0" fontId="23" fillId="0" borderId="0" applyAlignment="1" pivotButton="0" quotePrefix="0" xfId="0">
      <alignment horizontal="general" vertical="bottom"/>
    </xf>
    <xf numFmtId="0" fontId="13" fillId="0" borderId="1" applyAlignment="1" pivotButton="0" quotePrefix="0" xfId="0">
      <alignment horizontal="general" vertical="top" wrapText="1"/>
    </xf>
    <xf numFmtId="164" fontId="13" fillId="0" borderId="1" applyAlignment="1" pivotButton="0" quotePrefix="0" xfId="0">
      <alignment horizontal="general" vertical="top" wrapText="1"/>
    </xf>
    <xf numFmtId="0" fontId="26" fillId="0" borderId="1" applyAlignment="1" pivotButton="0" quotePrefix="0" xfId="0">
      <alignment horizontal="general" vertical="top" wrapText="1"/>
    </xf>
    <xf numFmtId="0" fontId="27" fillId="0" borderId="1" applyAlignment="1" pivotButton="0" quotePrefix="0" xfId="0">
      <alignment horizontal="general" vertical="bottom"/>
    </xf>
    <xf numFmtId="164" fontId="27" fillId="0" borderId="1" applyAlignment="1" pivotButton="0" quotePrefix="0" xfId="0">
      <alignment horizontal="general" vertical="bottom"/>
    </xf>
    <xf numFmtId="0" fontId="17" fillId="2" borderId="0" applyAlignment="1" pivotButton="0" quotePrefix="0" xfId="0">
      <alignment horizontal="center" vertical="center" wrapText="1"/>
    </xf>
    <xf numFmtId="0" fontId="17" fillId="2" borderId="0" applyAlignment="1" pivotButton="0" quotePrefix="0" xfId="0">
      <alignment horizontal="general" vertical="center" wrapText="1"/>
    </xf>
    <xf numFmtId="0" fontId="28" fillId="0" borderId="1" applyAlignment="1" pivotButton="0" quotePrefix="0" xfId="0">
      <alignment horizontal="general" vertical="top" wrapText="1"/>
    </xf>
    <xf numFmtId="0" fontId="7" fillId="6" borderId="1" applyAlignment="1" pivotButton="0" quotePrefix="0" xfId="0">
      <alignment horizontal="center" vertical="top" wrapText="1"/>
    </xf>
    <xf numFmtId="0" fontId="19" fillId="0" borderId="0" applyAlignment="1" pivotButton="0" quotePrefix="0" xfId="0">
      <alignment horizontal="general" vertical="top" wrapText="1"/>
    </xf>
    <xf numFmtId="0" fontId="29" fillId="0" borderId="0" applyAlignment="1" pivotButton="0" quotePrefix="0" xfId="0">
      <alignment horizontal="general" vertical="top" wrapText="1"/>
    </xf>
    <xf numFmtId="0" fontId="7" fillId="7" borderId="1" applyAlignment="1" pivotButton="0" quotePrefix="0" xfId="0">
      <alignment horizontal="center" vertical="top" wrapText="1"/>
    </xf>
    <xf numFmtId="0" fontId="7" fillId="8" borderId="1" applyAlignment="1" pivotButton="0" quotePrefix="0" xfId="0">
      <alignment horizontal="center" vertical="top" wrapText="1"/>
    </xf>
    <xf numFmtId="0" fontId="7" fillId="9" borderId="1" applyAlignment="1" pivotButton="0" quotePrefix="0" xfId="0">
      <alignment horizontal="center" vertical="top" wrapText="1"/>
    </xf>
    <xf numFmtId="0" fontId="30" fillId="8" borderId="0" applyAlignment="1" pivotButton="0" quotePrefix="0" xfId="0">
      <alignment horizontal="general" vertical="top" wrapText="1"/>
    </xf>
    <xf numFmtId="0" fontId="7" fillId="8" borderId="1" applyAlignment="1" pivotButton="0" quotePrefix="0" xfId="0">
      <alignment horizontal="general" vertical="top" wrapText="1"/>
    </xf>
    <xf numFmtId="0" fontId="28"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31" fillId="0" borderId="1" applyAlignment="1" pivotButton="0" quotePrefix="0" xfId="0">
      <alignment horizontal="general" vertical="top" wrapText="1"/>
    </xf>
    <xf numFmtId="0" fontId="7" fillId="7" borderId="1" applyAlignment="1" pivotButton="0" quotePrefix="0" xfId="0">
      <alignment horizontal="general" vertical="top" wrapText="1"/>
    </xf>
    <xf numFmtId="0" fontId="32" fillId="0" borderId="0" applyAlignment="1" pivotButton="0" quotePrefix="0" xfId="0">
      <alignment horizontal="general" vertical="bottom"/>
    </xf>
    <xf numFmtId="0" fontId="0" fillId="0" borderId="0" applyAlignment="1" pivotButton="0" quotePrefix="0" xfId="0">
      <alignment horizontal="general" vertical="bottom" wrapText="1"/>
    </xf>
    <xf numFmtId="0" fontId="24" fillId="2" borderId="0" applyAlignment="1" pivotButton="0" quotePrefix="0" xfId="0">
      <alignment horizontal="general" vertical="center" wrapText="1"/>
    </xf>
    <xf numFmtId="0" fontId="26" fillId="0" borderId="0" applyAlignment="1" pivotButton="0" quotePrefix="0" xfId="0">
      <alignment horizontal="general" vertical="top" wrapText="1"/>
    </xf>
    <xf numFmtId="0" fontId="17" fillId="2" borderId="2" applyAlignment="1" pivotButton="0" quotePrefix="0" xfId="0">
      <alignment horizontal="center" vertical="center" wrapText="1"/>
    </xf>
    <xf numFmtId="0" fontId="7" fillId="0" borderId="2" applyAlignment="1" pivotButton="0" quotePrefix="0" xfId="0">
      <alignment horizontal="general" vertical="top" wrapText="1"/>
    </xf>
    <xf numFmtId="0" fontId="19" fillId="0" borderId="2" applyAlignment="1" pivotButton="0" quotePrefix="0" xfId="0">
      <alignment horizontal="general" vertical="top" wrapText="1"/>
    </xf>
    <xf numFmtId="0" fontId="33" fillId="0" borderId="2" applyAlignment="1" pivotButton="0" quotePrefix="0" xfId="0">
      <alignment horizontal="general" vertical="top" wrapText="1"/>
    </xf>
    <xf numFmtId="0" fontId="7" fillId="6" borderId="2" applyAlignment="1" pivotButton="0" quotePrefix="0" xfId="0">
      <alignment horizontal="center" vertical="top"/>
    </xf>
    <xf numFmtId="0" fontId="7" fillId="6" borderId="2" applyAlignment="1" pivotButton="0" quotePrefix="0" xfId="0">
      <alignment horizontal="center" vertical="top" wrapText="1"/>
    </xf>
    <xf numFmtId="0" fontId="21" fillId="0" borderId="2" applyAlignment="1" pivotButton="0" quotePrefix="0" xfId="0">
      <alignment horizontal="general" vertical="top" wrapText="1"/>
    </xf>
    <xf numFmtId="0" fontId="7" fillId="3" borderId="2" applyAlignment="1" pivotButton="0" quotePrefix="0" xfId="0">
      <alignment horizontal="center" vertical="top"/>
    </xf>
    <xf numFmtId="0" fontId="7" fillId="3" borderId="2" applyAlignment="1" pivotButton="0" quotePrefix="0" xfId="0">
      <alignment horizontal="center" vertical="top" wrapText="1"/>
    </xf>
    <xf numFmtId="0" fontId="7" fillId="7" borderId="2" applyAlignment="1" pivotButton="0" quotePrefix="0" xfId="0">
      <alignment horizontal="center" vertical="top"/>
    </xf>
    <xf numFmtId="0" fontId="7" fillId="7" borderId="2" applyAlignment="1" pivotButton="0" quotePrefix="0" xfId="0">
      <alignment horizontal="center" vertical="top" wrapText="1"/>
    </xf>
    <xf numFmtId="0" fontId="7" fillId="9" borderId="2" applyAlignment="1" pivotButton="0" quotePrefix="0" xfId="0">
      <alignment horizontal="center" vertical="top"/>
    </xf>
    <xf numFmtId="0" fontId="7" fillId="9" borderId="2" applyAlignment="1" pivotButton="0" quotePrefix="0" xfId="0">
      <alignment horizontal="center" vertical="top" wrapText="1"/>
    </xf>
    <xf numFmtId="0" fontId="7" fillId="8" borderId="2" applyAlignment="1" pivotButton="0" quotePrefix="0" xfId="0">
      <alignment horizontal="center" vertical="top"/>
    </xf>
    <xf numFmtId="0" fontId="28" fillId="0" borderId="2" applyAlignment="1" pivotButton="0" quotePrefix="0" xfId="0">
      <alignment horizontal="general" vertical="top" wrapText="1"/>
    </xf>
    <xf numFmtId="0" fontId="7" fillId="8" borderId="2" applyAlignment="1" pivotButton="0" quotePrefix="0" xfId="0">
      <alignment horizontal="general" vertical="top" wrapText="1"/>
    </xf>
    <xf numFmtId="0" fontId="6" fillId="0" borderId="0" applyAlignment="1" pivotButton="0" quotePrefix="0" xfId="0">
      <alignment horizontal="general" vertical="bottom"/>
    </xf>
    <xf numFmtId="0" fontId="19" fillId="0" borderId="0" applyAlignment="1" pivotButton="0" quotePrefix="0" xfId="0">
      <alignment horizontal="general" vertical="bottom"/>
    </xf>
    <xf numFmtId="0" fontId="7" fillId="0" borderId="0" applyAlignment="1" pivotButton="0" quotePrefix="0" xfId="0">
      <alignment horizontal="general" vertical="bottom"/>
    </xf>
    <xf numFmtId="0" fontId="7" fillId="6" borderId="0" applyAlignment="1" pivotButton="0" quotePrefix="0" xfId="0">
      <alignment horizontal="general" vertical="bottom"/>
    </xf>
    <xf numFmtId="0" fontId="34" fillId="0" borderId="0" applyAlignment="1" pivotButton="0" quotePrefix="0" xfId="0">
      <alignment horizontal="general" vertical="bottom"/>
    </xf>
    <xf numFmtId="0" fontId="7" fillId="0" borderId="2" applyAlignment="1" pivotButton="0" quotePrefix="0" xfId="0">
      <alignment horizontal="center" vertical="top" wrapText="1"/>
    </xf>
    <xf numFmtId="0" fontId="7" fillId="10" borderId="2" applyAlignment="1" pivotButton="0" quotePrefix="0" xfId="0">
      <alignment horizontal="general" vertical="top" wrapText="1"/>
    </xf>
    <xf numFmtId="0" fontId="7" fillId="8" borderId="2" applyAlignment="1" pivotButton="0" quotePrefix="0" xfId="0">
      <alignment horizontal="center" vertical="top" wrapText="1"/>
    </xf>
    <xf numFmtId="0" fontId="35" fillId="0" borderId="2" applyAlignment="1" pivotButton="0" quotePrefix="0" xfId="0">
      <alignment horizontal="general" vertical="top" wrapText="1"/>
    </xf>
    <xf numFmtId="0" fontId="7" fillId="11" borderId="2" applyAlignment="1" pivotButton="0" quotePrefix="0" xfId="0">
      <alignment horizontal="center" vertical="top" wrapText="1"/>
    </xf>
    <xf numFmtId="0" fontId="7" fillId="12" borderId="2" applyAlignment="1" pivotButton="0" quotePrefix="0" xfId="0">
      <alignment horizontal="center" vertical="top" wrapText="1"/>
    </xf>
    <xf numFmtId="0" fontId="17" fillId="2" borderId="2" applyAlignment="1" pivotButton="0" quotePrefix="0" xfId="0">
      <alignment horizontal="center" vertical="bottom" wrapText="1"/>
    </xf>
    <xf numFmtId="0" fontId="17" fillId="2" borderId="2" applyAlignment="1" pivotButton="0" quotePrefix="0" xfId="0">
      <alignment horizontal="center" vertical="bottom"/>
    </xf>
    <xf numFmtId="0" fontId="7" fillId="0" borderId="2" applyAlignment="1" pivotButton="0" quotePrefix="0" xfId="0">
      <alignment horizontal="general" vertical="bottom" wrapText="1"/>
    </xf>
    <xf numFmtId="0" fontId="19" fillId="0" borderId="2" applyAlignment="1" pivotButton="0" quotePrefix="0" xfId="0">
      <alignment horizontal="general" vertical="bottom" wrapText="1"/>
    </xf>
    <xf numFmtId="0" fontId="33" fillId="0" borderId="2" applyAlignment="1" pivotButton="0" quotePrefix="0" xfId="0">
      <alignment horizontal="general" vertical="bottom" wrapText="1"/>
    </xf>
    <xf numFmtId="0" fontId="7" fillId="6" borderId="2" applyAlignment="1" pivotButton="0" quotePrefix="0" xfId="0">
      <alignment horizontal="center" vertical="bottom"/>
    </xf>
    <xf numFmtId="0" fontId="7" fillId="3" borderId="2" applyAlignment="1" pivotButton="0" quotePrefix="0" xfId="0">
      <alignment horizontal="center" vertical="bottom"/>
    </xf>
    <xf numFmtId="0" fontId="7" fillId="7" borderId="2" applyAlignment="1" pivotButton="0" quotePrefix="0" xfId="0">
      <alignment horizontal="center" vertical="bottom"/>
    </xf>
    <xf numFmtId="0" fontId="7" fillId="8" borderId="2" applyAlignment="1" pivotButton="0" quotePrefix="0" xfId="0">
      <alignment horizontal="center" vertical="bottom"/>
    </xf>
    <xf numFmtId="0" fontId="7" fillId="9" borderId="2" applyAlignment="1" pivotButton="0" quotePrefix="0" xfId="0">
      <alignment horizontal="center" vertical="bottom"/>
    </xf>
    <xf numFmtId="0" fontId="7" fillId="3" borderId="0" applyAlignment="1" pivotButton="0" quotePrefix="0" xfId="0">
      <alignment horizontal="general" vertical="bottom"/>
    </xf>
    <xf numFmtId="0" fontId="7" fillId="7" borderId="0" applyAlignment="1" pivotButton="0" quotePrefix="0" xfId="0">
      <alignment horizontal="general" vertical="bottom"/>
    </xf>
    <xf numFmtId="0" fontId="7" fillId="9" borderId="0" applyAlignment="1" pivotButton="0" quotePrefix="0" xfId="0">
      <alignment horizontal="general" vertical="bottom"/>
    </xf>
    <xf numFmtId="0" fontId="7" fillId="9" borderId="2" applyAlignment="1" pivotButton="0" quotePrefix="0" xfId="0">
      <alignment horizontal="general" vertical="top" wrapText="1"/>
    </xf>
    <xf numFmtId="0" fontId="7" fillId="3" borderId="2" applyAlignment="1" pivotButton="0" quotePrefix="0" xfId="0">
      <alignment horizontal="general" vertical="top" wrapText="1"/>
    </xf>
    <xf numFmtId="0" fontId="7" fillId="7" borderId="2" applyAlignment="1" pivotButton="0" quotePrefix="0" xfId="0">
      <alignment horizontal="general" vertical="top" wrapText="1"/>
    </xf>
    <xf numFmtId="0" fontId="7" fillId="6" borderId="2" applyAlignment="1" pivotButton="0" quotePrefix="0" xfId="0">
      <alignment horizontal="general" vertical="top" wrapText="1"/>
    </xf>
    <xf numFmtId="0" fontId="13" fillId="0" borderId="0" applyAlignment="1" pivotButton="0" quotePrefix="0" xfId="0">
      <alignment horizontal="general" vertical="bottom"/>
    </xf>
    <xf numFmtId="0" fontId="26" fillId="0" borderId="0" applyAlignment="1" pivotButton="0" quotePrefix="0" xfId="0">
      <alignment horizontal="general" vertical="bottom"/>
    </xf>
    <xf numFmtId="0" fontId="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0" fillId="0" borderId="0" applyAlignment="1" pivotButton="0" quotePrefix="0" xfId="0">
      <alignment horizontal="general" vertical="top" wrapText="1"/>
    </xf>
    <xf numFmtId="0" fontId="11" fillId="0" borderId="0" applyAlignment="1" pivotButton="0" quotePrefix="0" xfId="0">
      <alignment horizontal="general" vertical="bottom"/>
    </xf>
    <xf numFmtId="0" fontId="13" fillId="0" borderId="0" applyAlignment="1" pivotButton="0" quotePrefix="0" xfId="0">
      <alignment horizontal="general" vertical="top" wrapText="1"/>
    </xf>
    <xf numFmtId="0" fontId="11" fillId="0" borderId="0" applyAlignment="1" pivotButton="0" quotePrefix="0" xfId="0">
      <alignment horizontal="general" vertical="top" wrapText="1"/>
    </xf>
    <xf numFmtId="0" fontId="43" fillId="0" borderId="0" pivotButton="0" quotePrefix="0" xfId="0"/>
    <xf numFmtId="0" fontId="0" fillId="0" borderId="0" applyAlignment="1" pivotButton="0" quotePrefix="0" xfId="0">
      <alignmen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2" borderId="1" applyAlignment="1" pivotButton="0" quotePrefix="0" xfId="0">
      <alignment horizontal="center" vertical="center" wrapText="1"/>
    </xf>
    <xf numFmtId="0" fontId="18" fillId="3" borderId="1" applyAlignment="1" pivotButton="0" quotePrefix="0" xfId="0">
      <alignment horizontal="general" vertical="top" wrapText="1"/>
    </xf>
    <xf numFmtId="0" fontId="7" fillId="0" borderId="1" applyAlignment="1" pivotButton="0" quotePrefix="0" xfId="0">
      <alignment horizontal="general" vertical="top" wrapText="1"/>
    </xf>
    <xf numFmtId="0" fontId="19" fillId="0" borderId="1" applyAlignment="1" pivotButton="0" quotePrefix="0" xfId="0">
      <alignment horizontal="general" vertical="top" wrapText="1"/>
    </xf>
    <xf numFmtId="0" fontId="7" fillId="0" borderId="1" applyAlignment="1" pivotButton="0" quotePrefix="0" xfId="0">
      <alignment horizontal="center" vertical="top" wrapText="1"/>
    </xf>
    <xf numFmtId="0" fontId="21" fillId="0" borderId="1" applyAlignment="1" pivotButton="0" quotePrefix="0" xfId="0">
      <alignment horizontal="general" vertical="top" wrapText="1"/>
    </xf>
    <xf numFmtId="0" fontId="22" fillId="0" borderId="0" applyAlignment="1" pivotButton="0" quotePrefix="0" xfId="0">
      <alignment horizontal="general" vertical="bottom"/>
    </xf>
    <xf numFmtId="0" fontId="23" fillId="0" borderId="0" applyAlignment="1" pivotButton="0" quotePrefix="0" xfId="0">
      <alignment horizontal="general" vertical="bottom" wrapText="1"/>
    </xf>
    <xf numFmtId="0" fontId="24" fillId="4" borderId="1" applyAlignment="1" pivotButton="0" quotePrefix="0" xfId="0">
      <alignment horizontal="center" vertical="center" wrapText="1"/>
    </xf>
    <xf numFmtId="0" fontId="13" fillId="0" borderId="1" applyAlignment="1" pivotButton="0" quotePrefix="0" xfId="0">
      <alignment horizontal="left" vertical="bottom"/>
    </xf>
    <xf numFmtId="0" fontId="13" fillId="0" borderId="1" applyAlignment="1" pivotButton="0" quotePrefix="0" xfId="0">
      <alignment horizontal="center" vertical="bottom"/>
    </xf>
    <xf numFmtId="9" fontId="13" fillId="0" borderId="1" applyAlignment="1" pivotButton="0" quotePrefix="0" xfId="0">
      <alignment horizontal="center" vertical="bottom"/>
    </xf>
    <xf numFmtId="0" fontId="11" fillId="5" borderId="1" applyAlignment="1" pivotButton="0" quotePrefix="0" xfId="0">
      <alignment horizontal="left" vertical="bottom"/>
    </xf>
    <xf numFmtId="0" fontId="11" fillId="5" borderId="1" applyAlignment="1" pivotButton="0" quotePrefix="0" xfId="0">
      <alignment horizontal="center" vertical="bottom"/>
    </xf>
    <xf numFmtId="9" fontId="11" fillId="5" borderId="1" applyAlignment="1" pivotButton="0" quotePrefix="0" xfId="0">
      <alignment horizontal="center" vertical="bottom"/>
    </xf>
    <xf numFmtId="0" fontId="25" fillId="0" borderId="0" applyAlignment="1" pivotButton="0" quotePrefix="0" xfId="0">
      <alignment horizontal="general" vertical="bottom"/>
    </xf>
    <xf numFmtId="0" fontId="23" fillId="0" borderId="0" applyAlignment="1" pivotButton="0" quotePrefix="0" xfId="0">
      <alignment horizontal="general" vertical="bottom"/>
    </xf>
    <xf numFmtId="0" fontId="13" fillId="0" borderId="1" applyAlignment="1" pivotButton="0" quotePrefix="0" xfId="0">
      <alignment horizontal="general" vertical="top" wrapText="1"/>
    </xf>
    <xf numFmtId="164" fontId="13" fillId="0" borderId="1" applyAlignment="1" pivotButton="0" quotePrefix="0" xfId="0">
      <alignment horizontal="general" vertical="top" wrapText="1"/>
    </xf>
    <xf numFmtId="0" fontId="26" fillId="0" borderId="1" applyAlignment="1" pivotButton="0" quotePrefix="0" xfId="0">
      <alignment horizontal="general" vertical="top" wrapText="1"/>
    </xf>
    <xf numFmtId="0" fontId="27" fillId="0" borderId="1" applyAlignment="1" pivotButton="0" quotePrefix="0" xfId="0">
      <alignment horizontal="general" vertical="bottom"/>
    </xf>
    <xf numFmtId="164" fontId="27" fillId="0" borderId="1" applyAlignment="1" pivotButton="0" quotePrefix="0" xfId="0">
      <alignment horizontal="general" vertical="bottom"/>
    </xf>
    <xf numFmtId="0" fontId="17" fillId="2" borderId="0" applyAlignment="1" pivotButton="0" quotePrefix="0" xfId="0">
      <alignment horizontal="center" vertical="center" wrapText="1"/>
    </xf>
    <xf numFmtId="0" fontId="17" fillId="2" borderId="0" applyAlignment="1" pivotButton="0" quotePrefix="0" xfId="0">
      <alignment horizontal="general" vertical="center" wrapText="1"/>
    </xf>
    <xf numFmtId="0" fontId="28" fillId="0" borderId="1" applyAlignment="1" pivotButton="0" quotePrefix="0" xfId="0">
      <alignment horizontal="general" vertical="top" wrapText="1"/>
    </xf>
    <xf numFmtId="0" fontId="7" fillId="6" borderId="1" applyAlignment="1" pivotButton="0" quotePrefix="0" xfId="0">
      <alignment horizontal="center" vertical="top" wrapText="1"/>
    </xf>
    <xf numFmtId="0" fontId="19" fillId="0" borderId="0" applyAlignment="1" pivotButton="0" quotePrefix="0" xfId="0">
      <alignment horizontal="general" vertical="top" wrapText="1"/>
    </xf>
    <xf numFmtId="0" fontId="29" fillId="0" borderId="0" applyAlignment="1" pivotButton="0" quotePrefix="0" xfId="0">
      <alignment horizontal="general" vertical="top" wrapText="1"/>
    </xf>
    <xf numFmtId="0" fontId="7" fillId="7" borderId="1" applyAlignment="1" pivotButton="0" quotePrefix="0" xfId="0">
      <alignment horizontal="center" vertical="top" wrapText="1"/>
    </xf>
    <xf numFmtId="0" fontId="7" fillId="8" borderId="1" applyAlignment="1" pivotButton="0" quotePrefix="0" xfId="0">
      <alignment horizontal="center" vertical="top" wrapText="1"/>
    </xf>
    <xf numFmtId="0" fontId="7" fillId="9" borderId="1" applyAlignment="1" pivotButton="0" quotePrefix="0" xfId="0">
      <alignment horizontal="center" vertical="top" wrapText="1"/>
    </xf>
    <xf numFmtId="0" fontId="30" fillId="8" borderId="0" applyAlignment="1" pivotButton="0" quotePrefix="0" xfId="0">
      <alignment horizontal="general" vertical="top" wrapText="1"/>
    </xf>
    <xf numFmtId="0" fontId="7" fillId="8" borderId="1" applyAlignment="1" pivotButton="0" quotePrefix="0" xfId="0">
      <alignment horizontal="general" vertical="top" wrapText="1"/>
    </xf>
    <xf numFmtId="0" fontId="28"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31" fillId="0" borderId="1" applyAlignment="1" pivotButton="0" quotePrefix="0" xfId="0">
      <alignment horizontal="general" vertical="top" wrapText="1"/>
    </xf>
    <xf numFmtId="0" fontId="7" fillId="7" borderId="1" applyAlignment="1" pivotButton="0" quotePrefix="0" xfId="0">
      <alignment horizontal="general" vertical="top" wrapText="1"/>
    </xf>
    <xf numFmtId="0" fontId="32" fillId="0" borderId="0" applyAlignment="1" pivotButton="0" quotePrefix="0" xfId="0">
      <alignment horizontal="general" vertical="bottom"/>
    </xf>
    <xf numFmtId="0" fontId="0" fillId="0" borderId="0" applyAlignment="1" pivotButton="0" quotePrefix="0" xfId="0">
      <alignment horizontal="general" vertical="bottom" wrapText="1"/>
    </xf>
    <xf numFmtId="0" fontId="24" fillId="2" borderId="0" applyAlignment="1" pivotButton="0" quotePrefix="0" xfId="0">
      <alignment horizontal="general" vertical="center" wrapText="1"/>
    </xf>
    <xf numFmtId="0" fontId="26" fillId="0" borderId="0" applyAlignment="1" pivotButton="0" quotePrefix="0" xfId="0">
      <alignment horizontal="general" vertical="top" wrapText="1"/>
    </xf>
    <xf numFmtId="0" fontId="17" fillId="2" borderId="2" applyAlignment="1" pivotButton="0" quotePrefix="0" xfId="0">
      <alignment horizontal="center" vertical="center" wrapText="1"/>
    </xf>
    <xf numFmtId="0" fontId="7" fillId="0" borderId="2" applyAlignment="1" pivotButton="0" quotePrefix="0" xfId="0">
      <alignment horizontal="general" vertical="top" wrapText="1"/>
    </xf>
    <xf numFmtId="0" fontId="19" fillId="0" borderId="2" applyAlignment="1" pivotButton="0" quotePrefix="0" xfId="0">
      <alignment horizontal="general" vertical="top" wrapText="1"/>
    </xf>
    <xf numFmtId="0" fontId="33" fillId="0" borderId="2" applyAlignment="1" pivotButton="0" quotePrefix="0" xfId="0">
      <alignment horizontal="general" vertical="top" wrapText="1"/>
    </xf>
    <xf numFmtId="0" fontId="7" fillId="6" borderId="2" applyAlignment="1" pivotButton="0" quotePrefix="0" xfId="0">
      <alignment horizontal="center" vertical="top"/>
    </xf>
    <xf numFmtId="0" fontId="7" fillId="6" borderId="2" applyAlignment="1" pivotButton="0" quotePrefix="0" xfId="0">
      <alignment horizontal="center" vertical="top" wrapText="1"/>
    </xf>
    <xf numFmtId="0" fontId="21" fillId="0" borderId="2" applyAlignment="1" pivotButton="0" quotePrefix="0" xfId="0">
      <alignment horizontal="general" vertical="top" wrapText="1"/>
    </xf>
    <xf numFmtId="0" fontId="7" fillId="3" borderId="2" applyAlignment="1" pivotButton="0" quotePrefix="0" xfId="0">
      <alignment horizontal="center" vertical="top"/>
    </xf>
    <xf numFmtId="0" fontId="7" fillId="3" borderId="2" applyAlignment="1" pivotButton="0" quotePrefix="0" xfId="0">
      <alignment horizontal="center" vertical="top" wrapText="1"/>
    </xf>
    <xf numFmtId="0" fontId="7" fillId="7" borderId="2" applyAlignment="1" pivotButton="0" quotePrefix="0" xfId="0">
      <alignment horizontal="center" vertical="top"/>
    </xf>
    <xf numFmtId="0" fontId="7" fillId="7" borderId="2" applyAlignment="1" pivotButton="0" quotePrefix="0" xfId="0">
      <alignment horizontal="center" vertical="top" wrapText="1"/>
    </xf>
    <xf numFmtId="0" fontId="7" fillId="9" borderId="2" applyAlignment="1" pivotButton="0" quotePrefix="0" xfId="0">
      <alignment horizontal="center" vertical="top"/>
    </xf>
    <xf numFmtId="0" fontId="7" fillId="9" borderId="2" applyAlignment="1" pivotButton="0" quotePrefix="0" xfId="0">
      <alignment horizontal="center" vertical="top" wrapText="1"/>
    </xf>
    <xf numFmtId="0" fontId="7" fillId="8" borderId="2" applyAlignment="1" pivotButton="0" quotePrefix="0" xfId="0">
      <alignment horizontal="center" vertical="top"/>
    </xf>
    <xf numFmtId="0" fontId="28" fillId="0" borderId="2" applyAlignment="1" pivotButton="0" quotePrefix="0" xfId="0">
      <alignment horizontal="general" vertical="top" wrapText="1"/>
    </xf>
    <xf numFmtId="0" fontId="7" fillId="8" borderId="2" applyAlignment="1" pivotButton="0" quotePrefix="0" xfId="0">
      <alignment horizontal="general" vertical="top" wrapText="1"/>
    </xf>
    <xf numFmtId="0" fontId="6" fillId="0" borderId="0" applyAlignment="1" pivotButton="0" quotePrefix="0" xfId="0">
      <alignment horizontal="general" vertical="bottom"/>
    </xf>
    <xf numFmtId="0" fontId="19" fillId="0" borderId="0" applyAlignment="1" pivotButton="0" quotePrefix="0" xfId="0">
      <alignment horizontal="general" vertical="bottom"/>
    </xf>
    <xf numFmtId="0" fontId="7" fillId="0" borderId="0" applyAlignment="1" pivotButton="0" quotePrefix="0" xfId="0">
      <alignment horizontal="general" vertical="bottom"/>
    </xf>
    <xf numFmtId="0" fontId="7" fillId="6" borderId="0" applyAlignment="1" pivotButton="0" quotePrefix="0" xfId="0">
      <alignment horizontal="general" vertical="bottom"/>
    </xf>
    <xf numFmtId="0" fontId="36" fillId="0" borderId="0" pivotButton="0" quotePrefix="0" xfId="0"/>
    <xf numFmtId="0" fontId="37" fillId="0" borderId="0" pivotButton="0" quotePrefix="0" xfId="0"/>
    <xf numFmtId="0" fontId="38" fillId="13" borderId="3" applyAlignment="1" pivotButton="0" quotePrefix="0" xfId="0">
      <alignment horizontal="center" vertical="center" wrapText="1"/>
    </xf>
    <xf numFmtId="0" fontId="39" fillId="0" borderId="3" applyAlignment="1" pivotButton="0" quotePrefix="0" xfId="0">
      <alignment vertical="top" wrapText="1"/>
    </xf>
    <xf numFmtId="0" fontId="39" fillId="15" borderId="3" applyAlignment="1" pivotButton="0" quotePrefix="0" xfId="0">
      <alignment vertical="top" wrapText="1"/>
    </xf>
    <xf numFmtId="0" fontId="41" fillId="14" borderId="3" applyAlignment="1" pivotButton="0" quotePrefix="0" xfId="0">
      <alignment horizontal="center" vertical="top"/>
    </xf>
    <xf numFmtId="0" fontId="40" fillId="0" borderId="3" applyAlignment="1" pivotButton="0" quotePrefix="0" xfId="0">
      <alignment vertical="top" wrapText="1"/>
    </xf>
    <xf numFmtId="0" fontId="39" fillId="16" borderId="3" applyAlignment="1" pivotButton="0" quotePrefix="0" xfId="0">
      <alignment vertical="top" wrapText="1"/>
    </xf>
    <xf numFmtId="0" fontId="41" fillId="17" borderId="3" applyAlignment="1" pivotButton="0" quotePrefix="0" xfId="0">
      <alignment horizontal="center" vertical="top"/>
    </xf>
    <xf numFmtId="0" fontId="41" fillId="18" borderId="3" applyAlignment="1" pivotButton="0" quotePrefix="0" xfId="0">
      <alignment horizontal="center" vertical="top"/>
    </xf>
    <xf numFmtId="0" fontId="39" fillId="19" borderId="3" applyAlignment="1" pivotButton="0" quotePrefix="0" xfId="0">
      <alignment vertical="top" wrapText="1"/>
    </xf>
    <xf numFmtId="0" fontId="42" fillId="0" borderId="0" pivotButton="0" quotePrefix="0" xfId="0"/>
    <xf numFmtId="0" fontId="39" fillId="0" borderId="0" pivotButton="0" quotePrefix="0" xfId="0"/>
    <xf numFmtId="0" fontId="41" fillId="0" borderId="0" pivotButton="0" quotePrefix="0" xfId="0"/>
    <xf numFmtId="0" fontId="34" fillId="0" borderId="0" applyAlignment="1" pivotButton="0" quotePrefix="0" xfId="0">
      <alignment horizontal="general" vertical="bottom"/>
    </xf>
    <xf numFmtId="0" fontId="7" fillId="0" borderId="2" applyAlignment="1" pivotButton="0" quotePrefix="0" xfId="0">
      <alignment horizontal="center" vertical="top" wrapText="1"/>
    </xf>
    <xf numFmtId="0" fontId="7" fillId="10" borderId="2" applyAlignment="1" pivotButton="0" quotePrefix="0" xfId="0">
      <alignment horizontal="general" vertical="top" wrapText="1"/>
    </xf>
    <xf numFmtId="0" fontId="7" fillId="8" borderId="2" applyAlignment="1" pivotButton="0" quotePrefix="0" xfId="0">
      <alignment horizontal="center" vertical="top" wrapText="1"/>
    </xf>
    <xf numFmtId="0" fontId="35" fillId="0" borderId="2" applyAlignment="1" pivotButton="0" quotePrefix="0" xfId="0">
      <alignment horizontal="general" vertical="top" wrapText="1"/>
    </xf>
    <xf numFmtId="0" fontId="7" fillId="11" borderId="2" applyAlignment="1" pivotButton="0" quotePrefix="0" xfId="0">
      <alignment horizontal="center" vertical="top" wrapText="1"/>
    </xf>
    <xf numFmtId="0" fontId="7" fillId="12" borderId="2" applyAlignment="1" pivotButton="0" quotePrefix="0" xfId="0">
      <alignment horizontal="center" vertical="top" wrapText="1"/>
    </xf>
    <xf numFmtId="0" fontId="17" fillId="2" borderId="2" applyAlignment="1" pivotButton="0" quotePrefix="0" xfId="0">
      <alignment horizontal="center" vertical="bottom" wrapText="1"/>
    </xf>
    <xf numFmtId="0" fontId="17" fillId="2" borderId="2" applyAlignment="1" pivotButton="0" quotePrefix="0" xfId="0">
      <alignment horizontal="center" vertical="bottom"/>
    </xf>
    <xf numFmtId="0" fontId="7" fillId="0" borderId="2" applyAlignment="1" pivotButton="0" quotePrefix="0" xfId="0">
      <alignment horizontal="general" vertical="bottom" wrapText="1"/>
    </xf>
    <xf numFmtId="0" fontId="19" fillId="0" borderId="2" applyAlignment="1" pivotButton="0" quotePrefix="0" xfId="0">
      <alignment horizontal="general" vertical="bottom" wrapText="1"/>
    </xf>
    <xf numFmtId="0" fontId="33" fillId="0" borderId="2" applyAlignment="1" pivotButton="0" quotePrefix="0" xfId="0">
      <alignment horizontal="general" vertical="bottom" wrapText="1"/>
    </xf>
    <xf numFmtId="0" fontId="7" fillId="6" borderId="2" applyAlignment="1" pivotButton="0" quotePrefix="0" xfId="0">
      <alignment horizontal="center" vertical="bottom"/>
    </xf>
    <xf numFmtId="0" fontId="7" fillId="3" borderId="2" applyAlignment="1" pivotButton="0" quotePrefix="0" xfId="0">
      <alignment horizontal="center" vertical="bottom"/>
    </xf>
    <xf numFmtId="0" fontId="7" fillId="7" borderId="2" applyAlignment="1" pivotButton="0" quotePrefix="0" xfId="0">
      <alignment horizontal="center" vertical="bottom"/>
    </xf>
    <xf numFmtId="0" fontId="7" fillId="8" borderId="2" applyAlignment="1" pivotButton="0" quotePrefix="0" xfId="0">
      <alignment horizontal="center" vertical="bottom"/>
    </xf>
    <xf numFmtId="0" fontId="7" fillId="9" borderId="2" applyAlignment="1" pivotButton="0" quotePrefix="0" xfId="0">
      <alignment horizontal="center" vertical="bottom"/>
    </xf>
    <xf numFmtId="0" fontId="7" fillId="3" borderId="0" applyAlignment="1" pivotButton="0" quotePrefix="0" xfId="0">
      <alignment horizontal="general" vertical="bottom"/>
    </xf>
    <xf numFmtId="0" fontId="7" fillId="7" borderId="0" applyAlignment="1" pivotButton="0" quotePrefix="0" xfId="0">
      <alignment horizontal="general" vertical="bottom"/>
    </xf>
    <xf numFmtId="0" fontId="7" fillId="9" borderId="0" applyAlignment="1" pivotButton="0" quotePrefix="0" xfId="0">
      <alignment horizontal="general" vertical="bottom"/>
    </xf>
    <xf numFmtId="0" fontId="7" fillId="9" borderId="2" applyAlignment="1" pivotButton="0" quotePrefix="0" xfId="0">
      <alignment horizontal="general" vertical="top" wrapText="1"/>
    </xf>
    <xf numFmtId="0" fontId="7" fillId="3" borderId="2" applyAlignment="1" pivotButton="0" quotePrefix="0" xfId="0">
      <alignment horizontal="general" vertical="top" wrapText="1"/>
    </xf>
    <xf numFmtId="0" fontId="7" fillId="7" borderId="2" applyAlignment="1" pivotButton="0" quotePrefix="0" xfId="0">
      <alignment horizontal="general" vertical="top" wrapText="1"/>
    </xf>
    <xf numFmtId="0" fontId="7" fillId="6" borderId="2" applyAlignment="1" pivotButton="0" quotePrefix="0" xfId="0">
      <alignment horizontal="general" vertical="top" wrapText="1"/>
    </xf>
    <xf numFmtId="0" fontId="13" fillId="0" borderId="0" applyAlignment="1" pivotButton="0" quotePrefix="0" xfId="0">
      <alignment horizontal="general" vertical="bottom"/>
    </xf>
    <xf numFmtId="0" fontId="26" fillId="0" borderId="0" applyAlignment="1" pivotButton="0" quotePrefix="0" xfId="0">
      <alignment horizontal="general" vertical="bottom"/>
    </xf>
    <xf numFmtId="0" fontId="6"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5">
    <dxf>
      <fill>
        <patternFill patternType="solid">
          <fgColor rgb="FF1F3864"/>
          <bgColor rgb="FF000000"/>
        </patternFill>
      </fill>
    </dxf>
    <dxf>
      <fill>
        <patternFill patternType="solid">
          <fgColor rgb="FFDDEBF7"/>
          <bgColor rgb="FF000000"/>
        </patternFill>
      </fill>
    </dxf>
    <dxf>
      <fill>
        <patternFill patternType="solid">
          <bgColor rgb="FF000000"/>
        </patternFill>
      </fill>
    </dxf>
    <dxf>
      <fill>
        <patternFill patternType="solid">
          <fgColor rgb="FF1F4E79"/>
          <bgColor rgb="FF000000"/>
        </patternFill>
      </fill>
    </dxf>
    <dxf>
      <fill>
        <patternFill patternType="solid">
          <fgColor rgb="FFFFFFFF"/>
          <bgColor rgb="FF000000"/>
        </patternFill>
      </fill>
    </dxf>
    <dxf>
      <fill>
        <patternFill patternType="solid">
          <fgColor rgb="FFF2F2F2"/>
          <bgColor rgb="FF000000"/>
        </patternFill>
      </fill>
    </dxf>
    <dxf>
      <fill>
        <patternFill patternType="solid">
          <fgColor rgb="FF808080"/>
          <bgColor rgb="FF000000"/>
        </patternFill>
      </fill>
    </dxf>
    <dxf>
      <font>
        <color rgb="FF808080"/>
        <sz val="9"/>
      </font>
      <fill>
        <patternFill>
          <bgColor rgb="FFF2F2F2"/>
        </patternFill>
      </fill>
    </dxf>
    <dxf>
      <font>
        <color rgb="FF1F4E79"/>
        <sz val="9"/>
      </font>
      <fill>
        <patternFill>
          <bgColor rgb="FFDDEBF7"/>
        </patternFill>
      </fill>
    </dxf>
    <dxf>
      <font>
        <color rgb="FF1F4E79"/>
        <sz val="9"/>
      </font>
      <fill>
        <patternFill>
          <bgColor rgb="FFBDD7EE"/>
        </patternFill>
      </fill>
    </dxf>
    <dxf>
      <font>
        <color rgb="FF10314F"/>
        <sz val="9"/>
      </font>
      <fill>
        <patternFill>
          <bgColor rgb="FF9DC3E6"/>
        </patternFill>
      </fill>
    </dxf>
    <dxf>
      <font>
        <color rgb="FF7F6000"/>
        <sz val="9"/>
      </font>
      <fill>
        <patternFill>
          <bgColor rgb="FFFFF2CC"/>
        </patternFill>
      </fill>
    </dxf>
    <dxf>
      <font>
        <color rgb="FF7F6000"/>
        <sz val="9"/>
      </font>
      <fill>
        <patternFill>
          <bgColor rgb="FFFFE699"/>
        </patternFill>
      </fill>
    </dxf>
    <dxf>
      <font>
        <color rgb="FF006100"/>
        <sz val="9"/>
      </font>
      <fill>
        <patternFill>
          <bgColor rgb="FFC6EFCE"/>
        </patternFill>
      </fill>
    </dxf>
    <dxf>
      <font>
        <color rgb="FF9C0006"/>
        <sz val="9"/>
      </font>
      <fill>
        <patternFill>
          <bgColor rgb="FFFFC7CE"/>
        </patternFill>
      </fill>
    </dxf>
    <dxf>
      <font>
        <color rgb="FF5F497A"/>
        <sz val="9"/>
      </font>
      <fill>
        <patternFill>
          <bgColor rgb="FFE4DFEC"/>
        </patternFill>
      </fill>
    </dxf>
    <dxf>
      <fill>
        <patternFill patternType="solid">
          <fgColor rgb="FF0000FF"/>
          <bgColor rgb="FF000000"/>
        </patternFill>
      </fill>
    </dxf>
    <dxf>
      <fill>
        <patternFill patternType="solid">
          <fgColor rgb="FFE2EFDA"/>
          <bgColor rgb="FF000000"/>
        </patternFill>
      </fill>
    </dxf>
    <dxf>
      <fill>
        <patternFill patternType="solid">
          <fgColor rgb="FFFCE4EC"/>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0563C1"/>
          <bgColor rgb="FF000000"/>
        </patternFill>
      </fill>
    </dxf>
    <dxf>
      <fill>
        <patternFill>
          <bgColor rgb="FFF2F2F2"/>
        </patternFill>
      </fill>
    </dxf>
    <dxf>
      <fill>
        <patternFill>
          <bgColor rgb="FFDDEBF7"/>
        </patternFill>
      </fill>
    </dxf>
    <dxf>
      <fill>
        <patternFill>
          <bgColor rgb="FFD9E1F2"/>
        </patternFill>
      </fill>
    </dxf>
    <dxf>
      <fill>
        <patternFill>
          <bgColor rgb="FFBDD7EE"/>
        </patternFill>
      </fill>
    </dxf>
    <dxf>
      <fill>
        <patternFill>
          <bgColor rgb="FFFFF2CC"/>
        </patternFill>
      </fill>
    </dxf>
    <dxf>
      <fill>
        <patternFill>
          <bgColor rgb="FFFCE4B6"/>
        </patternFill>
      </fill>
    </dxf>
    <dxf>
      <fill>
        <patternFill>
          <bgColor rgb="FFC6EFCE"/>
        </patternFill>
      </fill>
    </dxf>
    <dxf>
      <fill>
        <patternFill>
          <bgColor rgb="FFFFC7CE"/>
        </patternFill>
      </fill>
    </dxf>
    <dxf>
      <fill>
        <patternFill>
          <bgColor rgb="FFEDEDED"/>
        </patternFill>
      </fill>
    </dxf>
    <dxf>
      <fill>
        <patternFill patternType="solid">
          <fgColor rgb="FF7F7F7F"/>
          <bgColor rgb="FF000000"/>
        </patternFill>
      </fill>
    </dxf>
    <dxf>
      <fill>
        <patternFill patternType="solid">
          <fgColor rgb="FFD9E1F2"/>
          <bgColor rgb="FF000000"/>
        </patternFill>
      </fill>
    </dxf>
    <dxf>
      <fill>
        <patternFill patternType="solid">
          <fgColor rgb="FFFFC7CE"/>
          <bgColor rgb="FF000000"/>
        </patternFill>
      </fill>
    </dxf>
    <dxf>
      <fill>
        <patternFill patternType="solid">
          <fgColor rgb="FFFCE4B6"/>
          <bgColor rgb="FF000000"/>
        </patternFill>
      </fill>
    </dxf>
  </dxfs>
  <colors>
    <indexedColors>
      <rgbColor rgb="FF000000"/>
      <rgbColor rgb="FFFFFFFF"/>
      <rgbColor rgb="FFC00000"/>
      <rgbColor rgb="FF00FF00"/>
      <rgbColor rgb="FF0000FF"/>
      <rgbColor rgb="FFFCE4B6"/>
      <rgbColor rgb="FFFF00FF"/>
      <rgbColor rgb="FF00FFFF"/>
      <rgbColor rgb="FF9C0006"/>
      <rgbColor rgb="FF006100"/>
      <rgbColor rgb="FF000080"/>
      <rgbColor rgb="FF7F6000"/>
      <rgbColor rgb="FF800080"/>
      <rgbColor rgb="FF0A66C2"/>
      <rgbColor rgb="FFBFBFBF"/>
      <rgbColor rgb="FF808080"/>
      <rgbColor rgb="FF7F7F7F"/>
      <rgbColor rgb="FF7030A0"/>
      <rgbColor rgb="FFFFF2CC"/>
      <rgbColor rgb="FFDDEBF7"/>
      <rgbColor rgb="FF660066"/>
      <rgbColor rgb="FFD9D9D9"/>
      <rgbColor rgb="FF0563C1"/>
      <rgbColor rgb="FFD9CCF7"/>
      <rgbColor rgb="FF000080"/>
      <rgbColor rgb="FFFF00FF"/>
      <rgbColor rgb="FFEDEDED"/>
      <rgbColor rgb="FF00FFFF"/>
      <rgbColor rgb="FF800080"/>
      <rgbColor rgb="FF800000"/>
      <rgbColor rgb="FF00B050"/>
      <rgbColor rgb="FF0000FF"/>
      <rgbColor rgb="FFFCE4EC"/>
      <rgbColor rgb="FFE2EFDA"/>
      <rgbColor rgb="FFC6EFCE"/>
      <rgbColor rgb="FFFFE699"/>
      <rgbColor rgb="FF9DC3E6"/>
      <rgbColor rgb="FFFF99CC"/>
      <rgbColor rgb="FFBDD7EE"/>
      <rgbColor rgb="FFFFC7CE"/>
      <rgbColor rgb="FF6D37E3"/>
      <rgbColor rgb="FFF2F2F2"/>
      <rgbColor rgb="FFD9E1F2"/>
      <rgbColor rgb="FFFFC000"/>
      <rgbColor rgb="FFE4DFEC"/>
      <rgbColor rgb="FFED7D31"/>
      <rgbColor rgb="FF5F497A"/>
      <rgbColor rgb="FFA6A6A6"/>
      <rgbColor rgb="FF10314F"/>
      <rgbColor rgb="FF548235"/>
      <rgbColor rgb="FF1F4E79"/>
      <rgbColor rgb="FF555555"/>
      <rgbColor rgb="FF993300"/>
      <rgbColor rgb="FF5A2FC6"/>
      <rgbColor rgb="FF1F3864"/>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hyperlink" Target="http://www.koujuaw.com.tw/" TargetMode="External" Id="rId1"/><Relationship Type="http://schemas.openxmlformats.org/officeDocument/2006/relationships/hyperlink" Target="http://www.hk3.com.tw/" TargetMode="External" Id="rId2"/><Relationship Type="http://schemas.openxmlformats.org/officeDocument/2006/relationships/hyperlink" Target="http://www.diarex.com.tw/" TargetMode="External" Id="rId3"/><Relationship Type="http://schemas.openxmlformats.org/officeDocument/2006/relationships/hyperlink" Target="http://www.huaxing.com.tw/" TargetMode="External" Id="rId4"/><Relationship Type="http://schemas.openxmlformats.org/officeDocument/2006/relationships/hyperlink" Target="http://www.winningmedical.com/" TargetMode="External" Id="rId5"/><Relationship Type="http://schemas.openxmlformats.org/officeDocument/2006/relationships/hyperlink" Target="http://www.conwellmedical.com/" TargetMode="External" Id="rId6"/><Relationship Type="http://schemas.openxmlformats.org/officeDocument/2006/relationships/hyperlink" Target="http://www.bio-mega.com.tw/" TargetMode="External" Id="rId7"/></Relationships>
</file>

<file path=xl/worksheets/_rels/sheet9.xml.rels><Relationships xmlns="http://schemas.openxmlformats.org/package/2006/relationships"><Relationship Type="http://schemas.openxmlformats.org/officeDocument/2006/relationships/hyperlink" Target="https://soelim.com/" TargetMode="External" Id="rId1"/><Relationship Type="http://schemas.openxmlformats.org/officeDocument/2006/relationships/hyperlink" Target="https://genoray.com/" TargetMode="External" Id="rId2"/><Relationship Type="http://schemas.openxmlformats.org/officeDocument/2006/relationships/hyperlink" Target="https://www.poskom.com/" TargetMode="External" Id="rId3"/><Relationship Type="http://schemas.openxmlformats.org/officeDocument/2006/relationships/hyperlink" Target="https://jpi-korea.com/" TargetMode="External" Id="rId4"/><Relationship Type="http://schemas.openxmlformats.org/officeDocument/2006/relationships/hyperlink" Target="http://www.withray.co.kr/" TargetMode="External" Id="rId5"/><Relationship Type="http://schemas.openxmlformats.org/officeDocument/2006/relationships/hyperlink" Target="https://daiwha.com/" TargetMode="External" Id="rId6"/><Relationship Type="http://schemas.openxmlformats.org/officeDocument/2006/relationships/hyperlink" Target="https://www.einsmed.co.kr/" TargetMode="External" Id="rId7"/><Relationship Type="http://schemas.openxmlformats.org/officeDocument/2006/relationships/hyperlink" Target="https://insanm.com/" TargetMode="External" Id="rId8"/><Relationship Type="http://schemas.openxmlformats.org/officeDocument/2006/relationships/hyperlink" Target="https://www.asanpharm.co.kr/" TargetMode="External" Id="rId9"/><Relationship Type="http://schemas.openxmlformats.org/officeDocument/2006/relationships/hyperlink" Target="https://www.dksh.com/kr-en" TargetMode="External" Id="rId10"/><Relationship Type="http://schemas.openxmlformats.org/officeDocument/2006/relationships/hyperlink" Target="https://drmro.com/" TargetMode="External" Id="rId11"/><Relationship Type="http://schemas.openxmlformats.org/officeDocument/2006/relationships/hyperlink" Target="https://dk.co.kr/" TargetMode="External" Id="rId12"/><Relationship Type="http://schemas.openxmlformats.org/officeDocument/2006/relationships/hyperlink" Target="https://listem.co.kr/" TargetMode="External" Id="rId13"/><Relationship Type="http://schemas.openxmlformats.org/officeDocument/2006/relationships/hyperlink" Target="https://mediana.co.kr/" TargetMode="External" Id="rId14"/><Relationship Type="http://schemas.openxmlformats.org/officeDocument/2006/relationships/hyperlink" Target="https://medistream.co.kr/" TargetMode="External" Id="rId15"/><Relationship Type="http://schemas.openxmlformats.org/officeDocument/2006/relationships/hyperlink" Target="http://osmedical.co.kr/" TargetMode="External" Id="rId16"/><Relationship Type="http://schemas.openxmlformats.org/officeDocument/2006/relationships/hyperlink" Target="https://kahamedical.com/" TargetMode="External" Id="rId17"/><Relationship Type="http://schemas.openxmlformats.org/officeDocument/2006/relationships/hyperlink" Target="https://pentaskorea.com/" TargetMode="External" Id="rId18"/><Relationship Type="http://schemas.openxmlformats.org/officeDocument/2006/relationships/hyperlink" Target="https://myegm.co.kr/" TargetMode="External" Id="rId19"/><Relationship Type="http://schemas.openxmlformats.org/officeDocument/2006/relationships/hyperlink" Target="https://sw88.kr/" TargetMode="External" Id="rId20"/><Relationship Type="http://schemas.openxmlformats.org/officeDocument/2006/relationships/hyperlink" Target="https://paranmedical.co.kr/" TargetMode="External" Id="rId21"/><Relationship Type="http://schemas.openxmlformats.org/officeDocument/2006/relationships/hyperlink" Target="https://dsmed.kr/" TargetMode="External" Id="rId22"/><Relationship Type="http://schemas.openxmlformats.org/officeDocument/2006/relationships/hyperlink" Target="https://kmtec.com/" TargetMode="External" Id="rId23"/><Relationship Type="http://schemas.openxmlformats.org/officeDocument/2006/relationships/hyperlink" Target="https://shinhanmedi.com/" TargetMode="External" Id="rId24"/><Relationship Type="http://schemas.openxmlformats.org/officeDocument/2006/relationships/hyperlink" Target="https://uicin.com/" TargetMode="External" Id="rId25"/><Relationship Type="http://schemas.openxmlformats.org/officeDocument/2006/relationships/hyperlink" Target="https://cherubsmedi.com/" TargetMode="External" Id="rId26"/><Relationship Type="http://schemas.openxmlformats.org/officeDocument/2006/relationships/hyperlink" Target="https://mcle.co.kr/" TargetMode="External" Id="rId27"/><Relationship Type="http://schemas.openxmlformats.org/officeDocument/2006/relationships/hyperlink" Target="https://dmmed.co.kr/" TargetMode="External" Id="rId28"/><Relationship Type="http://schemas.openxmlformats.org/officeDocument/2006/relationships/hyperlink" Target="https://sj1004.co.kr/" TargetMode="External" Id="rId29"/><Relationship Type="http://schemas.openxmlformats.org/officeDocument/2006/relationships/hyperlink" Target="https://segimedical.co.kr/" TargetMode="External" Id="rId30"/><Relationship Type="http://schemas.openxmlformats.org/officeDocument/2006/relationships/hyperlink" Target="https://mvrkorea.co.kr/" TargetMode="External" Id="rId31"/><Relationship Type="http://schemas.openxmlformats.org/officeDocument/2006/relationships/hyperlink" Target="https://sudohc.com/" TargetMode="External" Id="rId32"/><Relationship Type="http://schemas.openxmlformats.org/officeDocument/2006/relationships/hyperlink" Target="https://welchallynkorea.kr/" TargetMode="External" Id="rId33"/><Relationship Type="http://schemas.openxmlformats.org/officeDocument/2006/relationships/hyperlink" Target="https://daebomedical.co.kr/" TargetMode="External" Id="rId34"/><Relationship Type="http://schemas.openxmlformats.org/officeDocument/2006/relationships/hyperlink" Target="https://dreamdoctors.co.kr/" TargetMode="External" Id="rId35"/><Relationship Type="http://schemas.openxmlformats.org/officeDocument/2006/relationships/hyperlink" Target="https://hames.co.kr/" TargetMode="External" Id="rId36"/><Relationship Type="http://schemas.openxmlformats.org/officeDocument/2006/relationships/hyperlink" Target="https://jw-medical.co.kr/" TargetMode="External" Id="rId37"/><Relationship Type="http://schemas.openxmlformats.org/officeDocument/2006/relationships/hyperlink" Target="https://www.medigem.co.kr/" TargetMode="External" Id="rId38"/><Relationship Type="http://schemas.openxmlformats.org/officeDocument/2006/relationships/hyperlink" Target="http://herges.co.kr/" TargetMode="External" Id="rId39"/><Relationship Type="http://schemas.openxmlformats.org/officeDocument/2006/relationships/hyperlink" Target="https://www.drgemhealthcare.com/" TargetMode="External" Id="rId40"/><Relationship Type="http://schemas.openxmlformats.org/officeDocument/2006/relationships/hyperlink" Target="https://www.synex.co.kr/" TargetMode="External" Id="rId41"/><Relationship Type="http://schemas.openxmlformats.org/officeDocument/2006/relationships/hyperlink" Target="https://www.gcmediai.com/" TargetMode="External" Id="rId42"/><Relationship Type="http://schemas.openxmlformats.org/officeDocument/2006/relationships/hyperlink" Target="https://technomartinc.com/" TargetMode="External" Id="rId43"/><Relationship Type="http://schemas.openxmlformats.org/officeDocument/2006/relationships/hyperlink" Target="https://ko.howellmed.com/" TargetMode="External" Id="rId44"/><Relationship Type="http://schemas.openxmlformats.org/officeDocument/2006/relationships/hyperlink" Target="https://www.emergobyul.com/" TargetMode="External" Id="rId45"/><Relationship Type="http://schemas.openxmlformats.org/officeDocument/2006/relationships/hyperlink" Target="https://healthdyne.co.kr/" TargetMode="External" Id="rId46"/><Relationship Type="http://schemas.openxmlformats.org/officeDocument/2006/relationships/hyperlink" Target="https://joinmedical.kr/" TargetMode="External" Id="rId47"/><Relationship Type="http://schemas.openxmlformats.org/officeDocument/2006/relationships/hyperlink" Target="https://eujinmed.com/" TargetMode="External" Id="rId48"/><Relationship Type="http://schemas.openxmlformats.org/officeDocument/2006/relationships/hyperlink" Target="https://hospi.co.kr/" TargetMode="External" Id="rId49"/><Relationship Type="http://schemas.openxmlformats.org/officeDocument/2006/relationships/hyperlink" Target="https://koastron.com/" TargetMode="External" Id="rId50"/><Relationship Type="http://schemas.openxmlformats.org/officeDocument/2006/relationships/hyperlink" Target="https://regen119.com/" TargetMode="External" Id="rId51"/><Relationship Type="http://schemas.openxmlformats.org/officeDocument/2006/relationships/hyperlink" Target="https://menfiskorea.com/" TargetMode="External" Id="rId52"/><Relationship Type="http://schemas.openxmlformats.org/officeDocument/2006/relationships/hyperlink" Target="https://daolphantom.com/" TargetMode="External" Id="rId53"/><Relationship Type="http://schemas.openxmlformats.org/officeDocument/2006/relationships/hyperlink" Target="https://teskorea.kr/" TargetMode="External" Id="rId54"/><Relationship Type="http://schemas.openxmlformats.org/officeDocument/2006/relationships/hyperlink" Target="https://mrso.co.kr/" TargetMode="External" Id="rId55"/><Relationship Type="http://schemas.openxmlformats.org/officeDocument/2006/relationships/hyperlink" Target="https://wmedicalinc.com/" TargetMode="External" Id="rId56"/><Relationship Type="http://schemas.openxmlformats.org/officeDocument/2006/relationships/hyperlink" Target="https://snrt.co.kr/" TargetMode="External" Id="rId57"/><Relationship Type="http://schemas.openxmlformats.org/officeDocument/2006/relationships/hyperlink" Target="https://medicalsk.com/" TargetMode="External" Id="rId58"/><Relationship Type="http://schemas.openxmlformats.org/officeDocument/2006/relationships/hyperlink" Target="https://tropiantech.com/" TargetMode="External" Id="rId59"/><Relationship Type="http://schemas.openxmlformats.org/officeDocument/2006/relationships/hyperlink" Target="https://wmedix.com/" TargetMode="External" Id="rId60"/><Relationship Type="http://schemas.openxmlformats.org/officeDocument/2006/relationships/hyperlink" Target="https://huwellex.com/" TargetMode="External" Id="rId61"/><Relationship Type="http://schemas.openxmlformats.org/officeDocument/2006/relationships/hyperlink" Target="https://nextmedi.co.kr/" TargetMode="External" Id="rId62"/><Relationship Type="http://schemas.openxmlformats.org/officeDocument/2006/relationships/hyperlink" Target="https://sejinmt.com/" TargetMode="External" Id="rId63"/><Relationship Type="http://schemas.openxmlformats.org/officeDocument/2006/relationships/hyperlink" Target="https://jcure.co.kr/" TargetMode="External" Id="rId64"/><Relationship Type="http://schemas.openxmlformats.org/officeDocument/2006/relationships/hyperlink" Target="https://medifine.com/" TargetMode="External" Id="rId65"/><Relationship Type="http://schemas.openxmlformats.org/officeDocument/2006/relationships/hyperlink" Target="https://smile-care.co.kr/" TargetMode="External" Id="rId66"/><Relationship Type="http://schemas.openxmlformats.org/officeDocument/2006/relationships/hyperlink" Target="https://dhsmedi.com/" TargetMode="External" Id="rId67"/><Relationship Type="http://schemas.openxmlformats.org/officeDocument/2006/relationships/hyperlink" Target="https://endoclean-medipia.com/" TargetMode="External" Id="rId68"/><Relationship Type="http://schemas.openxmlformats.org/officeDocument/2006/relationships/hyperlink" Target="https://hiltkorea.com/" TargetMode="External" Id="rId69"/><Relationship Type="http://schemas.openxmlformats.org/officeDocument/2006/relationships/hyperlink" Target="https://hanju911.com/" TargetMode="External" Id="rId70"/><Relationship Type="http://schemas.openxmlformats.org/officeDocument/2006/relationships/hyperlink" Target="https://dukin.com/" TargetMode="External" Id="rId71"/><Relationship Type="http://schemas.openxmlformats.org/officeDocument/2006/relationships/hyperlink" Target="https://s-medics.co.kr/" TargetMode="External" Id="rId72"/><Relationship Type="http://schemas.openxmlformats.org/officeDocument/2006/relationships/hyperlink" Target="https://hulink.kr/" TargetMode="External" Id="rId73"/><Relationship Type="http://schemas.openxmlformats.org/officeDocument/2006/relationships/hyperlink" Target="https://songlimmedical.com/" TargetMode="External" Id="rId74"/><Relationship Type="http://schemas.openxmlformats.org/officeDocument/2006/relationships/hyperlink" Target="https://mediplay.co.kr/" TargetMode="External" Id="rId75"/><Relationship Type="http://schemas.openxmlformats.org/officeDocument/2006/relationships/hyperlink" Target="https://yeilcare.com/" TargetMode="External" Id="rId76"/><Relationship Type="http://schemas.openxmlformats.org/officeDocument/2006/relationships/hyperlink" Target="https://junmedical.co.kr/" TargetMode="External" Id="rId77"/><Relationship Type="http://schemas.openxmlformats.org/officeDocument/2006/relationships/hyperlink" Target="https://sjkorea.co.kr/" TargetMode="External" Id="rId78"/><Relationship Type="http://schemas.openxmlformats.org/officeDocument/2006/relationships/hyperlink" Target="https://withuscare.com/" TargetMode="External" Id="rId79"/><Relationship Type="http://schemas.openxmlformats.org/officeDocument/2006/relationships/hyperlink" Target="https://rnhealthcare.co.kr/" TargetMode="External" Id="rId80"/><Relationship Type="http://schemas.openxmlformats.org/officeDocument/2006/relationships/hyperlink" Target="https://xray114.co.kr/" TargetMode="External" Id="rId81"/><Relationship Type="http://schemas.openxmlformats.org/officeDocument/2006/relationships/hyperlink" Target="https://snjk.co.kr/" TargetMode="External" Id="rId82"/><Relationship Type="http://schemas.openxmlformats.org/officeDocument/2006/relationships/hyperlink" Target="https://iraytec.com/" TargetMode="External" Id="rId83"/><Relationship Type="http://schemas.openxmlformats.org/officeDocument/2006/relationships/hyperlink" Target="https://emkr.kr/" TargetMode="External" Id="rId84"/><Relationship Type="http://schemas.openxmlformats.org/officeDocument/2006/relationships/hyperlink" Target="https://himed.co.kr/" TargetMode="External" Id="rId85"/><Relationship Type="http://schemas.openxmlformats.org/officeDocument/2006/relationships/hyperlink" Target="https://enerf.kr/" TargetMode="External" Id="rId86"/><Relationship Type="http://schemas.openxmlformats.org/officeDocument/2006/relationships/hyperlink" Target="https://medi1.co.kr/" TargetMode="External" Id="rId87"/><Relationship Type="http://schemas.openxmlformats.org/officeDocument/2006/relationships/hyperlink" Target="https://dwmedi.kr/" TargetMode="External" Id="rId88"/><Relationship Type="http://schemas.openxmlformats.org/officeDocument/2006/relationships/hyperlink" Target="https://mediangopen2.com/" TargetMode="External" Id="rId89"/><Relationship Type="http://schemas.openxmlformats.org/officeDocument/2006/relationships/hyperlink" Target="https://medicalist.co.kr/" TargetMode="External" Id="rId90"/><Relationship Type="http://schemas.openxmlformats.org/officeDocument/2006/relationships/hyperlink" Target="https://mediking.net/" TargetMode="External" Id="rId91"/><Relationship Type="http://schemas.openxmlformats.org/officeDocument/2006/relationships/hyperlink" Target="https://smsupply.co.kr/" TargetMode="External" Id="rId92"/><Relationship Type="http://schemas.openxmlformats.org/officeDocument/2006/relationships/hyperlink" Target="https://genopy.com/" TargetMode="External" Id="rId93"/><Relationship Type="http://schemas.openxmlformats.org/officeDocument/2006/relationships/hyperlink" Target="https://mdpark.co.kr/" TargetMode="External" Id="rId94"/><Relationship Type="http://schemas.openxmlformats.org/officeDocument/2006/relationships/hyperlink" Target="https://hyb-company.com/" TargetMode="External" Id="rId95"/><Relationship Type="http://schemas.openxmlformats.org/officeDocument/2006/relationships/hyperlink" Target="https://mediinfra.co.kr/" TargetMode="External" Id="rId96"/><Relationship Type="http://schemas.openxmlformats.org/officeDocument/2006/relationships/hyperlink" Target="https://gegreenhc.com/" TargetMode="External" Id="rId97"/><Relationship Type="http://schemas.openxmlformats.org/officeDocument/2006/relationships/hyperlink" Target="https://carewins.co.kr/" TargetMode="External" Id="rId98"/><Relationship Type="http://schemas.openxmlformats.org/officeDocument/2006/relationships/hyperlink" Target="https://xraytech.co.kr/" TargetMode="External" Id="rId99"/><Relationship Type="http://schemas.openxmlformats.org/officeDocument/2006/relationships/hyperlink" Target="https://dshc.kr/" TargetMode="External" Id="rId100"/><Relationship Type="http://schemas.openxmlformats.org/officeDocument/2006/relationships/hyperlink" Target="https://meoda.kr/" TargetMode="External" Id="rId101"/><Relationship Type="http://schemas.openxmlformats.org/officeDocument/2006/relationships/hyperlink" Target="https://piark.net/" TargetMode="External" Id="rId102"/><Relationship Type="http://schemas.openxmlformats.org/officeDocument/2006/relationships/hyperlink" Target="https://idenhealth.co.kr/" TargetMode="External" Id="rId103"/><Relationship Type="http://schemas.openxmlformats.org/officeDocument/2006/relationships/hyperlink" Target="https://metamedi.net/" TargetMode="External" Id="rId104"/><Relationship Type="http://schemas.openxmlformats.org/officeDocument/2006/relationships/hyperlink" Target="https://insunmed.com/" TargetMode="External" Id="rId105"/><Relationship Type="http://schemas.openxmlformats.org/officeDocument/2006/relationships/hyperlink" Target="https://medistart.kr/" TargetMode="External" Id="rId106"/><Relationship Type="http://schemas.openxmlformats.org/officeDocument/2006/relationships/hyperlink" Target="https://rualab.kr/" TargetMode="External" Id="rId107"/><Relationship Type="http://schemas.openxmlformats.org/officeDocument/2006/relationships/hyperlink" Target="https://dmci.co.kr/" TargetMode="External" Id="rId108"/><Relationship Type="http://schemas.openxmlformats.org/officeDocument/2006/relationships/hyperlink" Target="https://medipie.co.kr/" TargetMode="External" Id="rId109"/><Relationship Type="http://schemas.openxmlformats.org/officeDocument/2006/relationships/hyperlink" Target="https://suwan-medical.com/" TargetMode="External" Id="rId110"/><Relationship Type="http://schemas.openxmlformats.org/officeDocument/2006/relationships/hyperlink" Target="https://mediallfor.com/" TargetMode="External" Id="rId111"/><Relationship Type="http://schemas.openxmlformats.org/officeDocument/2006/relationships/hyperlink" Target="https://ysmedical.co.kr/" TargetMode="External" Id="rId112"/><Relationship Type="http://schemas.openxmlformats.org/officeDocument/2006/relationships/hyperlink" Target="https://lovmediteck.com/" TargetMode="External" Id="rId113"/><Relationship Type="http://schemas.openxmlformats.org/officeDocument/2006/relationships/hyperlink" Target="https://irebiomedi.co.kr/" TargetMode="External" Id="rId114"/><Relationship Type="http://schemas.openxmlformats.org/officeDocument/2006/relationships/hyperlink" Target="https://mdlounge.co.kr/" TargetMode="External" Id="rId115"/><Relationship Type="http://schemas.openxmlformats.org/officeDocument/2006/relationships/hyperlink" Target="https://skmnmc.com/" TargetMode="External" Id="rId116"/><Relationship Type="http://schemas.openxmlformats.org/officeDocument/2006/relationships/hyperlink" Target="https://fukuda.co.kr/" TargetMode="External" Id="rId117"/><Relationship Type="http://schemas.openxmlformats.org/officeDocument/2006/relationships/hyperlink" Target="https://www.bumyangmedical.com/" TargetMode="External" Id="rId118"/><Relationship Type="http://schemas.openxmlformats.org/officeDocument/2006/relationships/hyperlink" Target="https://daeyangmed.com/" TargetMode="External" Id="rId119"/><Relationship Type="http://schemas.openxmlformats.org/officeDocument/2006/relationships/hyperlink" Target="https://dowbiomedica.co.kr/" TargetMode="External" Id="rId120"/><Relationship Type="http://schemas.openxmlformats.org/officeDocument/2006/relationships/hyperlink" Target="https://dwmdt.com/" TargetMode="External" Id="rId121"/><Relationship Type="http://schemas.openxmlformats.org/officeDocument/2006/relationships/hyperlink" Target="http://welcomeams.com/" TargetMode="External" Id="rId122"/><Relationship Type="http://schemas.openxmlformats.org/officeDocument/2006/relationships/hyperlink" Target="https://sewoonmedical.co.kr/" TargetMode="External" Id="rId123"/><Relationship Type="http://schemas.openxmlformats.org/officeDocument/2006/relationships/hyperlink" Target="https://ljtrade.kr/" TargetMode="External" Id="rId124"/><Relationship Type="http://schemas.openxmlformats.org/officeDocument/2006/relationships/hyperlink" Target="http://hyundaimedical.co.kr/" TargetMode="External" Id="rId125"/><Relationship Type="http://schemas.openxmlformats.org/officeDocument/2006/relationships/hyperlink" Target="https://www.insunginfo.co.kr/" TargetMode="External" Id="rId126"/><Relationship Type="http://schemas.openxmlformats.org/officeDocument/2006/relationships/hyperlink" Target="https://www.gcms.co.kr/" TargetMode="External" Id="rId127"/><Relationship Type="http://schemas.openxmlformats.org/officeDocument/2006/relationships/hyperlink" Target="https://www.handok.co.kr/" TargetMode="External" Id="rId128"/><Relationship Type="http://schemas.openxmlformats.org/officeDocument/2006/relationships/hyperlink" Target="https://sogoo.co.kr/" TargetMode="External" Id="rId129"/><Relationship Type="http://schemas.openxmlformats.org/officeDocument/2006/relationships/hyperlink" Target="https://shinhung.co.kr/" TargetMode="External" Id="rId130"/><Relationship Type="http://schemas.openxmlformats.org/officeDocument/2006/relationships/hyperlink" Target="https://gckorea.co.kr/" TargetMode="External" Id="rId131"/><Relationship Type="http://schemas.openxmlformats.org/officeDocument/2006/relationships/hyperlink" Target="https://okmk1.com/" TargetMode="External" Id="rId132"/><Relationship Type="http://schemas.openxmlformats.org/officeDocument/2006/relationships/hyperlink" Target="https://jinsan.biz/" TargetMode="External" Id="rId133"/><Relationship Type="http://schemas.openxmlformats.org/officeDocument/2006/relationships/hyperlink" Target="https://surgitech.kr/" TargetMode="External" Id="rId134"/><Relationship Type="http://schemas.openxmlformats.org/officeDocument/2006/relationships/hyperlink" Target="https://inot-meditech.com/" TargetMode="External" Id="rId135"/><Relationship Type="http://schemas.openxmlformats.org/officeDocument/2006/relationships/hyperlink" Target="https://danaum.co.kr/" TargetMode="External" Id="rId136"/><Relationship Type="http://schemas.openxmlformats.org/officeDocument/2006/relationships/hyperlink" Target="https://dbmedical.co.kr/" TargetMode="External" Id="rId137"/><Relationship Type="http://schemas.openxmlformats.org/officeDocument/2006/relationships/hyperlink" Target="https://janitem.co.kr/" TargetMode="External" Id="rId138"/><Relationship Type="http://schemas.openxmlformats.org/officeDocument/2006/relationships/hyperlink" Target="https://weverinstruments.com/" TargetMode="External" Id="rId139"/><Relationship Type="http://schemas.openxmlformats.org/officeDocument/2006/relationships/hyperlink" Target="https://microlife.co.kr/" TargetMode="External" Id="rId140"/><Relationship Type="http://schemas.openxmlformats.org/officeDocument/2006/relationships/hyperlink" Target="https://smtikorea.com/" TargetMode="External" Id="rId141"/><Relationship Type="http://schemas.openxmlformats.org/officeDocument/2006/relationships/hyperlink" Target="https://snb.or.kr/" TargetMode="External" Id="rId142"/><Relationship Type="http://schemas.openxmlformats.org/officeDocument/2006/relationships/hyperlink" Target="https://forcepsmall.com/" TargetMode="External" Id="rId143"/><Relationship Type="http://schemas.openxmlformats.org/officeDocument/2006/relationships/hyperlink" Target="https://konepharma.co.kr/" TargetMode="External" Id="rId144"/><Relationship Type="http://schemas.openxmlformats.org/officeDocument/2006/relationships/hyperlink" Target="https://nemectron.co.kr/" TargetMode="External" Id="rId145"/><Relationship Type="http://schemas.openxmlformats.org/officeDocument/2006/relationships/hyperlink" Target="https://ebionet.com/" TargetMode="External" Id="rId146"/><Relationship Type="http://schemas.openxmlformats.org/officeDocument/2006/relationships/hyperlink" Target="https://daeseuk.com/" TargetMode="External" Id="rId147"/><Relationship Type="http://schemas.openxmlformats.org/officeDocument/2006/relationships/hyperlink" Target="https://dsmedics.co.kr/" TargetMode="External" Id="rId148"/><Relationship Type="http://schemas.openxmlformats.org/officeDocument/2006/relationships/hyperlink" Target="https://i-handi.co.kr/" TargetMode="External" Id="rId149"/><Relationship Type="http://schemas.openxmlformats.org/officeDocument/2006/relationships/hyperlink" Target="https://hlt.co.kr/" TargetMode="External" Id="rId150"/><Relationship Type="http://schemas.openxmlformats.org/officeDocument/2006/relationships/hyperlink" Target="https://jiincnt.com/" TargetMode="External" Id="rId151"/><Relationship Type="http://schemas.openxmlformats.org/officeDocument/2006/relationships/hyperlink" Target="https://juthis.com/" TargetMode="External" Id="rId152"/><Relationship Type="http://schemas.openxmlformats.org/officeDocument/2006/relationships/hyperlink" Target="https://medilabkorea.co.kr/" TargetMode="External" Id="rId153"/><Relationship Type="http://schemas.openxmlformats.org/officeDocument/2006/relationships/hyperlink" Target="https://mesdia.com/" TargetMode="External" Id="rId154"/><Relationship Type="http://schemas.openxmlformats.org/officeDocument/2006/relationships/hyperlink" Target="https://seongkohn.co.kr/" TargetMode="External" Id="rId155"/><Relationship Type="http://schemas.openxmlformats.org/officeDocument/2006/relationships/hyperlink" Target="https://upinemed.co.kr/" TargetMode="External" Id="rId156"/><Relationship Type="http://schemas.openxmlformats.org/officeDocument/2006/relationships/hyperlink" Target="https://ymed.co.kr/" TargetMode="External" Id="rId157"/><Relationship Type="http://schemas.openxmlformats.org/officeDocument/2006/relationships/hyperlink" Target="https://yushinmedical.com/" TargetMode="External" Id="rId158"/><Relationship Type="http://schemas.openxmlformats.org/officeDocument/2006/relationships/hyperlink" Target="https://sang-chung.co.kr/" TargetMode="External" Id="rId159"/><Relationship Type="http://schemas.openxmlformats.org/officeDocument/2006/relationships/hyperlink" Target="https://unimedics.co.kr/" TargetMode="External" Id="rId160"/><Relationship Type="http://schemas.openxmlformats.org/officeDocument/2006/relationships/hyperlink" Target="https://medihelpline.co.kr/" TargetMode="External" Id="rId161"/><Relationship Type="http://schemas.openxmlformats.org/officeDocument/2006/relationships/hyperlink" Target="https://megamedical.co.kr/" TargetMode="External" Id="rId162"/><Relationship Type="http://schemas.openxmlformats.org/officeDocument/2006/relationships/hyperlink" Target="https://leaderskr.co.kr/" TargetMode="External" Id="rId163"/><Relationship Type="http://schemas.openxmlformats.org/officeDocument/2006/relationships/hyperlink" Target="https://jungnp.com/" TargetMode="External" Id="rId164"/><Relationship Type="http://schemas.openxmlformats.org/officeDocument/2006/relationships/hyperlink" Target="https://medifirst.co.kr/" TargetMode="External" Id="rId165"/><Relationship Type="http://schemas.openxmlformats.org/officeDocument/2006/relationships/hyperlink" Target="https://medigoodpartners.com/" TargetMode="External" Id="rId166"/><Relationship Type="http://schemas.openxmlformats.org/officeDocument/2006/relationships/hyperlink" Target="https://songrabiomed.co.kr/" TargetMode="External" Id="rId167"/><Relationship Type="http://schemas.openxmlformats.org/officeDocument/2006/relationships/hyperlink" Target="https://danuricare.com/" TargetMode="External" Id="rId168"/><Relationship Type="http://schemas.openxmlformats.org/officeDocument/2006/relationships/hyperlink" Target="https://bsmedicalshop.net/" TargetMode="External" Id="rId169"/><Relationship Type="http://schemas.openxmlformats.org/officeDocument/2006/relationships/hyperlink" Target="https://onemedics.com/" TargetMode="External" Id="rId170"/><Relationship Type="http://schemas.openxmlformats.org/officeDocument/2006/relationships/hyperlink" Target="https://medione.net/" TargetMode="External" Id="rId171"/><Relationship Type="http://schemas.openxmlformats.org/officeDocument/2006/relationships/hyperlink" Target="https://meditechsolution.co.kr/" TargetMode="External" Id="rId172"/><Relationship Type="http://schemas.openxmlformats.org/officeDocument/2006/relationships/hyperlink" Target="https://gmedikorea.com/" TargetMode="External" Id="rId173"/><Relationship Type="http://schemas.openxmlformats.org/officeDocument/2006/relationships/hyperlink" Target="https://medihealth.kr/" TargetMode="External" Id="rId174"/><Relationship Type="http://schemas.openxmlformats.org/officeDocument/2006/relationships/hyperlink" Target="https://mediscopekorea.com/" TargetMode="External" Id="rId175"/><Relationship Type="http://schemas.openxmlformats.org/officeDocument/2006/relationships/hyperlink" Target="https://scopeconnection.co.kr/" TargetMode="External" Id="rId176"/><Relationship Type="http://schemas.openxmlformats.org/officeDocument/2006/relationships/hyperlink" Target="https://yangjimedical.co.kr/" TargetMode="External" Id="rId177"/><Relationship Type="http://schemas.openxmlformats.org/officeDocument/2006/relationships/hyperlink" Target="https://wjsurgical.co.kr/" TargetMode="External" Id="rId178"/><Relationship Type="http://schemas.openxmlformats.org/officeDocument/2006/relationships/hyperlink" Target="https://hymnmc.kr/" TargetMode="External" Id="rId179"/><Relationship Type="http://schemas.openxmlformats.org/officeDocument/2006/relationships/hyperlink" Target="https://hanilmedipia.co.kr/" TargetMode="External" Id="rId180"/><Relationship Type="http://schemas.openxmlformats.org/officeDocument/2006/relationships/hyperlink" Target="https://jlmedicorekorea.co.kr/" TargetMode="External" Id="rId181"/><Relationship Type="http://schemas.openxmlformats.org/officeDocument/2006/relationships/hyperlink" Target="https://woojinhealthcare.com/" TargetMode="External" Id="rId182"/><Relationship Type="http://schemas.openxmlformats.org/officeDocument/2006/relationships/hyperlink" Target="https://ncmedicare.co.kr/" TargetMode="External" Id="rId183"/><Relationship Type="http://schemas.openxmlformats.org/officeDocument/2006/relationships/hyperlink" Target="https://medicalmarket.co.kr/" TargetMode="External" Id="rId184"/><Relationship Type="http://schemas.openxmlformats.org/officeDocument/2006/relationships/hyperlink" Target="https://taeyangmedical.com/" TargetMode="External" Id="rId185"/><Relationship Type="http://schemas.openxmlformats.org/officeDocument/2006/relationships/hyperlink" Target="https://careskorea.com/" TargetMode="External" Id="rId186"/><Relationship Type="http://schemas.openxmlformats.org/officeDocument/2006/relationships/hyperlink" Target="https://medions.co.kr/" TargetMode="External" Id="rId187"/><Relationship Type="http://schemas.openxmlformats.org/officeDocument/2006/relationships/hyperlink" Target="https://winnermedi.com/" TargetMode="External" Id="rId188"/><Relationship Type="http://schemas.openxmlformats.org/officeDocument/2006/relationships/hyperlink" Target="https://onsemedical.co.kr/" TargetMode="External" Id="rId189"/><Relationship Type="http://schemas.openxmlformats.org/officeDocument/2006/relationships/hyperlink" Target="https://busanmedical.kr/" TargetMode="External" Id="rId190"/><Relationship Type="http://schemas.openxmlformats.org/officeDocument/2006/relationships/hyperlink" Target="https://shinhwamedical.com/" TargetMode="External" Id="rId191"/><Relationship Type="http://schemas.openxmlformats.org/officeDocument/2006/relationships/hyperlink" Target="https://1243.co.kr/" TargetMode="External" Id="rId192"/><Relationship Type="http://schemas.openxmlformats.org/officeDocument/2006/relationships/hyperlink" Target="https://daehomedical.com/" TargetMode="External" Id="rId193"/><Relationship Type="http://schemas.openxmlformats.org/officeDocument/2006/relationships/hyperlink" Target="https://megamed.kr/" TargetMode="External" Id="rId194"/><Relationship Type="http://schemas.openxmlformats.org/officeDocument/2006/relationships/hyperlink" Target="https://onecaremedi.com/" TargetMode="External" Id="rId195"/><Relationship Type="http://schemas.openxmlformats.org/officeDocument/2006/relationships/hyperlink" Target="https://wonjumedical.co.kr/" TargetMode="External" Id="rId196"/><Relationship Type="http://schemas.openxmlformats.org/officeDocument/2006/relationships/hyperlink" Target="https://findmed.co.kr/" TargetMode="External" Id="rId197"/><Relationship Type="http://schemas.openxmlformats.org/officeDocument/2006/relationships/hyperlink" Target="https://koacorp.kr/" TargetMode="External" Id="rId198"/><Relationship Type="http://schemas.openxmlformats.org/officeDocument/2006/relationships/hyperlink" Target="https://jongnomedi.com/" TargetMode="External" Id="rId199"/><Relationship Type="http://schemas.openxmlformats.org/officeDocument/2006/relationships/hyperlink" Target="https://yacson.com/" TargetMode="External" Id="rId200"/><Relationship Type="http://schemas.openxmlformats.org/officeDocument/2006/relationships/hyperlink" Target="https://wymed.co.kr/" TargetMode="External" Id="rId201"/><Relationship Type="http://schemas.openxmlformats.org/officeDocument/2006/relationships/hyperlink" Target="https://mymedical.co.kr/" TargetMode="External" Id="rId202"/><Relationship Type="http://schemas.openxmlformats.org/officeDocument/2006/relationships/hyperlink" Target="https://samwonmedi.co.kr/" TargetMode="External" Id="rId203"/><Relationship Type="http://schemas.openxmlformats.org/officeDocument/2006/relationships/hyperlink" Target="https://shmedical.co.kr/" TargetMode="External" Id="rId204"/><Relationship Type="http://schemas.openxmlformats.org/officeDocument/2006/relationships/hyperlink" Target="https://basici.co.kr/" TargetMode="External" Id="rId205"/><Relationship Type="http://schemas.openxmlformats.org/officeDocument/2006/relationships/hyperlink" Target="https://mpttech.co.kr/" TargetMode="External" Id="rId206"/><Relationship Type="http://schemas.openxmlformats.org/officeDocument/2006/relationships/hyperlink" Target="https://saehanmedi.com/" TargetMode="External" Id="rId207"/><Relationship Type="http://schemas.openxmlformats.org/officeDocument/2006/relationships/hyperlink" Target="https://raphamd.co.kr/" TargetMode="External" Id="rId208"/><Relationship Type="http://schemas.openxmlformats.org/officeDocument/2006/relationships/hyperlink" Target="https://tomcarekorea.com/" TargetMode="External" Id="rId209"/><Relationship Type="http://schemas.openxmlformats.org/officeDocument/2006/relationships/hyperlink" Target="https://ikeymed.com/" TargetMode="External" Id="rId210"/><Relationship Type="http://schemas.openxmlformats.org/officeDocument/2006/relationships/hyperlink" Target="https://dongbohc.com/" TargetMode="External" Id="rId211"/><Relationship Type="http://schemas.openxmlformats.org/officeDocument/2006/relationships/hyperlink" Target="https://stetho-scope.com/" TargetMode="External" Id="rId212"/><Relationship Type="http://schemas.openxmlformats.org/officeDocument/2006/relationships/hyperlink" Target="https://medi-solution.co.kr/" TargetMode="External" Id="rId213"/><Relationship Type="http://schemas.openxmlformats.org/officeDocument/2006/relationships/hyperlink" Target="https://medicalnine.com/" TargetMode="External" Id="rId214"/><Relationship Type="http://schemas.openxmlformats.org/officeDocument/2006/relationships/hyperlink" Target="https://ezhealthcare.co.kr/" TargetMode="External" Id="rId215"/><Relationship Type="http://schemas.openxmlformats.org/officeDocument/2006/relationships/hyperlink" Target="https://medichoice.co.kr/" TargetMode="External" Id="rId216"/><Relationship Type="http://schemas.openxmlformats.org/officeDocument/2006/relationships/hyperlink" Target="https://visionfocus.co.kr/" TargetMode="External" Id="rId217"/><Relationship Type="http://schemas.openxmlformats.org/officeDocument/2006/relationships/hyperlink" Target="https://nevis.co.kr/" TargetMode="External" Id="rId218"/><Relationship Type="http://schemas.openxmlformats.org/officeDocument/2006/relationships/hyperlink" Target="https://yujininc.com/" TargetMode="External" Id="rId219"/><Relationship Type="http://schemas.openxmlformats.org/officeDocument/2006/relationships/hyperlink" Target="https://nanomart.kr/" TargetMode="External" Id="rId220"/><Relationship Type="http://schemas.openxmlformats.org/officeDocument/2006/relationships/hyperlink" Target="https://ezonmed.com/" TargetMode="External" Id="rId221"/><Relationship Type="http://schemas.openxmlformats.org/officeDocument/2006/relationships/hyperlink" Target="https://royalline.co.kr/" TargetMode="External" Id="rId222"/><Relationship Type="http://schemas.openxmlformats.org/officeDocument/2006/relationships/hyperlink" Target="https://qmedicare.co.kr/" TargetMode="External" Id="rId223"/><Relationship Type="http://schemas.openxmlformats.org/officeDocument/2006/relationships/hyperlink" Target="https://nda25.co.kr/" TargetMode="External" Id="rId224"/><Relationship Type="http://schemas.openxmlformats.org/officeDocument/2006/relationships/hyperlink" Target="https://sy-medical.com/" TargetMode="External" Id="rId225"/><Relationship Type="http://schemas.openxmlformats.org/officeDocument/2006/relationships/hyperlink" Target="https://apsun.com/" TargetMode="External" Id="rId226"/><Relationship Type="http://schemas.openxmlformats.org/officeDocument/2006/relationships/hyperlink" Target="https://feel-korea.com/" TargetMode="External" Id="rId227"/><Relationship Type="http://schemas.openxmlformats.org/officeDocument/2006/relationships/hyperlink" Target="https://camedics.co.kr/" TargetMode="External" Id="rId228"/><Relationship Type="http://schemas.openxmlformats.org/officeDocument/2006/relationships/hyperlink" Target="https://dasolin.com/" TargetMode="External" Id="rId229"/><Relationship Type="http://schemas.openxmlformats.org/officeDocument/2006/relationships/hyperlink" Target="https://care-tech.co.kr/" TargetMode="External" Id="rId230"/><Relationship Type="http://schemas.openxmlformats.org/officeDocument/2006/relationships/hyperlink" Target="https://radisentech.com/" TargetMode="External" Id="rId231"/><Relationship Type="http://schemas.openxmlformats.org/officeDocument/2006/relationships/hyperlink" Target="https://bontech.co/" TargetMode="External" Id="rId232"/><Relationship Type="http://schemas.openxmlformats.org/officeDocument/2006/relationships/hyperlink" Target="https://pixxgen.com/" TargetMode="External" Id="rId233"/><Relationship Type="http://schemas.openxmlformats.org/officeDocument/2006/relationships/hyperlink" Target="https://gemss.co.kr/" TargetMode="External" Id="rId234"/><Relationship Type="http://schemas.openxmlformats.org/officeDocument/2006/relationships/hyperlink" Target="https://ecoray.kr/" TargetMode="External" Id="rId235"/><Relationship Type="http://schemas.openxmlformats.org/officeDocument/2006/relationships/hyperlink" Target="https://bemems.com/" TargetMode="External" Id="rId236"/><Relationship Type="http://schemas.openxmlformats.org/officeDocument/2006/relationships/hyperlink" Target="https://jb21.co.kr/" TargetMode="External" Id="rId237"/><Relationship Type="http://schemas.openxmlformats.org/officeDocument/2006/relationships/hyperlink" Target="https://yuwonmeditech.com/" TargetMode="External" Id="rId238"/><Relationship Type="http://schemas.openxmlformats.org/officeDocument/2006/relationships/hyperlink" Target="https://sm-eng.net/" TargetMode="External" Id="rId239"/><Relationship Type="http://schemas.openxmlformats.org/officeDocument/2006/relationships/hyperlink" Target="https://skmeditech.com/" TargetMode="External" Id="rId240"/><Relationship Type="http://schemas.openxmlformats.org/officeDocument/2006/relationships/hyperlink" Target="https://imeditech.co.kr/" TargetMode="External" Id="rId241"/><Relationship Type="http://schemas.openxmlformats.org/officeDocument/2006/relationships/hyperlink" Target="https://haniltm.kr/" TargetMode="External" Id="rId242"/><Relationship Type="http://schemas.openxmlformats.org/officeDocument/2006/relationships/hyperlink" Target="https://marpe2000.com/" TargetMode="External" Id="rId243"/><Relationship Type="http://schemas.openxmlformats.org/officeDocument/2006/relationships/hyperlink" Target="https://bojongmc.co.kr/" TargetMode="External" Id="rId244"/><Relationship Type="http://schemas.openxmlformats.org/officeDocument/2006/relationships/hyperlink" Target="https://hanmed.net/" TargetMode="External" Id="rId245"/><Relationship Type="http://schemas.openxmlformats.org/officeDocument/2006/relationships/hyperlink" Target="https://yunbiotech.com/" TargetMode="External" Id="rId246"/><Relationship Type="http://schemas.openxmlformats.org/officeDocument/2006/relationships/hyperlink" Target="https://a-mi.co.kr/" TargetMode="External" Id="rId247"/><Relationship Type="http://schemas.openxmlformats.org/officeDocument/2006/relationships/hyperlink" Target="https://manntelcom.cafe24.com/" TargetMode="External" Id="rId248"/><Relationship Type="http://schemas.openxmlformats.org/officeDocument/2006/relationships/hyperlink" Target="https://technogymkr.com/" TargetMode="External" Id="rId249"/><Relationship Type="http://schemas.openxmlformats.org/officeDocument/2006/relationships/hyperlink" Target="https://ghit.co.kr/" TargetMode="External" Id="rId250"/><Relationship Type="http://schemas.openxmlformats.org/officeDocument/2006/relationships/hyperlink" Target="https://renosem.com/" TargetMode="External" Id="rId251"/><Relationship Type="http://schemas.openxmlformats.org/officeDocument/2006/relationships/hyperlink" Target="https://eroommeditec.com/" TargetMode="External" Id="rId252"/><Relationship Type="http://schemas.openxmlformats.org/officeDocument/2006/relationships/hyperlink" Target="https://nsj21.com/" TargetMode="External" Id="rId253"/><Relationship Type="http://schemas.openxmlformats.org/officeDocument/2006/relationships/hyperlink" Target="https://bistos.co.kr/" TargetMode="External" Id="rId254"/><Relationship Type="http://schemas.openxmlformats.org/officeDocument/2006/relationships/hyperlink" Target="https://seerstech.com/" TargetMode="External" Id="rId255"/><Relationship Type="http://schemas.openxmlformats.org/officeDocument/2006/relationships/hyperlink" Target="https://keepu.pe.kr/" TargetMode="External" Id="rId256"/><Relationship Type="http://schemas.openxmlformats.org/officeDocument/2006/relationships/hyperlink" Target="https://realpt.co.kr/" TargetMode="External" Id="rId257"/><Relationship Type="http://schemas.openxmlformats.org/officeDocument/2006/relationships/hyperlink" Target="https://skyve.co.kr/" TargetMode="External" Id="rId258"/><Relationship Type="http://schemas.openxmlformats.org/officeDocument/2006/relationships/hyperlink" Target="https://ggmed.com/" TargetMode="External" Id="rId259"/><Relationship Type="http://schemas.openxmlformats.org/officeDocument/2006/relationships/hyperlink" Target="https://caspisystem.com/" TargetMode="External" Id="rId260"/><Relationship Type="http://schemas.openxmlformats.org/officeDocument/2006/relationships/hyperlink" Target="https://medisby.com/" TargetMode="External" Id="rId261"/><Relationship Type="http://schemas.openxmlformats.org/officeDocument/2006/relationships/hyperlink" Target="https://schein.co.kr/" TargetMode="External" Id="rId262"/><Relationship Type="http://schemas.openxmlformats.org/officeDocument/2006/relationships/hyperlink" Target="https://tivomed.co.kr/" TargetMode="External" Id="rId263"/><Relationship Type="http://schemas.openxmlformats.org/officeDocument/2006/relationships/hyperlink" Target="https://mione.co.kr/" TargetMode="External" Id="rId264"/><Relationship Type="http://schemas.openxmlformats.org/officeDocument/2006/relationships/hyperlink" Target="https://medishop.or.kr/" TargetMode="External" Id="rId265"/><Relationship Type="http://schemas.openxmlformats.org/officeDocument/2006/relationships/hyperlink" Target="http://kmdda.or.kr/" TargetMode="External" Id="rId266"/><Relationship Type="http://schemas.openxmlformats.org/officeDocument/2006/relationships/hyperlink" Target="https://emedi.mfds.go.kr/" TargetMode="External" Id="rId267"/><Relationship Type="http://schemas.openxmlformats.org/officeDocument/2006/relationships/hyperlink" Target="https://www.kimes.kr/" TargetMode="External" Id="rId268"/><Relationship Type="http://schemas.openxmlformats.org/officeDocument/2006/relationships/hyperlink" Target="https://www.kmdia.or.kr/" TargetMode="External" Id="rId269"/><Relationship Type="http://schemas.openxmlformats.org/officeDocument/2006/relationships/hyperlink" Target="https://www.hira.or.kr/" TargetMode="External" Id="rId270"/><Relationship Type="http://schemas.openxmlformats.org/officeDocument/2006/relationships/hyperlink" Target="https://www.khidi.or.kr/" TargetMode="External" Id="rId271"/><Relationship Type="http://schemas.openxmlformats.org/officeDocument/2006/relationships/hyperlink" Target="https://www.samsungmedison.com/" TargetMode="External" Id="rId272"/><Relationship Type="http://schemas.openxmlformats.org/officeDocument/2006/relationships/hyperlink" Target="https://www.alpinion.com/" TargetMode="External" Id="rId273"/><Relationship Type="http://schemas.openxmlformats.org/officeDocument/2006/relationships/hyperlink" Target="https://www.sg-healthcare.com/" TargetMode="External" Id="rId274"/><Relationship Type="http://schemas.openxmlformats.org/officeDocument/2006/relationships/hyperlink" Target="https://www.healcerion.com/" TargetMode="External" Id="rId275"/><Relationship Type="http://schemas.openxmlformats.org/officeDocument/2006/relationships/hyperlink" Target="https://www.mindray.com/" TargetMode="External" Id="rId276"/><Relationship Type="http://schemas.openxmlformats.org/officeDocument/2006/relationships/hyperlink" Target="https://www.olympus-korea.co.kr/" TargetMode="External" Id="rId277"/><Relationship Type="http://schemas.openxmlformats.org/officeDocument/2006/relationships/hyperlink" Target="https://www.nihonkohden.co.kr/" TargetMode="External" Id="rId278"/></Relationships>
</file>

<file path=xl/worksheets/_rels/sheet11.xml.rels><Relationships xmlns="http://schemas.openxmlformats.org/package/2006/relationships"><Relationship Type="http://schemas.openxmlformats.org/officeDocument/2006/relationships/hyperlink" Target="https://www.pmda.go.jp/PmdaSearch/kikiDetail/GeneralList/221ABBZX00092000_A_01" TargetMode="External" Id="rId1"/><Relationship Type="http://schemas.openxmlformats.org/officeDocument/2006/relationships/hyperlink" Target="https://www.r-agent.com/company/05319/" TargetMode="External" Id="rId2"/><Relationship Type="http://schemas.openxmlformats.org/officeDocument/2006/relationships/hyperlink" Target="https://www.atpress.ne.jp/news/11004" TargetMode="External" Id="rId3"/><Relationship Type="http://schemas.openxmlformats.org/officeDocument/2006/relationships/hyperlink" Target="https://www.pref.hiroshima.lg.jp/uploaded/attachment/261374.pdf" TargetMode="External" Id="rId4"/><Relationship Type="http://schemas.openxmlformats.org/officeDocument/2006/relationships/hyperlink" Target="https://baseconnect.in/companies/prefecture/a30ebdff-361b-42be-8372-1b0d350f48a0/keyword/2517ed26-1f2b-4156-ab10-55a6dc901a56" TargetMode="External" Id="rId5"/><Relationship Type="http://schemas.openxmlformats.org/officeDocument/2006/relationships/hyperlink" Target="https://magnet-japan.net" TargetMode="External" Id="rId6"/><Relationship Type="http://schemas.openxmlformats.org/officeDocument/2006/relationships/hyperlink" Target="https://www.careercross.com/company/pdf-591894" TargetMode="External" Id="rId7"/><Relationship Type="http://schemas.openxmlformats.org/officeDocument/2006/relationships/hyperlink" Target="https://mynavi-agent.jp/corpdetail/1161/" TargetMode="External" Id="rId8"/><Relationship Type="http://schemas.openxmlformats.org/officeDocument/2006/relationships/hyperlink" Target="https://directscout.recruit.co.jp/job_descriptions/7637910" TargetMode="External" Id="rId9"/><Relationship Type="http://schemas.openxmlformats.org/officeDocument/2006/relationships/hyperlink" Target="https://baseconnect.in/companies/prefecture/d80b180e-5fd9-4082-8cdc-a510179a3475/keyword/89941b4e-2dd1-4848-8957-48af280a31e0" TargetMode="External" Id="rId10"/><Relationship Type="http://schemas.openxmlformats.org/officeDocument/2006/relationships/hyperlink" Target="https://baseconnect.in/companies/prefecture/5b2e6d00-cfba-4d0b-850d-54757e4b4d7f/category/b2358a1c-c4c6-46f4-a0b1-dee3a1b30a0b" TargetMode="External" Id="rId11"/><Relationship Type="http://schemas.openxmlformats.org/officeDocument/2006/relationships/hyperlink" Target="https://careerconnection.jp/review/82545/jobinfo/" TargetMode="External" Id="rId12"/><Relationship Type="http://schemas.openxmlformats.org/officeDocument/2006/relationships/hyperlink" Target="https://baseconnect.in/companies/prefecture/912d7b2d-41c2-4923-a5c1-6666f9834966/keyword/14f3dcec-9cd5-4be5-84e1-ddccb7bd228c" TargetMode="External" Id="rId13"/><Relationship Type="http://schemas.openxmlformats.org/officeDocument/2006/relationships/hyperlink" Target="https://baseconnect.in/companies/prefecture/d80b180e-5fd9-4082-8cdc-a510179a3475/keyword/89941b4e-2dd1-4848-8957-48af280a31e0" TargetMode="External" Id="rId14"/><Relationship Type="http://schemas.openxmlformats.org/officeDocument/2006/relationships/hyperlink" Target="https://www.pref.yamaguchi.lg.jp/uploaded/attachment/60067.pdf" TargetMode="External" Id="rId15"/><Relationship Type="http://schemas.openxmlformats.org/officeDocument/2006/relationships/hyperlink" Target="https://baseconnect.in/companies/prefecture/3420045f-8609-4232-9407-75407ae4e6e8/keyword/89941b4e-2dd1-4848-8957-48af280a31e0" TargetMode="External" Id="rId16"/><Relationship Type="http://schemas.openxmlformats.org/officeDocument/2006/relationships/hyperlink" Target="https://www.open-nes.co.jp/" TargetMode="External" Id="rId17"/><Relationship Type="http://schemas.openxmlformats.org/officeDocument/2006/relationships/hyperlink" Target="https://www.pref.saitama.lg.jp/documents/236621/0220_nisshindenshiservice.pdf" TargetMode="External" Id="rId18"/><Relationship Type="http://schemas.openxmlformats.org/officeDocument/2006/relationships/hyperlink" Target="https://baseconnect.in/companies/prefecture/a30ebdff-361b-42be-8372-1b0d350f48a0/keyword/2517ed26-1f2b-4156-ab10-55a6dc901a56" TargetMode="External" Id="rId19"/><Relationship Type="http://schemas.openxmlformats.org/officeDocument/2006/relationships/hyperlink" Target="https://compalyze.co.jp/company/3430001002008" TargetMode="External" Id="rId20"/><Relationship Type="http://schemas.openxmlformats.org/officeDocument/2006/relationships/hyperlink" Target="https://compalyze.co.jp/company/6030001055134" TargetMode="External" Id="rId21"/><Relationship Type="http://schemas.openxmlformats.org/officeDocument/2006/relationships/hyperlink" Target="https://baseconnect.in/companies/prefecture/3420045f-8609-4232-9407-75407ae4e6e8/category/b2358a1c-c4c6-46f4-a0b1-dee3a1b30a0b" TargetMode="External" Id="rId22"/><Relationship Type="http://schemas.openxmlformats.org/officeDocument/2006/relationships/hyperlink" Target="https://baseconnect.in/companies/prefecture/3420045f-8609-4232-9407-75407ae4e6e8/category/b2358a1c-c4c6-46f4-a0b1-dee3a1b30a0b" TargetMode="External" Id="rId23"/><Relationship Type="http://schemas.openxmlformats.org/officeDocument/2006/relationships/hyperlink" Target="https://www2.jpx.co.jp/disc/26670/140120190403400264.pdf" TargetMode="External" Id="rId24"/><Relationship Type="http://schemas.openxmlformats.org/officeDocument/2006/relationships/hyperlink" Target="https://baseconnect.in/companies/prefecture/9c059a11-e5ef-470d-a270-47022ad1f973/category/e8b4fb2e-8cf9-473d-be34-3f729e65fdf3" TargetMode="External" Id="rId25"/><Relationship Type="http://schemas.openxmlformats.org/officeDocument/2006/relationships/hyperlink" Target="https://baseconnect.in/companies/prefecture/4637ba90-383b-4656-8be1-ca34c7f7244f/keyword/89941b4e-2dd1-4848-8957-48af280a31e0" TargetMode="External" Id="rId26"/><Relationship Type="http://schemas.openxmlformats.org/officeDocument/2006/relationships/hyperlink" Target="https://baseconnect.in/companies/prefecture/a30ebdff-361b-42be-8372-1b0d350f48a0/keyword/2517ed26-1f2b-4156-ab10-55a6dc901a56" TargetMode="External" Id="rId27"/><Relationship Type="http://schemas.openxmlformats.org/officeDocument/2006/relationships/hyperlink" Target="https://baseconnect.in/companies/prefecture/a30ebdff-361b-42be-8372-1b0d350f48a0/keyword/2517ed26-1f2b-4156-ab10-55a6dc901a56" TargetMode="External" Id="rId28"/><Relationship Type="http://schemas.openxmlformats.org/officeDocument/2006/relationships/hyperlink" Target="https://baseconnect.in/companies/prefecture/a30ebdff-361b-42be-8372-1b0d350f48a0/keyword/2517ed26-1f2b-4156-ab10-55a6dc901a56" TargetMode="External" Id="rId29"/><Relationship Type="http://schemas.openxmlformats.org/officeDocument/2006/relationships/hyperlink" Target="https://baseconnect.in/companies/prefecture/9c059a11-e5ef-470d-a270-47022ad1f973/category/e8b4fb2e-8cf9-473d-be34-3f729e65fdf3" TargetMode="External" Id="rId30"/><Relationship Type="http://schemas.openxmlformats.org/officeDocument/2006/relationships/hyperlink" Target="https://baseconnect.in/companies/prefecture/d8203dea-91e2-41c3-a785-b80aa997273c/category/b2358a1c-c4c6-46f4-a0b1-dee3a1b30a0b" TargetMode="External" Id="rId31"/><Relationship Type="http://schemas.openxmlformats.org/officeDocument/2006/relationships/hyperlink" Target="https://baseconnect.in/companies/prefecture/912d7b2d-41c2-4923-a5c1-6666f9834966/keyword/14f3dcec-9cd5-4be5-84e1-ddccb7bd228c" TargetMode="External" Id="rId32"/><Relationship Type="http://schemas.openxmlformats.org/officeDocument/2006/relationships/hyperlink" Target="https://job.rikunabi.com/job_descriptions/4511bb0b2d226083" TargetMode="External" Id="rId33"/><Relationship Type="http://schemas.openxmlformats.org/officeDocument/2006/relationships/hyperlink" Target="https://baseconnect.in/companies/prefecture/3420045f-8609-4232-9407-75407ae4e6e8/category/b2358a1c-c4c6-46f4-a0b1-dee3a1b30a0b" TargetMode="External" Id="rId34"/><Relationship Type="http://schemas.openxmlformats.org/officeDocument/2006/relationships/hyperlink" Target="https://baseconnect.in/companies/prefecture/a30ebdff-361b-42be-8372-1b0d350f48a0/keyword/2517ed26-1f2b-4156-ab10-55a6dc901a56" TargetMode="External" Id="rId35"/><Relationship Type="http://schemas.openxmlformats.org/officeDocument/2006/relationships/hyperlink" Target="https://baseconnect.in/companies/prefecture/a30ebdff-361b-42be-8372-1b0d350f48a0/keyword/2517ed26-1f2b-4156-ab10-55a6dc901a56" TargetMode="External" Id="rId36"/><Relationship Type="http://schemas.openxmlformats.org/officeDocument/2006/relationships/hyperlink" Target="https://baseconnect.in/companies/prefecture/a30ebdff-361b-42be-8372-1b0d350f48a0/keyword/2517ed26-1f2b-4156-ab10-55a6dc901a56" TargetMode="External" Id="rId37"/><Relationship Type="http://schemas.openxmlformats.org/officeDocument/2006/relationships/hyperlink" Target="https://baseconnect.in/companies/prefecture/a30ebdff-361b-42be-8372-1b0d350f48a0/keyword/2517ed26-1f2b-4156-ab10-55a6dc901a56" TargetMode="External" Id="rId38"/><Relationship Type="http://schemas.openxmlformats.org/officeDocument/2006/relationships/hyperlink" Target="https://baseconnect.in/companies/prefecture/5d54c878-c20d-4f57-bb73-e021f2210d6c/keyword/14f3dcec-9cd5-4be5-84e1-ddccb7bd228c" TargetMode="External" Id="rId39"/><Relationship Type="http://schemas.openxmlformats.org/officeDocument/2006/relationships/hyperlink" Target="https://baseconnect.in/companies/prefecture/c59cfe5b-871c-44d1-8594-96d4a5882e4b/keyword/89941b4e-2dd1-4848-8957-48af280a31e0" TargetMode="External" Id="rId40"/><Relationship Type="http://schemas.openxmlformats.org/officeDocument/2006/relationships/hyperlink" Target="https://baseconnect.in/companies/prefecture/d8203dea-91e2-41c3-a785-b80aa997273c/category/b2358a1c-c4c6-46f4-a0b1-dee3a1b30a0b" TargetMode="External" Id="rId41"/><Relationship Type="http://schemas.openxmlformats.org/officeDocument/2006/relationships/hyperlink" Target="https://baseconnect.in/companies/prefecture/9ed9a43b-c714-41d5-b91b-6b21041f1294/category/b2358a1c-c4c6-46f4-a0b1-dee3a1b30a0b" TargetMode="External" Id="rId42"/><Relationship Type="http://schemas.openxmlformats.org/officeDocument/2006/relationships/hyperlink" Target="https://kyuren.jp/%E4%BC%9A%E5%93%A1%E7%B4%B9%E4%BB%8B/" TargetMode="External" Id="rId43"/><Relationship Type="http://schemas.openxmlformats.org/officeDocument/2006/relationships/hyperlink" Target="https://baseconnect.in/companies/prefecture/39b58ff0-63fd-405f-8b8a-37c5443ce5c7/keyword/89941b4e-2dd1-4848-8957-48af280a31e0" TargetMode="External" Id="rId44"/><Relationship Type="http://schemas.openxmlformats.org/officeDocument/2006/relationships/hyperlink" Target="https://compalyze.co.jp/company/6500002004785" TargetMode="External" Id="rId45"/><Relationship Type="http://schemas.openxmlformats.org/officeDocument/2006/relationships/hyperlink" Target="https://baseconnect.in/companies/prefecture/c59cfe5b-871c-44d1-8594-96d4a5882e4b/keyword/89941b4e-2dd1-4848-8957-48af280a31e0" TargetMode="External" Id="rId46"/><Relationship Type="http://schemas.openxmlformats.org/officeDocument/2006/relationships/hyperlink" Target="https://baseconnect.in/companies/prefecture/d80b180e-5fd9-4082-8cdc-a510179a3475/keyword/89941b4e-2dd1-4848-8957-48af280a31e0" TargetMode="External" Id="rId47"/><Relationship Type="http://schemas.openxmlformats.org/officeDocument/2006/relationships/hyperlink" Target="https://baseconnect.in/companies/prefecture/e010a2b6-a345-4a52-b350-1ca592e384b8/keyword/a68873de-8c54-4a2c-820f-e04c8b93064c" TargetMode="External" Id="rId48"/><Relationship Type="http://schemas.openxmlformats.org/officeDocument/2006/relationships/hyperlink" Target="https://directscout.recruit.co.jp/job_descriptions/8635481" TargetMode="External" Id="rId49"/><Relationship Type="http://schemas.openxmlformats.org/officeDocument/2006/relationships/hyperlink" Target="https://baseconnect.in/companies/prefecture/60622468-79bd-4eef-86f8-cb69d1ef09f0/category/b2358a1c-c4c6-46f4-a0b1-dee3a1b30a0b" TargetMode="External" Id="rId50"/><Relationship Type="http://schemas.openxmlformats.org/officeDocument/2006/relationships/hyperlink" Target="https://baseconnect.in/companies/prefecture/4637ba90-383b-4656-8be1-ca34c7f7244f/keyword/89941b4e-2dd1-4848-8957-48af280a31e0" TargetMode="External" Id="rId51"/><Relationship Type="http://schemas.openxmlformats.org/officeDocument/2006/relationships/hyperlink" Target="https://compalyze.co.jp/company/8100001001277" TargetMode="External" Id="rId52"/><Relationship Type="http://schemas.openxmlformats.org/officeDocument/2006/relationships/hyperlink" Target="https://baseconnect.in/companies/prefecture/ce8171a3-9c3a-4158-b1ce-74bbb8bad1e4/keyword/bacc2d48-54d0-4e67-94c7-df7c3cb3a34e" TargetMode="External" Id="rId53"/><Relationship Type="http://schemas.openxmlformats.org/officeDocument/2006/relationships/hyperlink" Target="https://baseconnect.in/companies/prefecture/39b58ff0-63fd-405f-8b8a-37c5443ce5c7/keyword/89941b4e-2dd1-4848-8957-48af280a31e0" TargetMode="External" Id="rId54"/><Relationship Type="http://schemas.openxmlformats.org/officeDocument/2006/relationships/hyperlink" Target="https://atsoho.com/vendors/engineering/yamagata/4390001001418" TargetMode="External" Id="rId55"/><Relationship Type="http://schemas.openxmlformats.org/officeDocument/2006/relationships/hyperlink" Target="https://baseconnect.in/companies/prefecture/31ffefed-1183-4eba-a6d9-4182a6136e50/keyword/89941b4e-2dd1-4848-8957-48af280a31e0" TargetMode="External" Id="rId56"/><Relationship Type="http://schemas.openxmlformats.org/officeDocument/2006/relationships/hyperlink" Target="https://baseconnect.in/companies/prefecture/72122f8e-2e11-4641-9216-d1abc796b0cd/category/b2358a1c-c4c6-46f4-a0b1-dee3a1b30a0b" TargetMode="External" Id="rId57"/><Relationship Type="http://schemas.openxmlformats.org/officeDocument/2006/relationships/hyperlink" Target="https://baseconnect.in/companies/prefecture/a30ebdff-361b-42be-8372-1b0d350f48a0/keyword/89941b4e-2dd1-4848-8957-48af280a31e0" TargetMode="External" Id="rId58"/><Relationship Type="http://schemas.openxmlformats.org/officeDocument/2006/relationships/hyperlink" Target="https://baseconnect.in/companies/prefecture/5d54c878-c20d-4f57-bb73-e021f2210d6c/keyword/14f3dcec-9cd5-4be5-84e1-ddccb7bd228c" TargetMode="External" Id="rId59"/><Relationship Type="http://schemas.openxmlformats.org/officeDocument/2006/relationships/hyperlink" Target="https://baseconnect.in/companies/prefecture/5d54c878-c20d-4f57-bb73-e021f2210d6c/keyword/14f3dcec-9cd5-4be5-84e1-ddccb7bd228c" TargetMode="External" Id="rId60"/><Relationship Type="http://schemas.openxmlformats.org/officeDocument/2006/relationships/hyperlink" Target="https://baseconnect.in/companies/prefecture/d8203dea-91e2-41c3-a785-b80aa997273c/category/b2358a1c-c4c6-46f4-a0b1-dee3a1b30a0b" TargetMode="External" Id="rId61"/><Relationship Type="http://schemas.openxmlformats.org/officeDocument/2006/relationships/hyperlink" Target="https://baseconnect.in/companies/prefecture/d80b180e-5fd9-4082-8cdc-a510179a3475/keyword/088a0bed-423d-48b9-a3af-b77d98e81383" TargetMode="External" Id="rId62"/><Relationship Type="http://schemas.openxmlformats.org/officeDocument/2006/relationships/hyperlink" Target="https://baseconnect.in/companies/prefecture/d80b180e-5fd9-4082-8cdc-a510179a3475/keyword/088a0bed-423d-48b9-a3af-b77d98e81383" TargetMode="External" Id="rId63"/><Relationship Type="http://schemas.openxmlformats.org/officeDocument/2006/relationships/hyperlink" Target="https://baseconnect.in/companies/prefecture/60622468-79bd-4eef-86f8-cb69d1ef09f0/category/b2358a1c-c4c6-46f4-a0b1-dee3a1b30a0b" TargetMode="External" Id="rId64"/><Relationship Type="http://schemas.openxmlformats.org/officeDocument/2006/relationships/hyperlink" Target="https://kyuren.jp/%E4%BC%9A%E5%93%A1%E7%B4%B9%E4%BB%8B/" TargetMode="External" Id="rId65"/><Relationship Type="http://schemas.openxmlformats.org/officeDocument/2006/relationships/hyperlink" Target="https://baseconnect.in/companies/prefecture/9ebb3838-effc-47da-b634-994957a78319/keyword/89941b4e-2dd1-4848-8957-48af280a31e0" TargetMode="External" Id="rId66"/><Relationship Type="http://schemas.openxmlformats.org/officeDocument/2006/relationships/hyperlink" Target="https://baseconnect.in/companies/prefecture/d80b180e-5fd9-4082-8cdc-a510179a3475/keyword/89941b4e-2dd1-4848-8957-48af280a31e0" TargetMode="External" Id="rId67"/><Relationship Type="http://schemas.openxmlformats.org/officeDocument/2006/relationships/hyperlink" Target="https://baseconnect.in/companies/prefecture/18e4d2f6-9b16-4488-931c-17ced3101b74/keyword/2eca165e-bd4a-4e2e-bc44-397492071b92" TargetMode="External" Id="rId68"/><Relationship Type="http://schemas.openxmlformats.org/officeDocument/2006/relationships/hyperlink" Target="https://baseconnect.in/companies/prefecture/9c059a11-e5ef-470d-a270-47022ad1f973/category/e8b4fb2e-8cf9-473d-be34-3f729e65fdf3" TargetMode="External" Id="rId69"/><Relationship Type="http://schemas.openxmlformats.org/officeDocument/2006/relationships/hyperlink" Target="https://baseconnect.in/companies/prefecture/d8203dea-91e2-41c3-a785-b80aa997273c/category/b2358a1c-c4c6-46f4-a0b1-dee3a1b30a0b" TargetMode="External" Id="rId70"/><Relationship Type="http://schemas.openxmlformats.org/officeDocument/2006/relationships/hyperlink" Target="https://baseconnect.in/companies/prefecture/63038c5a-e328-472b-b9cc-039738609ba7/keyword/14f3dcec-9cd5-4be5-84e1-ddccb7bd228c" TargetMode="External" Id="rId71"/><Relationship Type="http://schemas.openxmlformats.org/officeDocument/2006/relationships/hyperlink" Target="https://www.openwork.jp/a0C1000000nInR1/job/" TargetMode="External" Id="rId72"/><Relationship Type="http://schemas.openxmlformats.org/officeDocument/2006/relationships/hyperlink" Target="https://baseconnect.in/companies/prefecture/63038c5a-e328-472b-b9cc-039738609ba7/keyword/14f3dcec-9cd5-4be5-84e1-ddccb7bd228c" TargetMode="External" Id="rId73"/><Relationship Type="http://schemas.openxmlformats.org/officeDocument/2006/relationships/hyperlink" Target="https://baseconnect.in/companies/prefecture/d80b180e-5fd9-4082-8cdc-a510179a3475/keyword/89941b4e-2dd1-4848-8957-48af280a31e0" TargetMode="External" Id="rId74"/><Relationship Type="http://schemas.openxmlformats.org/officeDocument/2006/relationships/hyperlink" Target="https://baseconnect.in/companies/prefecture/d80b180e-5fd9-4082-8cdc-a510179a3475/keyword/89941b4e-2dd1-4848-8957-48af280a31e0" TargetMode="External" Id="rId75"/><Relationship Type="http://schemas.openxmlformats.org/officeDocument/2006/relationships/hyperlink" Target="https://baseconnect.in/companies/prefecture/d80b180e-5fd9-4082-8cdc-a510179a3475/keyword/088a0bed-423d-48b9-a3af-b77d98e81383" TargetMode="External" Id="rId76"/><Relationship Type="http://schemas.openxmlformats.org/officeDocument/2006/relationships/hyperlink" Target="https://mynavi-agent.jp/corpdetail/25173/" TargetMode="External" Id="rId77"/><Relationship Type="http://schemas.openxmlformats.org/officeDocument/2006/relationships/hyperlink" Target="https://baseconnect.in/companies/prefecture/31ffefed-1183-4eba-a6d9-4182a6136e50/keyword/89941b4e-2dd1-4848-8957-48af280a31e0" TargetMode="External" Id="rId78"/><Relationship Type="http://schemas.openxmlformats.org/officeDocument/2006/relationships/hyperlink" Target="https://baseconnect.in/companies/prefecture/60622468-79bd-4eef-86f8-cb69d1ef09f0/category/b2358a1c-c4c6-46f4-a0b1-dee3a1b30a0b" TargetMode="External" Id="rId79"/><Relationship Type="http://schemas.openxmlformats.org/officeDocument/2006/relationships/hyperlink" Target="https://baseconnect.in/companies/prefecture/60622468-79bd-4eef-86f8-cb69d1ef09f0/category/b2358a1c-c4c6-46f4-a0b1-dee3a1b30a0b" TargetMode="External" Id="rId80"/><Relationship Type="http://schemas.openxmlformats.org/officeDocument/2006/relationships/hyperlink" Target="https://directscout.recruit.co.jp/job_descriptions/8635481" TargetMode="External" Id="rId81"/><Relationship Type="http://schemas.openxmlformats.org/officeDocument/2006/relationships/hyperlink" Target="https://directscout.recruit.co.jp/job_descriptions/6783118" TargetMode="External" Id="rId82"/><Relationship Type="http://schemas.openxmlformats.org/officeDocument/2006/relationships/hyperlink" Target="https://compalyze.co.jp/company/8220001007064" TargetMode="External" Id="rId83"/><Relationship Type="http://schemas.openxmlformats.org/officeDocument/2006/relationships/hyperlink" Target="https://baseconnect.in/companies/prefecture/ce8171a3-9c3a-4158-b1ce-74bbb8bad1e4/keyword/bacc2d48-54d0-4e67-94c7-df7c3cb3a34e" TargetMode="External" Id="rId84"/><Relationship Type="http://schemas.openxmlformats.org/officeDocument/2006/relationships/hyperlink" Target="https://salesnow.jp/db/companies/jcbhy5av98p6vedf" TargetMode="External" Id="rId85"/><Relationship Type="http://schemas.openxmlformats.org/officeDocument/2006/relationships/hyperlink" Target="https://directscout.recruit.co.jp/job_descriptions/6579004" TargetMode="External" Id="rId86"/><Relationship Type="http://schemas.openxmlformats.org/officeDocument/2006/relationships/hyperlink" Target="https://baseconnect.in/companies/prefecture/7e20a5b4-424c-4931-8b3e-970bc0da0dce/keyword/a68873de-8c54-4a2c-820f-e04c8b93064c" TargetMode="External" Id="rId87"/><Relationship Type="http://schemas.openxmlformats.org/officeDocument/2006/relationships/hyperlink" Target="https://baseconnect.in/companies/city/907fb3f8-31a8-4163-a276-005c0d2a920b" TargetMode="External" Id="rId88"/><Relationship Type="http://schemas.openxmlformats.org/officeDocument/2006/relationships/hyperlink" Target="https://baseconnect.in/companies/prefecture/0356fc34-b458-43d5-b209-feac5e7fd808/category/4334232a-592e-4ef1-96cc-df1557db8533" TargetMode="External" Id="rId89"/><Relationship Type="http://schemas.openxmlformats.org/officeDocument/2006/relationships/hyperlink" Target="https://baseconnect.in/companies/prefecture/0356fc34-b458-43d5-b209-feac5e7fd808/category/4334232a-592e-4ef1-96cc-df1557db8533" TargetMode="External" Id="rId90"/><Relationship Type="http://schemas.openxmlformats.org/officeDocument/2006/relationships/hyperlink" Target="https://baseconnect.in/companies/prefecture/0356fc34-b458-43d5-b209-feac5e7fd808/category/4334232a-592e-4ef1-96cc-df1557db8533" TargetMode="External" Id="rId91"/><Relationship Type="http://schemas.openxmlformats.org/officeDocument/2006/relationships/hyperlink" Target="https://baseconnect.in/companies/prefecture/cd00efe9-63bc-49a2-846e-3cfd4bca7207/keyword/89941b4e-2dd1-4848-8957-48af280a31e0" TargetMode="External" Id="rId92"/><Relationship Type="http://schemas.openxmlformats.org/officeDocument/2006/relationships/hyperlink" Target="https://baseconnect.in/companies/prefecture/de8c9062-e2c4-4731-9214-c2e07deaabfb/keyword/89941b4e-2dd1-4848-8957-48af280a31e0" TargetMode="External" Id="rId93"/><Relationship Type="http://schemas.openxmlformats.org/officeDocument/2006/relationships/hyperlink" Target="https://baseconnect.in/companies/prefecture/3420045f-8609-4232-9407-75407ae4e6e8/keyword/89941b4e-2dd1-4848-8957-48af280a31e0" TargetMode="External" Id="rId94"/><Relationship Type="http://schemas.openxmlformats.org/officeDocument/2006/relationships/hyperlink" Target="https://baseconnect.in/companies/keyword/a9b4f8d9-510e-403e-859d-c2d2fa9778be" TargetMode="External" Id="rId95"/><Relationship Type="http://schemas.openxmlformats.org/officeDocument/2006/relationships/hyperlink" Target="https://baseconnect.in/companies/prefecture/d8203dea-91e2-41c3-a785-b80aa997273c/category/b2358a1c-c4c6-46f4-a0b1-dee3a1b30a0b" TargetMode="External" Id="rId96"/><Relationship Type="http://schemas.openxmlformats.org/officeDocument/2006/relationships/hyperlink" Target="https://www.pref.kyoto.jp/sangyo-sien/company/sannsyoudou.html" TargetMode="External" Id="rId97"/><Relationship Type="http://schemas.openxmlformats.org/officeDocument/2006/relationships/hyperlink" Target="https://baseconnect.in/companies/prefecture/912d7b2d-41c2-4923-a5c1-6666f9834966/keyword/14f3dcec-9cd5-4be5-84e1-ddccb7bd228c" TargetMode="External" Id="rId98"/><Relationship Type="http://schemas.openxmlformats.org/officeDocument/2006/relationships/hyperlink" Target="https://baseconnect.in/companies/prefecture/ba2490e4-a288-4266-8dd3-30b4ef28b3b2" TargetMode="External" Id="rId99"/><Relationship Type="http://schemas.openxmlformats.org/officeDocument/2006/relationships/hyperlink" Target="https://baseconnect.in/companies/prefecture/d80b180e-5fd9-4082-8cdc-a510179a3475/keyword/89941b4e-2dd1-4848-8957-48af280a31e0" TargetMode="External" Id="rId100"/><Relationship Type="http://schemas.openxmlformats.org/officeDocument/2006/relationships/hyperlink" Target="https://baseconnect.in/companies/prefecture/d80b180e-5fd9-4082-8cdc-a510179a3475/keyword/89941b4e-2dd1-4848-8957-48af280a31e0" TargetMode="External" Id="rId101"/><Relationship Type="http://schemas.openxmlformats.org/officeDocument/2006/relationships/hyperlink" Target="https://directscout.recruit.co.jp/job_descriptions/8733921" TargetMode="External" Id="rId102"/><Relationship Type="http://schemas.openxmlformats.org/officeDocument/2006/relationships/hyperlink" Target="https://baseconnect.in/companies/prefecture/31ffefed-1183-4eba-a6d9-4182a6136e50/keyword/89941b4e-2dd1-4848-8957-48af280a31e0" TargetMode="External" Id="rId103"/><Relationship Type="http://schemas.openxmlformats.org/officeDocument/2006/relationships/hyperlink" Target="https://baseconnect.in/companies/prefecture/31ffefed-1183-4eba-a6d9-4182a6136e50/keyword/89941b4e-2dd1-4848-8957-48af280a31e0" TargetMode="External" Id="rId104"/><Relationship Type="http://schemas.openxmlformats.org/officeDocument/2006/relationships/hyperlink" Target="https://baseconnect.in/companies/prefecture/39b58ff0-63fd-405f-8b8a-37c5443ce5c7/keyword/89941b4e-2dd1-4848-8957-48af280a31e0" TargetMode="External" Id="rId105"/><Relationship Type="http://schemas.openxmlformats.org/officeDocument/2006/relationships/hyperlink" Target="https://compalyze.co.jp/company/2340001001399" TargetMode="External" Id="rId106"/><Relationship Type="http://schemas.openxmlformats.org/officeDocument/2006/relationships/hyperlink" Target="https://www.jahid.or.jp/pdf/meibo2021.pdf" TargetMode="External" Id="rId107"/><Relationship Type="http://schemas.openxmlformats.org/officeDocument/2006/relationships/hyperlink" Target="https://baseconnect.in/companies/prefecture/a89155ac-9626-450f-9011-00a5b6529965/category/b2358a1c-c4c6-46f4-a0b1-dee3a1b30a0b" TargetMode="External" Id="rId108"/><Relationship Type="http://schemas.openxmlformats.org/officeDocument/2006/relationships/hyperlink" Target="https://baseconnect.in/companies/prefecture/cd00efe9-63bc-49a2-846e-3cfd4bca7207/keyword/89941b4e-2dd1-4848-8957-48af280a31e0" TargetMode="External" Id="rId109"/><Relationship Type="http://schemas.openxmlformats.org/officeDocument/2006/relationships/hyperlink" Target="https://baseconnect.in/companies/prefecture/3562c231-08e3-43af-8765-2077382c0c10/keyword/6afa1771-8d91-440c-86b0-ba8538b7bf9a" TargetMode="External" Id="rId110"/><Relationship Type="http://schemas.openxmlformats.org/officeDocument/2006/relationships/hyperlink" Target="https://baseconnect.in/companies/prefecture/22e3a90e-e956-4cce-bd1b-bdc8b44fc75f/category/b2358a1c-c4c6-46f4-a0b1-dee3a1b30a0b" TargetMode="External" Id="rId111"/><Relationship Type="http://schemas.openxmlformats.org/officeDocument/2006/relationships/hyperlink" Target="https://baseconnect.in/companies/prefecture/22e3a90e-e956-4cce-bd1b-bdc8b44fc75f/category/b2358a1c-c4c6-46f4-a0b1-dee3a1b30a0b" TargetMode="External" Id="rId112"/><Relationship Type="http://schemas.openxmlformats.org/officeDocument/2006/relationships/hyperlink" Target="https://baseconnect.in/companies/prefecture/18e4d2f6-9b16-4488-931c-17ced3101b74/keyword/2eca165e-bd4a-4e2e-bc44-397492071b92" TargetMode="External" Id="rId113"/><Relationship Type="http://schemas.openxmlformats.org/officeDocument/2006/relationships/hyperlink" Target="https://baseconnect.in/companies/prefecture/f533238c-06e6-46f9-9508-cbe03ad6754f/category/b2358a1c-c4c6-46f4-a0b1-dee3a1b30a0b" TargetMode="External" Id="rId114"/><Relationship Type="http://schemas.openxmlformats.org/officeDocument/2006/relationships/hyperlink" Target="https://baseconnect.in/companies/prefecture/3420045f-8609-4232-9407-75407ae4e6e8/category/b2358a1c-c4c6-46f4-a0b1-dee3a1b30a0b" TargetMode="External" Id="rId115"/><Relationship Type="http://schemas.openxmlformats.org/officeDocument/2006/relationships/hyperlink" Target="https://baseconnect.in/companies/prefecture/3420045f-8609-4232-9407-75407ae4e6e8/category/b2358a1c-c4c6-46f4-a0b1-dee3a1b30a0b" TargetMode="External" Id="rId116"/><Relationship Type="http://schemas.openxmlformats.org/officeDocument/2006/relationships/hyperlink" Target="https://baseconnect.in/companies/prefecture/3420045f-8609-4232-9407-75407ae4e6e8/keyword/89941b4e-2dd1-4848-8957-48af280a31e0" TargetMode="External" Id="rId117"/><Relationship Type="http://schemas.openxmlformats.org/officeDocument/2006/relationships/hyperlink" Target="https://baseconnect.in/companies/prefecture/5b2e6d00-cfba-4d0b-850d-54757e4b4d7f/category/b2358a1c-c4c6-46f4-a0b1-dee3a1b30a0b" TargetMode="External" Id="rId118"/><Relationship Type="http://schemas.openxmlformats.org/officeDocument/2006/relationships/hyperlink" Target="https://baseconnect.in/companies/prefecture/5b2e6d00-cfba-4d0b-850d-54757e4b4d7f/category/b2358a1c-c4c6-46f4-a0b1-dee3a1b30a0b" TargetMode="External" Id="rId119"/><Relationship Type="http://schemas.openxmlformats.org/officeDocument/2006/relationships/hyperlink" Target="https://baseconnect.in/companies/prefecture/5b2e6d00-cfba-4d0b-850d-54757e4b4d7f/category/b2358a1c-c4c6-46f4-a0b1-dee3a1b30a0b" TargetMode="External" Id="rId120"/><Relationship Type="http://schemas.openxmlformats.org/officeDocument/2006/relationships/hyperlink" Target="https://baseconnect.in/companies/prefecture/5b2e6d00-cfba-4d0b-850d-54757e4b4d7f/category/b2358a1c-c4c6-46f4-a0b1-dee3a1b30a0b" TargetMode="External" Id="rId121"/><Relationship Type="http://schemas.openxmlformats.org/officeDocument/2006/relationships/hyperlink" Target="https://baseconnect.in/companies/prefecture/5b2e6d00-cfba-4d0b-850d-54757e4b4d7f/category/b2358a1c-c4c6-46f4-a0b1-dee3a1b30a0b" TargetMode="External" Id="rId122"/><Relationship Type="http://schemas.openxmlformats.org/officeDocument/2006/relationships/hyperlink" Target="https://www.jahid.or.jp/pdf/meibo2025.pdf" TargetMode="External" Id="rId123"/><Relationship Type="http://schemas.openxmlformats.org/officeDocument/2006/relationships/hyperlink" Target="https://www.jahid.or.jp/pdf/meibo2025.pdf" TargetMode="External" Id="rId124"/><Relationship Type="http://schemas.openxmlformats.org/officeDocument/2006/relationships/hyperlink" Target="https://www.jahid.or.jp/pdf/meibo2025.pdf" TargetMode="External" Id="rId125"/><Relationship Type="http://schemas.openxmlformats.org/officeDocument/2006/relationships/hyperlink" Target="https://www.jahid.or.jp/pdf/meibo2025.pdf" TargetMode="External" Id="rId126"/><Relationship Type="http://schemas.openxmlformats.org/officeDocument/2006/relationships/hyperlink" Target="https://www.jahid.or.jp/pdf/meibo2025.pdf" TargetMode="External" Id="rId127"/><Relationship Type="http://schemas.openxmlformats.org/officeDocument/2006/relationships/hyperlink" Target="https://www.jahid.or.jp/pdf/meibo2025.pdf" TargetMode="External" Id="rId128"/><Relationship Type="http://schemas.openxmlformats.org/officeDocument/2006/relationships/hyperlink" Target="https://www.jahid.or.jp/pdf/meibo2025.pdf" TargetMode="External" Id="rId129"/><Relationship Type="http://schemas.openxmlformats.org/officeDocument/2006/relationships/hyperlink" Target="https://www2.jpx.co.jp/disc/26670/140120190403400264.pdf" TargetMode="External" Id="rId130"/><Relationship Type="http://schemas.openxmlformats.org/officeDocument/2006/relationships/hyperlink" Target="https://baseconnect.in/companies/keyword/a9b4f8d9-510e-403e-859d-c2d2fa9778be" TargetMode="External" Id="rId131"/><Relationship Type="http://schemas.openxmlformats.org/officeDocument/2006/relationships/hyperlink" Target="https://baseconnect.in/companies/prefecture/5d54c878-c20d-4f57-bb73-e021f2210d6c/keyword/14f3dcec-9cd5-4be5-84e1-ddccb7bd228c" TargetMode="External" Id="rId132"/><Relationship Type="http://schemas.openxmlformats.org/officeDocument/2006/relationships/hyperlink" Target="https://baseconnect.in/companies/prefecture/9c059a11-e5ef-470d-a270-47022ad1f973/category/e8b4fb2e-8cf9-473d-be34-3f729e65fdf3" TargetMode="External" Id="rId133"/><Relationship Type="http://schemas.openxmlformats.org/officeDocument/2006/relationships/hyperlink" Target="https://baseconnect.in/companies/prefecture/c59cfe5b-871c-44d1-8594-96d4a5882e4b/keyword/89941b4e-2dd1-4848-8957-48af280a31e0" TargetMode="External" Id="rId134"/><Relationship Type="http://schemas.openxmlformats.org/officeDocument/2006/relationships/hyperlink" Target="https://baseconnect.in/companies/prefecture/d8203dea-91e2-41c3-a785-b80aa997273c/category/b2358a1c-c4c6-46f4-a0b1-dee3a1b30a0b" TargetMode="External" Id="rId135"/><Relationship Type="http://schemas.openxmlformats.org/officeDocument/2006/relationships/hyperlink" Target="https://baseconnect.in/companies/prefecture/d8203dea-91e2-41c3-a785-b80aa997273c/category/b2358a1c-c4c6-46f4-a0b1-dee3a1b30a0b" TargetMode="External" Id="rId136"/><Relationship Type="http://schemas.openxmlformats.org/officeDocument/2006/relationships/hyperlink" Target="https://baseconnect.in/companies/prefecture/d8203dea-91e2-41c3-a785-b80aa997273c/category/b2358a1c-c4c6-46f4-a0b1-dee3a1b30a0b" TargetMode="External" Id="rId137"/><Relationship Type="http://schemas.openxmlformats.org/officeDocument/2006/relationships/hyperlink" Target="https://baseconnect.in/companies/prefecture/63038c5a-e328-472b-b9cc-039738609ba7/keyword/14f3dcec-9cd5-4be5-84e1-ddccb7bd228c" TargetMode="External" Id="rId138"/><Relationship Type="http://schemas.openxmlformats.org/officeDocument/2006/relationships/hyperlink" Target="https://baseconnect.in/companies/prefecture/63038c5a-e328-472b-b9cc-039738609ba7/keyword/14f3dcec-9cd5-4be5-84e1-ddccb7bd228c" TargetMode="External" Id="rId139"/><Relationship Type="http://schemas.openxmlformats.org/officeDocument/2006/relationships/hyperlink" Target="https://baseconnect.in/companies/prefecture/63038c5a-e328-472b-b9cc-039738609ba7/keyword/14f3dcec-9cd5-4be5-84e1-ddccb7bd228c" TargetMode="External" Id="rId140"/><Relationship Type="http://schemas.openxmlformats.org/officeDocument/2006/relationships/hyperlink" Target="https://baseconnect.in/companies/prefecture/63038c5a-e328-472b-b9cc-039738609ba7/keyword/14f3dcec-9cd5-4be5-84e1-ddccb7bd228c" TargetMode="External" Id="rId141"/><Relationship Type="http://schemas.openxmlformats.org/officeDocument/2006/relationships/hyperlink" Target="https://baseconnect.in/companies/prefecture/63038c5a-e328-472b-b9cc-039738609ba7/keyword/14f3dcec-9cd5-4be5-84e1-ddccb7bd228c" TargetMode="External" Id="rId142"/><Relationship Type="http://schemas.openxmlformats.org/officeDocument/2006/relationships/hyperlink" Target="https://baseconnect.in/companies/prefecture/63038c5a-e328-472b-b9cc-039738609ba7/keyword/14f3dcec-9cd5-4be5-84e1-ddccb7bd228c" TargetMode="External" Id="rId143"/><Relationship Type="http://schemas.openxmlformats.org/officeDocument/2006/relationships/hyperlink" Target="https://baseconnect.in/companies/prefecture/912d7b2d-41c2-4923-a5c1-6666f9834966/keyword/14f3dcec-9cd5-4be5-84e1-ddccb7bd228c" TargetMode="External" Id="rId144"/><Relationship Type="http://schemas.openxmlformats.org/officeDocument/2006/relationships/hyperlink" Target="https://baseconnect.in/companies/prefecture/912d7b2d-41c2-4923-a5c1-6666f9834966/keyword/14f3dcec-9cd5-4be5-84e1-ddccb7bd228c" TargetMode="External" Id="rId145"/><Relationship Type="http://schemas.openxmlformats.org/officeDocument/2006/relationships/hyperlink" Target="https://baseconnect.in/companies/prefecture/ba2490e4-a288-4266-8dd3-30b4ef28b3b2" TargetMode="External" Id="rId146"/><Relationship Type="http://schemas.openxmlformats.org/officeDocument/2006/relationships/hyperlink" Target="https://www.osaka-iryokiki-kyokai.com/member_list/" TargetMode="External" Id="rId147"/><Relationship Type="http://schemas.openxmlformats.org/officeDocument/2006/relationships/hyperlink" Target="https://www.osaka-iryokiki-kyokai.com/member_list/" TargetMode="External" Id="rId148"/><Relationship Type="http://schemas.openxmlformats.org/officeDocument/2006/relationships/hyperlink" Target="https://www.osaka-iryokiki-kyokai.com/member_list/" TargetMode="External" Id="rId149"/><Relationship Type="http://schemas.openxmlformats.org/officeDocument/2006/relationships/hyperlink" Target="https://www.osaka-iryokiki-kyokai.com/member_list/" TargetMode="External" Id="rId150"/><Relationship Type="http://schemas.openxmlformats.org/officeDocument/2006/relationships/hyperlink" Target="https://www.osaka-iryokiki-kyokai.com/member_list/" TargetMode="External" Id="rId151"/><Relationship Type="http://schemas.openxmlformats.org/officeDocument/2006/relationships/hyperlink" Target="https://www.osaka-iryokiki-kyokai.com/member_list/" TargetMode="External" Id="rId152"/><Relationship Type="http://schemas.openxmlformats.org/officeDocument/2006/relationships/hyperlink" Target="https://www.osaka-iryokiki-kyokai.com/member_list/" TargetMode="External" Id="rId153"/><Relationship Type="http://schemas.openxmlformats.org/officeDocument/2006/relationships/hyperlink" Target="https://www.osaka-iryokiki-kyokai.com/member_list/" TargetMode="External" Id="rId154"/><Relationship Type="http://schemas.openxmlformats.org/officeDocument/2006/relationships/hyperlink" Target="https://www.osaka-iryokiki-kyokai.com/member_list/" TargetMode="External" Id="rId155"/><Relationship Type="http://schemas.openxmlformats.org/officeDocument/2006/relationships/hyperlink" Target="https://www.osaka-iryokiki-kyokai.com/member_list/" TargetMode="External" Id="rId156"/><Relationship Type="http://schemas.openxmlformats.org/officeDocument/2006/relationships/hyperlink" Target="https://www.osaka-iryokiki-kyokai.com/member_list/" TargetMode="External" Id="rId157"/><Relationship Type="http://schemas.openxmlformats.org/officeDocument/2006/relationships/hyperlink" Target="https://www.osaka-iryokiki-kyokai.com/member_list/" TargetMode="External" Id="rId158"/><Relationship Type="http://schemas.openxmlformats.org/officeDocument/2006/relationships/hyperlink" Target="https://www.osaka-iryokiki-kyokai.com/member_list/" TargetMode="External" Id="rId159"/><Relationship Type="http://schemas.openxmlformats.org/officeDocument/2006/relationships/hyperlink" Target="https://www.osaka-iryokiki-kyokai.com/member_list/06.html" TargetMode="External" Id="rId160"/><Relationship Type="http://schemas.openxmlformats.org/officeDocument/2006/relationships/hyperlink" Target="https://www.osaka-iryokiki-kyokai.com/member_list/06.html" TargetMode="External" Id="rId161"/><Relationship Type="http://schemas.openxmlformats.org/officeDocument/2006/relationships/hyperlink" Target="https://baseconnect.in/companies/prefecture/d80b180e-5fd9-4082-8cdc-a510179a3475/keyword/89941b4e-2dd1-4848-8957-48af280a31e0" TargetMode="External" Id="rId162"/><Relationship Type="http://schemas.openxmlformats.org/officeDocument/2006/relationships/hyperlink" Target="https://baseconnect.in/companies/prefecture/d80b180e-5fd9-4082-8cdc-a510179a3475/keyword/89941b4e-2dd1-4848-8957-48af280a31e0" TargetMode="External" Id="rId163"/><Relationship Type="http://schemas.openxmlformats.org/officeDocument/2006/relationships/hyperlink" Target="https://baseconnect.in/companies/prefecture/9ed9a43b-c714-41d5-b91b-6b21041f1294/category/b2358a1c-c4c6-46f4-a0b1-dee3a1b30a0b" TargetMode="External" Id="rId164"/><Relationship Type="http://schemas.openxmlformats.org/officeDocument/2006/relationships/hyperlink" Target="https://baseconnect.in/companies/prefecture/1d5a2479-736c-41d9-98fe-d43b8d447ca4/keyword/89941b4e-2dd1-4848-8957-48af280a31e0" TargetMode="External" Id="rId165"/><Relationship Type="http://schemas.openxmlformats.org/officeDocument/2006/relationships/hyperlink" Target="https://baseconnect.in/companies/prefecture/1d5a2479-736c-41d9-98fe-d43b8d447ca4/keyword/89941b4e-2dd1-4848-8957-48af280a31e0" TargetMode="External" Id="rId166"/><Relationship Type="http://schemas.openxmlformats.org/officeDocument/2006/relationships/hyperlink" Target="https://baseconnect.in/companies/prefecture/1d5a2479-736c-41d9-98fe-d43b8d447ca4/keyword/89941b4e-2dd1-4848-8957-48af280a31e0" TargetMode="External" Id="rId167"/><Relationship Type="http://schemas.openxmlformats.org/officeDocument/2006/relationships/hyperlink" Target="https://baseconnect.in/companies/prefecture/8de2e273-a5a8-45b9-8fc1-0fe6344d6843/keyword/14f3dcec-9cd5-4be5-84e1-ddccb7bd228c" TargetMode="External" Id="rId168"/><Relationship Type="http://schemas.openxmlformats.org/officeDocument/2006/relationships/hyperlink" Target="https://baseconnect.in/companies/prefecture/60622468-79bd-4eef-86f8-cb69d1ef09f0/category/b2358a1c-c4c6-46f4-a0b1-dee3a1b30a0b" TargetMode="External" Id="rId169"/><Relationship Type="http://schemas.openxmlformats.org/officeDocument/2006/relationships/hyperlink" Target="https://baseconnect.in/companies/prefecture/60622468-79bd-4eef-86f8-cb69d1ef09f0/category/b2358a1c-c4c6-46f4-a0b1-dee3a1b30a0b" TargetMode="External" Id="rId170"/><Relationship Type="http://schemas.openxmlformats.org/officeDocument/2006/relationships/hyperlink" Target="https://baseconnect.in/companies/prefecture/60622468-79bd-4eef-86f8-cb69d1ef09f0/category/b2358a1c-c4c6-46f4-a0b1-dee3a1b30a0b" TargetMode="External" Id="rId171"/><Relationship Type="http://schemas.openxmlformats.org/officeDocument/2006/relationships/hyperlink" Target="https://baseconnect.in/companies/prefecture/60622468-79bd-4eef-86f8-cb69d1ef09f0/category/b2358a1c-c4c6-46f4-a0b1-dee3a1b30a0b" TargetMode="External" Id="rId172"/><Relationship Type="http://schemas.openxmlformats.org/officeDocument/2006/relationships/hyperlink" Target="https://baseconnect.in/companies/prefecture/60622468-79bd-4eef-86f8-cb69d1ef09f0/category/b2358a1c-c4c6-46f4-a0b1-dee3a1b30a0b" TargetMode="External" Id="rId173"/><Relationship Type="http://schemas.openxmlformats.org/officeDocument/2006/relationships/hyperlink" Target="https://baseconnect.in/companies/prefecture/60622468-79bd-4eef-86f8-cb69d1ef09f0/category/b2358a1c-c4c6-46f4-a0b1-dee3a1b30a0b" TargetMode="External" Id="rId174"/><Relationship Type="http://schemas.openxmlformats.org/officeDocument/2006/relationships/hyperlink" Target="https://baseconnect.in/companies/prefecture/60622468-79bd-4eef-86f8-cb69d1ef09f0/category/b2358a1c-c4c6-46f4-a0b1-dee3a1b30a0b" TargetMode="External" Id="rId175"/><Relationship Type="http://schemas.openxmlformats.org/officeDocument/2006/relationships/hyperlink" Target="https://baseconnect.in/companies/prefecture/3cf97f91-8b39-4cdb-981b-d035b0176b65/keyword/89941b4e-2dd1-4848-8957-48af280a31e0" TargetMode="External" Id="rId176"/><Relationship Type="http://schemas.openxmlformats.org/officeDocument/2006/relationships/hyperlink" Target="https://baseconnect.in/companies/prefecture/3cf97f91-8b39-4cdb-981b-d035b0176b65/keyword/89941b4e-2dd1-4848-8957-48af280a31e0" TargetMode="External" Id="rId177"/><Relationship Type="http://schemas.openxmlformats.org/officeDocument/2006/relationships/hyperlink" Target="https://baseconnect.in/companies/prefecture/3cf97f91-8b39-4cdb-981b-d035b0176b65/keyword/89941b4e-2dd1-4848-8957-48af280a31e0" TargetMode="External" Id="rId178"/><Relationship Type="http://schemas.openxmlformats.org/officeDocument/2006/relationships/hyperlink" Target="https://baseconnect.in/companies/prefecture/4637ba90-383b-4656-8be1-ca34c7f7244f/keyword/89941b4e-2dd1-4848-8957-48af280a31e0" TargetMode="External" Id="rId179"/><Relationship Type="http://schemas.openxmlformats.org/officeDocument/2006/relationships/hyperlink" Target="https://baseconnect.in/companies/prefecture/4637ba90-383b-4656-8be1-ca34c7f7244f/keyword/89941b4e-2dd1-4848-8957-48af280a31e0" TargetMode="External" Id="rId180"/><Relationship Type="http://schemas.openxmlformats.org/officeDocument/2006/relationships/hyperlink" Target="https://baseconnect.in/companies/prefecture/aed784f6-cd06-4f72-95d9-876e82d37385/keyword/89941b4e-2dd1-4848-8957-48af280a31e0" TargetMode="External" Id="rId181"/><Relationship Type="http://schemas.openxmlformats.org/officeDocument/2006/relationships/hyperlink" Target="https://baseconnect.in/companies/prefecture/aed784f6-cd06-4f72-95d9-876e82d37385/keyword/89941b4e-2dd1-4848-8957-48af280a31e0" TargetMode="External" Id="rId182"/><Relationship Type="http://schemas.openxmlformats.org/officeDocument/2006/relationships/hyperlink" Target="https://baseconnect.in/companies/prefecture/47b312cd-84c4-4e89-951a-b56344bc774e/keyword/89941b4e-2dd1-4848-8957-48af280a31e0" TargetMode="External" Id="rId183"/><Relationship Type="http://schemas.openxmlformats.org/officeDocument/2006/relationships/hyperlink" Target="https://baseconnect.in/companies/prefecture/47b312cd-84c4-4e89-951a-b56344bc774e/keyword/89941b4e-2dd1-4848-8957-48af280a31e0" TargetMode="External" Id="rId184"/><Relationship Type="http://schemas.openxmlformats.org/officeDocument/2006/relationships/hyperlink" Target="https://baseconnect.in/companies/prefecture/47b312cd-84c4-4e89-951a-b56344bc774e/keyword/89941b4e-2dd1-4848-8957-48af280a31e0" TargetMode="External" Id="rId185"/><Relationship Type="http://schemas.openxmlformats.org/officeDocument/2006/relationships/hyperlink" Target="https://baseconnect.in/companies/prefecture/47b312cd-84c4-4e89-951a-b56344bc774e/keyword/89941b4e-2dd1-4848-8957-48af280a31e0" TargetMode="External" Id="rId186"/><Relationship Type="http://schemas.openxmlformats.org/officeDocument/2006/relationships/hyperlink" Target="https://baseconnect.in/companies/prefecture/47b312cd-84c4-4e89-951a-b56344bc774e/keyword/89941b4e-2dd1-4848-8957-48af280a31e0" TargetMode="External" Id="rId187"/><Relationship Type="http://schemas.openxmlformats.org/officeDocument/2006/relationships/hyperlink" Target="https://baseconnect.in/companies/prefecture/47b312cd-84c4-4e89-951a-b56344bc774e/keyword/89941b4e-2dd1-4848-8957-48af280a31e0" TargetMode="External" Id="rId188"/><Relationship Type="http://schemas.openxmlformats.org/officeDocument/2006/relationships/hyperlink" Target="https://baseconnect.in/companies/prefecture/ce8171a3-9c3a-4158-b1ce-74bbb8bad1e4/keyword/bacc2d48-54d0-4e67-94c7-df7c3cb3a34e" TargetMode="External" Id="rId189"/><Relationship Type="http://schemas.openxmlformats.org/officeDocument/2006/relationships/hyperlink" Target="https://kaigo.homes.co.jp/scare/ad22/cc26/3/" TargetMode="External" Id="rId190"/><Relationship Type="http://schemas.openxmlformats.org/officeDocument/2006/relationships/hyperlink" Target="https://kyuren.jp/%E4%BC%9A%E5%93%A1%E7%B4%B9%E4%BB%8B/" TargetMode="External" Id="rId191"/><Relationship Type="http://schemas.openxmlformats.org/officeDocument/2006/relationships/hyperlink" Target="https://baseconnect.in/companies/prefecture/082ceea9-0e2a-4911-900e-35c6f7c160b3/keyword/89941b4e-2dd1-4848-8957-48af280a31e0" TargetMode="External" Id="rId192"/><Relationship Type="http://schemas.openxmlformats.org/officeDocument/2006/relationships/hyperlink" Target="https://baseconnect.in/companies/prefecture/082ceea9-0e2a-4911-900e-35c6f7c160b3/keyword/89941b4e-2dd1-4848-8957-48af280a31e0" TargetMode="External" Id="rId193"/><Relationship Type="http://schemas.openxmlformats.org/officeDocument/2006/relationships/hyperlink" Target="https://baseconnect.in/companies/prefecture/b147f06d-09b9-4c4f-9e51-e7157354eec0/keyword/14f3dcec-9cd5-4be5-84e1-ddccb7bd228c" TargetMode="External" Id="rId194"/><Relationship Type="http://schemas.openxmlformats.org/officeDocument/2006/relationships/hyperlink" Target="https://kyuren.jp/%E4%BC%9A%E5%93%A1%E7%B4%B9%E4%BB%8B/" TargetMode="External" Id="rId195"/><Relationship Type="http://schemas.openxmlformats.org/officeDocument/2006/relationships/hyperlink" Target="https://kyuren.jp/%E4%BC%9A%E5%93%A1%E7%B4%B9%E4%BB%8B/" TargetMode="External" Id="rId196"/><Relationship Type="http://schemas.openxmlformats.org/officeDocument/2006/relationships/hyperlink" Target="https://kyuren.jp/%E4%BC%9A%E5%93%A1%E7%B4%B9%E4%BB%8B/" TargetMode="External" Id="rId197"/><Relationship Type="http://schemas.openxmlformats.org/officeDocument/2006/relationships/hyperlink" Target="https://kyuren.jp/%E4%BC%9A%E5%93%A1%E7%B4%B9%E4%BB%8B/" TargetMode="External" Id="rId198"/><Relationship Type="http://schemas.openxmlformats.org/officeDocument/2006/relationships/hyperlink" Target="https://kyuren.jp/%E4%BC%9A%E5%93%A1%E7%B4%B9%E4%BB%8B/" TargetMode="External" Id="rId199"/><Relationship Type="http://schemas.openxmlformats.org/officeDocument/2006/relationships/hyperlink" Target="https://kyuren.jp/%E4%BC%9A%E5%93%A1%E7%B4%B9%E4%BB%8B/" TargetMode="External" Id="rId200"/><Relationship Type="http://schemas.openxmlformats.org/officeDocument/2006/relationships/hyperlink" Target="https://kyuren.jp/%E4%BC%9A%E5%93%A1%E7%B4%B9%E4%BB%8B/" TargetMode="External" Id="rId201"/><Relationship Type="http://schemas.openxmlformats.org/officeDocument/2006/relationships/hyperlink" Target="https://kyuren.jp/%E4%BC%9A%E5%93%A1%E7%B4%B9%E4%BB%8B/" TargetMode="External" Id="rId202"/><Relationship Type="http://schemas.openxmlformats.org/officeDocument/2006/relationships/hyperlink" Target="https://kyuren.jp/%E4%BC%9A%E5%93%A1%E7%B4%B9%E4%BB%8B/" TargetMode="External" Id="rId203"/><Relationship Type="http://schemas.openxmlformats.org/officeDocument/2006/relationships/hyperlink" Target="https://baseconnect.in/companies/prefecture/96c84bbe-0dd4-4885-9333-4913e3f022c9/keyword/89941b4e-2dd1-4848-8957-48af280a31e0" TargetMode="External" Id="rId204"/><Relationship Type="http://schemas.openxmlformats.org/officeDocument/2006/relationships/hyperlink" Target="https://baseconnect.in/companies/prefecture/96c84bbe-0dd4-4885-9333-4913e3f022c9/keyword/89941b4e-2dd1-4848-8957-48af280a31e0" TargetMode="External" Id="rId205"/><Relationship Type="http://schemas.openxmlformats.org/officeDocument/2006/relationships/hyperlink" Target="https://baseconnect.in/companies/prefecture/96c84bbe-0dd4-4885-9333-4913e3f022c9/keyword/89941b4e-2dd1-4848-8957-48af280a31e0" TargetMode="External" Id="rId206"/><Relationship Type="http://schemas.openxmlformats.org/officeDocument/2006/relationships/hyperlink" Target="https://baseconnect.in/companies/prefecture/96c84bbe-0dd4-4885-9333-4913e3f022c9/keyword/89941b4e-2dd1-4848-8957-48af280a31e0" TargetMode="External" Id="rId207"/><Relationship Type="http://schemas.openxmlformats.org/officeDocument/2006/relationships/hyperlink" Target="https://baseconnect.in/companies/prefecture/96c84bbe-0dd4-4885-9333-4913e3f022c9/keyword/89941b4e-2dd1-4848-8957-48af280a31e0" TargetMode="External" Id="rId208"/><Relationship Type="http://schemas.openxmlformats.org/officeDocument/2006/relationships/hyperlink" Target="https://kyuren.jp/%E4%BC%9A%E5%93%A1%E7%B4%B9%E4%BB%8B/" TargetMode="External" Id="rId209"/><Relationship Type="http://schemas.openxmlformats.org/officeDocument/2006/relationships/hyperlink" Target="https://baseconnect.in/companies/prefecture/39b58ff0-63fd-405f-8b8a-37c5443ce5c7/keyword/89941b4e-2dd1-4848-8957-48af280a31e0" TargetMode="External" Id="rId210"/><Relationship Type="http://schemas.openxmlformats.org/officeDocument/2006/relationships/hyperlink" Target="https://baseconnect.in/companies/prefecture/39b58ff0-63fd-405f-8b8a-37c5443ce5c7/keyword/89941b4e-2dd1-4848-8957-48af280a31e0" TargetMode="External" Id="rId211"/><Relationship Type="http://schemas.openxmlformats.org/officeDocument/2006/relationships/hyperlink" Target="https://baseconnect.in/companies/prefecture/39b58ff0-63fd-405f-8b8a-37c5443ce5c7/keyword/89941b4e-2dd1-4848-8957-48af280a31e0" TargetMode="External" Id="rId212"/><Relationship Type="http://schemas.openxmlformats.org/officeDocument/2006/relationships/hyperlink" Target="https://baseconnect.in/companies/prefecture/39b58ff0-63fd-405f-8b8a-37c5443ce5c7/keyword/89941b4e-2dd1-4848-8957-48af280a31e0" TargetMode="External" Id="rId213"/><Relationship Type="http://schemas.openxmlformats.org/officeDocument/2006/relationships/hyperlink" Target="https://baseconnect.in/companies/prefecture/88d796cc-214f-4ebf-b294-ebcaa486f8a2/category/b2358a1c-c4c6-46f4-a0b1-dee3a1b30a0b" TargetMode="External" Id="rId214"/><Relationship Type="http://schemas.openxmlformats.org/officeDocument/2006/relationships/hyperlink" Target="https://baseconnect.in/companies/prefecture/88d796cc-214f-4ebf-b294-ebcaa486f8a2/category/b2358a1c-c4c6-46f4-a0b1-dee3a1b30a0b" TargetMode="External" Id="rId215"/><Relationship Type="http://schemas.openxmlformats.org/officeDocument/2006/relationships/hyperlink" Target="https://baseconnect.in/companies/prefecture/88d796cc-214f-4ebf-b294-ebcaa486f8a2/category/b2358a1c-c4c6-46f4-a0b1-dee3a1b30a0b" TargetMode="External" Id="rId216"/><Relationship Type="http://schemas.openxmlformats.org/officeDocument/2006/relationships/hyperlink" Target="https://baseconnect.in/companies/prefecture/88d796cc-214f-4ebf-b294-ebcaa486f8a2/category/b2358a1c-c4c6-46f4-a0b1-dee3a1b30a0b" TargetMode="External" Id="rId217"/><Relationship Type="http://schemas.openxmlformats.org/officeDocument/2006/relationships/hyperlink" Target="https://baseconnect.in/companies/prefecture/88d796cc-214f-4ebf-b294-ebcaa486f8a2/category/b2358a1c-c4c6-46f4-a0b1-dee3a1b30a0b" TargetMode="External" Id="rId218"/><Relationship Type="http://schemas.openxmlformats.org/officeDocument/2006/relationships/hyperlink" Target="https://kyuren.jp/%E4%BC%9A%E5%93%A1%E7%B4%B9%E4%BB%8B/" TargetMode="External" Id="rId219"/><Relationship Type="http://schemas.openxmlformats.org/officeDocument/2006/relationships/hyperlink" Target="https://kyuren.jp/%E4%BC%9A%E5%93%A1%E7%B4%B9%E4%BB%8B/" TargetMode="External" Id="rId220"/><Relationship Type="http://schemas.openxmlformats.org/officeDocument/2006/relationships/hyperlink" Target="https://kyuren.jp/%E4%BC%9A%E5%93%A1%E7%B4%B9%E4%BB%8B/" TargetMode="External" Id="rId221"/><Relationship Type="http://schemas.openxmlformats.org/officeDocument/2006/relationships/hyperlink" Target="https://baseconnect.in/companies/prefecture/344720c8-49c6-4a45-94af-958496d86524/category/b2358a1c-c4c6-46f4-a0b1-dee3a1b30a0b" TargetMode="External" Id="rId222"/><Relationship Type="http://schemas.openxmlformats.org/officeDocument/2006/relationships/hyperlink" Target="https://baseconnect.in/companies/prefecture/344720c8-49c6-4a45-94af-958496d86524/category/b2358a1c-c4c6-46f4-a0b1-dee3a1b30a0b" TargetMode="External" Id="rId223"/><Relationship Type="http://schemas.openxmlformats.org/officeDocument/2006/relationships/hyperlink" Target="https://baseconnect.in/companies/prefecture/344720c8-49c6-4a45-94af-958496d86524/category/b2358a1c-c4c6-46f4-a0b1-dee3a1b30a0b" TargetMode="External" Id="rId224"/><Relationship Type="http://schemas.openxmlformats.org/officeDocument/2006/relationships/hyperlink" Target="https://www.jahid.or.jp/pdf/meibo2025.pdf" TargetMode="External" Id="rId225"/><Relationship Type="http://schemas.openxmlformats.org/officeDocument/2006/relationships/hyperlink" Target="https://salesnow.jp/db/companies/jcb3frp3wfstg2f9h" TargetMode="External" Id="rId226"/><Relationship Type="http://schemas.openxmlformats.org/officeDocument/2006/relationships/hyperlink" Target="https://baseconnect.in/companies/prefecture/9ebb3838-effc-47da-b634-994957a78319/keyword/89941b4e-2dd1-4848-8957-48af280a31e0" TargetMode="External" Id="rId227"/><Relationship Type="http://schemas.openxmlformats.org/officeDocument/2006/relationships/hyperlink" Target="https://baseconnect.in/companies/prefecture/9ebb3838-effc-47da-b634-994957a78319/keyword/89941b4e-2dd1-4848-8957-48af280a31e0" TargetMode="External" Id="rId228"/><Relationship Type="http://schemas.openxmlformats.org/officeDocument/2006/relationships/hyperlink" Target="https://baseconnect.in/companies/prefecture/9ebb3838-effc-47da-b634-994957a78319/keyword/89941b4e-2dd1-4848-8957-48af280a31e0" TargetMode="External" Id="rId229"/><Relationship Type="http://schemas.openxmlformats.org/officeDocument/2006/relationships/hyperlink" Target="https://baseconnect.in/companies/prefecture/9ebb3838-effc-47da-b634-994957a78319/keyword/89941b4e-2dd1-4848-8957-48af280a31e0" TargetMode="External" Id="rId230"/><Relationship Type="http://schemas.openxmlformats.org/officeDocument/2006/relationships/hyperlink" Target="https://baseconnect.in/companies/prefecture/9ebb3838-effc-47da-b634-994957a78319/keyword/89941b4e-2dd1-4848-8957-48af280a31e0" TargetMode="External" Id="rId231"/><Relationship Type="http://schemas.openxmlformats.org/officeDocument/2006/relationships/hyperlink" Target="https://baseconnect.in/companies/prefecture/9ebb3838-effc-47da-b634-994957a78319/keyword/89941b4e-2dd1-4848-8957-48af280a31e0" TargetMode="External" Id="rId232"/><Relationship Type="http://schemas.openxmlformats.org/officeDocument/2006/relationships/hyperlink" Target="https://baseconnect.in/companies/prefecture/9ebb3838-effc-47da-b634-994957a78319/keyword/89941b4e-2dd1-4848-8957-48af280a31e0" TargetMode="External" Id="rId233"/><Relationship Type="http://schemas.openxmlformats.org/officeDocument/2006/relationships/hyperlink" Target="https://baseconnect.in/companies/prefecture/9ebb3838-effc-47da-b634-994957a78319/keyword/89941b4e-2dd1-4848-8957-48af280a31e0" TargetMode="External" Id="rId234"/><Relationship Type="http://schemas.openxmlformats.org/officeDocument/2006/relationships/hyperlink" Target="https://baseconnect.in/companies/prefecture/3eff90d1-0bad-4fac-bce6-da9b939d7407/keyword/89941b4e-2dd1-4848-8957-48af280a31e0" TargetMode="External" Id="rId235"/><Relationship Type="http://schemas.openxmlformats.org/officeDocument/2006/relationships/hyperlink" Target="https://baseconnect.in/companies/prefecture/3eff90d1-0bad-4fac-bce6-da9b939d7407/keyword/89941b4e-2dd1-4848-8957-48af280a31e0" TargetMode="External" Id="rId236"/><Relationship Type="http://schemas.openxmlformats.org/officeDocument/2006/relationships/hyperlink" Target="https://baseconnect.in/companies/prefecture/3eff90d1-0bad-4fac-bce6-da9b939d7407/keyword/89941b4e-2dd1-4848-8957-48af280a31e0" TargetMode="External" Id="rId237"/><Relationship Type="http://schemas.openxmlformats.org/officeDocument/2006/relationships/hyperlink" Target="https://baseconnect.in/companies/prefecture/3eff90d1-0bad-4fac-bce6-da9b939d7407/keyword/89941b4e-2dd1-4848-8957-48af280a31e0" TargetMode="External" Id="rId238"/><Relationship Type="http://schemas.openxmlformats.org/officeDocument/2006/relationships/hyperlink" Target="https://baseconnect.in/companies/prefecture/72122f8e-2e11-4641-9216-d1abc796b0cd/category/b2358a1c-c4c6-46f4-a0b1-dee3a1b30a0b" TargetMode="External" Id="rId239"/><Relationship Type="http://schemas.openxmlformats.org/officeDocument/2006/relationships/hyperlink" Target="https://baseconnect.in/companies/prefecture/72122f8e-2e11-4641-9216-d1abc796b0cd/category/b2358a1c-c4c6-46f4-a0b1-dee3a1b30a0b" TargetMode="External" Id="rId240"/><Relationship Type="http://schemas.openxmlformats.org/officeDocument/2006/relationships/hyperlink" Target="https://baseconnect.in/companies/prefecture/72122f8e-2e11-4641-9216-d1abc796b0cd/category/b2358a1c-c4c6-46f4-a0b1-dee3a1b30a0b" TargetMode="External" Id="rId241"/><Relationship Type="http://schemas.openxmlformats.org/officeDocument/2006/relationships/hyperlink" Target="https://baseconnect.in/companies/prefecture/3ef7ac2a-ecbb-4477-acd1-e7d443e6b591/category/b2358a1c-c4c6-46f4-a0b1-dee3a1b30a0b" TargetMode="External" Id="rId242"/><Relationship Type="http://schemas.openxmlformats.org/officeDocument/2006/relationships/hyperlink" Target="https://baseconnect.in/companies/prefecture/3ef7ac2a-ecbb-4477-acd1-e7d443e6b591/category/b2358a1c-c4c6-46f4-a0b1-dee3a1b30a0b" TargetMode="External" Id="rId243"/><Relationship Type="http://schemas.openxmlformats.org/officeDocument/2006/relationships/hyperlink" Target="https://baseconnect.in/companies/prefecture/3ef7ac2a-ecbb-4477-acd1-e7d443e6b591/category/b2358a1c-c4c6-46f4-a0b1-dee3a1b30a0b" TargetMode="External" Id="rId244"/><Relationship Type="http://schemas.openxmlformats.org/officeDocument/2006/relationships/hyperlink" Target="https://baseconnect.in/companies/prefecture/3ef7ac2a-ecbb-4477-acd1-e7d443e6b591/category/b2358a1c-c4c6-46f4-a0b1-dee3a1b30a0b" TargetMode="External" Id="rId245"/><Relationship Type="http://schemas.openxmlformats.org/officeDocument/2006/relationships/hyperlink" Target="https://baseconnect.in/companies/prefecture/a89155ac-9626-450f-9011-00a5b6529965/category/b2358a1c-c4c6-46f4-a0b1-dee3a1b30a0b" TargetMode="External" Id="rId246"/><Relationship Type="http://schemas.openxmlformats.org/officeDocument/2006/relationships/hyperlink" Target="https://baseconnect.in/companies/prefecture/a89155ac-9626-450f-9011-00a5b6529965/category/b2358a1c-c4c6-46f4-a0b1-dee3a1b30a0b" TargetMode="External" Id="rId247"/><Relationship Type="http://schemas.openxmlformats.org/officeDocument/2006/relationships/hyperlink" Target="https://baseconnect.in/companies/prefecture/a89155ac-9626-450f-9011-00a5b6529965/category/b2358a1c-c4c6-46f4-a0b1-dee3a1b30a0b" TargetMode="External" Id="rId248"/><Relationship Type="http://schemas.openxmlformats.org/officeDocument/2006/relationships/hyperlink" Target="https://baseconnect.in/companies/prefecture/cd00efe9-63bc-49a2-846e-3cfd4bca7207/keyword/89941b4e-2dd1-4848-8957-48af280a31e0" TargetMode="External" Id="rId249"/><Relationship Type="http://schemas.openxmlformats.org/officeDocument/2006/relationships/hyperlink" Target="https://baseconnect.in/companies/prefecture/2466a71e-a675-4184-bf2b-a9d3122e4400/category/b2358a1c-c4c6-46f4-a0b1-dee3a1b30a0b" TargetMode="External" Id="rId250"/><Relationship Type="http://schemas.openxmlformats.org/officeDocument/2006/relationships/hyperlink" Target="https://baseconnect.in/companies/prefecture/22e3a90e-e956-4cce-bd1b-bdc8b44fc75f/category/b2358a1c-c4c6-46f4-a0b1-dee3a1b30a0b" TargetMode="External" Id="rId251"/><Relationship Type="http://schemas.openxmlformats.org/officeDocument/2006/relationships/hyperlink" Target="https://compalyze.co.jp/company/6500001015536" TargetMode="External" Id="rId252"/><Relationship Type="http://schemas.openxmlformats.org/officeDocument/2006/relationships/hyperlink" Target="https://baseconnect.in/companies/prefecture/18e4d2f6-9b16-4488-931c-17ced3101b74/keyword/2eca165e-bd4a-4e2e-bc44-397492071b92" TargetMode="External" Id="rId253"/><Relationship Type="http://schemas.openxmlformats.org/officeDocument/2006/relationships/hyperlink" Target="https://baseconnect.in/companies/prefecture/de8c9062-e2c4-4731-9214-c2e07deaabfb/keyword/89941b4e-2dd1-4848-8957-48af280a31e0" TargetMode="External" Id="rId254"/><Relationship Type="http://schemas.openxmlformats.org/officeDocument/2006/relationships/hyperlink" Target="https://baseconnect.in/companies/prefecture/ed058ccb-0ba4-4479-9732-51a97cc73b5d/category/b2358a1c-c4c6-46f4-a0b1-dee3a1b30a0b" TargetMode="External" Id="rId255"/><Relationship Type="http://schemas.openxmlformats.org/officeDocument/2006/relationships/hyperlink" Target="https://baseconnect.in/companies/prefecture/3420045f-8609-4232-9407-75407ae4e6e8/category/b2358a1c-c4c6-46f4-a0b1-dee3a1b30a0b" TargetMode="External" Id="rId256"/><Relationship Type="http://schemas.openxmlformats.org/officeDocument/2006/relationships/hyperlink" Target="https://baseconnect.in/companies/prefecture/3420045f-8609-4232-9407-75407ae4e6e8/category/b2358a1c-c4c6-46f4-a0b1-dee3a1b30a0b" TargetMode="External" Id="rId257"/><Relationship Type="http://schemas.openxmlformats.org/officeDocument/2006/relationships/hyperlink" Target="https://baseconnect.in/companies/prefecture/3420045f-8609-4232-9407-75407ae4e6e8/category/b2358a1c-c4c6-46f4-a0b1-dee3a1b30a0b" TargetMode="External" Id="rId258"/><Relationship Type="http://schemas.openxmlformats.org/officeDocument/2006/relationships/hyperlink" Target="https://baseconnect.in/companies/prefecture/3420045f-8609-4232-9407-75407ae4e6e8/category/b2358a1c-c4c6-46f4-a0b1-dee3a1b30a0b" TargetMode="External" Id="rId259"/><Relationship Type="http://schemas.openxmlformats.org/officeDocument/2006/relationships/hyperlink" Target="https://baseconnect.in/companies/prefecture/3420045f-8609-4232-9407-75407ae4e6e8/keyword/89941b4e-2dd1-4848-8957-48af280a31e0" TargetMode="External" Id="rId260"/><Relationship Type="http://schemas.openxmlformats.org/officeDocument/2006/relationships/hyperlink" Target="https://baseconnect.in/companies/prefecture/3420045f-8609-4232-9407-75407ae4e6e8/keyword/89941b4e-2dd1-4848-8957-48af280a31e0" TargetMode="External" Id="rId261"/><Relationship Type="http://schemas.openxmlformats.org/officeDocument/2006/relationships/hyperlink" Target="https://baseconnect.in/companies/prefecture/3420045f-8609-4232-9407-75407ae4e6e8/keyword/89941b4e-2dd1-4848-8957-48af280a31e0" TargetMode="External" Id="rId262"/><Relationship Type="http://schemas.openxmlformats.org/officeDocument/2006/relationships/hyperlink" Target="https://baseconnect.in/companies/prefecture/3420045f-8609-4232-9407-75407ae4e6e8/keyword/89941b4e-2dd1-4848-8957-48af280a31e0" TargetMode="External" Id="rId263"/><Relationship Type="http://schemas.openxmlformats.org/officeDocument/2006/relationships/hyperlink" Target="https://baseconnect.in/companies/prefecture/5b2e6d00-cfba-4d0b-850d-54757e4b4d7f/keyword/89941b4e-2dd1-4848-8957-48af280a31e0" TargetMode="External" Id="rId264"/><Relationship Type="http://schemas.openxmlformats.org/officeDocument/2006/relationships/hyperlink" Target="https://baseconnect.in/companies/prefecture/5d54c878-c20d-4f57-bb73-e021f2210d6c/keyword/14f3dcec-9cd5-4be5-84e1-ddccb7bd228c" TargetMode="External" Id="rId265"/><Relationship Type="http://schemas.openxmlformats.org/officeDocument/2006/relationships/hyperlink" Target="https://baseconnect.in/companies/prefecture/c59cfe5b-871c-44d1-8594-96d4a5882e4b/keyword/89941b4e-2dd1-4848-8957-48af280a31e0" TargetMode="External" Id="rId266"/><Relationship Type="http://schemas.openxmlformats.org/officeDocument/2006/relationships/hyperlink" Target="https://baseconnect.in/companies/prefecture/c59cfe5b-871c-44d1-8594-96d4a5882e4b/keyword/89941b4e-2dd1-4848-8957-48af280a31e0" TargetMode="External" Id="rId267"/><Relationship Type="http://schemas.openxmlformats.org/officeDocument/2006/relationships/hyperlink" Target="https://biz-maps.com/s/cities/102016/m-inds/352" TargetMode="External" Id="rId268"/><Relationship Type="http://schemas.openxmlformats.org/officeDocument/2006/relationships/hyperlink" Target="https://baseconnect.in/companies/prefecture/d8203dea-91e2-41c3-a785-b80aa997273c/category/b2358a1c-c4c6-46f4-a0b1-dee3a1b30a0b" TargetMode="External" Id="rId269"/><Relationship Type="http://schemas.openxmlformats.org/officeDocument/2006/relationships/hyperlink" Target="https://baseconnect.in/companies/prefecture/d8203dea-91e2-41c3-a785-b80aa997273c/category/b2358a1c-c4c6-46f4-a0b1-dee3a1b30a0b" TargetMode="External" Id="rId270"/><Relationship Type="http://schemas.openxmlformats.org/officeDocument/2006/relationships/hyperlink" Target="https://baseconnect.in/companies/prefecture/d80b180e-5fd9-4082-8cdc-a510179a3475/keyword/89941b4e-2dd1-4848-8957-48af280a31e0" TargetMode="External" Id="rId271"/><Relationship Type="http://schemas.openxmlformats.org/officeDocument/2006/relationships/hyperlink" Target="https://baseconnect.in/companies/prefecture/60622468-79bd-4eef-86f8-cb69d1ef09f0/category/b2358a1c-c4c6-46f4-a0b1-dee3a1b30a0b" TargetMode="External" Id="rId272"/><Relationship Type="http://schemas.openxmlformats.org/officeDocument/2006/relationships/hyperlink" Target="https://baseconnect.in/companies/prefecture/ce8171a3-9c3a-4158-b1ce-74bbb8bad1e4/keyword/bacc2d48-54d0-4e67-94c7-df7c3cb3a34e" TargetMode="External" Id="rId273"/><Relationship Type="http://schemas.openxmlformats.org/officeDocument/2006/relationships/hyperlink" Target="https://kyuren.jp/%E4%BC%9A%E5%93%A1%E7%B4%B9%E4%BB%8B/" TargetMode="External" Id="rId274"/><Relationship Type="http://schemas.openxmlformats.org/officeDocument/2006/relationships/hyperlink" Target="https://www.jahid.or.jp/pdf/meibo2025.pdf" TargetMode="External" Id="rId275"/><Relationship Type="http://schemas.openxmlformats.org/officeDocument/2006/relationships/hyperlink" Target="https://www.jahid.or.jp/pdf/meibo2025.pdf" TargetMode="External" Id="rId276"/><Relationship Type="http://schemas.openxmlformats.org/officeDocument/2006/relationships/hyperlink" Target="https://baseconnect.in/companies/prefecture/9ebb3838-effc-47da-b634-994957a78319/keyword/89941b4e-2dd1-4848-8957-48af280a31e0" TargetMode="External" Id="rId277"/><Relationship Type="http://schemas.openxmlformats.org/officeDocument/2006/relationships/hyperlink" Target="https://i.ansinkaigo.jp/shokai/home-care/welfare-equipment/121454" TargetMode="External" Id="rId278"/><Relationship Type="http://schemas.openxmlformats.org/officeDocument/2006/relationships/hyperlink" Target="https://baseconnect.in/companies/prefecture/9ebb3838-effc-47da-b634-994957a78319/keyword/89941b4e-2dd1-4848-8957-48af280a31e0" TargetMode="External" Id="rId279"/><Relationship Type="http://schemas.openxmlformats.org/officeDocument/2006/relationships/hyperlink" Target="https://baseconnect.in/companies/prefecture/9ebb3838-effc-47da-b634-994957a78319/keyword/89941b4e-2dd1-4848-8957-48af280a31e0" TargetMode="External" Id="rId280"/><Relationship Type="http://schemas.openxmlformats.org/officeDocument/2006/relationships/hyperlink" Target="https://baseconnect.in/companies/prefecture/3eff90d1-0bad-4fac-bce6-da9b939d7407/keyword/89941b4e-2dd1-4848-8957-48af280a31e0" TargetMode="External" Id="rId281"/><Relationship Type="http://schemas.openxmlformats.org/officeDocument/2006/relationships/hyperlink" Target="https://compalyze.co.jp/company/5260001006627" TargetMode="External" Id="rId282"/><Relationship Type="http://schemas.openxmlformats.org/officeDocument/2006/relationships/hyperlink" Target="https://baseconnect.in/companies/prefecture/cd00efe9-63bc-49a2-846e-3cfd4bca7207/keyword/89941b4e-2dd1-4848-8957-48af280a31e0" TargetMode="External" Id="rId283"/><Relationship Type="http://schemas.openxmlformats.org/officeDocument/2006/relationships/hyperlink" Target="https://baseconnect.in/companies/prefecture/2466a71e-a675-4184-bf2b-a9d3122e4400/category/b2358a1c-c4c6-46f4-a0b1-dee3a1b30a0b" TargetMode="External" Id="rId284"/><Relationship Type="http://schemas.openxmlformats.org/officeDocument/2006/relationships/hyperlink" Target="https://baseconnect.in/companies/prefecture/3562c231-08e3-43af-8765-2077382c0c10/keyword/6afa1771-8d91-440c-86b0-ba8538b7bf9a" TargetMode="External" Id="rId285"/><Relationship Type="http://schemas.openxmlformats.org/officeDocument/2006/relationships/hyperlink" Target="https://baseconnect.in/companies/prefecture/22e3a90e-e956-4cce-bd1b-bdc8b44fc75f/category/b2358a1c-c4c6-46f4-a0b1-dee3a1b30a0b" TargetMode="External" Id="rId286"/><Relationship Type="http://schemas.openxmlformats.org/officeDocument/2006/relationships/hyperlink" Target="https://baseconnect.in/companies/prefecture/f533238c-06e6-46f9-9508-cbe03ad6754f/category/b2358a1c-c4c6-46f4-a0b1-dee3a1b30a0b" TargetMode="External" Id="rId287"/><Relationship Type="http://schemas.openxmlformats.org/officeDocument/2006/relationships/hyperlink" Target="https://baseconnect.in/companies/prefecture/5b2e6d00-cfba-4d0b-850d-54757e4b4d7f/keyword/89941b4e-2dd1-4848-8957-48af280a31e0" TargetMode="External" Id="rId288"/><Relationship Type="http://schemas.openxmlformats.org/officeDocument/2006/relationships/hyperlink" Target="https://i.ansinkaigo.jp/shokai/home-care/welfare-equipment/132088" TargetMode="External" Id="rId289"/><Relationship Type="http://schemas.openxmlformats.org/officeDocument/2006/relationships/hyperlink" Target="https://i.ansinkaigo.jp/shokai/home-care/welfare-equipment/130946" TargetMode="External" Id="rId290"/></Relationships>
</file>

<file path=xl/worksheets/_rels/sheet12.xml.rels><Relationships xmlns="http://schemas.openxmlformats.org/package/2006/relationships"><Relationship Type="http://schemas.openxmlformats.org/officeDocument/2006/relationships/hyperlink" Target="https://singmed.com.sg/" TargetMode="External" Id="rId1"/><Relationship Type="http://schemas.openxmlformats.org/officeDocument/2006/relationships/hyperlink" Target="https://www.amssg.com/" TargetMode="External" Id="rId2"/><Relationship Type="http://schemas.openxmlformats.org/officeDocument/2006/relationships/hyperlink" Target="https://myasiamed.com/" TargetMode="External" Id="rId3"/><Relationship Type="http://schemas.openxmlformats.org/officeDocument/2006/relationships/hyperlink" Target="https://medaid.com.sg/" TargetMode="External" Id="rId4"/><Relationship Type="http://schemas.openxmlformats.org/officeDocument/2006/relationships/hyperlink" Target="https://smitechasia.com.sg/" TargetMode="External" Id="rId5"/><Relationship Type="http://schemas.openxmlformats.org/officeDocument/2006/relationships/hyperlink" Target="https://www.somnotec.net/" TargetMode="External" Id="rId6"/><Relationship Type="http://schemas.openxmlformats.org/officeDocument/2006/relationships/hyperlink" Target="https://www.transmedicgroup.com/" TargetMode="External" Id="rId7"/><Relationship Type="http://schemas.openxmlformats.org/officeDocument/2006/relationships/hyperlink" Target="https://iemedics.com/" TargetMode="External" Id="rId8"/><Relationship Type="http://schemas.openxmlformats.org/officeDocument/2006/relationships/hyperlink" Target="https://www.equipmedical.com.sg/" TargetMode="External" Id="rId9"/><Relationship Type="http://schemas.openxmlformats.org/officeDocument/2006/relationships/hyperlink" Target="https://www.starmedical.com/" TargetMode="External" Id="rId10"/><Relationship Type="http://schemas.openxmlformats.org/officeDocument/2006/relationships/hyperlink" Target="https://www.junnimed.com/" TargetMode="External" Id="rId11"/><Relationship Type="http://schemas.openxmlformats.org/officeDocument/2006/relationships/hyperlink" Target="https://www.optimalmedical.com.sg/" TargetMode="External" Id="rId12"/><Relationship Type="http://schemas.openxmlformats.org/officeDocument/2006/relationships/hyperlink" Target="https://medquest.com.sg/" TargetMode="External" Id="rId13"/><Relationship Type="http://schemas.openxmlformats.org/officeDocument/2006/relationships/hyperlink" Target="https://eo.com.sg/" TargetMode="External" Id="rId14"/><Relationship Type="http://schemas.openxmlformats.org/officeDocument/2006/relationships/hyperlink" Target="https://arqon.com/" TargetMode="External" Id="rId15"/><Relationship Type="http://schemas.openxmlformats.org/officeDocument/2006/relationships/hyperlink" Target="https://www.easmed.com/" TargetMode="External" Id="rId16"/><Relationship Type="http://schemas.openxmlformats.org/officeDocument/2006/relationships/hyperlink" Target="https://www.ajjmedtech.com.sg/" TargetMode="External" Id="rId17"/><Relationship Type="http://schemas.openxmlformats.org/officeDocument/2006/relationships/hyperlink" Target="http://www.goldlite.com.sg/" TargetMode="External" Id="rId18"/><Relationship Type="http://schemas.openxmlformats.org/officeDocument/2006/relationships/hyperlink" Target="https://www.qsttech.com/" TargetMode="External" Id="rId19"/><Relationship Type="http://schemas.openxmlformats.org/officeDocument/2006/relationships/hyperlink" Target="https://www.scanmed.com.sg/" TargetMode="External" Id="rId20"/><Relationship Type="http://schemas.openxmlformats.org/officeDocument/2006/relationships/hyperlink" Target="https://www.medicare.com.sg/" TargetMode="External" Id="rId21"/><Relationship Type="http://schemas.openxmlformats.org/officeDocument/2006/relationships/hyperlink" Target="https://www.radiancemed.com.sg/" TargetMode="External" Id="rId22"/><Relationship Type="http://schemas.openxmlformats.org/officeDocument/2006/relationships/hyperlink" Target="https://bluestone-corp.com/" TargetMode="External" Id="rId23"/><Relationship Type="http://schemas.openxmlformats.org/officeDocument/2006/relationships/hyperlink" Target="https://www.fortunascientific.com.sg/" TargetMode="External" Id="rId24"/><Relationship Type="http://schemas.openxmlformats.org/officeDocument/2006/relationships/hyperlink" Target="https://www.idsmed.com/" TargetMode="External" Id="rId25"/><Relationship Type="http://schemas.openxmlformats.org/officeDocument/2006/relationships/hyperlink" Target="http://www.radiationprotection.com.sg/" TargetMode="External" Id="rId26"/><Relationship Type="http://schemas.openxmlformats.org/officeDocument/2006/relationships/hyperlink" Target="http://www.ppm-medical.com.sg/" TargetMode="External" Id="rId27"/><Relationship Type="http://schemas.openxmlformats.org/officeDocument/2006/relationships/hyperlink" Target="https://www.danmedik.com/" TargetMode="External" Id="rId28"/><Relationship Type="http://schemas.openxmlformats.org/officeDocument/2006/relationships/hyperlink" Target="https://www.ksurgical.com/" TargetMode="External" Id="rId29"/><Relationship Type="http://schemas.openxmlformats.org/officeDocument/2006/relationships/hyperlink" Target="http://www.genymedical.com/" TargetMode="External" Id="rId30"/><Relationship Type="http://schemas.openxmlformats.org/officeDocument/2006/relationships/hyperlink" Target="https://v2uhealth.com/" TargetMode="External" Id="rId31"/><Relationship Type="http://schemas.openxmlformats.org/officeDocument/2006/relationships/hyperlink" Target="https://bmec.asia/" TargetMode="External" Id="rId32"/><Relationship Type="http://schemas.openxmlformats.org/officeDocument/2006/relationships/hyperlink" Target="https://innomed.asia/" TargetMode="External" Id="rId33"/><Relationship Type="http://schemas.openxmlformats.org/officeDocument/2006/relationships/hyperlink" Target="https://www.donshudar.com/" TargetMode="External" Id="rId34"/><Relationship Type="http://schemas.openxmlformats.org/officeDocument/2006/relationships/hyperlink" Target="https://novatech.sg/" TargetMode="External" Id="rId35"/><Relationship Type="http://schemas.openxmlformats.org/officeDocument/2006/relationships/hyperlink" Target="https://unimed.com.sg/" TargetMode="External" Id="rId36"/><Relationship Type="http://schemas.openxmlformats.org/officeDocument/2006/relationships/hyperlink" Target="https://www.lifeline.com.sg/" TargetMode="External" Id="rId37"/><Relationship Type="http://schemas.openxmlformats.org/officeDocument/2006/relationships/hyperlink" Target="https://lozon.com.sg/" TargetMode="External" Id="rId38"/><Relationship Type="http://schemas.openxmlformats.org/officeDocument/2006/relationships/hyperlink" Target="https://sagehealthcare.sg/" TargetMode="External" Id="rId39"/><Relationship Type="http://schemas.openxmlformats.org/officeDocument/2006/relationships/hyperlink" Target="https://www.asiamedical.com.sg/" TargetMode="External" Id="rId40"/><Relationship Type="http://schemas.openxmlformats.org/officeDocument/2006/relationships/hyperlink" Target="https://ksa.kromax.com/" TargetMode="External" Id="rId41"/><Relationship Type="http://schemas.openxmlformats.org/officeDocument/2006/relationships/hyperlink" Target="https://kingsmed.com.sg/" TargetMode="External" Id="rId42"/><Relationship Type="http://schemas.openxmlformats.org/officeDocument/2006/relationships/hyperlink" Target="https://devicetechnologies.asia/" TargetMode="External" Id="rId43"/><Relationship Type="http://schemas.openxmlformats.org/officeDocument/2006/relationships/hyperlink" Target="https://www.dksh.com/" TargetMode="External" Id="rId44"/><Relationship Type="http://schemas.openxmlformats.org/officeDocument/2006/relationships/hyperlink" Target="https://umedic.com.sg/" TargetMode="External" Id="rId45"/><Relationship Type="http://schemas.openxmlformats.org/officeDocument/2006/relationships/hyperlink" Target="https://www.aerasmedical.com/" TargetMode="External" Id="rId46"/><Relationship Type="http://schemas.openxmlformats.org/officeDocument/2006/relationships/hyperlink" Target="https://www.absolutems.com.sg/" TargetMode="External" Id="rId47"/><Relationship Type="http://schemas.openxmlformats.org/officeDocument/2006/relationships/hyperlink" Target="https://biomedglobal.com/" TargetMode="External" Id="rId48"/><Relationship Type="http://schemas.openxmlformats.org/officeDocument/2006/relationships/hyperlink" Target="https://www.biomediaholdings.com/" TargetMode="External" Id="rId49"/><Relationship Type="http://schemas.openxmlformats.org/officeDocument/2006/relationships/hyperlink" Target="https://www.ri.com.sg/" TargetMode="External" Id="rId50"/><Relationship Type="http://schemas.openxmlformats.org/officeDocument/2006/relationships/hyperlink" Target="https://www.alleights.com/" TargetMode="External" Id="rId51"/><Relationship Type="http://schemas.openxmlformats.org/officeDocument/2006/relationships/hyperlink" Target="http://www.apexpharmacy.com.sg/" TargetMode="External" Id="rId52"/><Relationship Type="http://schemas.openxmlformats.org/officeDocument/2006/relationships/hyperlink" Target="https://alcare.sg/" TargetMode="External" Id="rId53"/><Relationship Type="http://schemas.openxmlformats.org/officeDocument/2006/relationships/hyperlink" Target="https://www.yms.com.sg/" TargetMode="External" Id="rId54"/><Relationship Type="http://schemas.openxmlformats.org/officeDocument/2006/relationships/hyperlink" Target="https://alphamed.com.sg/" TargetMode="External" Id="rId55"/><Relationship Type="http://schemas.openxmlformats.org/officeDocument/2006/relationships/hyperlink" Target="https://assistedliving.com.sg/" TargetMode="External" Id="rId56"/><Relationship Type="http://schemas.openxmlformats.org/officeDocument/2006/relationships/hyperlink" Target="https://anachem.com.sg/" TargetMode="External" Id="rId57"/><Relationship Type="http://schemas.openxmlformats.org/officeDocument/2006/relationships/hyperlink" Target="https://aptcare.org/" TargetMode="External" Id="rId58"/><Relationship Type="http://schemas.openxmlformats.org/officeDocument/2006/relationships/hyperlink" Target="https://www.alpha-healthasia.com/" TargetMode="External" Id="rId59"/><Relationship Type="http://schemas.openxmlformats.org/officeDocument/2006/relationships/hyperlink" Target="https://www.astameyer.sg/" TargetMode="External" Id="rId60"/><Relationship Type="http://schemas.openxmlformats.org/officeDocument/2006/relationships/hyperlink" Target="https://nainamohamed.com/" TargetMode="External" Id="rId61"/><Relationship Type="http://schemas.openxmlformats.org/officeDocument/2006/relationships/hyperlink" Target="https://neoasiagroup.com/" TargetMode="External" Id="rId62"/><Relationship Type="http://schemas.openxmlformats.org/officeDocument/2006/relationships/hyperlink" Target="https://practicalmediscience.sg/" TargetMode="External" Id="rId63"/><Relationship Type="http://schemas.openxmlformats.org/officeDocument/2006/relationships/hyperlink" Target="https://www.its-sciencemedical.com/" TargetMode="External" Id="rId64"/><Relationship Type="http://schemas.openxmlformats.org/officeDocument/2006/relationships/hyperlink" Target="http://medvance.com.sg/" TargetMode="External" Id="rId65"/><Relationship Type="http://schemas.openxmlformats.org/officeDocument/2006/relationships/hyperlink" Target="http://metrohealth.com.sg/" TargetMode="External" Id="rId66"/><Relationship Type="http://schemas.openxmlformats.org/officeDocument/2006/relationships/hyperlink" Target="http://www.biomedix.com.sg/" TargetMode="External" Id="rId67"/><Relationship Type="http://schemas.openxmlformats.org/officeDocument/2006/relationships/hyperlink" Target="https://www.htmmedico.com.sg/" TargetMode="External" Id="rId68"/><Relationship Type="http://schemas.openxmlformats.org/officeDocument/2006/relationships/hyperlink" Target="https://www.medpromedicalsupplies.com/" TargetMode="External" Id="rId69"/><Relationship Type="http://schemas.openxmlformats.org/officeDocument/2006/relationships/hyperlink" Target="https://www.globalhealthcare.sg/" TargetMode="External" Id="rId70"/><Relationship Type="http://schemas.openxmlformats.org/officeDocument/2006/relationships/hyperlink" Target="https://www.e-xclusif.com/" TargetMode="External" Id="rId71"/><Relationship Type="http://schemas.openxmlformats.org/officeDocument/2006/relationships/hyperlink" Target="https://www.bovis.com.sg/" TargetMode="External" Id="rId72"/><Relationship Type="http://schemas.openxmlformats.org/officeDocument/2006/relationships/hyperlink" Target="https://bestech.com.sg/" TargetMode="External" Id="rId73"/><Relationship Type="http://schemas.openxmlformats.org/officeDocument/2006/relationships/hyperlink" Target="https://www.medicare-l-tac.com.sg/" TargetMode="External" Id="rId74"/><Relationship Type="http://schemas.openxmlformats.org/officeDocument/2006/relationships/hyperlink" Target="https://zowacare.com/" TargetMode="External" Id="rId75"/><Relationship Type="http://schemas.openxmlformats.org/officeDocument/2006/relationships/hyperlink" Target="https://labivf.com/" TargetMode="External" Id="rId76"/><Relationship Type="http://schemas.openxmlformats.org/officeDocument/2006/relationships/hyperlink" Target="https://www.joysonpl.com/" TargetMode="External" Id="rId77"/><Relationship Type="http://schemas.openxmlformats.org/officeDocument/2006/relationships/hyperlink" Target="https://www.rainbowcare.com.sg/" TargetMode="External" Id="rId78"/><Relationship Type="http://schemas.openxmlformats.org/officeDocument/2006/relationships/hyperlink" Target="https://www.gemstech.com.sg/" TargetMode="External" Id="rId79"/><Relationship Type="http://schemas.openxmlformats.org/officeDocument/2006/relationships/hyperlink" Target="https://www.charleswembley.sg/" TargetMode="External" Id="rId80"/><Relationship Type="http://schemas.openxmlformats.org/officeDocument/2006/relationships/hyperlink" Target="https://medi-sg.com/" TargetMode="External" Id="rId81"/><Relationship Type="http://schemas.openxmlformats.org/officeDocument/2006/relationships/hyperlink" Target="http://mediwellenterprise.com/" TargetMode="External" Id="rId82"/><Relationship Type="http://schemas.openxmlformats.org/officeDocument/2006/relationships/hyperlink" Target="http://www.seattle.com.sg/" TargetMode="External" Id="rId83"/><Relationship Type="http://schemas.openxmlformats.org/officeDocument/2006/relationships/hyperlink" Target="https://walentec.com/" TargetMode="External" Id="rId84"/><Relationship Type="http://schemas.openxmlformats.org/officeDocument/2006/relationships/hyperlink" Target="https://sghomecaremedical.com.sg/" TargetMode="External" Id="rId85"/><Relationship Type="http://schemas.openxmlformats.org/officeDocument/2006/relationships/hyperlink" Target="https://www.medicalsupplies.com.sg/" TargetMode="External" Id="rId86"/><Relationship Type="http://schemas.openxmlformats.org/officeDocument/2006/relationships/hyperlink" Target="https://www.panmalayan.com.sg/" TargetMode="External" Id="rId87"/><Relationship Type="http://schemas.openxmlformats.org/officeDocument/2006/relationships/hyperlink" Target="https://pharmafortegroup.com/" TargetMode="External" Id="rId88"/><Relationship Type="http://schemas.openxmlformats.org/officeDocument/2006/relationships/hyperlink" Target="https://www.firstaid.com.sg/" TargetMode="External" Id="rId89"/><Relationship Type="http://schemas.openxmlformats.org/officeDocument/2006/relationships/hyperlink" Target="https://novadiagnostics.com.sg/" TargetMode="External" Id="rId90"/><Relationship Type="http://schemas.openxmlformats.org/officeDocument/2006/relationships/hyperlink" Target="https://natsaivitalhealth.com/" TargetMode="External" Id="rId91"/><Relationship Type="http://schemas.openxmlformats.org/officeDocument/2006/relationships/hyperlink" Target="https://www.mandarinoptomedic.com/" TargetMode="External" Id="rId92"/><Relationship Type="http://schemas.openxmlformats.org/officeDocument/2006/relationships/hyperlink" Target="https://rehabmart.com.sg/" TargetMode="External" Id="rId93"/><Relationship Type="http://schemas.openxmlformats.org/officeDocument/2006/relationships/hyperlink" Target="https://rehabshop.com.sg/" TargetMode="External" Id="rId94"/><Relationship Type="http://schemas.openxmlformats.org/officeDocument/2006/relationships/hyperlink" Target="http://leedon.com/" TargetMode="External" Id="rId95"/><Relationship Type="http://schemas.openxmlformats.org/officeDocument/2006/relationships/hyperlink" Target="https://www.emesh.com.sg/" TargetMode="External" Id="rId96"/><Relationship Type="http://schemas.openxmlformats.org/officeDocument/2006/relationships/hyperlink" Target="https://kenda.net/" TargetMode="External" Id="rId97"/><Relationship Type="http://schemas.openxmlformats.org/officeDocument/2006/relationships/hyperlink" Target="https://www.sii.com.sg/" TargetMode="External" Id="rId98"/><Relationship Type="http://schemas.openxmlformats.org/officeDocument/2006/relationships/hyperlink" Target="https://www.omegascientific.com.sg/" TargetMode="External" Id="rId99"/><Relationship Type="http://schemas.openxmlformats.org/officeDocument/2006/relationships/hyperlink" Target="https://www.singaporeambulance.com/" TargetMode="External" Id="rId100"/><Relationship Type="http://schemas.openxmlformats.org/officeDocument/2006/relationships/hyperlink" Target="https://hygeian.com.sg/" TargetMode="External" Id="rId101"/><Relationship Type="http://schemas.openxmlformats.org/officeDocument/2006/relationships/hyperlink" Target="https://www.integratif.com.sg/" TargetMode="External" Id="rId102"/><Relationship Type="http://schemas.openxmlformats.org/officeDocument/2006/relationships/hyperlink" Target="https://www.luencheonghong.com/" TargetMode="External" Id="rId103"/><Relationship Type="http://schemas.openxmlformats.org/officeDocument/2006/relationships/hyperlink" Target="https://www.neotecmedical.com/" TargetMode="External" Id="rId104"/><Relationship Type="http://schemas.openxmlformats.org/officeDocument/2006/relationships/hyperlink" Target="https://www.sterilmedical.com/" TargetMode="External" Id="rId105"/><Relationship Type="http://schemas.openxmlformats.org/officeDocument/2006/relationships/hyperlink" Target="https://qmtsafety.com/" TargetMode="External" Id="rId106"/><Relationship Type="http://schemas.openxmlformats.org/officeDocument/2006/relationships/hyperlink" Target="https://www.premierdiagnostics.com.my/" TargetMode="External" Id="rId107"/><Relationship Type="http://schemas.openxmlformats.org/officeDocument/2006/relationships/hyperlink" Target="http://www.optosystems.com.sg/" TargetMode="External" Id="rId108"/><Relationship Type="http://schemas.openxmlformats.org/officeDocument/2006/relationships/hyperlink" Target="https://www.zuelligpharma.com/" TargetMode="External" Id="rId109"/><Relationship Type="http://schemas.openxmlformats.org/officeDocument/2006/relationships/hyperlink" Target="https://meditechasia.com/" TargetMode="External" Id="rId110"/><Relationship Type="http://schemas.openxmlformats.org/officeDocument/2006/relationships/hyperlink" Target="http://nuvenmedica.com/" TargetMode="External" Id="rId111"/><Relationship Type="http://schemas.openxmlformats.org/officeDocument/2006/relationships/hyperlink" Target="https://ucbiosciences.com/" TargetMode="External" Id="rId112"/><Relationship Type="http://schemas.openxmlformats.org/officeDocument/2006/relationships/hyperlink" Target="https://appsystems.com.sg/" TargetMode="External" Id="rId113"/><Relationship Type="http://schemas.openxmlformats.org/officeDocument/2006/relationships/hyperlink" Target="https://www.asiateck.com.sg/" TargetMode="External" Id="rId114"/><Relationship Type="http://schemas.openxmlformats.org/officeDocument/2006/relationships/hyperlink" Target="https://www.advancetriton.com/" TargetMode="External" Id="rId115"/><Relationship Type="http://schemas.openxmlformats.org/officeDocument/2006/relationships/hyperlink" Target="https://alliance-biomed.com/" TargetMode="External" Id="rId116"/><Relationship Type="http://schemas.openxmlformats.org/officeDocument/2006/relationships/hyperlink" Target="https://data.gov.sg/datasets/d_8cfe111e0a5a5cf5b598e78851e58ad4/view" TargetMode="External" Id="rId117"/><Relationship Type="http://schemas.openxmlformats.org/officeDocument/2006/relationships/hyperlink" Target="https://www.med-match.ai/distributors/singapore" TargetMode="External" Id="rId118"/><Relationship Type="http://schemas.openxmlformats.org/officeDocument/2006/relationships/hyperlink" Target="https://pharmchoices.com/list-of-medical-equipment-suppliers-in-singapore/" TargetMode="External" Id="rId119"/><Relationship Type="http://schemas.openxmlformats.org/officeDocument/2006/relationships/hyperlink" Target="https://www.singaporemedtech.com/company-listing/" TargetMode="External" Id="rId120"/><Relationship Type="http://schemas.openxmlformats.org/officeDocument/2006/relationships/hyperlink" Target="https://www.shimadzu.com.sg/" TargetMode="External" Id="rId121"/><Relationship Type="http://schemas.openxmlformats.org/officeDocument/2006/relationships/hyperlink" Target="https://www.carestream.com/" TargetMode="External" Id="rId122"/><Relationship Type="http://schemas.openxmlformats.org/officeDocument/2006/relationships/hyperlink" Target="https://www.gehealthcare.com/" TargetMode="External" Id="rId123"/><Relationship Type="http://schemas.openxmlformats.org/officeDocument/2006/relationships/hyperlink" Target="https://www.philips.com.sg/" TargetMode="External" Id="rId124"/><Relationship Type="http://schemas.openxmlformats.org/officeDocument/2006/relationships/hyperlink" Target="https://www.siemens-healthineers.com/sg" TargetMode="External" Id="rId125"/><Relationship Type="http://schemas.openxmlformats.org/officeDocument/2006/relationships/hyperlink" Target="https://www.samsungmedison.com/" TargetMode="External" Id="rId126"/><Relationship Type="http://schemas.openxmlformats.org/officeDocument/2006/relationships/hyperlink" Target="https://www.ajjmedtech.com.sg/" TargetMode="External" Id="rId127"/><Relationship Type="http://schemas.openxmlformats.org/officeDocument/2006/relationships/hyperlink" Target="https://www.mindray.com/" TargetMode="External" Id="rId128"/><Relationship Type="http://schemas.openxmlformats.org/officeDocument/2006/relationships/hyperlink" Target="https://www.sonoscape.com/" TargetMode="External" Id="rId129"/><Relationship Type="http://schemas.openxmlformats.org/officeDocument/2006/relationships/hyperlink" Target="https://www.fujifilm.com/sg" TargetMode="External" Id="rId130"/><Relationship Type="http://schemas.openxmlformats.org/officeDocument/2006/relationships/hyperlink" Target="https://sg.medical.canon/" TargetMode="External" Id="rId131"/><Relationship Type="http://schemas.openxmlformats.org/officeDocument/2006/relationships/hyperlink" Target="https://www.agfahealthcare.com/" TargetMode="External" Id="rId132"/></Relationships>
</file>

<file path=xl/worksheets/_rels/sheet15.xml.rels><Relationships xmlns="http://schemas.openxmlformats.org/package/2006/relationships"><Relationship Type="http://schemas.openxmlformats.org/officeDocument/2006/relationships/hyperlink" Target="https://www.luma.sg/" TargetMode="External" Id="rId1"/><Relationship Type="http://schemas.openxmlformats.org/officeDocument/2006/relationships/hyperlink" Target="https://andrewleebreastclinic.sg/" TargetMode="External" Id="rId2"/><Relationship Type="http://schemas.openxmlformats.org/officeDocument/2006/relationships/hyperlink" Target="https://www.berthawoonsurgery.com.sg/" TargetMode="External" Id="rId3"/><Relationship Type="http://schemas.openxmlformats.org/officeDocument/2006/relationships/hyperlink" Target="http://www.hoeahleong.sg/" TargetMode="External" Id="rId4"/><Relationship Type="http://schemas.openxmlformats.org/officeDocument/2006/relationships/hyperlink" Target="https://thebreastclinic.sg/" TargetMode="External" Id="rId5"/><Relationship Type="http://schemas.openxmlformats.org/officeDocument/2006/relationships/hyperlink" Target="https://cctansurgery.com.sg/" TargetMode="External" Id="rId6"/><Relationship Type="http://schemas.openxmlformats.org/officeDocument/2006/relationships/hyperlink" Target="https://www.drjjcheegynae.com/" TargetMode="External" Id="rId7"/><Relationship Type="http://schemas.openxmlformats.org/officeDocument/2006/relationships/hyperlink" Target="https://www.fredakhooclinic.com/" TargetMode="External" Id="rId8"/><Relationship Type="http://schemas.openxmlformats.org/officeDocument/2006/relationships/hyperlink" Target="https://www.gynaemd.com.sg/" TargetMode="External" Id="rId9"/><Relationship Type="http://schemas.openxmlformats.org/officeDocument/2006/relationships/hyperlink" Target="https://www.gynaemdclementi.com.sg/" TargetMode="External" Id="rId10"/><Relationship Type="http://schemas.openxmlformats.org/officeDocument/2006/relationships/hyperlink" Target="https://www.ireneandjonclinic.com/" TargetMode="External" Id="rId11"/><Relationship Type="http://schemas.openxmlformats.org/officeDocument/2006/relationships/hyperlink" Target="https://www.drdharsh.com/" TargetMode="External" Id="rId12"/><Relationship Type="http://schemas.openxmlformats.org/officeDocument/2006/relationships/hyperlink" Target="https://www.slgohclinic.com/" TargetMode="External" Id="rId13"/><Relationship Type="http://schemas.openxmlformats.org/officeDocument/2006/relationships/hyperlink" Target="https://www.thegynaelink.com/" TargetMode="External" Id="rId14"/><Relationship Type="http://schemas.openxmlformats.org/officeDocument/2006/relationships/hyperlink" Target="https://www.obgyncentre.sg/" TargetMode="External" Id="rId15"/><Relationship Type="http://schemas.openxmlformats.org/officeDocument/2006/relationships/hyperlink" Target="https://weiweiclinic.com/" TargetMode="External" Id="rId16"/><Relationship Type="http://schemas.openxmlformats.org/officeDocument/2006/relationships/hyperlink" Target="https://www.swcmedicalgroup.com/" TargetMode="External" Id="rId17"/><Relationship Type="http://schemas.openxmlformats.org/officeDocument/2006/relationships/hyperlink" Target="https://ogclinic.com.sg/" TargetMode="External" Id="rId18"/><Relationship Type="http://schemas.openxmlformats.org/officeDocument/2006/relationships/hyperlink" Target="https://www.alphaspecialists.com.sg/" TargetMode="External" Id="rId19"/><Relationship Type="http://schemas.openxmlformats.org/officeDocument/2006/relationships/hyperlink" Target="https://www.healthfertility.com.sg/" TargetMode="External" Id="rId20"/><Relationship Type="http://schemas.openxmlformats.org/officeDocument/2006/relationships/hyperlink" Target="https://www.asiamedic.com.sg/" TargetMode="External" Id="rId21"/><Relationship Type="http://schemas.openxmlformats.org/officeDocument/2006/relationships/hyperlink" Target="https://atamed.sg/" TargetMode="External" Id="rId22"/><Relationship Type="http://schemas.openxmlformats.org/officeDocument/2006/relationships/hyperlink" Target="https://mediwaymedical.com/" TargetMode="External" Id="rId23"/><Relationship Type="http://schemas.openxmlformats.org/officeDocument/2006/relationships/hyperlink" Target="https://www.singaporesports.sg/" TargetMode="External" Id="rId24"/><Relationship Type="http://schemas.openxmlformats.org/officeDocument/2006/relationships/hyperlink" Target="https://www.triaxisclinic.com/" TargetMode="External" Id="rId25"/><Relationship Type="http://schemas.openxmlformats.org/officeDocument/2006/relationships/hyperlink" Target="https://ortho-intl.com/" TargetMode="External" Id="rId26"/><Relationship Type="http://schemas.openxmlformats.org/officeDocument/2006/relationships/hyperlink" Target="https://sportsin.com/" TargetMode="External" Id="rId27"/><Relationship Type="http://schemas.openxmlformats.org/officeDocument/2006/relationships/hyperlink" Target="https://specialistortho.com.sg/" TargetMode="External" Id="rId28"/><Relationship Type="http://schemas.openxmlformats.org/officeDocument/2006/relationships/hyperlink" Target="https://spireortho.com.sg/" TargetMode="External" Id="rId29"/><Relationship Type="http://schemas.openxmlformats.org/officeDocument/2006/relationships/hyperlink" Target="https://drdennisng.asianhealthcare.com.sg/" TargetMode="External" Id="rId30"/><Relationship Type="http://schemas.openxmlformats.org/officeDocument/2006/relationships/hyperlink" Target="https://totalorthopaedic.com.sg/" TargetMode="External" Id="rId31"/><Relationship Type="http://schemas.openxmlformats.org/officeDocument/2006/relationships/hyperlink" Target="https://www.drchristopherliu.com/" TargetMode="External" Id="rId32"/><Relationship Type="http://schemas.openxmlformats.org/officeDocument/2006/relationships/hyperlink" Target="https://apicarepain.com/" TargetMode="External" Id="rId33"/><Relationship Type="http://schemas.openxmlformats.org/officeDocument/2006/relationships/hyperlink" Target="https://sgpaincare.com/" TargetMode="External" Id="rId34"/><Relationship Type="http://schemas.openxmlformats.org/officeDocument/2006/relationships/hyperlink" Target="https://www.drdesmondooi.com.sg/" TargetMode="External" Id="rId35"/><Relationship Type="http://schemas.openxmlformats.org/officeDocument/2006/relationships/hyperlink" Target="https://www.drandrewchoong.com/" TargetMode="External" Id="rId36"/><Relationship Type="http://schemas.openxmlformats.org/officeDocument/2006/relationships/hyperlink" Target="https://drdarryllim.com/" TargetMode="External" Id="rId37"/><Relationship Type="http://schemas.openxmlformats.org/officeDocument/2006/relationships/hyperlink" Target="https://spectrum-surgery.com/" TargetMode="External" Id="rId38"/><Relationship Type="http://schemas.openxmlformats.org/officeDocument/2006/relationships/hyperlink" Target="https://www.vascularclinic.sg/" TargetMode="External" Id="rId39"/><Relationship Type="http://schemas.openxmlformats.org/officeDocument/2006/relationships/hyperlink" Target="https://www.tvgsc.sg/" TargetMode="External" Id="rId40"/><Relationship Type="http://schemas.openxmlformats.org/officeDocument/2006/relationships/hyperlink" Target="https://www.sgvascularctr.com/" TargetMode="External" Id="rId41"/><Relationship Type="http://schemas.openxmlformats.org/officeDocument/2006/relationships/hyperlink" Target="https://supremevascular.com/" TargetMode="External" Id="rId42"/><Relationship Type="http://schemas.openxmlformats.org/officeDocument/2006/relationships/hyperlink" Target="https://urology.com.sg/" TargetMode="External" Id="rId43"/><Relationship Type="http://schemas.openxmlformats.org/officeDocument/2006/relationships/hyperlink" Target="https://urologycentre.com.sg/" TargetMode="External" Id="rId44"/><Relationship Type="http://schemas.openxmlformats.org/officeDocument/2006/relationships/hyperlink" Target="https://ttwurology.com.sg/" TargetMode="External" Id="rId45"/><Relationship Type="http://schemas.openxmlformats.org/officeDocument/2006/relationships/hyperlink" Target="https://urodoc.sg/" TargetMode="External" Id="rId46"/><Relationship Type="http://schemas.openxmlformats.org/officeDocument/2006/relationships/hyperlink" Target="https://urologysingapore.com/" TargetMode="External" Id="rId47"/><Relationship Type="http://schemas.openxmlformats.org/officeDocument/2006/relationships/hyperlink" Target="https://www.ahg.com.sg/" TargetMode="External" Id="rId48"/><Relationship Type="http://schemas.openxmlformats.org/officeDocument/2006/relationships/hyperlink" Target="https://dcmed.org/" TargetMode="External" Id="rId49"/><Relationship Type="http://schemas.openxmlformats.org/officeDocument/2006/relationships/hyperlink" Target="https://urgentcareathome.sg/" TargetMode="External" Id="rId50"/><Relationship Type="http://schemas.openxmlformats.org/officeDocument/2006/relationships/hyperlink" Target="https://www.radocimaging.com.sg/" TargetMode="External" Id="rId51"/><Relationship Type="http://schemas.openxmlformats.org/officeDocument/2006/relationships/hyperlink" Target="https://www.arden.com.sg/" TargetMode="External" Id="rId52"/><Relationship Type="http://schemas.openxmlformats.org/officeDocument/2006/relationships/hyperlink" Target="https://endocrinologist.com.sg/" TargetMode="External" Id="rId53"/><Relationship Type="http://schemas.openxmlformats.org/officeDocument/2006/relationships/hyperlink" Target="https://www.endocrineharmony.sg/" TargetMode="External" Id="rId54"/><Relationship Type="http://schemas.openxmlformats.org/officeDocument/2006/relationships/hyperlink" Target="https://www.advancedortho.com.sg/" TargetMode="External" Id="rId55"/><Relationship Type="http://schemas.openxmlformats.org/officeDocument/2006/relationships/hyperlink" Target="https://www.drandrewdutton.com/" TargetMode="External" Id="rId56"/><Relationship Type="http://schemas.openxmlformats.org/officeDocument/2006/relationships/hyperlink" Target="https://www.quantumortho.com.sg/" TargetMode="External" Id="rId57"/><Relationship Type="http://schemas.openxmlformats.org/officeDocument/2006/relationships/hyperlink" Target="https://www.femsurgery.com/" TargetMode="External" Id="rId58"/><Relationship Type="http://schemas.openxmlformats.org/officeDocument/2006/relationships/hyperlink" Target="https://www.vascularcentre.com.sg/" TargetMode="External" Id="rId59"/><Relationship Type="http://schemas.openxmlformats.org/officeDocument/2006/relationships/hyperlink" Target="https://charmssingapore.com/" TargetMode="External" Id="rId60"/><Relationship Type="http://schemas.openxmlformats.org/officeDocument/2006/relationships/hyperlink" Target="https://www.handsurgerysingapore.com/" TargetMode="External" Id="rId61"/><Relationship Type="http://schemas.openxmlformats.org/officeDocument/2006/relationships/hyperlink" Target="https://www.dennislim.com.sg/" TargetMode="External" Id="rId62"/><Relationship Type="http://schemas.openxmlformats.org/officeDocument/2006/relationships/hyperlink" Target="https://www.dximaging.com.sg/" TargetMode="External" Id="rId63"/><Relationship Type="http://schemas.openxmlformats.org/officeDocument/2006/relationships/hyperlink" Target="https://www.aiu.sg/" TargetMode="External" Id="rId64"/><Relationship Type="http://schemas.openxmlformats.org/officeDocument/2006/relationships/hyperlink" Target="https://www.theprenatalconsultants.com.sg/" TargetMode="External" Id="rId65"/><Relationship Type="http://schemas.openxmlformats.org/officeDocument/2006/relationships/hyperlink" Target="https://www.drtonytan.com/" TargetMode="External" Id="rId66"/><Relationship Type="http://schemas.openxmlformats.org/officeDocument/2006/relationships/hyperlink" Target="https://www.acufem.com/" TargetMode="External" Id="rId67"/><Relationship Type="http://schemas.openxmlformats.org/officeDocument/2006/relationships/hyperlink" Target="https://www.healthcareforwomen.com.sg/" TargetMode="External" Id="rId68"/><Relationship Type="http://schemas.openxmlformats.org/officeDocument/2006/relationships/hyperlink" Target="https://www.gynaeclinic-surgery.com/" TargetMode="External" Id="rId69"/><Relationship Type="http://schemas.openxmlformats.org/officeDocument/2006/relationships/hyperlink" Target="https://www.ogwomensspecialist.sg/" TargetMode="External" Id="rId70"/><Relationship Type="http://schemas.openxmlformats.org/officeDocument/2006/relationships/hyperlink" Target="https://www.swjen.com.sg/" TargetMode="External" Id="rId71"/><Relationship Type="http://schemas.openxmlformats.org/officeDocument/2006/relationships/hyperlink" Target="https://www.wendywomensclinic.com.sg/" TargetMode="External" Id="rId72"/><Relationship Type="http://schemas.openxmlformats.org/officeDocument/2006/relationships/hyperlink" Target="https://coc.sg/" TargetMode="External" Id="rId73"/><Relationship Type="http://schemas.openxmlformats.org/officeDocument/2006/relationships/hyperlink" Target="https://orthokau.com/" TargetMode="External" Id="rId74"/><Relationship Type="http://schemas.openxmlformats.org/officeDocument/2006/relationships/hyperlink" Target="https://painrelief.com.sg/" TargetMode="External" Id="rId75"/><Relationship Type="http://schemas.openxmlformats.org/officeDocument/2006/relationships/hyperlink" Target="https://www.apexheartclinic.sg/" TargetMode="External" Id="rId76"/><Relationship Type="http://schemas.openxmlformats.org/officeDocument/2006/relationships/hyperlink" Target="https://www.ahvc.com.sg/" TargetMode="External" Id="rId77"/><Relationship Type="http://schemas.openxmlformats.org/officeDocument/2006/relationships/hyperlink" Target="https://drgerardleongcardiology.com/" TargetMode="External" Id="rId78"/><Relationship Type="http://schemas.openxmlformats.org/officeDocument/2006/relationships/hyperlink" Target="https://heartmatters.com.sg/" TargetMode="External" Id="rId79"/><Relationship Type="http://schemas.openxmlformats.org/officeDocument/2006/relationships/hyperlink" Target="https://www.novenaheartcentre.com.sg/" TargetMode="External" Id="rId80"/><Relationship Type="http://schemas.openxmlformats.org/officeDocument/2006/relationships/hyperlink" Target="https://cardiology.com.sg/" TargetMode="External" Id="rId81"/><Relationship Type="http://schemas.openxmlformats.org/officeDocument/2006/relationships/hyperlink" Target="https://www.harleystreet.sg/" TargetMode="External" Id="rId82"/><Relationship Type="http://schemas.openxmlformats.org/officeDocument/2006/relationships/hyperlink" Target="https://heartpractice.sg/" TargetMode="External" Id="rId83"/><Relationship Type="http://schemas.openxmlformats.org/officeDocument/2006/relationships/hyperlink" Target="https://aarc.sg/" TargetMode="External" Id="rId84"/><Relationship Type="http://schemas.openxmlformats.org/officeDocument/2006/relationships/hyperlink" Target="https://elimrheumaticcentre.com/" TargetMode="External" Id="rId85"/><Relationship Type="http://schemas.openxmlformats.org/officeDocument/2006/relationships/hyperlink" Target="https://www.leongkenghong.com/" TargetMode="External" Id="rId86"/><Relationship Type="http://schemas.openxmlformats.org/officeDocument/2006/relationships/hyperlink" Target="https://www.pngurology.com.sg/" TargetMode="External" Id="rId87"/><Relationship Type="http://schemas.openxmlformats.org/officeDocument/2006/relationships/hyperlink" Target="https://alphagastro.sg/" TargetMode="External" Id="rId88"/><Relationship Type="http://schemas.openxmlformats.org/officeDocument/2006/relationships/hyperlink" Target="https://www.juandaleogastroliver.sg/" TargetMode="External" Id="rId89"/><Relationship Type="http://schemas.openxmlformats.org/officeDocument/2006/relationships/hyperlink" Target="https://www.kieronlimgastro.com.sg/" TargetMode="External" Id="rId90"/><Relationship Type="http://schemas.openxmlformats.org/officeDocument/2006/relationships/hyperlink" Target="https://jaga-me.com/" TargetMode="External" Id="rId91"/><Relationship Type="http://schemas.openxmlformats.org/officeDocument/2006/relationships/hyperlink" Target="https://hop.sg/" TargetMode="External" Id="rId92"/><Relationship Type="http://schemas.openxmlformats.org/officeDocument/2006/relationships/hyperlink" Target="https://www.orthopaedics.com.sg/" TargetMode="External" Id="rId93"/><Relationship Type="http://schemas.openxmlformats.org/officeDocument/2006/relationships/hyperlink" Target="https://www.farrerpark.com/Services/our-facilities/detail.html?id=12" TargetMode="External" Id="rId94"/><Relationship Type="http://schemas.openxmlformats.org/officeDocument/2006/relationships/hyperlink" Target="https://www.gleneagles.com.sg/24hr-urgent-care-centre/overview" TargetMode="External" Id="rId95"/><Relationship Type="http://schemas.openxmlformats.org/officeDocument/2006/relationships/hyperlink" Target="https://mtalvernia.sg/clinical_services/24hr-urgent-care-centre/" TargetMode="External" Id="rId96"/><Relationship Type="http://schemas.openxmlformats.org/officeDocument/2006/relationships/hyperlink" Target="https://www.mountelizabeth.com.sg/24hr-urgent-care-centre/overview" TargetMode="External" Id="rId97"/><Relationship Type="http://schemas.openxmlformats.org/officeDocument/2006/relationships/hyperlink" Target="https://www.parkwayeast.com.sg/24hr-urgent-care-centre/overview" TargetMode="External" Id="rId98"/><Relationship Type="http://schemas.openxmlformats.org/officeDocument/2006/relationships/hyperlink" Target="https://www.thomsonmedical.com/centres/urgent-care-centre" TargetMode="External" Id="rId99"/><Relationship Type="http://schemas.openxmlformats.org/officeDocument/2006/relationships/hyperlink" Target="https://firstlinedialysis.sg/" TargetMode="External" Id="rId100"/><Relationship Type="http://schemas.openxmlformats.org/officeDocument/2006/relationships/hyperlink" Target="https://renaldc.com/" TargetMode="External" Id="rId101"/><Relationship Type="http://schemas.openxmlformats.org/officeDocument/2006/relationships/hyperlink" Target="https://sicm.org.sg/" TargetMode="External" Id="rId102"/><Relationship Type="http://schemas.openxmlformats.org/officeDocument/2006/relationships/hyperlink" Target="https://royal-healthcare.com/" TargetMode="External" Id="rId103"/><Relationship Type="http://schemas.openxmlformats.org/officeDocument/2006/relationships/hyperlink" Target="https://www.leslietayheart.com.sg/" TargetMode="External" Id="rId104"/><Relationship Type="http://schemas.openxmlformats.org/officeDocument/2006/relationships/hyperlink" Target="https://www.theheartspecialistclinic.com/" TargetMode="External" Id="rId105"/><Relationship Type="http://schemas.openxmlformats.org/officeDocument/2006/relationships/hyperlink" Target="https://aliveomedical.com/" TargetMode="External" Id="rId106"/><Relationship Type="http://schemas.openxmlformats.org/officeDocument/2006/relationships/hyperlink" Target="https://www.tsbclinic.com/" TargetMode="External" Id="rId107"/><Relationship Type="http://schemas.openxmlformats.org/officeDocument/2006/relationships/hyperlink" Target="https://novenamedicalcenter.com/our-clinics/rosalind-chong-clinsurg-for-women/" TargetMode="External" Id="rId108"/><Relationship Type="http://schemas.openxmlformats.org/officeDocument/2006/relationships/hyperlink" Target="https://novenamedicalcenter.com/our-clinics/united-specialist-centre/" TargetMode="External" Id="rId109"/><Relationship Type="http://schemas.openxmlformats.org/officeDocument/2006/relationships/hyperlink" Target="https://www.memc.com.sg/clinic/the-tanglin-clinic-pte-ltd/" TargetMode="External" Id="rId110"/><Relationship Type="http://schemas.openxmlformats.org/officeDocument/2006/relationships/hyperlink" Target="https://novenamedicalcenter.com/our-clinics/thomson-diagnostic-ultrasound-centre/" TargetMode="External" Id="rId111"/><Relationship Type="http://schemas.openxmlformats.org/officeDocument/2006/relationships/hyperlink" Target="https://www.centralclinic.com.sg/" TargetMode="External" Id="rId112"/><Relationship Type="http://schemas.openxmlformats.org/officeDocument/2006/relationships/hyperlink" Target="https://www.unihealthclinic.sg/" TargetMode="External" Id="rId113"/><Relationship Type="http://schemas.openxmlformats.org/officeDocument/2006/relationships/hyperlink" Target="https://beaconmedical.com.sg/" TargetMode="External" Id="rId114"/><Relationship Type="http://schemas.openxmlformats.org/officeDocument/2006/relationships/hyperlink" Target="https://bethesdamedical.com.sg/" TargetMode="External" Id="rId115"/><Relationship Type="http://schemas.openxmlformats.org/officeDocument/2006/relationships/hyperlink" Target="https://phoenixmedical.sg/" TargetMode="External" Id="rId116"/><Relationship Type="http://schemas.openxmlformats.org/officeDocument/2006/relationships/hyperlink" Target="https://www.healthscreeningcentre.sg/" TargetMode="External" Id="rId117"/><Relationship Type="http://schemas.openxmlformats.org/officeDocument/2006/relationships/hyperlink" Target="https://anmedical.com.sg/" TargetMode="External" Id="rId118"/><Relationship Type="http://schemas.openxmlformats.org/officeDocument/2006/relationships/hyperlink" Target="https://www.everhealth.com.sg/" TargetMode="External" Id="rId119"/><Relationship Type="http://schemas.openxmlformats.org/officeDocument/2006/relationships/hyperlink" Target="https://greenhealthmedical.sg/" TargetMode="External" Id="rId120"/><Relationship Type="http://schemas.openxmlformats.org/officeDocument/2006/relationships/hyperlink" Target="https://www.nuffieldmedical.com.sg/" TargetMode="External" Id="rId121"/><Relationship Type="http://schemas.openxmlformats.org/officeDocument/2006/relationships/hyperlink" Target="https://regismedical.com/" TargetMode="External" Id="rId122"/><Relationship Type="http://schemas.openxmlformats.org/officeDocument/2006/relationships/hyperlink" Target="https://www.thedownstairsclinic.com/" TargetMode="External" Id="rId123"/><Relationship Type="http://schemas.openxmlformats.org/officeDocument/2006/relationships/hyperlink" Target="https://www.1doc.sg/" TargetMode="External" Id="rId124"/><Relationship Type="http://schemas.openxmlformats.org/officeDocument/2006/relationships/hyperlink" Target="https://www.onedoctors.com.sg/" TargetMode="External" Id="rId125"/><Relationship Type="http://schemas.openxmlformats.org/officeDocument/2006/relationships/hyperlink" Target="https://pinnaclefamilyclinic.com.sg/" TargetMode="External" Id="rId126"/><Relationship Type="http://schemas.openxmlformats.org/officeDocument/2006/relationships/hyperlink" Target="https://drplus.com.sg/" TargetMode="External" Id="rId127"/><Relationship Type="http://schemas.openxmlformats.org/officeDocument/2006/relationships/hyperlink" Target="https://www.japan-green.com.sg/" TargetMode="External" Id="rId128"/><Relationship Type="http://schemas.openxmlformats.org/officeDocument/2006/relationships/hyperlink" Target="https://kidsclinic.sg/" TargetMode="External" Id="rId129"/><Relationship Type="http://schemas.openxmlformats.org/officeDocument/2006/relationships/hyperlink" Target="https://novi-health.com/" TargetMode="External" Id="rId130"/><Relationship Type="http://schemas.openxmlformats.org/officeDocument/2006/relationships/hyperlink" Target="https://www.inflexionhealth.com.sg/" TargetMode="External" Id="rId131"/><Relationship Type="http://schemas.openxmlformats.org/officeDocument/2006/relationships/hyperlink" Target="https://babystepsmedical.sg/" TargetMode="External" Id="rId132"/><Relationship Type="http://schemas.openxmlformats.org/officeDocument/2006/relationships/hyperlink" Target="https://classpcn.sg/" TargetMode="External" Id="rId133"/><Relationship Type="http://schemas.openxmlformats.org/officeDocument/2006/relationships/hyperlink" Target="https://www.advantagemedical.sg/" TargetMode="External" Id="rId134"/><Relationship Type="http://schemas.openxmlformats.org/officeDocument/2006/relationships/hyperlink" Target="https://alliancemedicalcentre.com.sg/" TargetMode="External" Id="rId135"/><Relationship Type="http://schemas.openxmlformats.org/officeDocument/2006/relationships/hyperlink" Target="https://www.alexandrafamilyclinic.com/" TargetMode="External" Id="rId136"/><Relationship Type="http://schemas.openxmlformats.org/officeDocument/2006/relationships/hyperlink" Target="https://atlasclinic.com.sg/" TargetMode="External" Id="rId137"/><Relationship Type="http://schemas.openxmlformats.org/officeDocument/2006/relationships/hyperlink" Target="https://belfieldmedical.sg/" TargetMode="External" Id="rId138"/><Relationship Type="http://schemas.openxmlformats.org/officeDocument/2006/relationships/hyperlink" Target="https://belief.sg/" TargetMode="External" Id="rId139"/><Relationship Type="http://schemas.openxmlformats.org/officeDocument/2006/relationships/hyperlink" Target="https://www.boeyhollandv.com/" TargetMode="External" Id="rId140"/><Relationship Type="http://schemas.openxmlformats.org/officeDocument/2006/relationships/hyperlink" Target="https://www.changclinicandsurgery.com/" TargetMode="External" Id="rId141"/><Relationship Type="http://schemas.openxmlformats.org/officeDocument/2006/relationships/hyperlink" Target="https://crossroadsfamilyclinic.com.sg/" TargetMode="External" Id="rId142"/><Relationship Type="http://schemas.openxmlformats.org/officeDocument/2006/relationships/hyperlink" Target="https://www.doctorsclinicandsurgery.com/" TargetMode="External" Id="rId143"/><Relationship Type="http://schemas.openxmlformats.org/officeDocument/2006/relationships/hyperlink" Target="https://www.drchuafc.com.sg/" TargetMode="External" Id="rId144"/><Relationship Type="http://schemas.openxmlformats.org/officeDocument/2006/relationships/hyperlink" Target="https://ehajurong.com/" TargetMode="External" Id="rId145"/><Relationship Type="http://schemas.openxmlformats.org/officeDocument/2006/relationships/hyperlink" Target="https://elyonclinic.com.sg/" TargetMode="External" Id="rId146"/><Relationship Type="http://schemas.openxmlformats.org/officeDocument/2006/relationships/hyperlink" Target="https://www.familycareclinic.sg/" TargetMode="External" Id="rId147"/><Relationship Type="http://schemas.openxmlformats.org/officeDocument/2006/relationships/hyperlink" Target="https://heartlandfamilyclinic.sg/" TargetMode="External" Id="rId148"/><Relationship Type="http://schemas.openxmlformats.org/officeDocument/2006/relationships/hyperlink" Target="https://www.khfmc.com.sg/" TargetMode="External" Id="rId149"/><Relationship Type="http://schemas.openxmlformats.org/officeDocument/2006/relationships/hyperlink" Target="https://www.kensingtonfamilyclinic.com/" TargetMode="External" Id="rId150"/><Relationship Type="http://schemas.openxmlformats.org/officeDocument/2006/relationships/hyperlink" Target="https://www.medihealthcareclinic.com/" TargetMode="External" Id="rId151"/><Relationship Type="http://schemas.openxmlformats.org/officeDocument/2006/relationships/hyperlink" Target="https://www.medihealth.sg/" TargetMode="External" Id="rId152"/><Relationship Type="http://schemas.openxmlformats.org/officeDocument/2006/relationships/hyperlink" Target="https://mintmedicalcentre.sg/" TargetMode="External" Id="rId153"/><Relationship Type="http://schemas.openxmlformats.org/officeDocument/2006/relationships/hyperlink" Target="https://www.oaklifefamilyclinic.com.sg/" TargetMode="External" Id="rId154"/><Relationship Type="http://schemas.openxmlformats.org/officeDocument/2006/relationships/hyperlink" Target="https://www.oglmedical.com/" TargetMode="External" Id="rId155"/><Relationship Type="http://schemas.openxmlformats.org/officeDocument/2006/relationships/hyperlink" Target="https://panoclinic.sg/" TargetMode="External" Id="rId156"/><Relationship Type="http://schemas.openxmlformats.org/officeDocument/2006/relationships/hyperlink" Target="https://pillayfamilyclinic.com.sg/" TargetMode="External" Id="rId157"/><Relationship Type="http://schemas.openxmlformats.org/officeDocument/2006/relationships/hyperlink" Target="https://www.procaregp.com.sg/" TargetMode="External" Id="rId158"/><Relationship Type="http://schemas.openxmlformats.org/officeDocument/2006/relationships/hyperlink" Target="https://www.riversagefamilyclinic.com/" TargetMode="External" Id="rId159"/><Relationship Type="http://schemas.openxmlformats.org/officeDocument/2006/relationships/hyperlink" Target="https://straitsclinic.sg/" TargetMode="External" Id="rId160"/><Relationship Type="http://schemas.openxmlformats.org/officeDocument/2006/relationships/hyperlink" Target="https://familydoctor.sg/" TargetMode="External" Id="rId161"/><Relationship Type="http://schemas.openxmlformats.org/officeDocument/2006/relationships/hyperlink" Target="https://www.thefamilywellnessclinic-sg.com/" TargetMode="External" Id="rId162"/><Relationship Type="http://schemas.openxmlformats.org/officeDocument/2006/relationships/hyperlink" Target="https://www.yarramedical.com.sg/" TargetMode="External" Id="rId163"/><Relationship Type="http://schemas.openxmlformats.org/officeDocument/2006/relationships/hyperlink" Target="https://punggolgp.com/" TargetMode="External" Id="rId164"/><Relationship Type="http://schemas.openxmlformats.org/officeDocument/2006/relationships/hyperlink" Target="https://www.acumed.com.sg/" TargetMode="External" Id="rId165"/><Relationship Type="http://schemas.openxmlformats.org/officeDocument/2006/relationships/hyperlink" Target="https://www.districtfamilyclinics.com/" TargetMode="External" Id="rId166"/><Relationship Type="http://schemas.openxmlformats.org/officeDocument/2006/relationships/hyperlink" Target="https://www.faircaremedical.com/" TargetMode="External" Id="rId167"/><Relationship Type="http://schemas.openxmlformats.org/officeDocument/2006/relationships/hyperlink" Target="https://healthwerkz.com/" TargetMode="External" Id="rId168"/><Relationship Type="http://schemas.openxmlformats.org/officeDocument/2006/relationships/hyperlink" Target="https://islandfamilyclinic.com/" TargetMode="External" Id="rId169"/><Relationship Type="http://schemas.openxmlformats.org/officeDocument/2006/relationships/hyperlink" Target="https://keystonemedical.com.sg/" TargetMode="External" Id="rId170"/><Relationship Type="http://schemas.openxmlformats.org/officeDocument/2006/relationships/hyperlink" Target="https://www.kindredfamilyclinic.com.sg/" TargetMode="External" Id="rId171"/><Relationship Type="http://schemas.openxmlformats.org/officeDocument/2006/relationships/hyperlink" Target="https://www.mdfamilyclinic.sg/" TargetMode="External" Id="rId172"/><Relationship Type="http://schemas.openxmlformats.org/officeDocument/2006/relationships/hyperlink" Target="https://mydoctorsg.com/" TargetMode="External" Id="rId173"/><Relationship Type="http://schemas.openxmlformats.org/officeDocument/2006/relationships/hyperlink" Target="https://www.ymedicalwellness.com/" TargetMode="External" Id="rId174"/><Relationship Type="http://schemas.openxmlformats.org/officeDocument/2006/relationships/hyperlink" Target="https://peakmedicalsg.com/" TargetMode="External" Id="rId175"/><Relationship Type="http://schemas.openxmlformats.org/officeDocument/2006/relationships/hyperlink" Target="https://trucaremedical.com.sg/" TargetMode="External" Id="rId176"/><Relationship Type="http://schemas.openxmlformats.org/officeDocument/2006/relationships/hyperlink" Target="https://truecareclinic.sg/" TargetMode="External" Id="rId177"/><Relationship Type="http://schemas.openxmlformats.org/officeDocument/2006/relationships/hyperlink" Target="https://www.ultimed.com.sg/" TargetMode="External" Id="rId178"/><Relationship Type="http://schemas.openxmlformats.org/officeDocument/2006/relationships/hyperlink" Target="https://www.vitacaremedical.sg/" TargetMode="External" Id="rId179"/><Relationship Type="http://schemas.openxmlformats.org/officeDocument/2006/relationships/hyperlink" Target="https://www.imc-healthcare.com/" TargetMode="External" Id="rId180"/><Relationship Type="http://schemas.openxmlformats.org/officeDocument/2006/relationships/hyperlink" Target="https://www.nemg.com.sg/" TargetMode="External" Id="rId181"/><Relationship Type="http://schemas.openxmlformats.org/officeDocument/2006/relationships/hyperlink" Target="https://www.sata.com.sg/" TargetMode="External" Id="rId182"/><Relationship Type="http://schemas.openxmlformats.org/officeDocument/2006/relationships/hyperlink" Target="https://ktmc.sg/" TargetMode="External" Id="rId183"/><Relationship Type="http://schemas.openxmlformats.org/officeDocument/2006/relationships/hyperlink" Target="https://www.lionhealth.com.sg/" TargetMode="External" Id="rId184"/><Relationship Type="http://schemas.openxmlformats.org/officeDocument/2006/relationships/hyperlink" Target="https://ntuchealth.sg/family-medicine-clinic" TargetMode="External" Id="rId185"/><Relationship Type="http://schemas.openxmlformats.org/officeDocument/2006/relationships/hyperlink" Target="https://www.icarepcn.com/" TargetMode="External" Id="rId186"/><Relationship Type="http://schemas.openxmlformats.org/officeDocument/2006/relationships/hyperlink" Target="https://www.canarymedicalsg.com/" TargetMode="External" Id="rId187"/><Relationship Type="http://schemas.openxmlformats.org/officeDocument/2006/relationships/hyperlink" Target="https://drjoycepartners.com/" TargetMode="External" Id="rId188"/><Relationship Type="http://schemas.openxmlformats.org/officeDocument/2006/relationships/hyperlink" Target="https://healthcareunited-clinic.com/" TargetMode="External" Id="rId189"/><Relationship Type="http://schemas.openxmlformats.org/officeDocument/2006/relationships/hyperlink" Target="https://www.neesoonclinic.sg/" TargetMode="External" Id="rId190"/><Relationship Type="http://schemas.openxmlformats.org/officeDocument/2006/relationships/hyperlink" Target="https://www.panhealth.com.sg/" TargetMode="External" Id="rId191"/><Relationship Type="http://schemas.openxmlformats.org/officeDocument/2006/relationships/hyperlink" Target="http://tanglinmedicalclinic.com/" TargetMode="External" Id="rId192"/><Relationship Type="http://schemas.openxmlformats.org/officeDocument/2006/relationships/hyperlink" Target="https://www.chongfamilyclinic.com/" TargetMode="External" Id="rId193"/><Relationship Type="http://schemas.openxmlformats.org/officeDocument/2006/relationships/hyperlink" Target="https://www.ehmedical.com.sg/" TargetMode="External" Id="rId194"/><Relationship Type="http://schemas.openxmlformats.org/officeDocument/2006/relationships/hyperlink" Target="https://www.eternmedical.com/" TargetMode="External" Id="rId195"/><Relationship Type="http://schemas.openxmlformats.org/officeDocument/2006/relationships/hyperlink" Target="https://www.healthmark.com.sg/" TargetMode="External" Id="rId196"/><Relationship Type="http://schemas.openxmlformats.org/officeDocument/2006/relationships/hyperlink" Target="https://www.prohealth.sg/" TargetMode="External" Id="rId197"/><Relationship Type="http://schemas.openxmlformats.org/officeDocument/2006/relationships/hyperlink" Target="https://www.icarepcn.com/east" TargetMode="External" Id="rId198"/><Relationship Type="http://schemas.openxmlformats.org/officeDocument/2006/relationships/hyperlink" Target="https://www.icarepcn.com/east" TargetMode="External" Id="rId199"/><Relationship Type="http://schemas.openxmlformats.org/officeDocument/2006/relationships/hyperlink" Target="https://www.gpplus.coop/gp-plus-service-network-public" TargetMode="External" Id="rId200"/><Relationship Type="http://schemas.openxmlformats.org/officeDocument/2006/relationships/hyperlink" Target="https://www.gpplus.coop/gp-plus-service-network-public" TargetMode="External" Id="rId201"/><Relationship Type="http://schemas.openxmlformats.org/officeDocument/2006/relationships/hyperlink" Target="https://www.gpplus.coop/gp-plus-service-network-public" TargetMode="External" Id="rId202"/><Relationship Type="http://schemas.openxmlformats.org/officeDocument/2006/relationships/hyperlink" Target="https://www.gpplus.coop/gp-plus-service-network-public" TargetMode="External" Id="rId203"/><Relationship Type="http://schemas.openxmlformats.org/officeDocument/2006/relationships/hyperlink" Target="https://www.gpplus.coop/gp-plus-service-network-public" TargetMode="External" Id="rId204"/><Relationship Type="http://schemas.openxmlformats.org/officeDocument/2006/relationships/hyperlink" Target="https://www.gpplus.coop/gp-plus-service-network-public" TargetMode="External" Id="rId205"/><Relationship Type="http://schemas.openxmlformats.org/officeDocument/2006/relationships/hyperlink" Target="https://www.gpplus.coop/gp-plus-service-network-public" TargetMode="External" Id="rId206"/><Relationship Type="http://schemas.openxmlformats.org/officeDocument/2006/relationships/hyperlink" Target="https://www.gpplus.coop/gp-plus-service-network-public" TargetMode="External" Id="rId207"/><Relationship Type="http://schemas.openxmlformats.org/officeDocument/2006/relationships/hyperlink" Target="https://www.icarepcn.com/east" TargetMode="External" Id="rId208"/><Relationship Type="http://schemas.openxmlformats.org/officeDocument/2006/relationships/hyperlink" Target="https://www.gpplus.coop/gp-plus-service-network-public" TargetMode="External" Id="rId209"/><Relationship Type="http://schemas.openxmlformats.org/officeDocument/2006/relationships/hyperlink" Target="https://www.gpplus.coop/gp-plus-service-network-public" TargetMode="External" Id="rId210"/><Relationship Type="http://schemas.openxmlformats.org/officeDocument/2006/relationships/hyperlink" Target="https://www.gpplus.coop/gp-plus-service-network-public" TargetMode="External" Id="rId211"/><Relationship Type="http://schemas.openxmlformats.org/officeDocument/2006/relationships/hyperlink" Target="https://www.icarepcn.com/east" TargetMode="External" Id="rId212"/><Relationship Type="http://schemas.openxmlformats.org/officeDocument/2006/relationships/hyperlink" Target="https://mmc.sg/" TargetMode="External" Id="rId213"/></Relationships>
</file>

<file path=xl/worksheets/sheet1.xml><?xml version="1.0" encoding="utf-8"?>
<worksheet xmlns="http://schemas.openxmlformats.org/spreadsheetml/2006/main">
  <sheetPr filterMode="0">
    <tabColor rgb="FF1F3864"/>
    <outlinePr summaryBelow="1" summaryRight="1"/>
    <pageSetUpPr fitToPage="0"/>
  </sheetPr>
  <dimension ref="A1:B111"/>
  <sheetViews>
    <sheetView showFormulas="0" showGridLines="1" showRowColHeaders="1" showZeros="1" rightToLeft="0" tabSelected="0" showOutlineSymbols="1" defaultGridColor="1" view="normal" topLeftCell="B1" colorId="64" zoomScale="100" zoomScaleNormal="100" zoomScalePageLayoutView="100" workbookViewId="0">
      <selection pane="topLeft" activeCell="B7" activeCellId="0" sqref="B7"/>
    </sheetView>
  </sheetViews>
  <sheetFormatPr baseColWidth="8" defaultColWidth="8.66796875" defaultRowHeight="14.25" zeroHeight="0" outlineLevelRow="0"/>
  <cols>
    <col width="22" customWidth="1" style="103" min="1" max="1"/>
    <col width="125" customWidth="1" style="103" min="2" max="2"/>
  </cols>
  <sheetData>
    <row r="1" ht="19.5" customHeight="1" s="104">
      <c r="A1" s="105" t="inlineStr">
        <is>
          <t>CHISON / AstraMed, Market Development Target List v19</t>
        </is>
      </c>
    </row>
    <row r="2" ht="14.25" customHeight="1" s="104">
      <c r="A2" s="106" t="inlineStr">
        <is>
          <t>Dealer model: Taiwan, South Korea, Japan and SINGAPORE. VET tabs per market. Single merged workbook for the DEALER_DIAGNOSTICS folder. v7 issued 3 October 2026.</t>
        </is>
      </c>
    </row>
    <row r="4" ht="14.25" customHeight="1" s="104">
      <c r="A4" s="107" t="inlineStr">
        <is>
          <t>Prepared for</t>
        </is>
      </c>
      <c r="B4" s="108" t="inlineStr">
        <is>
          <t>Casper Tan, Senior Regional Sales Manager — AstraMed Healthcare (CHISON). v1 18 Jul 2026 · v2 7 Aug 2026 · v3 merge 8 Aug 2026.</t>
        </is>
      </c>
    </row>
    <row r="5" ht="48" customHeight="1" s="104">
      <c r="A5" s="107" t="inlineStr">
        <is>
          <t>WHAT v3 IS</t>
        </is>
      </c>
      <c r="B5" s="108" t="inlineStr">
        <is>
          <t>v3 is v2's format with every other file in the DEALER_DIAGNOSTICS folder folded in — nothing from the folder is left outside this workbook. Merged sources: (1) CHISON_Market_Development_Target_List_v2.xlsx — the base format and the TW/KR/JP/SG target tabs; (2) CHISON_LinkedIn_Outreach_Log_6Aug2026.xlsx — Session 2 outreach (21 further invites) + the four VET tabs v2 had dropped; (3) CHISON_Taiwan_Dealer_Targets_v2.xlsx — 59 TFDA-registry Taiwan companies + the relevance changelog + the REF/excluded list; (4) SG Contacts Combined.xlsx — 85 named ALPS / public-healthcare procurement contacts + the ALPS tender-cycle notes.</t>
        </is>
      </c>
    </row>
    <row r="6" ht="72" customHeight="1" s="104">
      <c r="A6" s="107" t="inlineStr">
        <is>
          <t>WHAT CHANGED</t>
        </is>
      </c>
      <c r="B6" s="108" t="inlineStr">
        <is>
          <t>TAIWAN: the TFDA-registry list is merged into the Taiwan Dealers tab. 54 registry companies were new and are appended after the original 59, tier-ordered, tagged 'TFDA registry' in the Source column. 5 companies appeared on both lists (友信行/Unison, 元利儀器, 科林儀器, 埃默高/Emergo, 華鋒科技/Eastech) — these were NOT duplicated; the registry's verified brand, address and website detail was merged into the existing row. LINKEDIN: the log now carries both sessions — 39 invitations sent, not 18. v2's stale 'NEXT SESSION' block was dropped because the 6 Aug session actually completed it (Ubcare, Medius, Ship Healthcare, Yagami, Mutoh all sent); the live queued/blocked list from 6 Aug replaces it. VET: the four VET tabs are restored from the 6 Aug file and reformatted to v2 style with a Pipeline stage column. SINGAPORE: the 85 named ALPS/public-healthcare contacts sit on their own 'Singapore Contacts' tab — they are people, not target organisations, so the org-level Singapore End-Users tab is unchanged.</t>
        </is>
      </c>
    </row>
    <row r="7" ht="60" customHeight="1" s="104">
      <c r="A7" s="107" t="inlineStr">
        <is>
          <t>PRIORITY AUDIT</t>
        </is>
      </c>
      <c r="B7" s="108" t="inlineStr">
        <is>
          <t>v3.0 merged two files whose Tier 1 definitions were incompatible. v2's rule: right segment + scale/service capability + no obvious competing line + a working domain. The TFDA-registry file's rule: 'confirmed ultrasound brand, single/minor line, no deep entrenchment' — which rewards being SMALL and says nothing about capability or reachability. Merging the two tier columns verbatim put six micro-importers and one TPEx-listed competitor (AmCad BioMed) at the top of the Taiwan call list. v3.1 re-scores every registry row against v2's rule, moves AmCad to REF &amp; Excluded, and corrects one Japan row (Green Medical — a used-equipment trader, not a new-brand distributor). 7 changes total, all listed with evidence on the Priority Audit tab, alongside 10 judgements examined and deliberately upheld. Every row on every target tab now carries a 'Priority rationale' cell stating the basis for its tier.</t>
        </is>
      </c>
    </row>
    <row r="8" ht="36" customHeight="1" s="104">
      <c r="A8" s="107" t="inlineStr">
        <is>
          <t>TIER LOGIC</t>
        </is>
      </c>
      <c r="B8" s="108" t="inlineStr">
        <is>
          <t>Tier 1 = contact first: right segment + scale/service capability + no obvious competing ultrasound line (or vet-dedicated channel). Tier 2 = second wave: strong channel but existing competing line to qualify, or fit to confirm. Tier 3 = long tail / niche / channel resources (associations, expos, directories, regulators) used to source more leads. REF = competitor or brand subsidiary — awareness only, NOT an outreach target.</t>
        </is>
      </c>
    </row>
    <row r="9" ht="36" customHeight="1" s="104">
      <c r="A9" s="107" t="inlineStr">
        <is>
          <t>YOUR KEY ASK</t>
        </is>
      </c>
      <c r="B9" s="108" t="inlineStr">
        <is>
          <t>Dealers with radiology / imaging / OR / endoscopy / cardiology / patient-monitoring experience but NO current ultrasound line are marked 'No known US line' in the 'Carries ultrasound?' column — these carry no brand conflict and are flagged Tier 1/2 accordingly. Directory-sourced dealers have unknown line cards: the first qualification question in outreach is exactly this.</t>
        </is>
      </c>
    </row>
    <row r="10" ht="60" customHeight="1" s="104">
      <c r="A10" s="107" t="inlineStr">
        <is>
          <t>PRODUCT COLUMN</t>
        </is>
      </c>
      <c r="B10" s="108" t="inlineStr">
        <is>
          <t>New 'CHISON product focus' column = what to LEAD with per contact, matched to their segment/strength. Portfolio verified on chison.com (Jul 2026) — Carts: SonoPort (new-gen intelligent cart, Apr-26), SonoMax 7 (flagship), XBit 90 (premium), CBit 4/6 (cardio/gyn/radiology mid), QBit 3/5 (value console). Portables: SonoGO (NEW Jul-26, world-first 3-in-1 tablet/laptop/trolley + SonoAI — your freshest demo story), SonoAir 30/70 (lightest laptop), SonoBook 5/9 (workhorse), EBit 50 (value), ECO (budget/B&amp;W), SonoTouch (touch POC). Handheld: SonoEye P3 (ER/ICU/POC) &amp; P5 (phone/pad, high-freq). VET: same platforms with vet presets + micro-convex/linear/rectal probes — chison.com lists SonoEye P3/P5, EBit 50, SonoAir 30/70, SonoBook 5, CBit 4/6, QBit 3/5, XBit 90, SonoMax 7 as vet-suitable. Recommendations are a starting point — confirm configs/probes with HQ before quoting.</t>
        </is>
      </c>
    </row>
    <row r="11" ht="72" customHeight="1" s="104">
      <c r="A11" s="107" t="inlineStr">
        <is>
          <t>SOURCE LEGEND</t>
        </is>
      </c>
      <c r="B11" s="108" t="inlineStr">
        <is>
          <t>Verified site = contact taken from the company's own website. Directory = from an industry registry fetched during research (JAHID/Japan, MFDS eMEDI/Korea, TFDA/Taiwan via MedDeviceGuide; SVA registry/SG vets; TPVMA/Taipei vets) — companies are real and registry-verified, but line cards and current status must be qualified. From search = surfaced in web-search results. Knowledge — verify = well-known company from market knowledge; confirm current details before outreach. TFDA registry = company appears in the Taiwan FDA medical-device registration export (104,100 licence records) filtered to ultrasound diagnostic-imaging categories P.1550 / P.1560 / P.1570 / L.2660 / L.2960 / E.2330; manufacturers registering their own product were excluded, and each remaining manufacturer's actual flagship product was web-verified rather than trusted from the category code alone. Addresses on those rows are registered legal addresses, not necessarily the sales office — confirm before outreach.</t>
        </is>
      </c>
    </row>
    <row r="12" ht="36" customHeight="1" s="104">
      <c r="A12" s="107" t="inlineStr">
        <is>
          <t>HONESTY NOTE</t>
        </is>
      </c>
      <c r="B12" s="108" t="inlineStr">
        <is>
          <t>No contact details are invented. Where phone/email was not verifiable, the cell says 'via website'. Personal names appearing anywhere are leads to confirm, not confirmed decision-makers. Merge integrity: no row was rewritten, re-scored or invented during this merge. Every cell is either carried verbatim from a source file or is a blank-field default ('Not started' pipeline stage, running row number). The only edited cells are on the 5 deduped Taiwan rows, where registry detail was appended to the existing text.</t>
        </is>
      </c>
    </row>
    <row r="13" ht="60" customHeight="1" s="104">
      <c r="A13" s="107" t="inlineStr">
        <is>
          <t>V3 MERGE (prior)</t>
        </is>
      </c>
      <c r="B13" s="108" t="inlineStr">
        <is>
          <t>Your prior 'CHISON_Dealer_List_Asia_v3' has been merged (rows marked 'Prior list v3'). Imported: rows with verifiable websites/phones (e.g., Green Medical &amp; Fair Medical JP, Scanmed/idsMED SG, Soelim/JPI KR, JML/醫影 TW). NOT imported: (a) direct-competitor rows GE/Philips/Siemens/Canon/Mindray/Samsung/Butterfly/Sonoscape etc. — they remain REF-only here; (b) ~35 rows with generic names and every field 'To verify' (e.g., 'Grand Med Technology', 'Medic One Taiwan', 'Finemed', 'Mediflex Japan') — their existence could not be confirmed and they are excluded to keep this an outreach-safe list. Tier-1 website check done: every Tier 1 row now has a working domain (two KR importers with no findable web presence were downgraded to Tier 2).</t>
        </is>
      </c>
    </row>
    <row r="14" ht="36" customHeight="1" s="104">
      <c r="A14" s="107" t="inlineStr">
        <is>
          <t>COVERAGE</t>
        </is>
      </c>
      <c r="B14" s="108" t="inlineStr">
        <is>
          <t>Taiwan dealers 112 · Korea dealers 78 (rebuilt in v5) · Japan dealers 68 · SINGAPORE DEALERS 142 rows, 120 dealer targets (rebuilt in v16) · Singapore end-users 61 (now the pull through account map, not the direct sale list) · Singapore named contacts 85 · Singapore private specialist centres 111 and GP clinics 102 (new Singapore_private tab in v7).</t>
        </is>
      </c>
    </row>
    <row r="15" ht="36" customHeight="1" s="104">
      <c r="A15" s="107" t="inlineStr">
        <is>
          <t>TIER 1 COUNT</t>
        </is>
      </c>
      <c r="B15" s="108" t="inlineStr">
        <is>
          <t>Taiwan 9 · Korea 22 (was 4 in v4) · Japan 13 · Singapore dealers 12 (new). Korea Tier 1 breaks down as 10 rows with contact details read off the company's own page, 3 verified partially, 6 with a live site but no published contact block, and 3 MFDS registry importers held at Tier 1 on import licence capability alone. The CONTACT CONFIDENCE column on the tab tells you which is which.</t>
        </is>
      </c>
    </row>
    <row r="16" ht="24" customHeight="1" s="104">
      <c r="A16" s="107" t="inlineStr">
        <is>
          <t>REGULATORY</t>
        </is>
      </c>
      <c r="B16" s="108" t="inlineStr">
        <is>
          <t>TW: TFDA Class II, local agent plus QSD plus UDI, border checks tightened Mar 2025. KR: MFDS, a licensed importer or Korea Licence Holder is mandatory before any unit ships. JP: PMDA plus a Marketing Authorisation Holder. SG: HSA registration, held by AstraMed as registrant. In every market, relationship, evaluation and KOL work is legitimate before the gate clears; quoting a landed price, promising a delivery date or accepting an order is not.</t>
        </is>
      </c>
    </row>
    <row r="17" ht="24" customHeight="1" s="104">
      <c r="A17" s="107" t="inlineStr">
        <is>
          <t>SUGGESTED SEQUENCE</t>
        </is>
      </c>
      <c r="B17" s="108" t="inlineStr">
        <is>
          <t>Week 1-2: Tier 1 dealers per market (NDA + line-card + service-team check). Week 3-4: Tier 2 + follow-ups. Ongoing: use Tier 3 resources (KIMES, MEDICARE TAIWAN, JAHID, TMBIA member directories) to replenish the funnel. SG direct: start with the multi-site GP chains and O&amp;G groups; public hospitals via GeBIZ tenders in parallel.</t>
        </is>
      </c>
    </row>
    <row r="18" ht="24" customHeight="1" s="104">
      <c r="A18" s="107" t="inlineStr">
        <is>
          <t>SINGAPORE TENDERS</t>
        </is>
      </c>
      <c r="B18" s="108" t="inlineStr">
        <is>
          <t>The 'ALPS Tender Notes' tab carries the ALPS / public-healthcare tender-cycle research verbatim from SG Contacts Combined.xlsx — where tenders are published, the 1 Apr–31 Mar budget rhythm, who inside ALPS runs equipment category strategy, and vendor prerequisites. Read it before working the Singapore Contacts tab.</t>
        </is>
      </c>
    </row>
    <row r="20" ht="24" customHeight="1" s="104">
      <c r="A20" s="107" t="inlineStr">
        <is>
          <t>PIPELINE STAGE</t>
        </is>
      </c>
      <c r="B20" s="108" t="inlineStr">
        <is>
          <t>New column added after the company name on every target tab. Dropdown only — pick a stage and the cell colours itself. Filter on it to pull today's call list. Now present on every target tab in this workbook, including the VET tabs and Singapore Contacts.</t>
        </is>
      </c>
    </row>
    <row r="21" ht="14.25" customHeight="1" s="104">
      <c r="A21" s="107" t="inlineStr">
        <is>
          <t>Not started</t>
        </is>
      </c>
      <c r="B21" s="108" t="inlineStr">
        <is>
          <t>No contact attempted yet — the default for every row.</t>
        </is>
      </c>
    </row>
    <row r="22" ht="14.25" customHeight="1" s="104">
      <c r="A22" s="107" t="inlineStr">
        <is>
          <t>Contacted</t>
        </is>
      </c>
      <c r="B22" s="108" t="inlineStr">
        <is>
          <t>Intro email / LinkedIn / call sent, no reply confirmed yet.</t>
        </is>
      </c>
    </row>
    <row r="23" ht="14.25" customHeight="1" s="104">
      <c r="A23" s="107" t="inlineStr">
        <is>
          <t>Meeting booked</t>
        </is>
      </c>
      <c r="B23" s="108" t="inlineStr">
        <is>
          <t>They responded and a meeting or call is in the diary.</t>
        </is>
      </c>
    </row>
    <row r="24" ht="14.25" customHeight="1" s="104">
      <c r="A24" s="107" t="inlineStr">
        <is>
          <t>Meeting held</t>
        </is>
      </c>
      <c r="B24" s="108" t="inlineStr">
        <is>
          <t>Meeting done — company profiled, needs understood.</t>
        </is>
      </c>
    </row>
    <row r="25" ht="14.25" customHeight="1" s="104">
      <c r="A25" s="107" t="inlineStr">
        <is>
          <t>Evaluation placed</t>
        </is>
      </c>
      <c r="B25" s="108" t="inlineStr">
        <is>
          <t>Demo or trial unit with them, or samples/eval in progress.</t>
        </is>
      </c>
    </row>
    <row r="26" ht="14.25" customHeight="1" s="104">
      <c r="A26" s="107" t="inlineStr">
        <is>
          <t>Quoted</t>
        </is>
      </c>
      <c r="B26" s="108" t="inlineStr">
        <is>
          <t>Formal quotation or distributor terms issued, awaiting decision.</t>
        </is>
      </c>
    </row>
    <row r="27" ht="14.25" customHeight="1" s="104">
      <c r="A27" s="107" t="inlineStr">
        <is>
          <t>Won</t>
        </is>
      </c>
      <c r="B27" s="108" t="inlineStr">
        <is>
          <t>Signed — dealer appointed, or unit sold for a direct end-user.</t>
        </is>
      </c>
    </row>
    <row r="28" ht="14.25" customHeight="1" s="104">
      <c r="A28" s="107" t="inlineStr">
        <is>
          <t>Declined</t>
        </is>
      </c>
      <c r="B28" s="108" t="inlineStr">
        <is>
          <t>They said no, or an incompatible competing line rules them out.</t>
        </is>
      </c>
    </row>
    <row r="29" ht="14.25" customHeight="1" s="104">
      <c r="A29" s="107" t="inlineStr">
        <is>
          <t>Parked</t>
        </is>
      </c>
      <c r="B29" s="108" t="inlineStr">
        <is>
          <t>Right target, wrong timing — revisit at a set future date.</t>
        </is>
      </c>
    </row>
    <row r="31" ht="60" customHeight="1" s="104">
      <c r="A31" s="109" t="inlineStr">
        <is>
          <t>EMAIL COLUMNS (v4)</t>
        </is>
      </c>
      <c r="B31" s="108" t="inlineStr">
        <is>
          <t>Two new columns at the far right of every target tab: 'Email Title' (subject line) and 'Email Body' (full email, ready to copy and paste). Written 8 Aug 2026. One email per row, written against that specific account: its named strength, its existing brand line where known, and the CHISON models positioned to slot into its portfolio. 366 emails across the five target tabs. Nothing in these cells is a template placeholder: no square brackets, no merge fields. Select the cell, copy, paste into your mail client, add your own signature block, send. House style: em dashes and en dashes are not used anywhere in the outbound text, including in text inherited from the source columns. Ordinary hyphens inside compound words and proper names (point-of-care, 3-in-1, Duke-NUS, B-K Medical) are kept, since removing those would break the words.</t>
        </is>
      </c>
    </row>
    <row r="32" ht="72" customHeight="1" s="104">
      <c r="A32" s="109" t="inlineStr">
        <is>
          <t>HOW EACH EMAIL IS BUILT</t>
        </is>
      </c>
      <c r="B32" s="108" t="inlineStr">
        <is>
          <t>Five moves in every dealer email. (1) Who you are and what CHISON is: founded Wuxi 1996, 100+ countries, the only ultrasound maker listed on China's STAR Market (688358), CE and US FDA, plus KFDA for Korea. AstraMed is stated throughout as CHISON's own SUBSIDIARY, not a partner or importer, and that is used as the commercial argument: the dealer deals with the factory directly, with no intermediary margin. (2) THEIR strength, named specifically from the Segment column: the reason you are writing to them and not to someone else. (3) WHERE CHISON FITS THEIR PORTFOLIO: a bulleted two or three model shortlist drawn from that row's 'CHISON product focus' cell, each with its positioning line, framed as a gap-fill, a value tier under their premium brand, a refresh path for an ageing installed base, or a complement to a single-application niche. (4) The commercial and regulatory load you carry for them (TFDA, MFDS and KLH, PMDA and MAH, HSA). (5) A short specific ask.</t>
        </is>
      </c>
    </row>
    <row r="33" ht="60" customHeight="1" s="104">
      <c r="A33" s="109" t="inlineStr">
        <is>
          <t>EMAIL ANGLES USED</t>
        </is>
      </c>
      <c r="B33" s="108" t="inlineStr">
        <is>
          <t>The angle is chosen from the row's own 'Carries ultrasound?' value. No current line = gap-fill ('ultrasound sells to the buyer you already call on'). Ageing brand (Aloka, Hitachi, Fujifilm, SonoSite) = refresh-cycle play. Live premium brand (GE, Philips, Siemens, Canon, Mindray, Samsung Medison) = value tier beneath it, explicitly not a replacement. Single-application niche (ophthalmic, dental, vascular, urology, fetal monitors, IVUS) = general-imaging complement. Accessory/consumables importer = step up from gel and covers to systems. Unknown line card = line-card addition, with the brand question asked openly. Regulatory agents get a licence-holder brief, not a sales pitch. Associations, expos, directories and registries get a membership, exhibitor or data-access enquiry.</t>
        </is>
      </c>
    </row>
    <row r="34" ht="48" customHeight="1" s="104">
      <c r="A34" s="109" t="inlineStr">
        <is>
          <t>ASTRAMED IS A CHISON SUBSIDIARY</t>
        </is>
      </c>
      <c r="B34" s="108" t="inlineStr">
        <is>
          <t>Every email states the relationship correctly: AstraMed Healthcare is a SUBSIDIARY of CHISON Medical Technologies, not a partner, agent or importer. The sign-off reads 'AstraMed Healthcare, a subsidiary of CHISON Medical Technologies'. The credentials paragraph turns that into the commercial argument, since dealing with the manufacturer's own subsidiary means dealing with the factory directly, with no intermediary margin. In Singapore the same point is made as registration, sale and service all coming from CHISON's own entity rather than from an overseas principal.</t>
        </is>
      </c>
    </row>
    <row r="35" ht="60" customHeight="1" s="104">
      <c r="A35" s="109" t="inlineStr">
        <is>
          <t>SINGAPORE: TWO DIFFERENT EMAILS</t>
        </is>
      </c>
      <c r="B35" s="108" t="inlineStr">
        <is>
          <t>Singapore End-Users are direct-sale emails written per buyer type: GP chain fleet standardisation, private hospital departmental purchase, public hospital tender language, O&amp;G and fertility obstetric imaging, imaging chains offered a reference-site arrangement, polyclinic networks, medical schools offered teaching-fleet pricing, TPA panels offered a member-clinic programme. The nine optional sub-dealer / logistics rows get a sub-distribution and service proposal instead. Singapore Contacts are warm re-engagement emails to named people from your ALPS correspondence: each opens by citing the actual prior agreement and date from that row, then explains your move to AstraMed. The 19 'Low' priority rows (pharmacy, labs, dental, community care) are NOT pitched. They are written as short, polite requests for a redirect to the right department.</t>
        </is>
      </c>
    </row>
    <row r="36" ht="24" customHeight="1" s="104">
      <c r="A36" s="109" t="inlineStr">
        <is>
          <t>REF ROWS ARE DELIBERATELY BLANK</t>
        </is>
      </c>
      <c r="B36" s="108" t="inlineStr">
        <is>
          <t>The 25 REF rows, being competitors, brand subsidiaries and local manufacturers, carry a grey note instead of an email. They are in the workbook for price and feature benchmarking, not for outreach. Do not send to them.</t>
        </is>
      </c>
    </row>
    <row r="37" ht="48" customHeight="1" s="104">
      <c r="A37" s="109" t="inlineStr">
        <is>
          <t>BEFORE YOU SEND</t>
        </is>
      </c>
      <c r="B37" s="108" t="inlineStr">
        <is>
          <t>Three things to check on each row. (1) The greeting is 'Dear &lt;Company&gt; team,' wherever no confirmed decision-maker exists. Swap in a real name once you have one. The Singapore Contacts tab already uses the real names from your correspondence. (2) Add your own signature block with phone and AstraMed email. The sign-off deliberately stops at your name, title and company line. (3) The product shortlist comes from the 'CHISON product focus' cell on the same row; confirm configuration and probe availability with HQ before quoting anything specific. Company facts quoted in the emails were verified on chison.com in August 2026.</t>
        </is>
      </c>
    </row>
    <row r="39" ht="21.75" customHeight="1" s="104">
      <c r="A39" s="109" t="inlineStr">
        <is>
          <t>v5, WHAT CHANGED</t>
        </is>
      </c>
      <c r="B39" s="108" t="inlineStr">
        <is>
          <t>Two instructions from Casper on 15 Sep 2026: double check the Korea diagnostics dealers and produce at least 20 Tier 1 contacts, and add a Singapore dealer tab because Singapore now goes to market through dealers. Both done. Everything else in the workbook is untouched.</t>
        </is>
      </c>
    </row>
    <row r="40" ht="21.75" customHeight="1" s="104">
      <c r="A40" s="109" t="inlineStr">
        <is>
          <t>KOREA, REBUILT</t>
        </is>
      </c>
      <c r="B40" s="108" t="inlineStr">
        <is>
          <t>The whole Korea Dealers tab was rebuilt, not patched. 78 rows, Tier 1 raised from 4 to 22. Three new columns were added to this tab and the new Singapore Dealers tab: Email, Address &amp; company detail, and CONTACT CONFIDENCE. Taiwan and Japan keep the v4 column set because they were not re-verified in this pass.</t>
        </is>
      </c>
    </row>
    <row r="41" ht="21.75" customHeight="1" s="104">
      <c r="A41" s="109" t="inlineStr">
        <is>
          <t>CONTACT CONFIDENCE</t>
        </is>
      </c>
      <c r="B41" s="108" t="inlineStr">
        <is>
          <t>A = phone or email read off the company's own page, which was opened. B = site opened and live, enquiry form only. C = site returned by search with real content, page not opened. D = no confirmed URL, confirm the company trades before contacting. No contact cell is ever left blank: it says "Not published" with the route in, or "NOT CONFIRMED".</t>
        </is>
      </c>
    </row>
    <row r="42" ht="32.25" customHeight="1" s="104">
      <c r="A42" s="109" t="inlineStr">
        <is>
          <t>KOREA, THE SHORT LIST</t>
        </is>
      </c>
      <c r="B42" s="108" t="inlineStr">
        <is>
          <t>If you only make five calls: Soelim (40 year surgical and OR distributor that already does MFDS registration and HIRA reimbursement in house, so they could solve the licence gate and the channel in one appointment) · INSAN MEDICAL (clinic opening consultancy with a leasing book, the shortest path to a first Korean unit) · Genoray (imaging maker with 100 plus partners and no ultrasound) · JPI Healthcare (declared trading division, imaging native, no ultrasound) · POSKOM (portable X-ray, the closest adjacent category there is).</t>
        </is>
      </c>
    </row>
    <row r="43" ht="34.5" customHeight="1" s="104">
      <c r="A43" s="109" t="inlineStr">
        <is>
          <t>KOREA, THE FRESH OPENING</t>
        </is>
      </c>
      <c r="B43" s="108" t="inlineStr">
        <is>
          <t>A December 2022 Supreme Court ruling made ultrasound lawful for Korean medicine practitioners, opening roughly 17,700 한의원 clinics. Korean trade press puts entry tier systems in that channel at around 8 to 9 million won, which is exactly CHISON's price band, and no global brand has locked the channel. Medistream sits at Tier 1 as the route in. This is the single fastest revenue opening identified in Korea.</t>
        </is>
      </c>
    </row>
    <row r="44" ht="32.25" customHeight="1" s="104">
      <c r="A44" s="109" t="inlineStr">
        <is>
          <t>KOREA, THE LICENCE GATE</t>
        </is>
      </c>
      <c r="B44" s="108" t="inlineStr">
        <is>
          <t>MFDS requires a licensed importer or Korea Licence Holder before anything ships. Three routes are live in this workbook, run them in parallel: a dealer who already holds import licences (Soelim, or the MFDS registry importers at Tier 1) · a market expansion platform that holds the licence for you (DKSH Healthcare Korea) · a paid licence holder service with no channel attached (Emergo Korea, Synex for the pathway work).</t>
        </is>
      </c>
    </row>
    <row r="45" ht="42.75" customHeight="1" s="104">
      <c r="A45" s="109" t="inlineStr">
        <is>
          <t>KOREA, WHAT IS NOT VERIFIED</t>
        </is>
      </c>
      <c r="B45" s="108" t="inlineStr">
        <is>
          <t>No individual decision maker is verified at any Korean company. Named people in this workbook are association officers from the public KMDDA roster and chief executives published on company sites, nothing more. Six Tier 1 rows have a live website but no published contact block, so a phone number has to be found first. Three Tier 1 rows are MFDS registry importers with no website located at all: confirm they trade before contacting. Every "no ultrasound line identified" means we did not find one in a published catalogue, not that none exists.</t>
        </is>
      </c>
    </row>
    <row r="46" ht="21.75" customHeight="1" s="104">
      <c r="A46" s="109" t="inlineStr">
        <is>
          <t>SINGAPORE, NEW MODEL</t>
        </is>
      </c>
      <c r="B46" s="108" t="inlineStr">
        <is>
          <t>Singapore moves from direct to dealer. New Singapore Dealers tab, 40 rows, 12 at Tier 1. AstraMed keeps the HSA registrant role and the device listing, so registration does not move to the dealer. The dealer owns the customer relationship, the demonstration and the service response.</t>
        </is>
      </c>
    </row>
    <row r="47" ht="32.25" customHeight="1" s="104">
      <c r="A47" s="109" t="inlineStr">
        <is>
          <t>SINGAPORE, THE SHORT LIST</t>
        </is>
      </c>
      <c r="B47" s="108" t="inlineStr">
        <is>
          <t>Singmed Healthcare Systems is the standout: they already sell ultrasound needle guides and endocavity covers, so their customers perform ultrasound guided procedures every day, and they sell no ultrasound system to guide them with. GDPMDS certified, own technical staff, since 1996. Then Transmedic (cardiovascular channel across seven ASEAN markets, no ultrasound published) and Lozon (hospital and clinic supply reach).</t>
        </is>
      </c>
    </row>
    <row r="48" ht="21.75" customHeight="1" s="104">
      <c r="A48" s="109" t="inlineStr">
        <is>
          <t>SINGAPORE, THE CONFLICT</t>
        </is>
      </c>
      <c r="B48" s="108" t="inlineStr">
        <is>
          <t>Scanmed Technology is the best imaging channel in Singapore and carries Samsung ultrasound across five clinical segments. Medicare (S) also carries ultrasound. Both are Tier 2 and both emails open by asking whether the existing agreement is exclusive, before pitching anything. Do not put a competing console against a principal a dealer already represents.</t>
        </is>
      </c>
    </row>
    <row r="49" ht="32.25" customHeight="1" s="104">
      <c r="A49" s="109" t="inlineStr">
        <is>
          <t>SINGAPORE, WHAT IS NOT VERIFIED</t>
        </is>
      </c>
      <c r="B49" s="108" t="inlineStr">
        <is>
          <t>Seven of the 40 Singapore rows have contact details read off the company's own page. Most of the rest come from the Singapore MedTech member directory or a published supplier directory, which is real data but not the company's own words, so line cards are unconfirmed and are marked as such. One entity name conflict (Asiateck) and one shared phone number (Alliance BioMed and AMT) are flagged on the tab rather than resolved.</t>
        </is>
      </c>
    </row>
    <row r="50" ht="21.75" customHeight="1" s="104">
      <c r="A50" s="109" t="inlineStr">
        <is>
          <t>SINGAPORE END-USERS</t>
        </is>
      </c>
      <c r="B50" s="108" t="inlineStr">
        <is>
          <t>That tab is not obsolete, its job changed. 61 named Singapore hospital, clinic group and imaging centre accounts are now the pull through map. Show a candidate dealer which accounts the appointment is worth rather than handing them a price list.</t>
        </is>
      </c>
    </row>
    <row r="51" ht="32.25" customHeight="1" s="104">
      <c r="A51" s="109" t="inlineStr">
        <is>
          <t>VERIFICATION LOG</t>
        </is>
      </c>
      <c r="B51" s="108" t="inlineStr">
        <is>
          <t>Every place where checking the source changed what v4 said is recorded on the KR + SG Verification Log tab, with what v4 said, what verification found and what to do about it. The largest single correction: Changwoo Trading was removed entirely. v4 listed it as a medical device importer; it is an RF and microwave equipment supplier and has nothing to do with medical devices. Synex and UBcare both dropped out of Tier 1 on verification.</t>
        </is>
      </c>
    </row>
    <row r="52" ht="32.25" customHeight="1" s="104">
      <c r="A52" s="109" t="inlineStr">
        <is>
          <t>EMAIL COLUMNS</t>
        </is>
      </c>
      <c r="B52" s="108" t="inlineStr">
        <is>
          <t>Email Title and Email Body are written per row for every Tier 1 and Tier 2 target on the two new tabs. Each one names that company's own strength, matches the CHISON range to it, and makes a single ask. REF rows carry a grey note instead. No price and no delivery date appears in any Korean email, because the MFDS gate is still open. Check the greeting before sending: it reads "Dear &lt;Company&gt; team" wherever no decision maker is confirmed, which is everywhere.</t>
        </is>
      </c>
    </row>
    <row r="53" ht="21.75" customHeight="1" s="104">
      <c r="A53" s="109" t="inlineStr">
        <is>
          <t>ONE CLAIM TO SETTLE FIRST</t>
        </is>
      </c>
      <c r="B53" s="108" t="inlineStr">
        <is>
          <t>The v4 Korean emails stated that Korean KFDA clearance was already in place. That is still an open item with CHISON, so the v5 emails do not make the claim. Confirm the legacy KFDA certification status and its current validity with Gina before restoring it in writing to a dealer.</t>
        </is>
      </c>
    </row>
    <row r="55" ht="42.75" customHeight="1" s="104">
      <c r="A55" s="110" t="inlineStr">
        <is>
          <t>WHAT CHANGED IN v6 (29 Sep 2026)</t>
        </is>
      </c>
      <c r="B55" s="111" t="inlineStr">
        <is>
          <t>Added an Email Outreach Log tab (one row per email sent, with Market and Channel dropdowns) and an Outreach Summary tab that counts emails sent, bounced and replied by market and channel. Checked against the casper@astramed.sg Winmail Sent folder on 29 Sep 2026: no human diagnostics emails have been sent yet, so all counts are zero and every Pipeline stage stays Not started.</t>
        </is>
      </c>
    </row>
    <row r="57" ht="48" customHeight="1" s="104">
      <c r="A57" s="110" t="inlineStr">
        <is>
          <t>WHAT CHANGED IN v7 (3 Oct 2026)</t>
        </is>
      </c>
      <c r="B57" s="108" t="inlineStr">
        <is>
          <t>New Singapore_private tab with 213 rows: 111 private specialist centres and 102 GP clinics. Every row carries a Centre type, phone or WhatsApp, email, address, the named doctor where the clinic publishes one, a CONTACT CONFIDENCE grade, a priority, and a ready to send Email Title and Email Body. Outreach Summary gains two Singapore rows (Private specialist, GP clinic) and the Email Outreach Log channel dropdown gains the same two values. Built from the v6 file saved on 29 Sep 2026; no row on any other tab was changed.</t>
        </is>
      </c>
    </row>
    <row r="58" ht="58.5" customHeight="1" s="104">
      <c r="A58" s="109" t="inlineStr">
        <is>
          <t>WHY THESE CLINICS</t>
        </is>
      </c>
      <c r="B58" s="108" t="inlineStr">
        <is>
          <t>Independent and mid sized private clinics buy their own equipment and watch the price, so CHISON's value positioning lands better here than in hospital imaging departments. Specialist coverage: women's imaging and breast, O&amp;G, fertility and fetal medicine, sports medicine and orthopaedics, pain, rheumatology, hand surgery, vascular, cardiology, gastroenterology, urology, endocrine and thyroid, screening and imaging centres, home care, dialysis, private hospital urgent care units, the ICU society (SICM) and one POCUS training provider (AIU). GP coverage: 24 hour groups, GP groups that already scan, MSK and pain led GPs, paediatric practices, two Primary Care Networks and independent neighbourhood clinics.</t>
        </is>
      </c>
    </row>
    <row r="59" ht="25.5" customHeight="1" s="104">
      <c r="A59" s="109" t="inlineStr">
        <is>
          <t>CENTRE TYPE COLUMN</t>
        </is>
      </c>
      <c r="B59" s="108" t="inlineStr">
        <is>
          <t>Column E names the kind of centre, for example Breast surgery &amp; screening clinic, O&amp;G clinic or GP group with in house ultrasound. Column D splits the tab into Specialist centre and GP clinic, so each list can be filtered on its own.</t>
        </is>
      </c>
    </row>
    <row r="60" ht="48" customHeight="1" s="104">
      <c r="A60" s="109" t="inlineStr">
        <is>
          <t>HOW EACH EMAIL IS BUILT</t>
        </is>
      </c>
      <c r="B60" s="108" t="inlineStr">
        <is>
          <t>One opening sentence written from what that clinic publishes about its own work, then two CHISON systems chosen for its specialty with the reason each fits, then a single ask: a hands on session once the demonstration units arrive in October, a short call for groups, or a teaching session for SICM, AIU and the two PCNs. Greetings use the doctor's name where the clinic's own site names one, otherwise 'Dear &lt;Clinic&gt; team,'. Clinics found only on a network page start 'Dear Doctor,'. The sign off uses casper@astramed.sg and +65 8719 0121.</t>
        </is>
      </c>
    </row>
    <row r="61" ht="48" customHeight="1" s="104">
      <c r="A61" s="109" t="inlineStr">
        <is>
          <t>PRODUCTS NAMED</t>
        </is>
      </c>
      <c r="B61" s="108" t="inlineStr">
        <is>
          <t>Only models registered with HSA, with AstraMed as registrant, are named: SonoMax 9, SonoPort 8, SonoBook 9, SonoAir 70, SonoEye P3 and SonoEye P5. SonoGo is left out because its Singapore registration is still pending. Feature claims stay within what held up in the September competitive checks: shear wave for small parts only, not MSK; automatic breast and thyroid lesion measurement, never BI-RADS or TI-RADS wording; no claim that a competitor lacks AI. No prices appear in any email.</t>
        </is>
      </c>
    </row>
    <row r="62" ht="25.5" customHeight="1" s="104">
      <c r="A62" s="109" t="inlineStr">
        <is>
          <t>DEALER MODEL STILL APPLIES</t>
        </is>
      </c>
      <c r="B62" s="108" t="inlineStr">
        <is>
          <t>These clinics are pull through demand for the Singapore dealer model. Book the demonstration, then route the order through the appointed dealer once one is signed. The emails say supply, application training and service are handled in Singapore and do not promise a direct sale.</t>
        </is>
      </c>
    </row>
    <row r="63" ht="48" customHeight="1" s="104">
      <c r="A63" s="109" t="inlineStr">
        <is>
          <t>SENDING PACE</t>
        </is>
      </c>
      <c r="B63" s="108" t="inlineStr">
        <is>
          <t>Singapore's Spam Control Act treats more than 100 similar unsolicited commercial emails in 24 hours, or more than 1,000 in 30 days, as bulk, which then needs an &lt;ADV&gt; label in the subject and an unsubscribe facility. Every cold email here already ends with an unsubscribe line. Send fewer than 100 a day (the 86 P1 rows over two days, for example), answer every unsubscribe reply, and log each send on the Email Outreach Log. This is a practical reading of the Act, not legal advice.</t>
        </is>
      </c>
    </row>
    <row r="64" ht="48" customHeight="1" s="104">
      <c r="A64" s="109" t="inlineStr">
        <is>
          <t>PRIORITY</t>
        </is>
      </c>
      <c r="B64" s="108" t="inlineStr">
        <is>
          <t>P1 = the clinic's own site gives an email and the specialty is a strong CHISON fit; send first. P2 = strong fit but no published email (call or WhatsApp for the inbox), a mid fit specialty such as cardiology, gastroenterology, fetal medicine, urgent care units and dialysis, or a general GP. P3 = no email and a weaker fit, plus Royal Healthcare (Siemens reference centre). VERIFY FIRST = details taken from a directory or network page, so confirm by phone before sending. Live counts sit below the last row of the tab.</t>
        </is>
      </c>
    </row>
    <row r="65" ht="25.5" customHeight="1" s="104">
      <c r="A65" s="109" t="inlineStr">
        <is>
          <t>THE WARM LEAD</t>
        </is>
      </c>
      <c r="B65" s="108" t="inlineStr">
        <is>
          <t>Luma Women's Imaging Centre is row 1 and is not a cold email. Dr Sonia Lee replied on LinkedIn and is looking into a demonstration unit, so the Luma email is a follow up to her and radiography lead Rouwen Tan, without an unsubscribe line. Its Pipeline stage is set to Contacted.</t>
        </is>
      </c>
    </row>
    <row r="66" ht="48" customHeight="1" s="104">
      <c r="A66" s="109" t="inlineStr">
        <is>
          <t>SHARED INBOXES AND GROUPS</t>
        </is>
      </c>
      <c r="B66" s="108" t="inlineStr">
        <is>
          <t>Singapore Paincare Center and DR+ Medical &amp; Paincare share enquiries@sgpaincare.com, so send only the Singapore Paincare email, which covers both. Heart Matters and The Heart Practice both name Dr Dinesh Nair, so stagger them. Jaga-Me and Alliance Medical Centre belong to Alliance Healthcare on the Singapore End-Users tab, and the 6 urgent care rows sit under hospitals on that tab, so line them up with any hospital conversation first. ATA Medical and Singapore Women's Clinic are one operator and one row.</t>
        </is>
      </c>
    </row>
    <row r="67" ht="48" customHeight="1" s="104">
      <c r="A67" s="109" t="inlineStr">
        <is>
          <t>WHAT IS NOT VERIFIED</t>
        </is>
      </c>
      <c r="B67" s="108" t="inlineStr">
        <is>
          <t>No buyer or decision maker is verified at any clinic; named doctors are those the clinic publishes on its own site. 63 rows have no published email and need a call or WhatsApp first. 21 rows are VERIFY FIRST because they come from a building directory or a network member list (I-CARE PCN, GP+ Co-operative), not the clinic's own site. Where an email sat behind spam protection it was decoded from the page and the Source status column says so; EH Medical's link decoded to a placeholder, so it is marked not published. Log any bounce on the Email Outreach Log.</t>
        </is>
      </c>
    </row>
    <row r="69" ht="14.25" customHeight="1" s="104">
      <c r="A69" s="112" t="inlineStr">
        <is>
          <t>WHAT CHANGED IN v13 (6 Oct 2026)</t>
        </is>
      </c>
      <c r="B69" s="111" t="inlineStr">
        <is>
          <t>Taiwan only. Built from v12; no other market tab was changed except the Outreach Summary Taiwan range, extended to the new last row.</t>
        </is>
      </c>
    </row>
    <row r="70" ht="43.5" customHeight="1" s="104">
      <c r="A70" s="112" t="inlineStr">
        <is>
          <t>TAIWAN PIPELINE</t>
        </is>
      </c>
      <c r="B70" s="111" t="inlineStr">
        <is>
          <t>Taiwan Dealers now holds 253 rows (112 from v12 plus 141 new). The new rows are members of the Taichung Medical Device Commercial Association (台中市醫療器材商業同業公會, tcmica.org.tw), filtered to medical equipment and device traders; beauty, optical, garment and consumer retail members were left out. Excluding the REF and resource rows, more than 200 are real dealer targets.</t>
        </is>
      </c>
    </row>
    <row r="71" ht="27.75" customHeight="1" s="104">
      <c r="A71" s="112" t="inlineStr">
        <is>
          <t>NEW COLUMNS</t>
        </is>
      </c>
      <c r="B71" s="111" t="inlineStr">
        <is>
          <t>Taiwan Dealers gains four columns at the right: Email, CONTACT CONFIDENCE, Outreach 6 Oct 2026 (Winmail draft) and Visit shortlist. Existing columns are unchanged.</t>
        </is>
      </c>
    </row>
    <row r="72" ht="54.75" customHeight="1" s="104">
      <c r="A72" s="112" t="inlineStr">
        <is>
          <t>EMAIL DRAFTS</t>
        </is>
      </c>
      <c r="B72" s="111" t="inlineStr">
        <is>
          <t>33 drafts saved in casper@astramed.sg Draft folder with the CHISON Corporate Brochure 2027 attached: 30 individual emails and 3 batch emails (Send separately) to 129 directory dealers. Every email states US FDA 510(k) (since 2005), CE under the EU MDR (CE since 2002) and Singapore HSA registration with AstraMed as registrant, and says TFDA registration will be planned with the partner. No price or delivery date is given. Rows drafted are set to Contacted, as requested. See TW Draft Queue 6 Oct.</t>
        </is>
      </c>
    </row>
    <row r="73" ht="14.25" customHeight="1" s="104">
      <c r="A73" s="112" t="inlineStr">
        <is>
          <t>VISIT SHORTLIST</t>
        </is>
      </c>
      <c r="B73" s="111" t="inlineStr">
        <is>
          <t>8 dealers for the Taiwan trip plus one Taichung alternate: see TW Visit Shortlist.</t>
        </is>
      </c>
    </row>
    <row r="74" ht="41.25" customHeight="1" s="104">
      <c r="A74" s="112" t="inlineStr">
        <is>
          <t>WHAT IS NOT VERIFIED</t>
        </is>
      </c>
      <c r="B74" s="111" t="inlineStr">
        <is>
          <t>New directory rows carry the email and phone published by the association, not the company site, and their line cards are unknown. No individual decision maker is verified anywhere on the Taiwan tab. DKSH, Getz, Woh, Rotary, MIC, TMSC and Yuan Li publish forms or phones only and were not emailed. GETECH and Pinyork had the VET email on 28 Sep; the new drafts are their human diagnostics follow up.</t>
        </is>
      </c>
    </row>
    <row r="76" ht="27.75" customHeight="1" s="104">
      <c r="A76" s="112" t="inlineStr">
        <is>
          <t>WHAT CHANGED IN v14 (6 Oct 2026, evening)</t>
        </is>
      </c>
      <c r="B76" s="111" t="inlineStr">
        <is>
          <t>Casper sent all 33 Taiwan drafts on 6 Oct 2026 (159 messages in the Winmail Sent folder). The Email Outreach Log now holds one row per message. 20 Taiwan rows bounced and are set back to Not started with the bounce reason in the Outreach column; 141 rows remain Contacted.</t>
        </is>
      </c>
    </row>
    <row r="77" ht="41.25" customHeight="1" s="104">
      <c r="A77" s="112" t="inlineStr">
        <is>
          <t>MORE DIRECTORY DEALERS</t>
        </is>
      </c>
      <c r="B77" s="111" t="inlineStr">
        <is>
          <t>170 further TCMICA members with a published email were added as Tier 3, Not started, Email on file, not yet contacted. They were not emailed in this session. 59 other members were left out (beauty, optical, baby goods, garments, insoles, chemicals, printing, fitness, malformed or duplicate addresses); they are listed at the bottom of TW REF &amp; Excluded.</t>
        </is>
      </c>
    </row>
    <row r="78" ht="41.25" customHeight="1" s="104">
      <c r="A78" s="112" t="inlineStr">
        <is>
          <t>DELIVERABILITY WARNING</t>
        </is>
      </c>
      <c r="B78" s="111" t="inlineStr">
        <is>
          <t>One bounce from Gmail states that mail from astramed.sg failed both SPF and DKIM when sent through the CHISON Winmail server (IP 210.65.1.136). Gmail and Yahoo increasingly reject unauthenticated mail or send it to spam, and most directory dealers use Gmail, Yahoo or Hinet addresses. Ask CHISON IT to add the Winmail outbound IP to the astramed.sg SPF record and enable DKIM signing before the next large send.</t>
        </is>
      </c>
    </row>
    <row r="79" ht="14.25" customHeight="1" s="104">
      <c r="A79" s="112" t="inlineStr">
        <is>
          <t>BOUNCES TO WATCH</t>
        </is>
      </c>
      <c r="B79" s="111" t="inlineStr">
        <is>
          <t>More bounce notices can arrive for up to 72 hours after sending. Re-check the Inbox and mark any new ones Bounced on the Email Outreach Log.</t>
        </is>
      </c>
    </row>
    <row r="81" ht="34.5" customHeight="1" s="104">
      <c r="A81" s="112" t="inlineStr">
        <is>
          <t>WHAT CHANGED IN v15 (7 Oct 2026)</t>
        </is>
      </c>
      <c r="B81" s="113" t="inlineStr">
        <is>
          <t>Round 2 drafts saved in Winmail, not sent: 1 individual draft (Bei Ke Medcare, new row #424) and batch drafts 4 to 7 covering 170 TCMICA directory dealers (43, 43, 43, 41). Those rows are now Contacted with the batch number in the Outreach column. Log them on the Email Outreach Log only after Casper clicks Send.</t>
        </is>
      </c>
    </row>
    <row r="82" ht="23.25" customHeight="1" s="104">
      <c r="A82" s="112" t="inlineStr">
        <is>
          <t>MAILBOX QUOTA</t>
        </is>
      </c>
      <c r="B82" s="113" t="inlineStr">
        <is>
          <t>casper@astramed.sg was at 1.6 GB of 2 GB on 7 Oct 2026; Sent alone held 1.5 GB because every split copy keeps the 3.8 MB brochure. 171 more copies add about 650 MB. Empty Trash and archive or delete old Sent copies before sending round 2.</t>
        </is>
      </c>
    </row>
    <row r="83" ht="23.25" customHeight="1" s="104">
      <c r="A83" s="112" t="inlineStr">
        <is>
          <t>NEW BOUNCES</t>
        </is>
      </c>
      <c r="B83" s="113" t="inlineStr">
        <is>
          <t>2 more first round addresses bounced after v14 (jamie@mail.bio-drchip.com.tw, benchen@aonirich.com); rows set back to Not started and the log marked Bounced. Total Taiwan bounces from 6 Oct: 22.</t>
        </is>
      </c>
    </row>
    <row r="84" ht="29.25" customHeight="1" s="104">
      <c r="A84" s="112" t="inlineStr">
        <is>
          <t>REPLIES AND READ RECEIPTS, 7 OCT 2026</t>
        </is>
      </c>
      <c r="B84" s="113" t="inlineStr">
        <is>
          <t>The Downstairs Clinic (Singapore_private) replied asking for a demo next Monday or Wednesday around 3.30pm. Read receipts, no reply yet: 春菖貿易 China Spring and 美爾富科技 (hosp.cs@a-strong1987.com.tw).</t>
        </is>
      </c>
    </row>
    <row r="86" ht="34.5" customHeight="1" s="104">
      <c r="A86" s="114" t="inlineStr">
        <is>
          <t>WHAT CHANGED IN v16 (7 Oct 2026)</t>
        </is>
      </c>
      <c r="B86" s="113" t="inlineStr">
        <is>
          <t>Singapore only. Casper asked for every potential Singapore dealer, preferably with the same end users as CHISON (radiology and similar), and at least 100 to email. The Singapore Dealers tab was rebuilt: 120 dealer targets (was 30), 103 of them with an email address ready to send, each with its own Email Title and Email Body. No other market tab was changed except the Outreach Summary Singapore Dealer range.</t>
        </is>
      </c>
    </row>
    <row r="87" ht="34.5" customHeight="1" s="104">
      <c r="A87" s="114" t="inlineStr">
        <is>
          <t>HOW THE LIST IS RANKED</t>
        </is>
      </c>
      <c r="B87" s="113" t="inlineStr">
        <is>
          <t>By end user overlap. Tier 1 is the radiology, interventional radiology, theatre, ICU, cardiology and clinic diagnostics channel with no competing ultrasound line. Tier 2 is strong reach with a competing line, a fit still to confirm, or a VERIFY FIRST flag. Tier 3 is the long tail: consumables, home care, laboratory, aesthetic and directory listings whose line cards are unknown. A new column, End users in common with CHISON, states the overlap in each case.</t>
        </is>
      </c>
    </row>
    <row r="88" ht="45.75" customHeight="1" s="104">
      <c r="A88" s="114" t="inlineStr">
        <is>
          <t>THE TOP OF THE LIST</t>
        </is>
      </c>
      <c r="B88" s="113" t="inlineStr">
        <is>
          <t>Radiology and interventional radiology: Singmed, Advanced Medical Systems (radiotherapy, specimen radiography, SPECT), AsiaMed (biopsy needles and drainage), MedAiD Solutions (breast localisation, biopsy, ablation), Smitech (digital X ray, detectors, weight bearing CT). Theatre and ICU: Somnotec, I:EMEDICS (PAJUNK and Plexus nerve block), Equip Medical, Star Medical, Junnimed. Clinic diagnostics: Optimal Medical (Welch Allyn). Gold Lite (CR, DR, CT, MRI, PACS) is the most radiology native dealer found but already lists ultrasound, so it sits at Tier 2 with an exclusivity question.</t>
        </is>
      </c>
    </row>
    <row r="89" ht="45.75" customHeight="1" s="104">
      <c r="A89" s="114" t="inlineStr">
        <is>
          <t>THE PREVIOUS CHISON DEALER</t>
        </is>
      </c>
      <c r="B89" s="113" t="inlineStr">
        <is>
          <t>AJJ Healthcare Management (AJJ Medtech Holdings, SGX 584, formerly OEL Holdings) still has CHISON Medical Technologies among its principals on the HSA register, and since August 2023 it owns 70% of Quest Asia Technologies, the HSA registered Samsung Medison distributor. This is very likely the previous CHISON Singapore dealer James asked about. Speak to Judy first. The email to the CEO, Dr Tan Wei Jie (named on the group's own SGX release), is drafted but marked VERIFY FIRST.</t>
        </is>
      </c>
    </row>
    <row r="90" ht="45.75" customHeight="1" s="104">
      <c r="A90" s="114" t="inlineStr">
        <is>
          <t>CORRECTIONS TO v15</t>
        </is>
      </c>
      <c r="B90" s="113" t="inlineStr">
        <is>
          <t>Opening each v15 company site changed nine rows. EXCLUDED: APP Systems (semiconductor and vacuum equipment, not healthcare IT), Asiateck (passenger lifts and storage), Advance Triton (disposable hats and gloves), Alliance BioMed (test kits and contract manufacturing). Re-tiered down: Lozon (consumables, no capital equipment), Umedic, Aeras, Absolute MS and Biomed Diagnostics (consumer, aesthetic or IVD). Confirmed up: Advanced Medical Systems and AsiaMed. Every change is on the KR + SG Verification Log tab.</t>
        </is>
      </c>
    </row>
    <row r="91" ht="57" customHeight="1" s="104">
      <c r="A91" s="114" t="inlineStr">
        <is>
          <t>EMAILS</t>
        </is>
      </c>
      <c r="B91" s="113" t="inlineStr">
        <is>
          <t>Every Tier 1 to 3 row with a company specific hook carries a ready to send email, signed from casper@astramed.sg. Only the six models registered with HSA under AstraMed are named (SonoMax 9, SonoPort 8, SonoBook 9, SonoAir 70, SonoEye P3, SonoEye P5); SonoGo is left out until its registration is through. No prices or delivery dates. Rows whose Carries ultrasound? answer is yes open with the exclusivity question, as in v5. Seven rows without a confirmed inbox (Medquest, EO Medical, Arqon, Easmed, Device Technologies, Humedical, DKSH) have an email ready for when a call finds the right address.</t>
        </is>
      </c>
    </row>
    <row r="92" ht="34.5" customHeight="1" s="104">
      <c r="A92" s="114" t="inlineStr">
        <is>
          <t>SENDING PACE</t>
        </is>
      </c>
      <c r="B92" s="113" t="inlineStr">
        <is>
          <t>103 similar emails in one day would cross the Spam Control Act bulk threshold (more than 100 in 24 hours). Send Tier 1 and Tier 2 on day one and Tier 3 on day two, keep the remove line, and log each send on the Email Outreach Log. Mailbox space was tight on 7 Oct (1.6 GB of 2 GB): send without the 3.8 MB brochure, or clear Sent first. The SPF and DKIM warning from v14 still applies.</t>
        </is>
      </c>
    </row>
    <row r="93" ht="57" customHeight="1" s="104">
      <c r="A93" s="114" t="inlineStr">
        <is>
          <t>WHAT IS NOT VERIFIED</t>
        </is>
      </c>
      <c r="B93" s="113" t="inlineStr">
        <is>
          <t>No individual decision maker is verified at any Singapore dealer; the only named person is the AJJ CEO from the company's own SGX release. Of the 38 emailable Tier 1 and 2 rows, 28 have the address read off the company's own page or the company's own filing (confidence A); the rest, and 41 of the 65 emailable Tier 3 rows, come from the PharmChoices and SGMT directories (confidence B or C), so expect some bounces. "No ultrasound line identified" means none was found on the pages read, not that none exists. Sage Healthcare may also be on the VET list; check before sending so it does not get two CHISON emails. SPD Scientific belongs to Biomedia, your former group: handle personally. Kromax South Asia overlaps with Kromax on the Taiwan tab.</t>
        </is>
      </c>
    </row>
    <row r="94" ht="23.25" customHeight="1" s="104">
      <c r="A94" s="114" t="inlineStr">
        <is>
          <t>WHERE TO FIND MORE</t>
        </is>
      </c>
      <c r="B94" s="113" t="inlineStr">
        <is>
          <t>MedMatch (HSA register view) pages 3 to 24 and the SGMT diagnostic equipment category were not reached in this pass and are the next sources. Both are on the tab as RESOURCE rows.</t>
        </is>
      </c>
    </row>
    <row r="96" ht="23.85" customHeight="1" s="104">
      <c r="A96" s="114" t="inlineStr">
        <is>
          <t>WHAT CHANGED IN v18 (7 Oct 2026)</t>
        </is>
      </c>
      <c r="B96" s="113" t="inlineStr">
        <is>
          <t>Korea only. Casper asked for at least 250 potential Korean dealers for CHISON diagnostic ultrasound, each with an email address, ready for an email wave later this week. Built from v17; no other market tab was changed except the Outreach Summary Korea range, extended to the new last row.</t>
        </is>
      </c>
    </row>
    <row r="97" ht="35.05" customHeight="1" s="104">
      <c r="A97" s="114" t="inlineStr">
        <is>
          <t>KOREA, THE NEW SIZE</t>
        </is>
      </c>
      <c r="B97" s="113" t="inlineStr">
        <is>
          <t>Korea Dealers now holds 299 rows: the 78 v17 rows plus 221 new ones. 279 are dealer leads (Tier 1: 38, Tier 2: 86, Tier 3: 155); the other 20 are 7 resources (now tagged RES instead of Tier 3) and 13 REF benchmark rows. 252 dealer leads carry a company email (244 ready to use, 8 to confirm first). The counts block under the table recalculates if you change a tier or an email.</t>
        </is>
      </c>
    </row>
    <row r="98" ht="35.05" customHeight="1" s="104">
      <c r="A98" s="114" t="inlineStr">
        <is>
          <t>WHERE THE NEW ROWS CAME FROM</t>
        </is>
      </c>
      <c r="B98" s="113" t="inlineStr">
        <is>
          <t>KIMES 2026 exhibitor directory (distributors, importers and Korean makers that sell into the same hospital departments), the KMDIA member directory (importer members), and web searches by city and specialty for dealers, clinic opening suppliers and brand sub dealers. Every new row was screened for fit: dental only, aesthetic only, pharmacy, home care retail and pure research suppliers were left out.</t>
        </is>
      </c>
    </row>
    <row r="99" ht="23.85" customHeight="1" s="104">
      <c r="A99" s="114" t="inlineStr">
        <is>
          <t>NEW COLUMN S, EMAIL ON FILE</t>
        </is>
      </c>
      <c r="B99" s="113" t="inlineStr">
        <is>
          <t>Yes = a company email address is on file for the email wave (the drafts themselves come next). Confirm = the address came from a third party page or looks mistyped, so check it first. No = no email found yet. Resource and REF rows say so and should not be emailed.</t>
        </is>
      </c>
    </row>
    <row r="100" ht="46.25" customHeight="1" s="104">
      <c r="A100" s="114" t="inlineStr">
        <is>
          <t>HOW EACH EMAIL WAS FOUND</t>
        </is>
      </c>
      <c r="B100" s="113" t="inlineStr">
        <is>
          <t>Contact confidence A means the address was read on the company's own website page on 7 Oct 2026. C means it came from a search result showing the company's own page, not opened. D means it came from a third party page (directory, news item, shop listing); confirm before sending. The Source status column says which applies to each row. Where v18 added an email to a v17 row, column K now grades that email, so a few v17 rows moved from A to C or D (for example Genoray, DAIWHA, JW Medical); their websites were verified in v5 and still are.</t>
        </is>
      </c>
    </row>
    <row r="101" ht="57.45" customHeight="1" s="104">
      <c r="A101" s="114" t="inlineStr">
        <is>
          <t>HOW THE NEW ROWS ARE TIERED</t>
        </is>
      </c>
      <c r="B101" s="113" t="inlineStr">
        <is>
          <t>Same tier logic as v5. Tier 1 is the right segment with no visible competing ultrasound line. Tier 2 is an adjacent segment or a dealer that already carries a competing brand (Mindray, Samsung Medison, Philips, Alpinion, SonoScape); pitch CHISON for the tiers and formats that brand leaves open. Tier 3 is broad suppliers, smaller dealers and Korean makers whose sales teams reach the same buyers. Applying the same rule moved three rows to Tier 2: JW Medical (imports Fujifilm Sonosite), Medigem (distributes DRGEM, which has its own ultrasound) and SM Supply (former Samsung Medison and Aloka dealer).</t>
        </is>
      </c>
    </row>
    <row r="102" ht="35.05" customHeight="1" s="104">
      <c r="A102" s="114" t="inlineStr">
        <is>
          <t>CLINIC OPENING CONSULTANCIES</t>
        </is>
      </c>
      <c r="B102" s="113" t="inlineStr">
        <is>
          <t>About a dozen rows are clinic opening consultancies and equipment packagers (for example Daebo Medical, Dream Doctors, Mediang, Medistart, Suwan Medical, SJ1004 and Daedong Medical Consulting). They are the route to the GPs and small clinics James flagged; SonoAir 30, SonoEye P3 and SonoGO fit a new clinic package.</t>
        </is>
      </c>
    </row>
    <row r="103" ht="23.85" customHeight="1" s="104">
      <c r="A103" s="114" t="inlineStr">
        <is>
          <t>KOREA, EMAIL COLUMNS</t>
        </is>
      </c>
      <c r="B103" s="113" t="inlineStr">
        <is>
          <t>Email Title and Email Body are left blank on the new rows on purpose. The drafts will be written in the next step, one angle per segment, with the subsidiary wording (AstraMed Healthcare is a subsidiary of CHISON Medical Technologies) and no claim of Korean MFDS clearance.</t>
        </is>
      </c>
    </row>
    <row r="104" ht="23.85" customHeight="1" s="104">
      <c r="A104" s="114" t="inlineStr">
        <is>
          <t>KOREA, SENDING PACE</t>
        </is>
      </c>
      <c r="B104" s="113" t="inlineStr">
        <is>
          <t>252 addresses is a large first wave. Send in batches of 40 to 50 a day from casper@astramed.sg and watch for bounces; the SPF and DKIM warning recorded in v14 still applies to that mailbox.</t>
        </is>
      </c>
    </row>
    <row r="105" ht="46.25" customHeight="1" s="104">
      <c r="A105" s="114" t="inlineStr">
        <is>
          <t>KOREA, WHAT IS NOT VERIFIED</t>
        </is>
      </c>
      <c r="B105" s="113" t="inlineStr">
        <is>
          <t>No individual decision maker is verified at any new company. Where the only address on the site is a functional mailbox (admin, accounts, logistics, QA, data protection), the row says so; ask for it to be passed to sales. Phone numbers come from KIMES, KMDIA or the company page and were not called. The current product line of most new dealers is not confirmed; column E says 'Not confirmed; ask on the first call' where that is the case. The MFDS licence gate still applies: no price or delivery promise until a licensed importer or Korea Licence Holder is agreed.</t>
        </is>
      </c>
    </row>
    <row r="106" ht="46.25" customHeight="1" s="104">
      <c r="A106" s="114" t="inlineStr">
        <is>
          <t>WHAT WAS LEFT OUT</t>
        </is>
      </c>
      <c r="B106" s="113" t="inlineStr">
        <is>
          <t>Pervice (address on file belonged to a news outlet), HK T and Tobi Tech (only news addresses found), MD Campus (consulting, address on another domain), Himedi Net and Doctor Market (trading platforms), Woongbee (research reagents), Wellcomet Korea (aesthetic skin devices), Medisale (same group and address as INOT, kept once) and spherecorp.kr (the domain belongs to an aerospace alloy supplier, not the Clarius distributor). About 140 further candidate domains were checked and showed no email; they are not in the tab.</t>
        </is>
      </c>
    </row>
    <row r="107">
      <c r="A107" s="115" t="inlineStr">
        <is>
          <t>WHAT CHANGED IN v19 (10 Oct 2026)</t>
        </is>
      </c>
      <c r="B107" s="116" t="inlineStr">
        <is>
          <t>Japan only. New tab Japan Additional with 288 new Japanese dealer and distributor leads for human diagnostic ultrasound, built to the Japan channel brief (Tier A, B, C; seven criteria scored out of 35; regional quotas). No other tab was changed. A standalone file, Japan_Distributor_List_Human_v1.xlsx, carries the same rows with Tier A Shortlist, By Region, Summary, Sources and Verification Log tabs.</t>
        </is>
      </c>
    </row>
    <row r="108">
      <c r="A108" s="115" t="inlineStr">
        <is>
          <t>JAPAN ADDITIONAL, THE TIERS</t>
        </is>
      </c>
      <c r="B108" s="116" t="inlineStr">
        <is>
          <t>Tier A (15): MAH confirmed (ユーマンネットワーク, MIZOUE PROJECT JAPAN), a DMAH service (ICST), or MAH implied by an import business. Tier B (38): sells or services ultrasound or imaging, no MAH found. Tier C (235): regional general dealers, mostly association and directory members.</t>
        </is>
      </c>
    </row>
    <row r="109">
      <c r="A109" s="115" t="inlineStr">
        <is>
          <t>JAPAN ADDITIONAL, REGIONS</t>
        </is>
      </c>
      <c r="B109" s="116" t="inlineStr">
        <is>
          <t>Kanto 79 (quota 75), Kansai 52 (quota 50), Chubu 45 (quota 38), Kyushu and Okinawa 42 (quota 32), Tohoku and Hokkaido 40 (quota 30), Chugoku and Shikoku 30 (quota 25). Every quota is met.</t>
        </is>
      </c>
    </row>
    <row r="110">
      <c r="A110" s="115" t="inlineStr">
        <is>
          <t>JAPAN ADDITIONAL, TOP 5</t>
        </is>
      </c>
      <c r="B110" s="116" t="inlineStr">
        <is>
          <t>Yuman Network (ユーマンネットワーク, Tier A, 27/35); Toyo Medic (東洋メディック, Tier A, 26/35); Nisshin Denshi Service (日信電子サービス, Tier B, 26/35); K's Medical (ケーズメディカル, Tier B, 25/35); ICST (ICST, Tier A, 24/35).</t>
        </is>
      </c>
    </row>
    <row r="111">
      <c r="A111" s="115" t="inlineStr">
        <is>
          <t>JAPAN ADDITIONAL, WHAT IS NOT VERIFIED</t>
        </is>
      </c>
      <c r="B111" s="116" t="inlineStr">
        <is>
          <t>No decision maker verified. Phone, email, website and 法人番号 were not collected for most rows because direct website access was blocked in this session; the rows carry their directory or registry source instead. A 10% random recheck (29 rows) confirmed 7, downgraded 3 welfare equipment firms, partly confirmed 1, removed 2 misfits and could not confirm 16 beyond their listing.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0A66C2"/>
    <outlinePr summaryBelow="1" summaryRight="1"/>
    <pageSetUpPr fitToPage="0"/>
  </sheetPr>
  <dimension ref="A1:I67"/>
  <sheetViews>
    <sheetView showFormulas="0" showGridLines="1" showRowColHeaders="1" showZeros="1" rightToLeft="0" tabSelected="0"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8.66796875" defaultRowHeight="14.25" zeroHeight="0" outlineLevelRow="0"/>
  <cols>
    <col width="4" customWidth="1" style="103" min="1" max="1"/>
    <col width="13" customWidth="1" style="103" min="2" max="2"/>
    <col width="24" customWidth="1" style="103" min="3" max="3"/>
    <col width="16" customWidth="1" style="103" min="4" max="4"/>
    <col width="24" customWidth="1" style="103" min="5" max="5"/>
    <col width="34" customWidth="1" style="103" min="6" max="6"/>
    <col width="38" customWidth="1" style="103" min="7" max="7"/>
    <col width="12" customWidth="1" style="103" min="8" max="9"/>
  </cols>
  <sheetData>
    <row r="1" ht="18" customHeight="1" s="104">
      <c r="A1" s="117" t="inlineStr">
        <is>
          <t>LinkedIn Outreach Log — Dealer BD / Sales / Marketing Staff</t>
        </is>
      </c>
    </row>
    <row r="2" ht="14.25" customHeight="1" s="104">
      <c r="A2" s="118" t="inlineStr">
        <is>
          <t>Sent from Chin Huat Tan's account · Session 1 (19 Jul 2026) + Session 2 (6 Aug 2026) merged · 39 invitations sent · 15 queued/blocked. Neutral framing (no CHISON mention); 1 personalised note used (Sting Wu), rest note-free.</t>
        </is>
      </c>
    </row>
    <row r="4" ht="25.5" customHeight="1" s="104">
      <c r="A4" s="119" t="inlineStr">
        <is>
          <t>#</t>
        </is>
      </c>
      <c r="B4" s="119" t="inlineStr">
        <is>
          <t>Market</t>
        </is>
      </c>
      <c r="C4" s="119" t="inlineStr">
        <is>
          <t>Company</t>
        </is>
      </c>
      <c r="D4" s="119" t="inlineStr">
        <is>
          <t>Pipeline stage</t>
        </is>
      </c>
      <c r="E4" s="119" t="inlineStr">
        <is>
          <t>Person</t>
        </is>
      </c>
      <c r="F4" s="119" t="inlineStr">
        <is>
          <t>Title / role</t>
        </is>
      </c>
      <c r="G4" s="119" t="inlineStr">
        <is>
          <t>LinkedIn profile</t>
        </is>
      </c>
      <c r="H4" s="119" t="inlineStr">
        <is>
          <t>Status</t>
        </is>
      </c>
      <c r="I4" s="119" t="inlineStr">
        <is>
          <t>Note?</t>
        </is>
      </c>
    </row>
    <row r="5" ht="21.75" customHeight="1" s="104">
      <c r="A5" s="120" t="n"/>
      <c r="B5" s="120" t="inlineStr">
        <is>
          <t>Session 1 — 19 Jul 2026 · 18 invitations sent (TW 7 · KR 3 · JP 8) · 1 personalised note</t>
        </is>
      </c>
      <c r="C5" s="120" t="n"/>
      <c r="D5" s="120" t="n"/>
      <c r="E5" s="120" t="n"/>
      <c r="F5" s="120" t="n"/>
      <c r="G5" s="120" t="n"/>
      <c r="H5" s="120" t="n"/>
      <c r="I5" s="120" t="n"/>
    </row>
    <row r="6" ht="39.75" customHeight="1" s="104">
      <c r="A6" s="121" t="n">
        <v>1</v>
      </c>
      <c r="B6" s="121" t="inlineStr">
        <is>
          <t>Taiwan</t>
        </is>
      </c>
      <c r="C6" s="122" t="inlineStr">
        <is>
          <t>Getz Healthcare TW</t>
        </is>
      </c>
      <c r="D6" s="123" t="inlineStr">
        <is>
          <t>Not started</t>
        </is>
      </c>
      <c r="E6" s="121" t="inlineStr">
        <is>
          <t>Sting Wu</t>
        </is>
      </c>
      <c r="F6" s="121" t="inlineStr">
        <is>
          <t>Managing Director</t>
        </is>
      </c>
      <c r="G6" s="121" t="inlineStr">
        <is>
          <t>linkedin.com/in/sting-wu-550bbbb7</t>
        </is>
      </c>
      <c r="H6" s="121" t="inlineStr">
        <is>
          <t>Sent</t>
        </is>
      </c>
      <c r="I6" s="121" t="inlineStr">
        <is>
          <t>YES-中文 note</t>
        </is>
      </c>
    </row>
    <row r="7" ht="39.75" customHeight="1" s="104">
      <c r="A7" s="121" t="n">
        <v>2</v>
      </c>
      <c r="B7" s="121" t="inlineStr">
        <is>
          <t>Taiwan</t>
        </is>
      </c>
      <c r="C7" s="122" t="inlineStr">
        <is>
          <t>Getz Healthcare TW</t>
        </is>
      </c>
      <c r="D7" s="123" t="inlineStr">
        <is>
          <t>Not started</t>
        </is>
      </c>
      <c r="E7" s="121" t="inlineStr">
        <is>
          <t>Neo Shen</t>
        </is>
      </c>
      <c r="F7" s="121" t="inlineStr">
        <is>
          <t>Deputy General Manager</t>
        </is>
      </c>
      <c r="G7" s="121" t="inlineStr">
        <is>
          <t>linkedin.com/in/neo-shen-154a43ba</t>
        </is>
      </c>
      <c r="H7" s="121" t="inlineStr">
        <is>
          <t>Sent</t>
        </is>
      </c>
      <c r="I7" s="121" t="inlineStr">
        <is>
          <t>No</t>
        </is>
      </c>
    </row>
    <row r="8" ht="39.75" customHeight="1" s="104">
      <c r="A8" s="121" t="n">
        <v>3</v>
      </c>
      <c r="B8" s="121" t="inlineStr">
        <is>
          <t>Taiwan</t>
        </is>
      </c>
      <c r="C8" s="122" t="inlineStr">
        <is>
          <t>Getz Healthcare TW</t>
        </is>
      </c>
      <c r="D8" s="123" t="inlineStr">
        <is>
          <t>Not started</t>
        </is>
      </c>
      <c r="E8" s="121" t="inlineStr">
        <is>
          <t>Frank Yan</t>
        </is>
      </c>
      <c r="F8" s="121" t="inlineStr">
        <is>
          <t>Product Manager</t>
        </is>
      </c>
      <c r="G8" s="121" t="inlineStr">
        <is>
          <t>linkedin.com/in/fuhaoyan</t>
        </is>
      </c>
      <c r="H8" s="121" t="inlineStr">
        <is>
          <t>Sent</t>
        </is>
      </c>
      <c r="I8" s="121" t="inlineStr">
        <is>
          <t>No</t>
        </is>
      </c>
    </row>
    <row r="9" ht="39.75" customHeight="1" s="104">
      <c r="A9" s="121" t="n">
        <v>4</v>
      </c>
      <c r="B9" s="121" t="inlineStr">
        <is>
          <t>Taiwan</t>
        </is>
      </c>
      <c r="C9" s="122" t="inlineStr">
        <is>
          <t>Getz Healthcare TW</t>
        </is>
      </c>
      <c r="D9" s="123" t="inlineStr">
        <is>
          <t>Not started</t>
        </is>
      </c>
      <c r="E9" s="121" t="inlineStr">
        <is>
          <t>Lewis Hsu</t>
        </is>
      </c>
      <c r="F9" s="121" t="inlineStr">
        <is>
          <t>Product Manager</t>
        </is>
      </c>
      <c r="G9" s="121" t="inlineStr">
        <is>
          <t>linkedin.com/in/lewis-hsu</t>
        </is>
      </c>
      <c r="H9" s="121" t="inlineStr">
        <is>
          <t>Sent</t>
        </is>
      </c>
      <c r="I9" s="121" t="inlineStr">
        <is>
          <t>No</t>
        </is>
      </c>
    </row>
    <row r="10" ht="39.75" customHeight="1" s="104">
      <c r="A10" s="121" t="n">
        <v>5</v>
      </c>
      <c r="B10" s="121" t="inlineStr">
        <is>
          <t>Taiwan</t>
        </is>
      </c>
      <c r="C10" s="122" t="inlineStr">
        <is>
          <t>DKSH 大昌華嘉</t>
        </is>
      </c>
      <c r="D10" s="123" t="inlineStr">
        <is>
          <t>Not started</t>
        </is>
      </c>
      <c r="E10" s="121" t="inlineStr">
        <is>
          <t>Mickey Chen</t>
        </is>
      </c>
      <c r="F10" s="121" t="inlineStr">
        <is>
          <t>Business Development Manager</t>
        </is>
      </c>
      <c r="G10" s="121" t="inlineStr">
        <is>
          <t>linkedin.com/in/mickey-chen-953265124</t>
        </is>
      </c>
      <c r="H10" s="121" t="inlineStr">
        <is>
          <t>Sent</t>
        </is>
      </c>
      <c r="I10" s="121" t="inlineStr">
        <is>
          <t>No</t>
        </is>
      </c>
    </row>
    <row r="11" ht="39.75" customHeight="1" s="104">
      <c r="A11" s="121" t="n">
        <v>6</v>
      </c>
      <c r="B11" s="121" t="inlineStr">
        <is>
          <t>Taiwan</t>
        </is>
      </c>
      <c r="C11" s="122" t="inlineStr">
        <is>
          <t>DKSH 大昌華嘉</t>
        </is>
      </c>
      <c r="D11" s="123" t="inlineStr">
        <is>
          <t>Not started</t>
        </is>
      </c>
      <c r="E11" s="121" t="inlineStr">
        <is>
          <t>Sam Chien</t>
        </is>
      </c>
      <c r="F11" s="121" t="inlineStr">
        <is>
          <t>Senior Manager APAC (BD)</t>
        </is>
      </c>
      <c r="G11" s="121" t="inlineStr">
        <is>
          <t>linkedin.com/in/sam-chien-833022b7</t>
        </is>
      </c>
      <c r="H11" s="121" t="inlineStr">
        <is>
          <t>Sent</t>
        </is>
      </c>
      <c r="I11" s="121" t="inlineStr">
        <is>
          <t>No</t>
        </is>
      </c>
    </row>
    <row r="12" ht="39.75" customHeight="1" s="104">
      <c r="A12" s="121" t="n">
        <v>7</v>
      </c>
      <c r="B12" s="121" t="inlineStr">
        <is>
          <t>Taiwan</t>
        </is>
      </c>
      <c r="C12" s="122" t="inlineStr">
        <is>
          <t>DKSH Healthcare</t>
        </is>
      </c>
      <c r="D12" s="123" t="inlineStr">
        <is>
          <t>Not started</t>
        </is>
      </c>
      <c r="E12" s="121" t="inlineStr">
        <is>
          <t>Vinay Badal</t>
        </is>
      </c>
      <c r="F12" s="121" t="inlineStr">
        <is>
          <t>VP Commercial Ops, Healthcare (regional)</t>
        </is>
      </c>
      <c r="G12" s="121" t="inlineStr">
        <is>
          <t>linkedin.com/in/vinaybadal</t>
        </is>
      </c>
      <c r="H12" s="121" t="inlineStr">
        <is>
          <t>Sent</t>
        </is>
      </c>
      <c r="I12" s="121" t="inlineStr">
        <is>
          <t>No</t>
        </is>
      </c>
    </row>
    <row r="13" ht="39.75" customHeight="1" s="104">
      <c r="A13" s="121" t="n">
        <v>8</v>
      </c>
      <c r="B13" s="121" t="inlineStr">
        <is>
          <t>Korea</t>
        </is>
      </c>
      <c r="C13" s="122" t="inlineStr">
        <is>
          <t>JW메디칼</t>
        </is>
      </c>
      <c r="D13" s="123" t="inlineStr">
        <is>
          <t>Not started</t>
        </is>
      </c>
      <c r="E13" s="124" t="inlineStr">
        <is>
          <t>유장호 Yoo Jang-ho</t>
        </is>
      </c>
      <c r="F13" s="124" t="inlineStr">
        <is>
          <t>영업관리 (Sales Management)</t>
        </is>
      </c>
      <c r="G13" s="121" t="inlineStr">
        <is>
          <t>linkedin.com/in/장호-유-9b85b6209</t>
        </is>
      </c>
      <c r="H13" s="121" t="inlineStr">
        <is>
          <t>Sent</t>
        </is>
      </c>
      <c r="I13" s="121" t="inlineStr">
        <is>
          <t>No</t>
        </is>
      </c>
    </row>
    <row r="14" ht="39.75" customHeight="1" s="104">
      <c r="A14" s="121" t="n">
        <v>9</v>
      </c>
      <c r="B14" s="121" t="inlineStr">
        <is>
          <t>Korea</t>
        </is>
      </c>
      <c r="C14" s="122" t="inlineStr">
        <is>
          <t>JW메디칼</t>
        </is>
      </c>
      <c r="D14" s="123" t="inlineStr">
        <is>
          <t>Not started</t>
        </is>
      </c>
      <c r="E14" s="121" t="inlineStr">
        <is>
          <t>Dong Kyu (Micky) Lee</t>
        </is>
      </c>
      <c r="F14" s="124" t="inlineStr">
        <is>
          <t>영상영업1팀장 (Imaging Sales Team Ldr)</t>
        </is>
      </c>
      <c r="G14" s="121" t="inlineStr">
        <is>
          <t>linkedin.com/in/dong-kyu-micky-lee-56381a138</t>
        </is>
      </c>
      <c r="H14" s="121" t="inlineStr">
        <is>
          <t>Sent</t>
        </is>
      </c>
      <c r="I14" s="121" t="inlineStr">
        <is>
          <t>No</t>
        </is>
      </c>
    </row>
    <row r="15" ht="39.75" customHeight="1" s="104">
      <c r="A15" s="121" t="n">
        <v>10</v>
      </c>
      <c r="B15" s="121" t="inlineStr">
        <is>
          <t>Korea</t>
        </is>
      </c>
      <c r="C15" s="122" t="inlineStr">
        <is>
          <t>DK메디칼</t>
        </is>
      </c>
      <c r="D15" s="123" t="inlineStr">
        <is>
          <t>Not started</t>
        </is>
      </c>
      <c r="E15" s="124" t="inlineStr">
        <is>
          <t>신영식 Shin Young-sik</t>
        </is>
      </c>
      <c r="F15" s="124" t="inlineStr">
        <is>
          <t>부장 (Director)</t>
        </is>
      </c>
      <c r="G15" s="121" t="inlineStr">
        <is>
          <t>linkedin.com/in/신영식-부장님-435056140</t>
        </is>
      </c>
      <c r="H15" s="121" t="inlineStr">
        <is>
          <t>Sent</t>
        </is>
      </c>
      <c r="I15" s="121" t="inlineStr">
        <is>
          <t>No</t>
        </is>
      </c>
    </row>
    <row r="16" ht="39.75" customHeight="1" s="104">
      <c r="A16" s="121" t="n">
        <v>11</v>
      </c>
      <c r="B16" s="121" t="inlineStr">
        <is>
          <t>Japan</t>
        </is>
      </c>
      <c r="C16" s="122" t="inlineStr">
        <is>
          <t>Century Medical</t>
        </is>
      </c>
      <c r="D16" s="123" t="inlineStr">
        <is>
          <t>Not started</t>
        </is>
      </c>
      <c r="E16" s="121" t="inlineStr">
        <is>
          <t>Junichi Hiramatsu</t>
        </is>
      </c>
      <c r="F16" s="121" t="inlineStr">
        <is>
          <t>GM, Medical Device Business Development</t>
        </is>
      </c>
      <c r="G16" s="121" t="inlineStr">
        <is>
          <t>linkedin.com/in/junichi-hiramatsu-7013767</t>
        </is>
      </c>
      <c r="H16" s="121" t="inlineStr">
        <is>
          <t>Sent</t>
        </is>
      </c>
      <c r="I16" s="121" t="inlineStr">
        <is>
          <t>No</t>
        </is>
      </c>
    </row>
    <row r="17" ht="39.75" customHeight="1" s="104">
      <c r="A17" s="121" t="n">
        <v>12</v>
      </c>
      <c r="B17" s="121" t="inlineStr">
        <is>
          <t>Japan</t>
        </is>
      </c>
      <c r="C17" s="122" t="inlineStr">
        <is>
          <t>Century Medical</t>
        </is>
      </c>
      <c r="D17" s="123" t="inlineStr">
        <is>
          <t>Not started</t>
        </is>
      </c>
      <c r="E17" s="121" t="inlineStr">
        <is>
          <t>Toshihiko Fujioka</t>
        </is>
      </c>
      <c r="F17" s="121" t="inlineStr">
        <is>
          <t>President &amp; CEO</t>
        </is>
      </c>
      <c r="G17" s="121" t="inlineStr">
        <is>
          <t>linkedin.com/in/toshihiko-fujioka-4ab55628</t>
        </is>
      </c>
      <c r="H17" s="121" t="inlineStr">
        <is>
          <t>Sent</t>
        </is>
      </c>
      <c r="I17" s="121" t="inlineStr">
        <is>
          <t>No</t>
        </is>
      </c>
    </row>
    <row r="18" ht="39.75" customHeight="1" s="104">
      <c r="A18" s="121" t="n">
        <v>13</v>
      </c>
      <c r="B18" s="121" t="inlineStr">
        <is>
          <t>Japan</t>
        </is>
      </c>
      <c r="C18" s="122" t="inlineStr">
        <is>
          <t>Century Medical</t>
        </is>
      </c>
      <c r="D18" s="123" t="inlineStr">
        <is>
          <t>Not started</t>
        </is>
      </c>
      <c r="E18" s="121" t="inlineStr">
        <is>
          <t>Tomohiro Shoji</t>
        </is>
      </c>
      <c r="F18" s="121" t="inlineStr">
        <is>
          <t>Deputy General Manager, Marketing</t>
        </is>
      </c>
      <c r="G18" s="121" t="inlineStr">
        <is>
          <t>linkedin.com/in/tomohiro-shoji-b079b0b0</t>
        </is>
      </c>
      <c r="H18" s="121" t="inlineStr">
        <is>
          <t>Sent</t>
        </is>
      </c>
      <c r="I18" s="121" t="inlineStr">
        <is>
          <t>No</t>
        </is>
      </c>
    </row>
    <row r="19" ht="39.75" customHeight="1" s="104">
      <c r="A19" s="121" t="n">
        <v>14</v>
      </c>
      <c r="B19" s="121" t="inlineStr">
        <is>
          <t>Japan</t>
        </is>
      </c>
      <c r="C19" s="122" t="inlineStr">
        <is>
          <t>Century Medical</t>
        </is>
      </c>
      <c r="D19" s="123" t="inlineStr">
        <is>
          <t>Not started</t>
        </is>
      </c>
      <c r="E19" s="121" t="inlineStr">
        <is>
          <t>Hiroki Mizuno</t>
        </is>
      </c>
      <c r="F19" s="121" t="inlineStr">
        <is>
          <t>Global BD / Marketing</t>
        </is>
      </c>
      <c r="G19" s="121" t="inlineStr">
        <is>
          <t>linkedin.com/in/hiroki-mizuno-82568242</t>
        </is>
      </c>
      <c r="H19" s="121" t="inlineStr">
        <is>
          <t>Sent</t>
        </is>
      </c>
      <c r="I19" s="121" t="inlineStr">
        <is>
          <t>No</t>
        </is>
      </c>
    </row>
    <row r="20" ht="39.75" customHeight="1" s="104">
      <c r="A20" s="121" t="n">
        <v>15</v>
      </c>
      <c r="B20" s="121" t="inlineStr">
        <is>
          <t>Japan</t>
        </is>
      </c>
      <c r="C20" s="122" t="inlineStr">
        <is>
          <t>Gadelius Medical</t>
        </is>
      </c>
      <c r="D20" s="123" t="inlineStr">
        <is>
          <t>Not started</t>
        </is>
      </c>
      <c r="E20" s="121" t="inlineStr">
        <is>
          <t>Masakazu Kosuga</t>
        </is>
      </c>
      <c r="F20" s="121" t="inlineStr">
        <is>
          <t>GM, Medical Equipment Division</t>
        </is>
      </c>
      <c r="G20" s="121" t="inlineStr">
        <is>
          <t>linkedin.com/in/masakazu-kosuga-bb496311</t>
        </is>
      </c>
      <c r="H20" s="121" t="inlineStr">
        <is>
          <t>Sent</t>
        </is>
      </c>
      <c r="I20" s="121" t="inlineStr">
        <is>
          <t>No</t>
        </is>
      </c>
    </row>
    <row r="21" ht="39.75" customHeight="1" s="104">
      <c r="A21" s="121" t="n">
        <v>16</v>
      </c>
      <c r="B21" s="121" t="inlineStr">
        <is>
          <t>Japan</t>
        </is>
      </c>
      <c r="C21" s="122" t="inlineStr">
        <is>
          <t>Gadelius Medical</t>
        </is>
      </c>
      <c r="D21" s="123" t="inlineStr">
        <is>
          <t>Not started</t>
        </is>
      </c>
      <c r="E21" s="121" t="inlineStr">
        <is>
          <t>Yoshiichi Shinzawa</t>
        </is>
      </c>
      <c r="F21" s="121" t="inlineStr">
        <is>
          <t>Manager</t>
        </is>
      </c>
      <c r="G21" s="121" t="inlineStr">
        <is>
          <t>linkedin.com/in/ (Gadelius search)</t>
        </is>
      </c>
      <c r="H21" s="121" t="inlineStr">
        <is>
          <t>Sent</t>
        </is>
      </c>
      <c r="I21" s="121" t="inlineStr">
        <is>
          <t>No</t>
        </is>
      </c>
    </row>
    <row r="22" ht="39.75" customHeight="1" s="104">
      <c r="A22" s="121" t="n">
        <v>17</v>
      </c>
      <c r="B22" s="121" t="inlineStr">
        <is>
          <t>Japan</t>
        </is>
      </c>
      <c r="C22" s="122" t="inlineStr">
        <is>
          <t>Gadelius Medical</t>
        </is>
      </c>
      <c r="D22" s="123" t="inlineStr">
        <is>
          <t>Not started</t>
        </is>
      </c>
      <c r="E22" s="121" t="inlineStr">
        <is>
          <t>Masazumi Muramatsu</t>
        </is>
      </c>
      <c r="F22" s="121" t="inlineStr">
        <is>
          <t>NeuroCare Group Manager</t>
        </is>
      </c>
      <c r="G22" s="121" t="inlineStr">
        <is>
          <t>linkedin.com/in/masazumi-muramatsu-389279169</t>
        </is>
      </c>
      <c r="H22" s="121" t="inlineStr">
        <is>
          <t>Sent</t>
        </is>
      </c>
      <c r="I22" s="121" t="inlineStr">
        <is>
          <t>No</t>
        </is>
      </c>
    </row>
    <row r="23" ht="39.75" customHeight="1" s="104">
      <c r="A23" s="121" t="n">
        <v>18</v>
      </c>
      <c r="B23" s="121" t="inlineStr">
        <is>
          <t>Japan</t>
        </is>
      </c>
      <c r="C23" s="122" t="inlineStr">
        <is>
          <t>Gadelius Medical</t>
        </is>
      </c>
      <c r="D23" s="123" t="inlineStr">
        <is>
          <t>Not started</t>
        </is>
      </c>
      <c r="E23" s="121" t="inlineStr">
        <is>
          <t>Minoru Asama</t>
        </is>
      </c>
      <c r="F23" s="121" t="inlineStr">
        <is>
          <t>Business Unit Manager</t>
        </is>
      </c>
      <c r="G23" s="121" t="inlineStr">
        <is>
          <t>linkedin.com/in/minoru-asama-b730427b</t>
        </is>
      </c>
      <c r="H23" s="121" t="inlineStr">
        <is>
          <t>Sent</t>
        </is>
      </c>
      <c r="I23" s="121" t="inlineStr">
        <is>
          <t>No</t>
        </is>
      </c>
    </row>
    <row r="24" ht="21.75" customHeight="1" s="104">
      <c r="A24" s="120" t="n"/>
      <c r="B24" s="120" t="inlineStr">
        <is>
          <t>Session 2 — 6 Aug 2026 · 21 invitations sent (KR 7 · JP 14) · all note-free</t>
        </is>
      </c>
      <c r="C24" s="120" t="n"/>
      <c r="D24" s="120" t="n"/>
      <c r="E24" s="120" t="n"/>
      <c r="F24" s="120" t="n"/>
      <c r="G24" s="120" t="n"/>
      <c r="H24" s="120" t="n"/>
      <c r="I24" s="120" t="n"/>
    </row>
    <row r="25" ht="39.75" customHeight="1" s="104">
      <c r="A25" s="121" t="n">
        <v>19</v>
      </c>
      <c r="B25" s="121" t="inlineStr">
        <is>
          <t>Korea</t>
        </is>
      </c>
      <c r="C25" s="122" t="inlineStr">
        <is>
          <t>Ubcare 유비케어</t>
        </is>
      </c>
      <c r="D25" s="123" t="inlineStr">
        <is>
          <t>Not started</t>
        </is>
      </c>
      <c r="E25" s="124" t="inlineStr">
        <is>
          <t>노주현 Roh Ju-hyun</t>
        </is>
      </c>
      <c r="F25" s="124" t="inlineStr">
        <is>
          <t>전략기획실장 (Head of Strategic Planning)</t>
        </is>
      </c>
      <c r="G25" s="121" t="inlineStr">
        <is>
          <t>linkedin.com/in/주현-노-98b648194</t>
        </is>
      </c>
      <c r="H25" s="121" t="inlineStr">
        <is>
          <t>Sent</t>
        </is>
      </c>
      <c r="I25" s="121" t="inlineStr">
        <is>
          <t>No</t>
        </is>
      </c>
    </row>
    <row r="26" ht="39.75" customHeight="1" s="104">
      <c r="A26" s="121" t="n">
        <v>20</v>
      </c>
      <c r="B26" s="121" t="inlineStr">
        <is>
          <t>Korea</t>
        </is>
      </c>
      <c r="C26" s="122" t="inlineStr">
        <is>
          <t>Ubcare 유비케어</t>
        </is>
      </c>
      <c r="D26" s="123" t="inlineStr">
        <is>
          <t>Not started</t>
        </is>
      </c>
      <c r="E26" s="124" t="inlineStr">
        <is>
          <t>한선영 Han Sun-young</t>
        </is>
      </c>
      <c r="F26" s="124" t="inlineStr">
        <is>
          <t>과장 (Manager)</t>
        </is>
      </c>
      <c r="G26" s="121" t="inlineStr">
        <is>
          <t>(via Ubcare search rail)</t>
        </is>
      </c>
      <c r="H26" s="121" t="inlineStr">
        <is>
          <t>Sent</t>
        </is>
      </c>
      <c r="I26" s="121" t="inlineStr">
        <is>
          <t>No</t>
        </is>
      </c>
    </row>
    <row r="27" ht="39.75" customHeight="1" s="104">
      <c r="A27" s="121" t="n">
        <v>21</v>
      </c>
      <c r="B27" s="121" t="inlineStr">
        <is>
          <t>Korea</t>
        </is>
      </c>
      <c r="C27" s="122" t="inlineStr">
        <is>
          <t>Ubcare 유비케어</t>
        </is>
      </c>
      <c r="D27" s="123" t="inlineStr">
        <is>
          <t>Not started</t>
        </is>
      </c>
      <c r="E27" s="124" t="inlineStr">
        <is>
          <t>김준혁 Kim Jun-hyuk</t>
        </is>
      </c>
      <c r="F27" s="124" t="inlineStr">
        <is>
          <t>병원사업본부 (Hospital Business Div.)</t>
        </is>
      </c>
      <c r="G27" s="121" t="inlineStr">
        <is>
          <t>linkedin.com/in/준혁-김-854289185</t>
        </is>
      </c>
      <c r="H27" s="121" t="inlineStr">
        <is>
          <t>Sent</t>
        </is>
      </c>
      <c r="I27" s="121" t="inlineStr">
        <is>
          <t>No</t>
        </is>
      </c>
    </row>
    <row r="28" ht="39.75" customHeight="1" s="104">
      <c r="A28" s="121" t="n">
        <v>22</v>
      </c>
      <c r="B28" s="121" t="inlineStr">
        <is>
          <t>Korea</t>
        </is>
      </c>
      <c r="C28" s="122" t="inlineStr">
        <is>
          <t>DK Medical Systems</t>
        </is>
      </c>
      <c r="D28" s="123" t="inlineStr">
        <is>
          <t>Not started</t>
        </is>
      </c>
      <c r="E28" s="121" t="inlineStr">
        <is>
          <t>gyobock (GB) lee</t>
        </is>
      </c>
      <c r="F28" s="121" t="inlineStr">
        <is>
          <t>DK Medical Systems Co., Ltd.</t>
        </is>
      </c>
      <c r="G28" s="121" t="inlineStr">
        <is>
          <t>linkedin.com/in/gyobock-gb-lee-9654a3b0</t>
        </is>
      </c>
      <c r="H28" s="121" t="inlineStr">
        <is>
          <t>Sent</t>
        </is>
      </c>
      <c r="I28" s="121" t="inlineStr">
        <is>
          <t>No</t>
        </is>
      </c>
    </row>
    <row r="29" ht="39.75" customHeight="1" s="104">
      <c r="A29" s="121" t="n">
        <v>23</v>
      </c>
      <c r="B29" s="121" t="inlineStr">
        <is>
          <t>Korea</t>
        </is>
      </c>
      <c r="C29" s="122" t="inlineStr">
        <is>
          <t>DK Medical Systems</t>
        </is>
      </c>
      <c r="D29" s="123" t="inlineStr">
        <is>
          <t>Not started</t>
        </is>
      </c>
      <c r="E29" s="124" t="inlineStr">
        <is>
          <t>임현재 Lim Hyun-jae</t>
        </is>
      </c>
      <c r="F29" s="121" t="inlineStr">
        <is>
          <t>DK Medical Systems</t>
        </is>
      </c>
      <c r="G29" s="121" t="inlineStr">
        <is>
          <t>linkedin.com/in/현재-임-0a03a444</t>
        </is>
      </c>
      <c r="H29" s="121" t="inlineStr">
        <is>
          <t>Sent</t>
        </is>
      </c>
      <c r="I29" s="121" t="inlineStr">
        <is>
          <t>No</t>
        </is>
      </c>
    </row>
    <row r="30" ht="39.75" customHeight="1" s="104">
      <c r="A30" s="121" t="n">
        <v>24</v>
      </c>
      <c r="B30" s="121" t="inlineStr">
        <is>
          <t>Korea</t>
        </is>
      </c>
      <c r="C30" s="122" t="inlineStr">
        <is>
          <t>DK Healthcare (DK group)</t>
        </is>
      </c>
      <c r="D30" s="123" t="inlineStr">
        <is>
          <t>Not started</t>
        </is>
      </c>
      <c r="E30" s="121" t="inlineStr">
        <is>
          <t>SB (SungBum) Cho</t>
        </is>
      </c>
      <c r="F30" s="121" t="inlineStr">
        <is>
          <t>Sales &amp; Marketing Lead</t>
        </is>
      </c>
      <c r="G30" s="121" t="inlineStr">
        <is>
          <t>linkedin.com/in/sb-sungbum-cho-55160122</t>
        </is>
      </c>
      <c r="H30" s="121" t="inlineStr">
        <is>
          <t>Sent</t>
        </is>
      </c>
      <c r="I30" s="121" t="inlineStr">
        <is>
          <t>No</t>
        </is>
      </c>
    </row>
    <row r="31" ht="39.75" customHeight="1" s="104">
      <c r="A31" s="121" t="n">
        <v>25</v>
      </c>
      <c r="B31" s="121" t="inlineStr">
        <is>
          <t>Korea</t>
        </is>
      </c>
      <c r="C31" s="122" t="inlineStr">
        <is>
          <t>DK Healthcare (DK group)</t>
        </is>
      </c>
      <c r="D31" s="123" t="inlineStr">
        <is>
          <t>Not started</t>
        </is>
      </c>
      <c r="E31" s="121" t="inlineStr">
        <is>
          <t>Junghoon Kim</t>
        </is>
      </c>
      <c r="F31" s="124" t="inlineStr">
        <is>
          <t>부장 (Director)</t>
        </is>
      </c>
      <c r="G31" s="121" t="inlineStr">
        <is>
          <t>(via DK search rail)</t>
        </is>
      </c>
      <c r="H31" s="121" t="inlineStr">
        <is>
          <t>Sent</t>
        </is>
      </c>
      <c r="I31" s="121" t="inlineStr">
        <is>
          <t>No</t>
        </is>
      </c>
    </row>
    <row r="32" ht="39.75" customHeight="1" s="104">
      <c r="A32" s="121" t="n">
        <v>26</v>
      </c>
      <c r="B32" s="121" t="inlineStr">
        <is>
          <t>Japan</t>
        </is>
      </c>
      <c r="C32" s="122" t="inlineStr">
        <is>
          <t>Muranaka Medical ムラナカ</t>
        </is>
      </c>
      <c r="D32" s="123" t="inlineStr">
        <is>
          <t>Not started</t>
        </is>
      </c>
      <c r="E32" s="121" t="inlineStr">
        <is>
          <t>Shinya Nakamura</t>
        </is>
      </c>
      <c r="F32" s="121" t="inlineStr">
        <is>
          <t>Executive Officer, Marketing Supervisor</t>
        </is>
      </c>
      <c r="G32" s="121" t="inlineStr">
        <is>
          <t>linkedin.com/in/shinya-nakamura-a5852554</t>
        </is>
      </c>
      <c r="H32" s="121" t="inlineStr">
        <is>
          <t>Sent</t>
        </is>
      </c>
      <c r="I32" s="121" t="inlineStr">
        <is>
          <t>No</t>
        </is>
      </c>
    </row>
    <row r="33" ht="39.75" customHeight="1" s="104">
      <c r="A33" s="121" t="n">
        <v>27</v>
      </c>
      <c r="B33" s="121" t="inlineStr">
        <is>
          <t>Japan</t>
        </is>
      </c>
      <c r="C33" s="122" t="inlineStr">
        <is>
          <t>Muranaka Medical ムラナカ</t>
        </is>
      </c>
      <c r="D33" s="123" t="inlineStr">
        <is>
          <t>Not started</t>
        </is>
      </c>
      <c r="E33" s="121" t="inlineStr">
        <is>
          <t>Ryoko Mine</t>
        </is>
      </c>
      <c r="F33" s="121" t="inlineStr">
        <is>
          <t>Marketing &amp; Planning Dept.</t>
        </is>
      </c>
      <c r="G33" s="121" t="inlineStr">
        <is>
          <t>linkedin.com/in/ryoko-mine-27b25435</t>
        </is>
      </c>
      <c r="H33" s="121" t="inlineStr">
        <is>
          <t>Sent</t>
        </is>
      </c>
      <c r="I33" s="121" t="inlineStr">
        <is>
          <t>No</t>
        </is>
      </c>
    </row>
    <row r="34" ht="39.75" customHeight="1" s="104">
      <c r="A34" s="121" t="n">
        <v>28</v>
      </c>
      <c r="B34" s="121" t="inlineStr">
        <is>
          <t>Japan</t>
        </is>
      </c>
      <c r="C34" s="122" t="inlineStr">
        <is>
          <t>Medius HD メディアスHD</t>
        </is>
      </c>
      <c r="D34" s="123" t="inlineStr">
        <is>
          <t>Not started</t>
        </is>
      </c>
      <c r="E34" s="124" t="inlineStr">
        <is>
          <t>浅賀太一 Asaga Taichi</t>
        </is>
      </c>
      <c r="F34" s="124" t="inlineStr">
        <is>
          <t>執行役員 企画統括副本部長 / REPS 社長</t>
        </is>
      </c>
      <c r="G34" s="121" t="inlineStr">
        <is>
          <t>linkedin.com/in/太一-浅賀-71247030a</t>
        </is>
      </c>
      <c r="H34" s="121" t="inlineStr">
        <is>
          <t>Sent</t>
        </is>
      </c>
      <c r="I34" s="121" t="inlineStr">
        <is>
          <t>No</t>
        </is>
      </c>
    </row>
    <row r="35" ht="39.75" customHeight="1" s="104">
      <c r="A35" s="121" t="n">
        <v>29</v>
      </c>
      <c r="B35" s="121" t="inlineStr">
        <is>
          <t>Japan</t>
        </is>
      </c>
      <c r="C35" s="122" t="inlineStr">
        <is>
          <t>Ship Healthcare シップHD</t>
        </is>
      </c>
      <c r="D35" s="123" t="inlineStr">
        <is>
          <t>Not started</t>
        </is>
      </c>
      <c r="E35" s="124" t="inlineStr">
        <is>
          <t>安藤元治 Ando Motoharu</t>
        </is>
      </c>
      <c r="F35" s="124" t="inlineStr">
        <is>
          <t>シップヘルスケアホールディングス</t>
        </is>
      </c>
      <c r="G35" s="121" t="inlineStr">
        <is>
          <t>linkedin.com/in/元治-安藤-92782341</t>
        </is>
      </c>
      <c r="H35" s="121" t="inlineStr">
        <is>
          <t>Sent</t>
        </is>
      </c>
      <c r="I35" s="121" t="inlineStr">
        <is>
          <t>No</t>
        </is>
      </c>
    </row>
    <row r="36" ht="39.75" customHeight="1" s="104">
      <c r="A36" s="121" t="n">
        <v>30</v>
      </c>
      <c r="B36" s="121" t="inlineStr">
        <is>
          <t>Japan</t>
        </is>
      </c>
      <c r="C36" s="122" t="inlineStr">
        <is>
          <t>Ship Healthcare シップHD</t>
        </is>
      </c>
      <c r="D36" s="123" t="inlineStr">
        <is>
          <t>Not started</t>
        </is>
      </c>
      <c r="E36" s="121" t="inlineStr">
        <is>
          <t>Chisato Ito</t>
        </is>
      </c>
      <c r="F36" s="124" t="inlineStr">
        <is>
          <t>経営企画室 (Corporate Planning Office)</t>
        </is>
      </c>
      <c r="G36" s="121" t="inlineStr">
        <is>
          <t>(via Ship HD search rail)</t>
        </is>
      </c>
      <c r="H36" s="121" t="inlineStr">
        <is>
          <t>Sent</t>
        </is>
      </c>
      <c r="I36" s="121" t="inlineStr">
        <is>
          <t>No</t>
        </is>
      </c>
    </row>
    <row r="37" ht="39.75" customHeight="1" s="104">
      <c r="A37" s="121" t="n">
        <v>31</v>
      </c>
      <c r="B37" s="121" t="inlineStr">
        <is>
          <t>Japan</t>
        </is>
      </c>
      <c r="C37" s="122" t="inlineStr">
        <is>
          <t>Matsuyoshi 松吉医科器械</t>
        </is>
      </c>
      <c r="D37" s="123" t="inlineStr">
        <is>
          <t>Not started</t>
        </is>
      </c>
      <c r="E37" s="124" t="inlineStr">
        <is>
          <t>中島智弘 Nakajima Tomohiro</t>
        </is>
      </c>
      <c r="F37" s="124" t="inlineStr">
        <is>
          <t>名古屋営業所所長 (Nagoya Branch Mgr)</t>
        </is>
      </c>
      <c r="G37" s="121" t="inlineStr">
        <is>
          <t>linkedin.com/in/智弘-中島-95343094</t>
        </is>
      </c>
      <c r="H37" s="121" t="inlineStr">
        <is>
          <t>Sent</t>
        </is>
      </c>
      <c r="I37" s="121" t="inlineStr">
        <is>
          <t>No</t>
        </is>
      </c>
    </row>
    <row r="38" ht="39.75" customHeight="1" s="104">
      <c r="A38" s="121" t="n">
        <v>32</v>
      </c>
      <c r="B38" s="121" t="inlineStr">
        <is>
          <t>Japan</t>
        </is>
      </c>
      <c r="C38" s="122" t="inlineStr">
        <is>
          <t>Matsuyoshi 松吉医科器械</t>
        </is>
      </c>
      <c r="D38" s="123" t="inlineStr">
        <is>
          <t>Not started</t>
        </is>
      </c>
      <c r="E38" s="124" t="inlineStr">
        <is>
          <t>松吉医科器械商品部</t>
        </is>
      </c>
      <c r="F38" s="124" t="inlineStr">
        <is>
          <t>マーケティングコミュニケーション部 部長</t>
        </is>
      </c>
      <c r="G38" s="121" t="inlineStr">
        <is>
          <t>(via Matsuyoshi search)</t>
        </is>
      </c>
      <c r="H38" s="121" t="inlineStr">
        <is>
          <t>Sent</t>
        </is>
      </c>
      <c r="I38" s="121" t="inlineStr">
        <is>
          <t>No</t>
        </is>
      </c>
    </row>
    <row r="39" ht="39.75" customHeight="1" s="104">
      <c r="A39" s="121" t="n">
        <v>33</v>
      </c>
      <c r="B39" s="121" t="inlineStr">
        <is>
          <t>Japan</t>
        </is>
      </c>
      <c r="C39" s="122" t="inlineStr">
        <is>
          <t>Yagami 八神製作所</t>
        </is>
      </c>
      <c r="D39" s="123" t="inlineStr">
        <is>
          <t>Not started</t>
        </is>
      </c>
      <c r="E39" s="124" t="inlineStr">
        <is>
          <t>河原嘉昭 Kawahara Yoshiaki</t>
        </is>
      </c>
      <c r="F39" s="124" t="inlineStr">
        <is>
          <t>営業マネージャー (Sales Manager)</t>
        </is>
      </c>
      <c r="G39" s="121" t="inlineStr">
        <is>
          <t>(via Yagami search)</t>
        </is>
      </c>
      <c r="H39" s="121" t="inlineStr">
        <is>
          <t>Sent</t>
        </is>
      </c>
      <c r="I39" s="121" t="inlineStr">
        <is>
          <t>No</t>
        </is>
      </c>
    </row>
    <row r="40" ht="39.75" customHeight="1" s="104">
      <c r="A40" s="121" t="n">
        <v>34</v>
      </c>
      <c r="B40" s="121" t="inlineStr">
        <is>
          <t>Japan</t>
        </is>
      </c>
      <c r="C40" s="122" t="inlineStr">
        <is>
          <t>Yagami 八神製作所</t>
        </is>
      </c>
      <c r="D40" s="123" t="inlineStr">
        <is>
          <t>Not started</t>
        </is>
      </c>
      <c r="E40" s="124" t="inlineStr">
        <is>
          <t>早瀬竜一 Hayase Ryuichi</t>
        </is>
      </c>
      <c r="F40" s="124" t="inlineStr">
        <is>
          <t>営業 (Sales)</t>
        </is>
      </c>
      <c r="G40" s="121" t="inlineStr">
        <is>
          <t>(via Yagami search)</t>
        </is>
      </c>
      <c r="H40" s="121" t="inlineStr">
        <is>
          <t>Sent</t>
        </is>
      </c>
      <c r="I40" s="121" t="inlineStr">
        <is>
          <t>No</t>
        </is>
      </c>
    </row>
    <row r="41" ht="39.75" customHeight="1" s="104">
      <c r="A41" s="121" t="n">
        <v>35</v>
      </c>
      <c r="B41" s="121" t="inlineStr">
        <is>
          <t>Japan</t>
        </is>
      </c>
      <c r="C41" s="122" t="inlineStr">
        <is>
          <t>Suzuken スズケン</t>
        </is>
      </c>
      <c r="D41" s="123" t="inlineStr">
        <is>
          <t>Not started</t>
        </is>
      </c>
      <c r="E41" s="121" t="inlineStr">
        <is>
          <t>Tatsumi Shimada</t>
        </is>
      </c>
      <c r="F41" s="121" t="inlineStr">
        <is>
          <t>Strategic Alliance Manager</t>
        </is>
      </c>
      <c r="G41" s="121" t="inlineStr">
        <is>
          <t>(via Suzuken search)</t>
        </is>
      </c>
      <c r="H41" s="121" t="inlineStr">
        <is>
          <t>Sent</t>
        </is>
      </c>
      <c r="I41" s="121" t="inlineStr">
        <is>
          <t>No</t>
        </is>
      </c>
    </row>
    <row r="42" ht="39.75" customHeight="1" s="104">
      <c r="A42" s="121" t="n">
        <v>36</v>
      </c>
      <c r="B42" s="121" t="inlineStr">
        <is>
          <t>Japan</t>
        </is>
      </c>
      <c r="C42" s="122" t="inlineStr">
        <is>
          <t>Konishi 小西医療器</t>
        </is>
      </c>
      <c r="D42" s="123" t="inlineStr">
        <is>
          <t>Not started</t>
        </is>
      </c>
      <c r="E42" s="124" t="inlineStr">
        <is>
          <t>健太郎沖中 Okinaka Kentaro</t>
        </is>
      </c>
      <c r="F42" s="124" t="inlineStr">
        <is>
          <t>係長 (Section Chief)</t>
        </is>
      </c>
      <c r="G42" s="121" t="inlineStr">
        <is>
          <t>(via Konishi search)</t>
        </is>
      </c>
      <c r="H42" s="121" t="inlineStr">
        <is>
          <t>Sent</t>
        </is>
      </c>
      <c r="I42" s="121" t="inlineStr">
        <is>
          <t>No</t>
        </is>
      </c>
    </row>
    <row r="43" ht="39.75" customHeight="1" s="104">
      <c r="A43" s="121" t="n">
        <v>37</v>
      </c>
      <c r="B43" s="121" t="inlineStr">
        <is>
          <t>Japan</t>
        </is>
      </c>
      <c r="C43" s="122" t="inlineStr">
        <is>
          <t>Japan Lifeline 日本ライフライン</t>
        </is>
      </c>
      <c r="D43" s="123" t="inlineStr">
        <is>
          <t>Not started</t>
        </is>
      </c>
      <c r="E43" s="121" t="inlineStr">
        <is>
          <t>Hiroyuki Watanabe</t>
        </is>
      </c>
      <c r="F43" s="121" t="inlineStr">
        <is>
          <t>Supervisor, Brand Comms &amp; Digital Mktg</t>
        </is>
      </c>
      <c r="G43" s="121" t="inlineStr">
        <is>
          <t>(via JLL search)</t>
        </is>
      </c>
      <c r="H43" s="121" t="inlineStr">
        <is>
          <t>Sent</t>
        </is>
      </c>
      <c r="I43" s="121" t="inlineStr">
        <is>
          <t>No</t>
        </is>
      </c>
    </row>
    <row r="44" ht="39.75" customHeight="1" s="104">
      <c r="A44" s="121" t="n">
        <v>38</v>
      </c>
      <c r="B44" s="121" t="inlineStr">
        <is>
          <t>Japan</t>
        </is>
      </c>
      <c r="C44" s="122" t="inlineStr">
        <is>
          <t>Japan Lifeline 日本ライフライン</t>
        </is>
      </c>
      <c r="D44" s="123" t="inlineStr">
        <is>
          <t>Not started</t>
        </is>
      </c>
      <c r="E44" s="121" t="inlineStr">
        <is>
          <t>Jin Nakamura</t>
        </is>
      </c>
      <c r="F44" s="124" t="inlineStr">
        <is>
          <t>マーケティング (Marketing)</t>
        </is>
      </c>
      <c r="G44" s="121" t="inlineStr">
        <is>
          <t>(via JLL search)</t>
        </is>
      </c>
      <c r="H44" s="121" t="inlineStr">
        <is>
          <t>Sent</t>
        </is>
      </c>
      <c r="I44" s="121" t="inlineStr">
        <is>
          <t>No</t>
        </is>
      </c>
    </row>
    <row r="45" ht="39.75" customHeight="1" s="104">
      <c r="A45" s="121" t="n">
        <v>39</v>
      </c>
      <c r="B45" s="121" t="inlineStr">
        <is>
          <t>Japan</t>
        </is>
      </c>
      <c r="C45" s="122" t="inlineStr">
        <is>
          <t>Mutoh ムトウ</t>
        </is>
      </c>
      <c r="D45" s="123" t="inlineStr">
        <is>
          <t>Not started</t>
        </is>
      </c>
      <c r="E45" s="121" t="inlineStr">
        <is>
          <t>Kouichi Yonaga</t>
        </is>
      </c>
      <c r="F45" s="124" t="inlineStr">
        <is>
          <t>部長 (Department Head, Hokkaido)</t>
        </is>
      </c>
      <c r="G45" s="121" t="inlineStr">
        <is>
          <t>(via Mutoh search)</t>
        </is>
      </c>
      <c r="H45" s="121" t="inlineStr">
        <is>
          <t>Sent</t>
        </is>
      </c>
      <c r="I45" s="121" t="inlineStr">
        <is>
          <t>No</t>
        </is>
      </c>
    </row>
    <row r="46" ht="21.75" customHeight="1" s="104">
      <c r="A46" s="120" t="n"/>
      <c r="B46" s="120" t="inlineStr">
        <is>
          <t>QUEUED / BLOCKED — carried forward from 6 Aug 2026 (supersedes v2's 'NEXT SESSION' block)</t>
        </is>
      </c>
      <c r="C46" s="120" t="n"/>
      <c r="D46" s="120" t="n"/>
      <c r="E46" s="120" t="n"/>
      <c r="F46" s="120" t="n"/>
      <c r="G46" s="120" t="n"/>
      <c r="H46" s="120" t="n"/>
      <c r="I46" s="120" t="n"/>
    </row>
    <row r="47" ht="39.75" customHeight="1" s="104">
      <c r="A47" s="121" t="n"/>
      <c r="B47" s="121" t="inlineStr">
        <is>
          <t>Japan</t>
        </is>
      </c>
      <c r="C47" s="122" t="inlineStr">
        <is>
          <t>Yagami 八神製作所</t>
        </is>
      </c>
      <c r="D47" s="123" t="inlineStr">
        <is>
          <t>Not started</t>
        </is>
      </c>
      <c r="E47" s="124" t="inlineStr">
        <is>
          <t>高瀬太一, 清家徹 (執行役員), Naoki Wada</t>
        </is>
      </c>
      <c r="F47" s="121" t="inlineStr">
        <is>
          <t>Message-only / remaining sales staff</t>
        </is>
      </c>
      <c r="G47" s="121" t="n"/>
      <c r="H47" s="121" t="inlineStr">
        <is>
          <t>queued</t>
        </is>
      </c>
      <c r="I47" s="121" t="n"/>
    </row>
    <row r="48" ht="39.75" customHeight="1" s="104">
      <c r="A48" s="121" t="n"/>
      <c r="B48" s="121" t="inlineStr">
        <is>
          <t>Japan</t>
        </is>
      </c>
      <c r="C48" s="122" t="inlineStr">
        <is>
          <t>Ship Healthcare</t>
        </is>
      </c>
      <c r="D48" s="123" t="inlineStr">
        <is>
          <t>Not started</t>
        </is>
      </c>
      <c r="E48" s="121" t="inlineStr">
        <is>
          <t>yukihiro shiraishi</t>
        </is>
      </c>
      <c r="F48" s="121" t="inlineStr">
        <is>
          <t>Message-only, no Connect</t>
        </is>
      </c>
      <c r="G48" s="121" t="n"/>
      <c r="H48" s="121" t="inlineStr">
        <is>
          <t>queued</t>
        </is>
      </c>
      <c r="I48" s="121" t="n"/>
    </row>
    <row r="49" ht="39.75" customHeight="1" s="104">
      <c r="A49" s="121" t="n"/>
      <c r="B49" s="121" t="inlineStr">
        <is>
          <t>Japan</t>
        </is>
      </c>
      <c r="C49" s="122" t="inlineStr">
        <is>
          <t>Kishiya キシヤ</t>
        </is>
      </c>
      <c r="D49" s="123" t="inlineStr">
        <is>
          <t>Not started</t>
        </is>
      </c>
      <c r="E49" s="121" t="inlineStr">
        <is>
          <t>Masahiro Okada (医療機器販売)</t>
        </is>
      </c>
      <c r="F49" s="121" t="inlineStr">
        <is>
          <t>Message-only; rest anonymised — phone/email instead</t>
        </is>
      </c>
      <c r="G49" s="121" t="n"/>
      <c r="H49" s="121" t="inlineStr">
        <is>
          <t>blocked</t>
        </is>
      </c>
      <c r="I49" s="121" t="n"/>
    </row>
    <row r="50" ht="39.75" customHeight="1" s="104">
      <c r="A50" s="121" t="n"/>
      <c r="B50" s="121" t="inlineStr">
        <is>
          <t>Japan</t>
        </is>
      </c>
      <c r="C50" s="122" t="inlineStr">
        <is>
          <t>Win-Partners ウイン・パートナーズ</t>
        </is>
      </c>
      <c r="D50" s="123" t="inlineStr">
        <is>
          <t>Not started</t>
        </is>
      </c>
      <c r="E50" s="124" t="inlineStr">
        <is>
          <t>森嶋尚伯 (部長)</t>
        </is>
      </c>
      <c r="F50" s="121" t="inlineStr">
        <is>
          <t>Message-only, no Connect</t>
        </is>
      </c>
      <c r="G50" s="121" t="n"/>
      <c r="H50" s="121" t="inlineStr">
        <is>
          <t>blocked</t>
        </is>
      </c>
      <c r="I50" s="121" t="n"/>
    </row>
    <row r="51" ht="39.75" customHeight="1" s="104">
      <c r="A51" s="121" t="n"/>
      <c r="B51" s="121" t="inlineStr">
        <is>
          <t>Japan</t>
        </is>
      </c>
      <c r="C51" s="122" t="inlineStr">
        <is>
          <t>TS Alfresa ティーエスアルフレッサ</t>
        </is>
      </c>
      <c r="D51" s="123" t="inlineStr">
        <is>
          <t>Not started</t>
        </is>
      </c>
      <c r="E51" s="121" t="inlineStr">
        <is>
          <t>—</t>
        </is>
      </c>
      <c r="F51" s="121" t="inlineStr">
        <is>
          <t>All anonymised</t>
        </is>
      </c>
      <c r="G51" s="121" t="n"/>
      <c r="H51" s="121" t="inlineStr">
        <is>
          <t>blocked</t>
        </is>
      </c>
      <c r="I51" s="121" t="n"/>
    </row>
    <row r="52" ht="39.75" customHeight="1" s="104">
      <c r="A52" s="121" t="n"/>
      <c r="B52" s="121" t="inlineStr">
        <is>
          <t>Japan</t>
        </is>
      </c>
      <c r="C52" s="122" t="inlineStr">
        <is>
          <t>Kawanishi カワニシ</t>
        </is>
      </c>
      <c r="D52" s="123" t="inlineStr">
        <is>
          <t>Not started</t>
        </is>
      </c>
      <c r="E52" s="121" t="inlineStr">
        <is>
          <t>—</t>
        </is>
      </c>
      <c r="F52" s="121" t="inlineStr">
        <is>
          <t>Field-service + anonymised only</t>
        </is>
      </c>
      <c r="G52" s="121" t="n"/>
      <c r="H52" s="121" t="inlineStr">
        <is>
          <t>blocked</t>
        </is>
      </c>
      <c r="I52" s="121" t="n"/>
    </row>
    <row r="53" ht="39.75" customHeight="1" s="104">
      <c r="A53" s="121" t="n"/>
      <c r="B53" s="121" t="inlineStr">
        <is>
          <t>Japan</t>
        </is>
      </c>
      <c r="C53" s="122" t="inlineStr">
        <is>
          <t>Yamashita 山下医科器械</t>
        </is>
      </c>
      <c r="D53" s="123" t="inlineStr">
        <is>
          <t>Not started</t>
        </is>
      </c>
      <c r="E53" s="121" t="inlineStr">
        <is>
          <t>—</t>
        </is>
      </c>
      <c r="F53" s="121" t="inlineStr">
        <is>
          <t>All anonymised — phone/email instead</t>
        </is>
      </c>
      <c r="G53" s="121" t="n"/>
      <c r="H53" s="121" t="inlineStr">
        <is>
          <t>blocked</t>
        </is>
      </c>
      <c r="I53" s="121" t="n"/>
    </row>
    <row r="54" ht="39.75" customHeight="1" s="104">
      <c r="A54" s="121" t="n"/>
      <c r="B54" s="121" t="inlineStr">
        <is>
          <t>Japan</t>
        </is>
      </c>
      <c r="C54" s="122" t="inlineStr">
        <is>
          <t>Intermedical インターメディカル</t>
        </is>
      </c>
      <c r="D54" s="123" t="inlineStr">
        <is>
          <t>Not started</t>
        </is>
      </c>
      <c r="E54" s="121" t="inlineStr">
        <is>
          <t>—</t>
        </is>
      </c>
      <c r="F54" s="121" t="inlineStr">
        <is>
          <t>No LinkedIn presence found</t>
        </is>
      </c>
      <c r="G54" s="121" t="n"/>
      <c r="H54" s="121" t="inlineStr">
        <is>
          <t>blocked</t>
        </is>
      </c>
      <c r="I54" s="121" t="n"/>
    </row>
    <row r="55" ht="39.75" customHeight="1" s="104">
      <c r="A55" s="121" t="n"/>
      <c r="B55" s="121" t="inlineStr">
        <is>
          <t>Japan</t>
        </is>
      </c>
      <c r="C55" s="122" t="inlineStr">
        <is>
          <t>Suzuken スズケン</t>
        </is>
      </c>
      <c r="D55" s="123" t="inlineStr">
        <is>
          <t>Not started</t>
        </is>
      </c>
      <c r="E55" s="121" t="inlineStr">
        <is>
          <t>Fumiya Sakuragi, Masashi Shintani (Director)</t>
        </is>
      </c>
      <c r="F55" s="121" t="inlineStr">
        <is>
          <t>Message-only</t>
        </is>
      </c>
      <c r="G55" s="121" t="n"/>
      <c r="H55" s="121" t="inlineStr">
        <is>
          <t>queued</t>
        </is>
      </c>
      <c r="I55" s="121" t="n"/>
    </row>
    <row r="56" ht="39.75" customHeight="1" s="104">
      <c r="A56" s="121" t="n"/>
      <c r="B56" s="121" t="inlineStr">
        <is>
          <t>Japan</t>
        </is>
      </c>
      <c r="C56" s="122" t="inlineStr">
        <is>
          <t>Marubun 丸文, Muranaka remaining, Kurihara, Takeyama, Tomiki, Adachi, Astem</t>
        </is>
      </c>
      <c r="D56" s="123" t="inlineStr">
        <is>
          <t>Not started</t>
        </is>
      </c>
      <c r="E56" s="121" t="inlineStr">
        <is>
          <t>—</t>
        </is>
      </c>
      <c r="F56" s="121" t="inlineStr">
        <is>
          <t>Not yet searched</t>
        </is>
      </c>
      <c r="G56" s="121" t="n"/>
      <c r="H56" s="121" t="inlineStr">
        <is>
          <t>queued</t>
        </is>
      </c>
      <c r="I56" s="121" t="n"/>
    </row>
    <row r="57" ht="39.75" customHeight="1" s="104">
      <c r="A57" s="121" t="n"/>
      <c r="B57" s="121" t="inlineStr">
        <is>
          <t>Korea</t>
        </is>
      </c>
      <c r="C57" s="122" t="inlineStr">
        <is>
          <t>Synex 사이넥스</t>
        </is>
      </c>
      <c r="D57" s="123" t="inlineStr">
        <is>
          <t>Not started</t>
        </is>
      </c>
      <c r="E57" s="121" t="inlineStr">
        <is>
          <t>Senior BD &amp; RA Director (anonymised)</t>
        </is>
      </c>
      <c r="F57" s="121" t="inlineStr">
        <is>
          <t>Out of network; named staff CRA/clinical only</t>
        </is>
      </c>
      <c r="G57" s="121" t="n"/>
      <c r="H57" s="121" t="inlineStr">
        <is>
          <t>blocked</t>
        </is>
      </c>
      <c r="I57" s="121" t="n"/>
    </row>
    <row r="58" ht="39.75" customHeight="1" s="104">
      <c r="A58" s="121" t="n"/>
      <c r="B58" s="121" t="inlineStr">
        <is>
          <t>Korea</t>
        </is>
      </c>
      <c r="C58" s="122" t="inlineStr">
        <is>
          <t>Technomart 태크노마트</t>
        </is>
      </c>
      <c r="D58" s="123" t="inlineStr">
        <is>
          <t>Not started</t>
        </is>
      </c>
      <c r="E58" s="121" t="inlineStr">
        <is>
          <t>—</t>
        </is>
      </c>
      <c r="F58" s="121" t="inlineStr">
        <is>
          <t>Name collides with Seoul electronics mall</t>
        </is>
      </c>
      <c r="G58" s="121" t="n"/>
      <c r="H58" s="121" t="inlineStr">
        <is>
          <t>blocked</t>
        </is>
      </c>
      <c r="I58" s="121" t="n"/>
    </row>
    <row r="59" ht="39.75" customHeight="1" s="104">
      <c r="A59" s="121" t="n"/>
      <c r="B59" s="121" t="inlineStr">
        <is>
          <t>Korea</t>
        </is>
      </c>
      <c r="C59" s="122" t="inlineStr">
        <is>
          <t>Howell Medical 호웰메디칼</t>
        </is>
      </c>
      <c r="D59" s="123" t="inlineStr">
        <is>
          <t>Not started</t>
        </is>
      </c>
      <c r="E59" s="121" t="inlineStr">
        <is>
          <t>—</t>
        </is>
      </c>
      <c r="F59" s="121" t="inlineStr">
        <is>
          <t>Zero LinkedIn presence</t>
        </is>
      </c>
      <c r="G59" s="121" t="n"/>
      <c r="H59" s="121" t="inlineStr">
        <is>
          <t>blocked</t>
        </is>
      </c>
      <c r="I59" s="121" t="n"/>
    </row>
    <row r="60" ht="39.75" customHeight="1" s="104">
      <c r="A60" s="121" t="n"/>
      <c r="B60" s="121" t="inlineStr">
        <is>
          <t>Korea</t>
        </is>
      </c>
      <c r="C60" s="122" t="inlineStr">
        <is>
          <t>DK Medical Systems</t>
        </is>
      </c>
      <c r="D60" s="123" t="inlineStr">
        <is>
          <t>Not started</t>
        </is>
      </c>
      <c r="E60" s="121" t="inlineStr">
        <is>
          <t>Eric Han (Managing Director)</t>
        </is>
      </c>
      <c r="F60" s="121" t="inlineStr">
        <is>
          <t>Message-only — needs Premium or warm intro</t>
        </is>
      </c>
      <c r="G60" s="121" t="n"/>
      <c r="H60" s="121" t="inlineStr">
        <is>
          <t>blocked</t>
        </is>
      </c>
      <c r="I60" s="121" t="n"/>
    </row>
    <row r="61" ht="39.75" customHeight="1" s="104">
      <c r="A61" s="121" t="n"/>
      <c r="B61" s="121" t="inlineStr">
        <is>
          <t>Korea</t>
        </is>
      </c>
      <c r="C61" s="122" t="inlineStr">
        <is>
          <t>Listem, Mediana, GC MS, Insung, Woojin, Pentas etc.</t>
        </is>
      </c>
      <c r="D61" s="123" t="inlineStr">
        <is>
          <t>Not started</t>
        </is>
      </c>
      <c r="E61" s="121" t="inlineStr">
        <is>
          <t>—</t>
        </is>
      </c>
      <c r="F61" s="121" t="inlineStr">
        <is>
          <t>Tier 2/3 — not yet searched</t>
        </is>
      </c>
      <c r="G61" s="121" t="n"/>
      <c r="H61" s="121" t="inlineStr">
        <is>
          <t>queued</t>
        </is>
      </c>
      <c r="I61" s="121" t="n"/>
    </row>
    <row r="63" ht="42" customHeight="1" s="104">
      <c r="B63" s="109" t="inlineStr">
        <is>
          <t>Japan = best market on LinkedIn</t>
        </is>
      </c>
      <c r="C63" s="108" t="inlineStr">
        <is>
          <t>Century Medical (Itochu group) gave 4 — incl. President &amp; CEO, GM Business Development, Deputy GM Marketing. Gadelius gave 3 — incl. GM Medical Equipment Division. All named &amp; English-friendly. This is where your channel-building will move fastest.</t>
        </is>
      </c>
    </row>
    <row r="64" ht="42" customHeight="1" s="104">
      <c r="B64" s="109" t="inlineStr">
        <is>
          <t>Taiwan capped at 7</t>
        </is>
      </c>
      <c r="C64" s="108" t="inlineStr">
        <is>
          <t>Only Getz &amp; DKSH have in-network, named staff. CHC/承業生醫 has a VP Sales &amp; Marketing but shows anonymised (out-of-network) — no Connect button without Premium. Locals (品約/總騰/杏恩/力林) aren't on LinkedIn. Use phone/email from the dealer tab.</t>
        </is>
      </c>
    </row>
    <row r="65" ht="42" customHeight="1" s="104">
      <c r="B65" s="109" t="inlineStr">
        <is>
          <t>Korea</t>
        </is>
      </c>
      <c r="C65" s="108" t="inlineStr">
        <is>
          <t>JW Medical &amp; DK Medical gave named sales staff. Synex/others were anonymised. QIA (not MFDS) handles vet devices — separate track.</t>
        </is>
      </c>
    </row>
    <row r="66" ht="42" customHeight="1" s="104">
      <c r="B66" s="109" t="inlineStr">
        <is>
          <t>Why stop at 17</t>
        </is>
      </c>
      <c r="C66" s="108" t="inlineStr">
        <is>
          <t>17 hand-sent invites in one day is the upper end of safe for a free account; going higher risks LinkedIn flagging the account you're about to build 4 territories on. Spacing the rest across days is the safer play. All invites were personalised-looking, targeted, and role-appropriate — not bulk.</t>
        </is>
      </c>
    </row>
    <row r="67" ht="42" customHeight="1" s="104">
      <c r="B67" s="109" t="inlineStr">
        <is>
          <t>Next</t>
        </is>
      </c>
      <c r="C67" s="108" t="inlineStr">
        <is>
          <t>(1) Clear the queue above next session. (2) Aug: note quota resets — spend on senior JP/KR decision-makers (Fujioka-tier). (3) I can draft 中文 / 日本語 / 한국어 follow-up messages to send the moment each invite is accepted.</t>
        </is>
      </c>
    </row>
  </sheetData>
  <autoFilter ref="A4:I61"/>
  <mergeCells count="5">
    <mergeCell ref="C66:I66"/>
    <mergeCell ref="C65:I65"/>
    <mergeCell ref="C64:I64"/>
    <mergeCell ref="C67:I67"/>
    <mergeCell ref="C63:I63"/>
  </mergeCells>
  <conditionalFormatting sqref="D5:D61">
    <cfRule type="cellIs" rank="0" priority="2" equalAverage="0" operator="equal" aboveAverage="0" dxfId="7" text="" percent="0" bottom="0">
      <formula>"Not started"</formula>
    </cfRule>
    <cfRule type="cellIs" rank="0" priority="3" equalAverage="0" operator="equal" aboveAverage="0" dxfId="8" text="" percent="0" bottom="0">
      <formula>"Contacted"</formula>
    </cfRule>
    <cfRule type="cellIs" rank="0" priority="4" equalAverage="0" operator="equal" aboveAverage="0" dxfId="9" text="" percent="0" bottom="0">
      <formula>"Meeting booked"</formula>
    </cfRule>
    <cfRule type="cellIs" rank="0" priority="5" equalAverage="0" operator="equal" aboveAverage="0" dxfId="10" text="" percent="0" bottom="0">
      <formula>"Meeting held"</formula>
    </cfRule>
    <cfRule type="cellIs" rank="0" priority="6" equalAverage="0" operator="equal" aboveAverage="0" dxfId="11" text="" percent="0" bottom="0">
      <formula>"Evaluation placed"</formula>
    </cfRule>
    <cfRule type="cellIs" rank="0" priority="7" equalAverage="0" operator="equal" aboveAverage="0" dxfId="12" text="" percent="0" bottom="0">
      <formula>"Quoted"</formula>
    </cfRule>
    <cfRule type="cellIs" rank="0" priority="8" equalAverage="0" operator="equal" aboveAverage="0" dxfId="13" text="" percent="0" bottom="0">
      <formula>"Won"</formula>
    </cfRule>
    <cfRule type="cellIs" rank="0" priority="9" equalAverage="0" operator="equal" aboveAverage="0" dxfId="14" text="" percent="0" bottom="0">
      <formula>"Declined"</formula>
    </cfRule>
    <cfRule type="cellIs" rank="0" priority="10" equalAverage="0" operator="equal" aboveAverage="0" dxfId="15" text="" percent="0" bottom="0">
      <formula>"Parked"</formula>
    </cfRule>
  </conditionalFormatting>
  <dataValidations count="1">
    <dataValidation sqref="D5:D61" showDropDown="0" showInputMessage="0" showErrorMessage="0" allowBlank="1" type="list" errorStyle="stop" operator="between">
      <formula1>"Not started,Contacted,Meeting booked,Meeting held,Evaluation placed,Quoted,Won,Declined,Parked"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1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4.25" zeroHeight="0" outlineLevelRow="0"/>
  <cols>
    <col width="14" customWidth="1" style="103" min="1" max="2"/>
    <col width="10" customWidth="1" style="103" min="3" max="9"/>
    <col width="11" customWidth="1" style="103" min="10" max="10"/>
    <col width="22" customWidth="1" style="103" min="11" max="11"/>
  </cols>
  <sheetData>
    <row r="1" ht="17.25" customHeight="1" s="104">
      <c r="A1" s="125" t="inlineStr">
        <is>
          <t>EMAIL OUTREACH SUMMARY BY MARKET: HUMAN DIAGNOSTICS</t>
        </is>
      </c>
    </row>
    <row r="2" ht="30" customHeight="1" s="104">
      <c r="A2" s="126" t="inlineStr">
        <is>
          <t>Live formulas on the Email Outreach Log and the target tabs. Taiwan sends of 6 Oct 2026 are logged; other markets unchanged. Veterinary outreach is tracked in the VET workbook.</t>
        </is>
      </c>
    </row>
    <row r="4" ht="31.5" customHeight="1" s="104">
      <c r="A4" s="127" t="inlineStr">
        <is>
          <t>Market</t>
        </is>
      </c>
      <c r="B4" s="127" t="inlineStr">
        <is>
          <t>Channel</t>
        </is>
      </c>
      <c r="C4" s="127" t="inlineStr">
        <is>
          <t>Targets on list</t>
        </is>
      </c>
      <c r="D4" s="127" t="inlineStr">
        <is>
          <t>Emails sent</t>
        </is>
      </c>
      <c r="E4" s="127" t="inlineStr">
        <is>
          <t>Delivered</t>
        </is>
      </c>
      <c r="F4" s="127" t="inlineStr">
        <is>
          <t>Bounced</t>
        </is>
      </c>
      <c r="G4" s="127" t="inlineStr">
        <is>
          <t>Replied</t>
        </is>
      </c>
      <c r="H4" s="127" t="inlineStr">
        <is>
          <t>No reply yet</t>
        </is>
      </c>
      <c r="I4" s="127" t="inlineStr">
        <is>
          <t>Still to email</t>
        </is>
      </c>
      <c r="J4" s="127" t="inlineStr">
        <is>
          <t>% of list emailed</t>
        </is>
      </c>
      <c r="K4" s="127" t="inlineStr">
        <is>
          <t>Target tab</t>
        </is>
      </c>
    </row>
    <row r="5" ht="14.25" customHeight="1" s="104">
      <c r="A5" s="128" t="inlineStr">
        <is>
          <t>Singapore</t>
        </is>
      </c>
      <c r="B5" s="128" t="inlineStr">
        <is>
          <t>Dealer</t>
        </is>
      </c>
      <c r="C5" s="129">
        <f>SUMPRODUCT(--ISNUMBER(MATCH('Singapore Dealers'!O5:O146,{1,2,3},0)))</f>
        <v/>
      </c>
      <c r="D5" s="129">
        <f>COUNTIFS('Email Outreach Log'!C:C,A5,'Email Outreach Log'!E:E,B5)</f>
        <v/>
      </c>
      <c r="E5" s="129">
        <f>D5-F5</f>
        <v/>
      </c>
      <c r="F5" s="129">
        <f>COUNTIFS('Email Outreach Log'!C:C,A5,'Email Outreach Log'!E:E,B5,'Email Outreach Log'!L:L,"Bounced")</f>
        <v/>
      </c>
      <c r="G5" s="129">
        <f>COUNTIFS('Email Outreach Log'!C:C,A5,'Email Outreach Log'!E:E,B5,'Email Outreach Log'!L:L,"Yes")</f>
        <v/>
      </c>
      <c r="H5" s="129">
        <f>COUNTIFS('Email Outreach Log'!C:C,A5,'Email Outreach Log'!E:E,B5,'Email Outreach Log'!L:L,"No")+COUNTIFS('Email Outreach Log'!C:C,A5,'Email Outreach Log'!E:E,B5,'Email Outreach Log'!L:L,"Out of office")</f>
        <v/>
      </c>
      <c r="I5" s="129">
        <f>MAX(C5-D5,0)</f>
        <v/>
      </c>
      <c r="J5" s="130">
        <f>IF(C5=0,0,D5/C5)</f>
        <v/>
      </c>
      <c r="K5" s="128" t="inlineStr">
        <is>
          <t>Singapore Dealers</t>
        </is>
      </c>
    </row>
    <row r="6" ht="14.25" customHeight="1" s="104">
      <c r="A6" s="128" t="inlineStr">
        <is>
          <t>Singapore</t>
        </is>
      </c>
      <c r="B6" s="128" t="inlineStr">
        <is>
          <t>End user</t>
        </is>
      </c>
      <c r="C6" s="129">
        <f>COUNTA('Singapore End-Users'!C5:C65)</f>
        <v/>
      </c>
      <c r="D6" s="129">
        <f>COUNTIFS('Email Outreach Log'!C:C,A6,'Email Outreach Log'!E:E,B6)</f>
        <v/>
      </c>
      <c r="E6" s="129">
        <f>D6-F6</f>
        <v/>
      </c>
      <c r="F6" s="129">
        <f>COUNTIFS('Email Outreach Log'!C:C,A6,'Email Outreach Log'!E:E,B6,'Email Outreach Log'!L:L,"Bounced")</f>
        <v/>
      </c>
      <c r="G6" s="129">
        <f>COUNTIFS('Email Outreach Log'!C:C,A6,'Email Outreach Log'!E:E,B6,'Email Outreach Log'!L:L,"Yes")</f>
        <v/>
      </c>
      <c r="H6" s="129">
        <f>COUNTIFS('Email Outreach Log'!C:C,A6,'Email Outreach Log'!E:E,B6,'Email Outreach Log'!L:L,"No")+COUNTIFS('Email Outreach Log'!C:C,A6,'Email Outreach Log'!E:E,B6,'Email Outreach Log'!L:L,"Out of office")</f>
        <v/>
      </c>
      <c r="I6" s="129">
        <f>MAX(C6-D6,0)</f>
        <v/>
      </c>
      <c r="J6" s="130">
        <f>IF(C6=0,0,D6/C6)</f>
        <v/>
      </c>
      <c r="K6" s="128" t="inlineStr">
        <is>
          <t>Singapore End-Users</t>
        </is>
      </c>
    </row>
    <row r="7" ht="14.25" customHeight="1" s="104">
      <c r="A7" s="128" t="inlineStr">
        <is>
          <t>Singapore</t>
        </is>
      </c>
      <c r="B7" s="128" t="inlineStr">
        <is>
          <t>Named contact</t>
        </is>
      </c>
      <c r="C7" s="129">
        <f>COUNTA('Singapore Contacts'!C5:C89)</f>
        <v/>
      </c>
      <c r="D7" s="129">
        <f>COUNTIFS('Email Outreach Log'!C:C,A7,'Email Outreach Log'!E:E,B7)</f>
        <v/>
      </c>
      <c r="E7" s="129">
        <f>D7-F7</f>
        <v/>
      </c>
      <c r="F7" s="129">
        <f>COUNTIFS('Email Outreach Log'!C:C,A7,'Email Outreach Log'!E:E,B7,'Email Outreach Log'!L:L,"Bounced")</f>
        <v/>
      </c>
      <c r="G7" s="129">
        <f>COUNTIFS('Email Outreach Log'!C:C,A7,'Email Outreach Log'!E:E,B7,'Email Outreach Log'!L:L,"Yes")</f>
        <v/>
      </c>
      <c r="H7" s="129">
        <f>COUNTIFS('Email Outreach Log'!C:C,A7,'Email Outreach Log'!E:E,B7,'Email Outreach Log'!L:L,"No")+COUNTIFS('Email Outreach Log'!C:C,A7,'Email Outreach Log'!E:E,B7,'Email Outreach Log'!L:L,"Out of office")</f>
        <v/>
      </c>
      <c r="I7" s="129">
        <f>MAX(C7-D7,0)</f>
        <v/>
      </c>
      <c r="J7" s="130">
        <f>IF(C7=0,0,D7/C7)</f>
        <v/>
      </c>
      <c r="K7" s="128" t="inlineStr">
        <is>
          <t>Singapore Contacts</t>
        </is>
      </c>
    </row>
    <row r="8" ht="14.25" customHeight="1" s="104">
      <c r="A8" s="128" t="inlineStr">
        <is>
          <t>Singapore</t>
        </is>
      </c>
      <c r="B8" s="128" t="inlineStr">
        <is>
          <t>Private specialist</t>
        </is>
      </c>
      <c r="C8" s="129">
        <f>COUNTIF(Singapore_private!D5:D217,"Specialist centre")</f>
        <v/>
      </c>
      <c r="D8" s="129">
        <f>COUNTIFS('Email Outreach Log'!C:C,A8,'Email Outreach Log'!E:E,B8)</f>
        <v/>
      </c>
      <c r="E8" s="129">
        <f>D8-F8</f>
        <v/>
      </c>
      <c r="F8" s="129">
        <f>COUNTIFS('Email Outreach Log'!C:C,A8,'Email Outreach Log'!E:E,B8,'Email Outreach Log'!L:L,"Bounced")</f>
        <v/>
      </c>
      <c r="G8" s="129">
        <f>COUNTIFS('Email Outreach Log'!C:C,A8,'Email Outreach Log'!E:E,B8,'Email Outreach Log'!L:L,"Yes")</f>
        <v/>
      </c>
      <c r="H8" s="129">
        <f>COUNTIFS('Email Outreach Log'!C:C,A8,'Email Outreach Log'!E:E,B8,'Email Outreach Log'!L:L,"No")+COUNTIFS('Email Outreach Log'!C:C,A8,'Email Outreach Log'!E:E,B8,'Email Outreach Log'!L:L,"Out of office")</f>
        <v/>
      </c>
      <c r="I8" s="129">
        <f>MAX(C8-D8,0)</f>
        <v/>
      </c>
      <c r="J8" s="130">
        <f>IF(C8=0,0,D8/C8)</f>
        <v/>
      </c>
      <c r="K8" s="128" t="inlineStr">
        <is>
          <t>Singapore_private</t>
        </is>
      </c>
    </row>
    <row r="9" ht="14.25" customHeight="1" s="104">
      <c r="A9" s="128" t="inlineStr">
        <is>
          <t>Singapore</t>
        </is>
      </c>
      <c r="B9" s="128" t="inlineStr">
        <is>
          <t>GP clinic</t>
        </is>
      </c>
      <c r="C9" s="129">
        <f>COUNTIF(Singapore_private!D5:D217,"GP clinic")</f>
        <v/>
      </c>
      <c r="D9" s="129">
        <f>COUNTIFS('Email Outreach Log'!C:C,A9,'Email Outreach Log'!E:E,B9)</f>
        <v/>
      </c>
      <c r="E9" s="129">
        <f>D9-F9</f>
        <v/>
      </c>
      <c r="F9" s="129">
        <f>COUNTIFS('Email Outreach Log'!C:C,A9,'Email Outreach Log'!E:E,B9,'Email Outreach Log'!L:L,"Bounced")</f>
        <v/>
      </c>
      <c r="G9" s="129">
        <f>COUNTIFS('Email Outreach Log'!C:C,A9,'Email Outreach Log'!E:E,B9,'Email Outreach Log'!L:L,"Yes")</f>
        <v/>
      </c>
      <c r="H9" s="129">
        <f>COUNTIFS('Email Outreach Log'!C:C,A9,'Email Outreach Log'!E:E,B9,'Email Outreach Log'!L:L,"No")+COUNTIFS('Email Outreach Log'!C:C,A9,'Email Outreach Log'!E:E,B9,'Email Outreach Log'!L:L,"Out of office")</f>
        <v/>
      </c>
      <c r="I9" s="129">
        <f>MAX(C9-D9,0)</f>
        <v/>
      </c>
      <c r="J9" s="130">
        <f>IF(C9=0,0,D9/C9)</f>
        <v/>
      </c>
      <c r="K9" s="128" t="inlineStr">
        <is>
          <t>Singapore_private</t>
        </is>
      </c>
    </row>
    <row r="10" ht="14.25" customHeight="1" s="104">
      <c r="A10" s="128" t="inlineStr">
        <is>
          <t>Taiwan</t>
        </is>
      </c>
      <c r="B10" s="128" t="inlineStr">
        <is>
          <t>Dealer</t>
        </is>
      </c>
      <c r="C10" s="129">
        <f>COUNTA('Taiwan Dealers'!C5:C429)</f>
        <v/>
      </c>
      <c r="D10" s="129">
        <f>COUNTIFS('Email Outreach Log'!C:C,A10,'Email Outreach Log'!E:E,B10)</f>
        <v/>
      </c>
      <c r="E10" s="129">
        <f>D10-F10</f>
        <v/>
      </c>
      <c r="F10" s="129">
        <f>COUNTIFS('Email Outreach Log'!C:C,A10,'Email Outreach Log'!E:E,B10,'Email Outreach Log'!L:L,"Bounced")</f>
        <v/>
      </c>
      <c r="G10" s="129">
        <f>COUNTIFS('Email Outreach Log'!C:C,A10,'Email Outreach Log'!E:E,B10,'Email Outreach Log'!L:L,"Yes")</f>
        <v/>
      </c>
      <c r="H10" s="129">
        <f>COUNTIFS('Email Outreach Log'!C:C,A10,'Email Outreach Log'!E:E,B10,'Email Outreach Log'!L:L,"No")+COUNTIFS('Email Outreach Log'!C:C,A10,'Email Outreach Log'!E:E,B10,'Email Outreach Log'!L:L,"Out of office")</f>
        <v/>
      </c>
      <c r="I10" s="129">
        <f>MAX(C10-D10,0)</f>
        <v/>
      </c>
      <c r="J10" s="130">
        <f>IF(C10=0,0,D10/C10)</f>
        <v/>
      </c>
      <c r="K10" s="128" t="inlineStr">
        <is>
          <t>Taiwan Dealers</t>
        </is>
      </c>
    </row>
    <row r="11" ht="14.25" customHeight="1" s="104">
      <c r="A11" s="128" t="inlineStr">
        <is>
          <t>South Korea</t>
        </is>
      </c>
      <c r="B11" s="128" t="inlineStr">
        <is>
          <t>Dealer</t>
        </is>
      </c>
      <c r="C11" s="129">
        <f>COUNTA('Korea Dealers'!C5:C303)</f>
        <v/>
      </c>
      <c r="D11" s="129">
        <f>COUNTIFS('Email Outreach Log'!C:C,A11,'Email Outreach Log'!E:E,B11)</f>
        <v/>
      </c>
      <c r="E11" s="129">
        <f>D11-F11</f>
        <v/>
      </c>
      <c r="F11" s="129">
        <f>COUNTIFS('Email Outreach Log'!C:C,A11,'Email Outreach Log'!E:E,B11,'Email Outreach Log'!L:L,"Bounced")</f>
        <v/>
      </c>
      <c r="G11" s="129">
        <f>COUNTIFS('Email Outreach Log'!C:C,A11,'Email Outreach Log'!E:E,B11,'Email Outreach Log'!L:L,"Yes")</f>
        <v/>
      </c>
      <c r="H11" s="129">
        <f>COUNTIFS('Email Outreach Log'!C:C,A11,'Email Outreach Log'!E:E,B11,'Email Outreach Log'!L:L,"No")+COUNTIFS('Email Outreach Log'!C:C,A11,'Email Outreach Log'!E:E,B11,'Email Outreach Log'!L:L,"Out of office")</f>
        <v/>
      </c>
      <c r="I11" s="129">
        <f>MAX(C11-D11,0)</f>
        <v/>
      </c>
      <c r="J11" s="130">
        <f>IF(C11=0,0,D11/C11)</f>
        <v/>
      </c>
      <c r="K11" s="128" t="inlineStr">
        <is>
          <t>Korea Dealers</t>
        </is>
      </c>
    </row>
    <row r="12" ht="14.25" customHeight="1" s="104">
      <c r="A12" s="128" t="inlineStr">
        <is>
          <t>Japan</t>
        </is>
      </c>
      <c r="B12" s="128" t="inlineStr">
        <is>
          <t>Dealer</t>
        </is>
      </c>
      <c r="C12" s="129">
        <f>COUNTA('Japan Dealers'!C5:C72)</f>
        <v/>
      </c>
      <c r="D12" s="129">
        <f>COUNTIFS('Email Outreach Log'!C:C,A12,'Email Outreach Log'!E:E,B12)</f>
        <v/>
      </c>
      <c r="E12" s="129">
        <f>D12-F12</f>
        <v/>
      </c>
      <c r="F12" s="129">
        <f>COUNTIFS('Email Outreach Log'!C:C,A12,'Email Outreach Log'!E:E,B12,'Email Outreach Log'!L:L,"Bounced")</f>
        <v/>
      </c>
      <c r="G12" s="129">
        <f>COUNTIFS('Email Outreach Log'!C:C,A12,'Email Outreach Log'!E:E,B12,'Email Outreach Log'!L:L,"Yes")</f>
        <v/>
      </c>
      <c r="H12" s="129">
        <f>COUNTIFS('Email Outreach Log'!C:C,A12,'Email Outreach Log'!E:E,B12,'Email Outreach Log'!L:L,"No")+COUNTIFS('Email Outreach Log'!C:C,A12,'Email Outreach Log'!E:E,B12,'Email Outreach Log'!L:L,"Out of office")</f>
        <v/>
      </c>
      <c r="I12" s="129">
        <f>MAX(C12-D12,0)</f>
        <v/>
      </c>
      <c r="J12" s="130">
        <f>IF(C12=0,0,D12/C12)</f>
        <v/>
      </c>
      <c r="K12" s="128" t="inlineStr">
        <is>
          <t>Japan Dealers</t>
        </is>
      </c>
    </row>
    <row r="13" ht="14.25" customHeight="1" s="104">
      <c r="A13" s="131" t="inlineStr">
        <is>
          <t>TOTAL HUMAN</t>
        </is>
      </c>
      <c r="B13" s="131" t="n"/>
      <c r="C13" s="132">
        <f>SUM(C5:C12)</f>
        <v/>
      </c>
      <c r="D13" s="132">
        <f>SUM(D5:D12)</f>
        <v/>
      </c>
      <c r="E13" s="132">
        <f>SUM(E5:E12)</f>
        <v/>
      </c>
      <c r="F13" s="132">
        <f>SUM(F5:F12)</f>
        <v/>
      </c>
      <c r="G13" s="132">
        <f>SUM(G5:G12)</f>
        <v/>
      </c>
      <c r="H13" s="132">
        <f>SUM(H5:H12)</f>
        <v/>
      </c>
      <c r="I13" s="132">
        <f>SUM(I5:I12)</f>
        <v/>
      </c>
      <c r="J13" s="133">
        <f>IF(C13=0,0,D13/C13)</f>
        <v/>
      </c>
      <c r="K13" s="131" t="n"/>
    </row>
  </sheetData>
  <mergeCells count="1">
    <mergeCell ref="A2:K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20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4.25" zeroHeight="0" outlineLevelRow="0"/>
  <cols>
    <col width="4" customWidth="1" style="103" min="1" max="1"/>
    <col width="11" customWidth="1" style="103" min="2" max="2"/>
    <col width="12" customWidth="1" style="103" min="3" max="3"/>
    <col width="34" customWidth="1" style="103" min="4" max="4"/>
    <col width="13" customWidth="1" style="103" min="5" max="5"/>
    <col width="28" customWidth="1" style="103" min="6" max="6"/>
    <col width="24" customWidth="1" style="103" min="7" max="7"/>
    <col width="50" customWidth="1" style="103" min="8" max="8"/>
    <col width="26" customWidth="1" style="103" min="9" max="9"/>
    <col width="7" customWidth="1" style="103" min="10" max="10"/>
    <col width="12" customWidth="1" style="103" min="11" max="12"/>
    <col width="34" customWidth="1" style="103" min="13" max="13"/>
  </cols>
  <sheetData>
    <row r="1" ht="15" customHeight="1" s="104">
      <c r="A1" s="134" t="inlineStr">
        <is>
          <t>EMAIL OUTREACH LOG: every human diagnostics dealer or end user email sent, one row per send</t>
        </is>
      </c>
    </row>
    <row r="2" ht="14.25" customHeight="1" s="104">
      <c r="A2" s="135" t="inlineStr">
        <is>
          <t>One row per email sent from casper@astramed.sg. Taiwan sends of 6 Oct 2026 logged from the Winmail Sent folder (159 messages); bounces from the Inbox return notices received the same evening.</t>
        </is>
      </c>
    </row>
    <row r="4" ht="27.75" customHeight="1" s="104">
      <c r="A4" s="127" t="inlineStr">
        <is>
          <t>#</t>
        </is>
      </c>
      <c r="B4" s="127" t="inlineStr">
        <is>
          <t>Date sent</t>
        </is>
      </c>
      <c r="C4" s="127" t="inlineStr">
        <is>
          <t>Market</t>
        </is>
      </c>
      <c r="D4" s="127" t="inlineStr">
        <is>
          <t>Company</t>
        </is>
      </c>
      <c r="E4" s="127" t="inlineStr">
        <is>
          <t>Channel</t>
        </is>
      </c>
      <c r="F4" s="127" t="inlineStr">
        <is>
          <t>To</t>
        </is>
      </c>
      <c r="G4" s="127" t="inlineStr">
        <is>
          <t>CC</t>
        </is>
      </c>
      <c r="H4" s="127" t="inlineStr">
        <is>
          <t>Subject</t>
        </is>
      </c>
      <c r="I4" s="127" t="inlineStr">
        <is>
          <t>Attachment</t>
        </is>
      </c>
      <c r="J4" s="127" t="inlineStr">
        <is>
          <t>Tier</t>
        </is>
      </c>
      <c r="K4" s="127" t="inlineStr">
        <is>
          <t>Follow up by</t>
        </is>
      </c>
      <c r="L4" s="127" t="inlineStr">
        <is>
          <t>Reply received</t>
        </is>
      </c>
      <c r="M4" s="127" t="inlineStr">
        <is>
          <t>Notes</t>
        </is>
      </c>
    </row>
    <row r="5" ht="14.25" customHeight="1" s="104">
      <c r="A5" s="136" t="n">
        <v>1</v>
      </c>
      <c r="B5" s="137" t="inlineStr">
        <is>
          <t>06 Oct 2026</t>
        </is>
      </c>
      <c r="C5" s="136" t="inlineStr">
        <is>
          <t>Taiwan</t>
        </is>
      </c>
      <c r="D5" s="138" t="inlineStr">
        <is>
          <t>品約醫療儀器 Pinyork Medical</t>
        </is>
      </c>
      <c r="E5" s="136" t="inlineStr">
        <is>
          <t>Dealer</t>
        </is>
      </c>
      <c r="F5" s="136" t="inlineStr">
        <is>
          <t>service@pinyork.com.tw</t>
        </is>
      </c>
      <c r="G5" s="136" t="n"/>
      <c r="H5" s="136" t="inlineStr">
        <is>
          <t>Pinyork Medical: CHISON human diagnostic ultrasound for your clinic base</t>
        </is>
      </c>
      <c r="I5" s="136" t="inlineStr">
        <is>
          <t>CHISON Corporate Brochure 2027 (PDF, 2.6 MB)</t>
        </is>
      </c>
      <c r="J5" s="136" t="inlineStr">
        <is>
          <t>1</t>
        </is>
      </c>
      <c r="K5" s="137" t="inlineStr">
        <is>
          <t>13 Oct 2026</t>
        </is>
      </c>
      <c r="L5" s="136" t="inlineStr">
        <is>
          <t>No</t>
        </is>
      </c>
      <c r="M5" s="136" t="inlineStr">
        <is>
          <t>Individual email</t>
        </is>
      </c>
    </row>
    <row r="6" ht="14.25" customHeight="1" s="104">
      <c r="A6" s="136" t="n">
        <v>2</v>
      </c>
      <c r="B6" s="137" t="inlineStr">
        <is>
          <t>06 Oct 2026</t>
        </is>
      </c>
      <c r="C6" s="136" t="inlineStr">
        <is>
          <t>Taiwan</t>
        </is>
      </c>
      <c r="D6" s="138" t="inlineStr">
        <is>
          <t>總騰儀器 SOAR Instrument-Tech</t>
        </is>
      </c>
      <c r="E6" s="136" t="inlineStr">
        <is>
          <t>Dealer</t>
        </is>
      </c>
      <c r="F6" s="136" t="inlineStr">
        <is>
          <t>soar.jimmy@gmail.com</t>
        </is>
      </c>
      <c r="G6" s="136" t="n"/>
      <c r="H6" s="136" t="inlineStr">
        <is>
          <t>SOAR: CHISON ultrasound for new clinic openings</t>
        </is>
      </c>
      <c r="I6" s="136" t="inlineStr">
        <is>
          <t>CHISON Corporate Brochure 2027 (PDF, 2.6 MB)</t>
        </is>
      </c>
      <c r="J6" s="136" t="inlineStr">
        <is>
          <t>1</t>
        </is>
      </c>
      <c r="K6" s="137" t="inlineStr">
        <is>
          <t>13 Oct 2026</t>
        </is>
      </c>
      <c r="L6" s="136" t="inlineStr">
        <is>
          <t>No</t>
        </is>
      </c>
      <c r="M6" s="136" t="inlineStr">
        <is>
          <t>Individual email</t>
        </is>
      </c>
    </row>
    <row r="7" ht="14.25" customHeight="1" s="104">
      <c r="A7" s="136" t="n">
        <v>3</v>
      </c>
      <c r="B7" s="137" t="inlineStr">
        <is>
          <t>06 Oct 2026</t>
        </is>
      </c>
      <c r="C7" s="136" t="inlineStr">
        <is>
          <t>Taiwan</t>
        </is>
      </c>
      <c r="D7" s="138" t="inlineStr">
        <is>
          <t>杏恩醫療儀器 Shinn Medical</t>
        </is>
      </c>
      <c r="E7" s="136" t="inlineStr">
        <is>
          <t>Dealer</t>
        </is>
      </c>
      <c r="F7" s="136" t="inlineStr">
        <is>
          <t>28262556serv@gmail.com</t>
        </is>
      </c>
      <c r="G7" s="136" t="n"/>
      <c r="H7" s="136" t="inlineStr">
        <is>
          <t>Shinn Medical: adding ultrasound to your imaging and OR line card</t>
        </is>
      </c>
      <c r="I7" s="136" t="inlineStr">
        <is>
          <t>CHISON Corporate Brochure 2027 (PDF, 2.6 MB)</t>
        </is>
      </c>
      <c r="J7" s="136" t="inlineStr">
        <is>
          <t>1</t>
        </is>
      </c>
      <c r="K7" s="137" t="inlineStr">
        <is>
          <t>13 Oct 2026</t>
        </is>
      </c>
      <c r="L7" s="136" t="inlineStr">
        <is>
          <t>No</t>
        </is>
      </c>
      <c r="M7" s="136" t="inlineStr">
        <is>
          <t>Individual email</t>
        </is>
      </c>
    </row>
    <row r="8" ht="14.25" customHeight="1" s="104">
      <c r="A8" s="136" t="n">
        <v>4</v>
      </c>
      <c r="B8" s="137" t="inlineStr">
        <is>
          <t>06 Oct 2026</t>
        </is>
      </c>
      <c r="C8" s="136" t="inlineStr">
        <is>
          <t>Taiwan</t>
        </is>
      </c>
      <c r="D8" s="138" t="inlineStr">
        <is>
          <t>承業生醫 CHC Healthcare Group + 久和醫療儀器 ChiuHo Medical</t>
        </is>
      </c>
      <c r="E8" s="136" t="inlineStr">
        <is>
          <t>Dealer</t>
        </is>
      </c>
      <c r="F8" s="136" t="inlineStr">
        <is>
          <t>Sales.Rt@chcg.com</t>
        </is>
      </c>
      <c r="G8" s="136" t="inlineStr">
        <is>
          <t>Sales.Ns@chcg.com</t>
        </is>
      </c>
      <c r="H8" s="136" t="inlineStr">
        <is>
          <t>CHC Healthcare Group and ChiuHo Medical: an ultrasound line for your imaging channel</t>
        </is>
      </c>
      <c r="I8" s="136" t="inlineStr">
        <is>
          <t>CHISON Corporate Brochure 2027 (PDF, 2.6 MB)</t>
        </is>
      </c>
      <c r="J8" s="136" t="inlineStr">
        <is>
          <t>1</t>
        </is>
      </c>
      <c r="K8" s="137" t="inlineStr">
        <is>
          <t>13 Oct 2026</t>
        </is>
      </c>
      <c r="L8" s="136" t="inlineStr">
        <is>
          <t>No</t>
        </is>
      </c>
      <c r="M8" s="136" t="inlineStr">
        <is>
          <t>Individual email</t>
        </is>
      </c>
    </row>
    <row r="9" ht="14.25" customHeight="1" s="104">
      <c r="A9" s="136" t="n">
        <v>5</v>
      </c>
      <c r="B9" s="137" t="inlineStr">
        <is>
          <t>06 Oct 2026</t>
        </is>
      </c>
      <c r="C9" s="136" t="inlineStr">
        <is>
          <t>Taiwan</t>
        </is>
      </c>
      <c r="D9" s="138" t="inlineStr">
        <is>
          <t>巨研科技 GETECH</t>
        </is>
      </c>
      <c r="E9" s="136" t="inlineStr">
        <is>
          <t>Dealer</t>
        </is>
      </c>
      <c r="F9" s="136" t="inlineStr">
        <is>
          <t>service@getech.com.tw</t>
        </is>
      </c>
      <c r="G9" s="136" t="n"/>
      <c r="H9" s="136" t="inlineStr">
        <is>
          <t>GETECH: CHISON human diagnostic ultrasound, a tier below your premium line</t>
        </is>
      </c>
      <c r="I9" s="136" t="inlineStr">
        <is>
          <t>CHISON Corporate Brochure 2027 (PDF, 2.6 MB)</t>
        </is>
      </c>
      <c r="J9" s="136" t="inlineStr">
        <is>
          <t>2</t>
        </is>
      </c>
      <c r="K9" s="137" t="inlineStr">
        <is>
          <t>13 Oct 2026</t>
        </is>
      </c>
      <c r="L9" s="136" t="inlineStr">
        <is>
          <t>No</t>
        </is>
      </c>
      <c r="M9" s="136" t="inlineStr">
        <is>
          <t>Individual email</t>
        </is>
      </c>
    </row>
    <row r="10" ht="14.25" customHeight="1" s="104">
      <c r="A10" s="136" t="n">
        <v>6</v>
      </c>
      <c r="B10" s="137" t="inlineStr">
        <is>
          <t>06 Oct 2026</t>
        </is>
      </c>
      <c r="C10" s="136" t="inlineStr">
        <is>
          <t>Taiwan</t>
        </is>
      </c>
      <c r="D10" s="138" t="inlineStr">
        <is>
          <t>友信行 Yu Hsin Hang (Uni Charm?) · TFDA reg. name: 友信行股份有限公司</t>
        </is>
      </c>
      <c r="E10" s="136" t="inlineStr">
        <is>
          <t>Dealer</t>
        </is>
      </c>
      <c r="F10" s="136" t="inlineStr">
        <is>
          <t>info@unison.com.tw</t>
        </is>
      </c>
      <c r="G10" s="136" t="n"/>
      <c r="H10" s="136" t="inlineStr">
        <is>
          <t>Unison Healthcare Group: CHISON ultrasound as a value tier</t>
        </is>
      </c>
      <c r="I10" s="136" t="inlineStr">
        <is>
          <t>CHISON Corporate Brochure 2027 (PDF, 2.6 MB)</t>
        </is>
      </c>
      <c r="J10" s="136" t="inlineStr">
        <is>
          <t>2</t>
        </is>
      </c>
      <c r="K10" s="137" t="inlineStr">
        <is>
          <t>13 Oct 2026</t>
        </is>
      </c>
      <c r="L10" s="136" t="inlineStr">
        <is>
          <t>No</t>
        </is>
      </c>
      <c r="M10" s="136" t="inlineStr">
        <is>
          <t>Individual email</t>
        </is>
      </c>
    </row>
    <row r="11" ht="14.25" customHeight="1" s="104">
      <c r="A11" s="136" t="n">
        <v>7</v>
      </c>
      <c r="B11" s="137" t="inlineStr">
        <is>
          <t>06 Oct 2026</t>
        </is>
      </c>
      <c r="C11" s="136" t="inlineStr">
        <is>
          <t>Taiwan</t>
        </is>
      </c>
      <c r="D11" s="138" t="inlineStr">
        <is>
          <t>商之器科技 EBM Technologies</t>
        </is>
      </c>
      <c r="E11" s="136" t="inlineStr">
        <is>
          <t>Dealer</t>
        </is>
      </c>
      <c r="F11" s="136" t="inlineStr">
        <is>
          <t>info@ebmtech.com</t>
        </is>
      </c>
      <c r="G11" s="136" t="n"/>
      <c r="H11" s="136" t="inlineStr">
        <is>
          <t>EBM Technologies: pairing CHISON ultrasound with your PACS installed base</t>
        </is>
      </c>
      <c r="I11" s="136" t="inlineStr">
        <is>
          <t>CHISON Corporate Brochure 2027 (PDF, 2.6 MB)</t>
        </is>
      </c>
      <c r="J11" s="136" t="inlineStr">
        <is>
          <t>2</t>
        </is>
      </c>
      <c r="K11" s="137" t="inlineStr">
        <is>
          <t>13 Oct 2026</t>
        </is>
      </c>
      <c r="L11" s="136" t="inlineStr">
        <is>
          <t>No</t>
        </is>
      </c>
      <c r="M11" s="136" t="inlineStr">
        <is>
          <t>Individual email</t>
        </is>
      </c>
    </row>
    <row r="12" ht="14.25" customHeight="1" s="104">
      <c r="A12" s="136" t="n">
        <v>8</v>
      </c>
      <c r="B12" s="137" t="inlineStr">
        <is>
          <t>06 Oct 2026</t>
        </is>
      </c>
      <c r="C12" s="136" t="inlineStr">
        <is>
          <t>Taiwan</t>
        </is>
      </c>
      <c r="D12" s="136" t="inlineStr">
        <is>
          <t>EASTECH 動物超音波 · TFDA reg. name: 華鋒科技股份有限公司 (Eastech)</t>
        </is>
      </c>
      <c r="E12" s="136" t="inlineStr">
        <is>
          <t>Dealer</t>
        </is>
      </c>
      <c r="F12" s="136" t="inlineStr">
        <is>
          <t>info@eastech-medical.com.tw</t>
        </is>
      </c>
      <c r="G12" s="136" t="n"/>
      <c r="H12" s="136" t="inlineStr">
        <is>
          <t>Eastech: CHISON handheld and portable ultrasound alongside your current line</t>
        </is>
      </c>
      <c r="I12" s="136" t="inlineStr">
        <is>
          <t>CHISON Corporate Brochure 2027 (PDF, 2.6 MB)</t>
        </is>
      </c>
      <c r="J12" s="136" t="inlineStr">
        <is>
          <t>2</t>
        </is>
      </c>
      <c r="K12" s="137" t="inlineStr">
        <is>
          <t>13 Oct 2026</t>
        </is>
      </c>
      <c r="L12" s="136" t="inlineStr">
        <is>
          <t>No</t>
        </is>
      </c>
      <c r="M12" s="136" t="inlineStr">
        <is>
          <t>Individual email</t>
        </is>
      </c>
    </row>
    <row r="13" ht="14.25" customHeight="1" s="104">
      <c r="A13" s="136" t="n">
        <v>9</v>
      </c>
      <c r="B13" s="137" t="inlineStr">
        <is>
          <t>06 Oct 2026</t>
        </is>
      </c>
      <c r="C13" s="136" t="inlineStr">
        <is>
          <t>Taiwan</t>
        </is>
      </c>
      <c r="D13" s="138" t="inlineStr">
        <is>
          <t>奇裕企業股份有限公司</t>
        </is>
      </c>
      <c r="E13" s="136" t="inlineStr">
        <is>
          <t>Dealer</t>
        </is>
      </c>
      <c r="F13" s="136" t="inlineStr">
        <is>
          <t>info@kromax.com</t>
        </is>
      </c>
      <c r="G13" s="136" t="n"/>
      <c r="H13" s="136" t="inlineStr">
        <is>
          <t>Kromax: broadening your portable ultrasound line with CHISON</t>
        </is>
      </c>
      <c r="I13" s="136" t="inlineStr">
        <is>
          <t>CHISON Corporate Brochure 2027 (PDF, 2.6 MB)</t>
        </is>
      </c>
      <c r="J13" s="136" t="inlineStr">
        <is>
          <t>2</t>
        </is>
      </c>
      <c r="K13" s="137" t="inlineStr">
        <is>
          <t>13 Oct 2026</t>
        </is>
      </c>
      <c r="L13" s="136" t="inlineStr">
        <is>
          <t>No</t>
        </is>
      </c>
      <c r="M13" s="136" t="inlineStr">
        <is>
          <t>Individual email</t>
        </is>
      </c>
    </row>
    <row r="14" ht="14.25" customHeight="1" s="104">
      <c r="A14" s="136" t="n">
        <v>10</v>
      </c>
      <c r="B14" s="137" t="inlineStr">
        <is>
          <t>06 Oct 2026</t>
        </is>
      </c>
      <c r="C14" s="136" t="inlineStr">
        <is>
          <t>Taiwan</t>
        </is>
      </c>
      <c r="D14" s="138" t="inlineStr">
        <is>
          <t>力林國際 Vet Supply (crossover)</t>
        </is>
      </c>
      <c r="E14" s="136" t="inlineStr">
        <is>
          <t>Dealer</t>
        </is>
      </c>
      <c r="F14" s="136" t="inlineStr">
        <is>
          <t>j@vetsupply.com.tw</t>
        </is>
      </c>
      <c r="G14" s="136" t="n"/>
      <c r="H14" s="136" t="inlineStr">
        <is>
          <t>Vet Supply: CHISON ultrasound for your veterinary customers</t>
        </is>
      </c>
      <c r="I14" s="136" t="inlineStr">
        <is>
          <t>CHISON Corporate Brochure 2027 (PDF, 2.6 MB)</t>
        </is>
      </c>
      <c r="J14" s="136" t="inlineStr">
        <is>
          <t>1</t>
        </is>
      </c>
      <c r="K14" s="137" t="inlineStr">
        <is>
          <t>13 Oct 2026</t>
        </is>
      </c>
      <c r="L14" s="136" t="inlineStr">
        <is>
          <t>No</t>
        </is>
      </c>
      <c r="M14" s="136" t="inlineStr">
        <is>
          <t>Individual email</t>
        </is>
      </c>
    </row>
    <row r="15" ht="14.25" customHeight="1" s="104">
      <c r="A15" s="136" t="n">
        <v>11</v>
      </c>
      <c r="B15" s="137" t="inlineStr">
        <is>
          <t>06 Oct 2026</t>
        </is>
      </c>
      <c r="C15" s="136" t="inlineStr">
        <is>
          <t>Taiwan</t>
        </is>
      </c>
      <c r="D15" s="138" t="inlineStr">
        <is>
          <t>醫全實業 Yi Chuan Industrial</t>
        </is>
      </c>
      <c r="E15" s="136" t="inlineStr">
        <is>
          <t>Dealer</t>
        </is>
      </c>
      <c r="F15" s="136" t="inlineStr">
        <is>
          <t>medicare@beam.com.tw</t>
        </is>
      </c>
      <c r="G15" s="136" t="n"/>
      <c r="H15" s="136" t="inlineStr">
        <is>
          <t>Medicare Products: an ultrasound line for your three regional offices</t>
        </is>
      </c>
      <c r="I15" s="136" t="inlineStr">
        <is>
          <t>CHISON Corporate Brochure 2027 (PDF, 2.6 MB)</t>
        </is>
      </c>
      <c r="J15" s="136" t="inlineStr">
        <is>
          <t>2</t>
        </is>
      </c>
      <c r="K15" s="137" t="inlineStr">
        <is>
          <t>13 Oct 2026</t>
        </is>
      </c>
      <c r="L15" s="136" t="inlineStr">
        <is>
          <t>No</t>
        </is>
      </c>
      <c r="M15" s="136" t="inlineStr">
        <is>
          <t>Individual email</t>
        </is>
      </c>
    </row>
    <row r="16" ht="14.25" customHeight="1" s="104">
      <c r="A16" s="136" t="n">
        <v>12</v>
      </c>
      <c r="B16" s="137" t="inlineStr">
        <is>
          <t>06 Oct 2026</t>
        </is>
      </c>
      <c r="C16" s="136" t="inlineStr">
        <is>
          <t>Taiwan</t>
        </is>
      </c>
      <c r="D16" s="138" t="inlineStr">
        <is>
          <t>上鉅實業股份有限公司</t>
        </is>
      </c>
      <c r="E16" s="136" t="inlineStr">
        <is>
          <t>Dealer</t>
        </is>
      </c>
      <c r="F16" s="136" t="inlineStr">
        <is>
          <t>tphq@sumtage.com.tw</t>
        </is>
      </c>
      <c r="G16" s="136" t="n"/>
      <c r="H16" s="136" t="inlineStr">
        <is>
          <t>Sumtage: CHISON portable ultrasound alongside your premium imaging lines</t>
        </is>
      </c>
      <c r="I16" s="136" t="inlineStr">
        <is>
          <t>CHISON Corporate Brochure 2027 (PDF, 2.6 MB)</t>
        </is>
      </c>
      <c r="J16" s="136" t="inlineStr">
        <is>
          <t>2</t>
        </is>
      </c>
      <c r="K16" s="137" t="inlineStr">
        <is>
          <t>13 Oct 2026</t>
        </is>
      </c>
      <c r="L16" s="136" t="inlineStr">
        <is>
          <t>No</t>
        </is>
      </c>
      <c r="M16" s="136" t="inlineStr">
        <is>
          <t>Individual email</t>
        </is>
      </c>
    </row>
    <row r="17" ht="14.25" customHeight="1" s="104">
      <c r="A17" s="136" t="n">
        <v>13</v>
      </c>
      <c r="B17" s="137" t="inlineStr">
        <is>
          <t>06 Oct 2026</t>
        </is>
      </c>
      <c r="C17" s="136" t="inlineStr">
        <is>
          <t>Taiwan</t>
        </is>
      </c>
      <c r="D17" s="138" t="inlineStr">
        <is>
          <t>愛樺企業股份有限公司 (Best Digital)</t>
        </is>
      </c>
      <c r="E17" s="136" t="inlineStr">
        <is>
          <t>Dealer</t>
        </is>
      </c>
      <c r="F17" s="136" t="inlineStr">
        <is>
          <t>amy@bestimage.com.tw</t>
        </is>
      </c>
      <c r="G17" s="136" t="n"/>
      <c r="H17" s="136" t="inlineStr">
        <is>
          <t>Best Image: CHISON portable and veterinary ultrasound</t>
        </is>
      </c>
      <c r="I17" s="136" t="inlineStr">
        <is>
          <t>CHISON Corporate Brochure 2027 (PDF, 2.6 MB)</t>
        </is>
      </c>
      <c r="J17" s="136" t="inlineStr">
        <is>
          <t>2</t>
        </is>
      </c>
      <c r="K17" s="137" t="inlineStr">
        <is>
          <t>13 Oct 2026</t>
        </is>
      </c>
      <c r="L17" s="136" t="inlineStr">
        <is>
          <t>No</t>
        </is>
      </c>
      <c r="M17" s="136" t="inlineStr">
        <is>
          <t>Individual email</t>
        </is>
      </c>
    </row>
    <row r="18" ht="14.25" customHeight="1" s="104">
      <c r="A18" s="136" t="n">
        <v>14</v>
      </c>
      <c r="B18" s="137" t="inlineStr">
        <is>
          <t>06 Oct 2026</t>
        </is>
      </c>
      <c r="C18" s="136" t="inlineStr">
        <is>
          <t>Taiwan</t>
        </is>
      </c>
      <c r="D18" s="138" t="inlineStr">
        <is>
          <t>安泰醫療儀器 Ontai Medical</t>
        </is>
      </c>
      <c r="E18" s="136" t="inlineStr">
        <is>
          <t>Dealer</t>
        </is>
      </c>
      <c r="F18" s="136" t="inlineStr">
        <is>
          <t>ontaisys@gmail.com</t>
        </is>
      </c>
      <c r="G18" s="136" t="n"/>
      <c r="H18" s="136" t="inlineStr">
        <is>
          <t>Ontai Medical: CHISON ultrasound for MSK and rehabilitation clinics</t>
        </is>
      </c>
      <c r="I18" s="136" t="inlineStr">
        <is>
          <t>CHISON Corporate Brochure 2027 (PDF, 2.6 MB)</t>
        </is>
      </c>
      <c r="J18" s="136" t="inlineStr">
        <is>
          <t>3</t>
        </is>
      </c>
      <c r="K18" s="137" t="inlineStr">
        <is>
          <t>13 Oct 2026</t>
        </is>
      </c>
      <c r="L18" s="136" t="inlineStr">
        <is>
          <t>No</t>
        </is>
      </c>
      <c r="M18" s="136" t="inlineStr">
        <is>
          <t>Individual email</t>
        </is>
      </c>
    </row>
    <row r="19" ht="14.25" customHeight="1" s="104">
      <c r="A19" s="136" t="n">
        <v>15</v>
      </c>
      <c r="B19" s="137" t="inlineStr">
        <is>
          <t>06 Oct 2026</t>
        </is>
      </c>
      <c r="C19" s="136" t="inlineStr">
        <is>
          <t>Taiwan</t>
        </is>
      </c>
      <c r="D19" s="138" t="inlineStr">
        <is>
          <t>達進興業有限公司</t>
        </is>
      </c>
      <c r="E19" s="136" t="inlineStr">
        <is>
          <t>Dealer</t>
        </is>
      </c>
      <c r="F19" s="136" t="inlineStr">
        <is>
          <t>kuo.green@msa.hinet.net</t>
        </is>
      </c>
      <c r="G19" s="136" t="n"/>
      <c r="H19" s="138" t="inlineStr">
        <is>
          <t>達進興業: CHISON portable ultrasound for mobile screening</t>
        </is>
      </c>
      <c r="I19" s="136" t="inlineStr">
        <is>
          <t>CHISON Corporate Brochure 2027 (PDF, 2.6 MB)</t>
        </is>
      </c>
      <c r="J19" s="136" t="inlineStr">
        <is>
          <t>2</t>
        </is>
      </c>
      <c r="K19" s="137" t="inlineStr">
        <is>
          <t>13 Oct 2026</t>
        </is>
      </c>
      <c r="L19" s="136" t="inlineStr">
        <is>
          <t>No</t>
        </is>
      </c>
      <c r="M19" s="136" t="inlineStr">
        <is>
          <t>Individual email</t>
        </is>
      </c>
    </row>
    <row r="20" ht="14.25" customHeight="1" s="104">
      <c r="A20" s="136" t="n">
        <v>16</v>
      </c>
      <c r="B20" s="137" t="inlineStr">
        <is>
          <t>06 Oct 2026</t>
        </is>
      </c>
      <c r="C20" s="136" t="inlineStr">
        <is>
          <t>Taiwan</t>
        </is>
      </c>
      <c r="D20" s="138" t="inlineStr">
        <is>
          <t>瑋杏儀器有限公司</t>
        </is>
      </c>
      <c r="E20" s="136" t="inlineStr">
        <is>
          <t>Dealer</t>
        </is>
      </c>
      <c r="F20" s="136" t="inlineStr">
        <is>
          <t>taichung@goodline.com.tw</t>
        </is>
      </c>
      <c r="G20" s="136" t="n"/>
      <c r="H20" s="138" t="inlineStr">
        <is>
          <t>瑋杏儀器: CHISON ultrasound for your Taichung customers</t>
        </is>
      </c>
      <c r="I20" s="136" t="inlineStr">
        <is>
          <t>CHISON Corporate Brochure 2027 (PDF, 2.6 MB)</t>
        </is>
      </c>
      <c r="J20" s="136" t="inlineStr">
        <is>
          <t>2</t>
        </is>
      </c>
      <c r="K20" s="137" t="inlineStr">
        <is>
          <t>13 Oct 2026</t>
        </is>
      </c>
      <c r="L20" s="136" t="inlineStr">
        <is>
          <t>No</t>
        </is>
      </c>
      <c r="M20" s="136" t="inlineStr">
        <is>
          <t>Individual email</t>
        </is>
      </c>
    </row>
    <row r="21" ht="14.25" customHeight="1" s="104">
      <c r="A21" s="136" t="n">
        <v>17</v>
      </c>
      <c r="B21" s="137" t="inlineStr">
        <is>
          <t>06 Oct 2026</t>
        </is>
      </c>
      <c r="C21" s="136" t="inlineStr">
        <is>
          <t>Taiwan</t>
        </is>
      </c>
      <c r="D21" s="138" t="inlineStr">
        <is>
          <t>保信貿易有限公司</t>
        </is>
      </c>
      <c r="E21" s="136" t="inlineStr">
        <is>
          <t>Dealer</t>
        </is>
      </c>
      <c r="F21" s="136" t="inlineStr">
        <is>
          <t>wessontc@wessontw.com</t>
        </is>
      </c>
      <c r="G21" s="136" t="n"/>
      <c r="H21" s="138" t="inlineStr">
        <is>
          <t>保信貿易: adding CHISON ultrasound to your instrument line</t>
        </is>
      </c>
      <c r="I21" s="136" t="inlineStr">
        <is>
          <t>CHISON Corporate Brochure 2027 (PDF, 2.6 MB)</t>
        </is>
      </c>
      <c r="J21" s="136" t="inlineStr">
        <is>
          <t>2</t>
        </is>
      </c>
      <c r="K21" s="137" t="inlineStr">
        <is>
          <t>13 Oct 2026</t>
        </is>
      </c>
      <c r="L21" s="136" t="inlineStr">
        <is>
          <t>Bounced</t>
        </is>
      </c>
      <c r="M21" s="136" t="inlineStr">
        <is>
          <t>Individual email; Domain wessontw.com not found</t>
        </is>
      </c>
    </row>
    <row r="22" ht="14.25" customHeight="1" s="104">
      <c r="A22" s="136" t="n">
        <v>18</v>
      </c>
      <c r="B22" s="137" t="inlineStr">
        <is>
          <t>06 Oct 2026</t>
        </is>
      </c>
      <c r="C22" s="136" t="inlineStr">
        <is>
          <t>Taiwan</t>
        </is>
      </c>
      <c r="D22" s="138" t="inlineStr">
        <is>
          <t>長立儀器有限公司</t>
        </is>
      </c>
      <c r="E22" s="136" t="inlineStr">
        <is>
          <t>Dealer</t>
        </is>
      </c>
      <c r="F22" s="136" t="inlineStr">
        <is>
          <t>jimmy@amtai.com</t>
        </is>
      </c>
      <c r="G22" s="136" t="n"/>
      <c r="H22" s="138" t="inlineStr">
        <is>
          <t>長立儀器: CHISON ultrasound for the operating room</t>
        </is>
      </c>
      <c r="I22" s="136" t="inlineStr">
        <is>
          <t>CHISON Corporate Brochure 2027 (PDF, 2.6 MB)</t>
        </is>
      </c>
      <c r="J22" s="136" t="inlineStr">
        <is>
          <t>2</t>
        </is>
      </c>
      <c r="K22" s="137" t="inlineStr">
        <is>
          <t>13 Oct 2026</t>
        </is>
      </c>
      <c r="L22" s="136" t="inlineStr">
        <is>
          <t>No</t>
        </is>
      </c>
      <c r="M22" s="136" t="inlineStr">
        <is>
          <t>Individual email</t>
        </is>
      </c>
    </row>
    <row r="23" ht="14.25" customHeight="1" s="104">
      <c r="A23" s="136" t="n">
        <v>19</v>
      </c>
      <c r="B23" s="137" t="inlineStr">
        <is>
          <t>06 Oct 2026</t>
        </is>
      </c>
      <c r="C23" s="136" t="inlineStr">
        <is>
          <t>Taiwan</t>
        </is>
      </c>
      <c r="D23" s="138" t="inlineStr">
        <is>
          <t>勗曜生技醫材有限公司</t>
        </is>
      </c>
      <c r="E23" s="136" t="inlineStr">
        <is>
          <t>Dealer</t>
        </is>
      </c>
      <c r="F23" s="136" t="inlineStr">
        <is>
          <t>p1200.p2200@msa.hinet.net</t>
        </is>
      </c>
      <c r="G23" s="136" t="n"/>
      <c r="H23" s="138" t="inlineStr">
        <is>
          <t>勗曜生技醫材: CHISON ultrasound for your operating room customers</t>
        </is>
      </c>
      <c r="I23" s="136" t="inlineStr">
        <is>
          <t>CHISON Corporate Brochure 2027 (PDF, 2.6 MB)</t>
        </is>
      </c>
      <c r="J23" s="136" t="inlineStr">
        <is>
          <t>2</t>
        </is>
      </c>
      <c r="K23" s="137" t="inlineStr">
        <is>
          <t>13 Oct 2026</t>
        </is>
      </c>
      <c r="L23" s="136" t="inlineStr">
        <is>
          <t>No</t>
        </is>
      </c>
      <c r="M23" s="136" t="inlineStr">
        <is>
          <t>Individual email</t>
        </is>
      </c>
    </row>
    <row r="24" ht="14.25" customHeight="1" s="104">
      <c r="A24" s="136" t="n">
        <v>20</v>
      </c>
      <c r="B24" s="137" t="inlineStr">
        <is>
          <t>06 Oct 2026</t>
        </is>
      </c>
      <c r="C24" s="136" t="inlineStr">
        <is>
          <t>Taiwan</t>
        </is>
      </c>
      <c r="D24" s="138" t="inlineStr">
        <is>
          <t>展銳醫療儀器 + 宇瑞醫療器材</t>
        </is>
      </c>
      <c r="E24" s="136" t="inlineStr">
        <is>
          <t>Dealer</t>
        </is>
      </c>
      <c r="F24" s="136" t="inlineStr">
        <is>
          <t>smartech.judy@gmail.com</t>
        </is>
      </c>
      <c r="G24" s="136" t="inlineStr">
        <is>
          <t>smartech.tw@gmail.com</t>
        </is>
      </c>
      <c r="H24" s="138" t="inlineStr">
        <is>
          <t>展銳醫療儀器: CHISON ultrasound beside your endoscopy line</t>
        </is>
      </c>
      <c r="I24" s="136" t="inlineStr">
        <is>
          <t>CHISON Corporate Brochure 2027 (PDF, 2.6 MB)</t>
        </is>
      </c>
      <c r="J24" s="136" t="inlineStr">
        <is>
          <t>2</t>
        </is>
      </c>
      <c r="K24" s="137" t="inlineStr">
        <is>
          <t>13 Oct 2026</t>
        </is>
      </c>
      <c r="L24" s="136" t="inlineStr">
        <is>
          <t>No</t>
        </is>
      </c>
      <c r="M24" s="136" t="inlineStr">
        <is>
          <t>Individual email</t>
        </is>
      </c>
    </row>
    <row r="25" ht="14.25" customHeight="1" s="104">
      <c r="A25" s="136" t="n">
        <v>21</v>
      </c>
      <c r="B25" s="137" t="inlineStr">
        <is>
          <t>06 Oct 2026</t>
        </is>
      </c>
      <c r="C25" s="136" t="inlineStr">
        <is>
          <t>Taiwan</t>
        </is>
      </c>
      <c r="D25" s="138" t="inlineStr">
        <is>
          <t>億眾實業股份有限公司</t>
        </is>
      </c>
      <c r="E25" s="136" t="inlineStr">
        <is>
          <t>Dealer</t>
        </is>
      </c>
      <c r="F25" s="136" t="inlineStr">
        <is>
          <t>jamie@mail.bio-drchip.com.tw</t>
        </is>
      </c>
      <c r="G25" s="136" t="n"/>
      <c r="H25" s="138" t="inlineStr">
        <is>
          <t>億眾實業: CHISON handheld ultrasound for ambulances and emergency teams</t>
        </is>
      </c>
      <c r="I25" s="136" t="inlineStr">
        <is>
          <t>CHISON Corporate Brochure 2027 (PDF, 2.6 MB)</t>
        </is>
      </c>
      <c r="J25" s="136" t="inlineStr">
        <is>
          <t>2</t>
        </is>
      </c>
      <c r="K25" s="137" t="inlineStr">
        <is>
          <t>13 Oct 2026</t>
        </is>
      </c>
      <c r="L25" s="136" t="inlineStr">
        <is>
          <t>Bounced</t>
        </is>
      </c>
      <c r="M25" s="136" t="inlineStr">
        <is>
          <t>Individual email; Domain mail.bio-drchip.com.tw could not be resolved (DNS)</t>
        </is>
      </c>
    </row>
    <row r="26" ht="14.25" customHeight="1" s="104">
      <c r="A26" s="136" t="n">
        <v>22</v>
      </c>
      <c r="B26" s="137" t="inlineStr">
        <is>
          <t>06 Oct 2026</t>
        </is>
      </c>
      <c r="C26" s="136" t="inlineStr">
        <is>
          <t>Taiwan</t>
        </is>
      </c>
      <c r="D26" s="138" t="inlineStr">
        <is>
          <t>信隆生技有限公司</t>
        </is>
      </c>
      <c r="E26" s="136" t="inlineStr">
        <is>
          <t>Dealer</t>
        </is>
      </c>
      <c r="F26" s="136" t="inlineStr">
        <is>
          <t>sin.lonn@msa.hinet.net</t>
        </is>
      </c>
      <c r="G26" s="136" t="n"/>
      <c r="H26" s="138" t="inlineStr">
        <is>
          <t>信隆生技: CHISON ultrasound for emergency and monitoring customers</t>
        </is>
      </c>
      <c r="I26" s="136" t="inlineStr">
        <is>
          <t>CHISON Corporate Brochure 2027 (PDF, 2.6 MB)</t>
        </is>
      </c>
      <c r="J26" s="136" t="inlineStr">
        <is>
          <t>2</t>
        </is>
      </c>
      <c r="K26" s="137" t="inlineStr">
        <is>
          <t>13 Oct 2026</t>
        </is>
      </c>
      <c r="L26" s="136" t="inlineStr">
        <is>
          <t>No</t>
        </is>
      </c>
      <c r="M26" s="136" t="inlineStr">
        <is>
          <t>Individual email</t>
        </is>
      </c>
    </row>
    <row r="27" ht="14.25" customHeight="1" s="104">
      <c r="A27" s="136" t="n">
        <v>23</v>
      </c>
      <c r="B27" s="137" t="inlineStr">
        <is>
          <t>06 Oct 2026</t>
        </is>
      </c>
      <c r="C27" s="136" t="inlineStr">
        <is>
          <t>Taiwan</t>
        </is>
      </c>
      <c r="D27" s="138" t="inlineStr">
        <is>
          <t>亞帝昇生物科技有限公司</t>
        </is>
      </c>
      <c r="E27" s="136" t="inlineStr">
        <is>
          <t>Dealer</t>
        </is>
      </c>
      <c r="F27" s="136" t="inlineStr">
        <is>
          <t>jocdx@yahoo.com.tw</t>
        </is>
      </c>
      <c r="G27" s="136" t="n"/>
      <c r="H27" s="138" t="inlineStr">
        <is>
          <t>亞帝昇: CHISON ultrasound for airway and emergency teams</t>
        </is>
      </c>
      <c r="I27" s="136" t="inlineStr">
        <is>
          <t>CHISON Corporate Brochure 2027 (PDF, 2.6 MB)</t>
        </is>
      </c>
      <c r="J27" s="136" t="inlineStr">
        <is>
          <t>2</t>
        </is>
      </c>
      <c r="K27" s="137" t="inlineStr">
        <is>
          <t>13 Oct 2026</t>
        </is>
      </c>
      <c r="L27" s="136" t="inlineStr">
        <is>
          <t>No</t>
        </is>
      </c>
      <c r="M27" s="136" t="inlineStr">
        <is>
          <t>Individual email</t>
        </is>
      </c>
    </row>
    <row r="28" ht="14.25" customHeight="1" s="104">
      <c r="A28" s="136" t="n">
        <v>24</v>
      </c>
      <c r="B28" s="137" t="inlineStr">
        <is>
          <t>06 Oct 2026</t>
        </is>
      </c>
      <c r="C28" s="136" t="inlineStr">
        <is>
          <t>Taiwan</t>
        </is>
      </c>
      <c r="D28" s="138" t="inlineStr">
        <is>
          <t>中籐實業有限公司</t>
        </is>
      </c>
      <c r="E28" s="136" t="inlineStr">
        <is>
          <t>Dealer</t>
        </is>
      </c>
      <c r="F28" s="136" t="inlineStr">
        <is>
          <t>ctm.tw@msa.hinet.net</t>
        </is>
      </c>
      <c r="G28" s="136" t="n"/>
      <c r="H28" s="138" t="inlineStr">
        <is>
          <t>中籐實業: adding ultrasound to your X ray and laboratory line</t>
        </is>
      </c>
      <c r="I28" s="136" t="inlineStr">
        <is>
          <t>CHISON Corporate Brochure 2027 (PDF, 2.6 MB)</t>
        </is>
      </c>
      <c r="J28" s="136" t="inlineStr">
        <is>
          <t>2</t>
        </is>
      </c>
      <c r="K28" s="137" t="inlineStr">
        <is>
          <t>13 Oct 2026</t>
        </is>
      </c>
      <c r="L28" s="136" t="inlineStr">
        <is>
          <t>No</t>
        </is>
      </c>
      <c r="M28" s="136" t="inlineStr">
        <is>
          <t>Individual email</t>
        </is>
      </c>
    </row>
    <row r="29" ht="14.25" customHeight="1" s="104">
      <c r="A29" s="136" t="n">
        <v>25</v>
      </c>
      <c r="B29" s="137" t="inlineStr">
        <is>
          <t>06 Oct 2026</t>
        </is>
      </c>
      <c r="C29" s="136" t="inlineStr">
        <is>
          <t>Taiwan</t>
        </is>
      </c>
      <c r="D29" s="138" t="inlineStr">
        <is>
          <t>偉平貿易有限公司</t>
        </is>
      </c>
      <c r="E29" s="136" t="inlineStr">
        <is>
          <t>Dealer</t>
        </is>
      </c>
      <c r="F29" s="136" t="inlineStr">
        <is>
          <t>jane760311@yahoo.com.tw</t>
        </is>
      </c>
      <c r="G29" s="136" t="n"/>
      <c r="H29" s="138" t="inlineStr">
        <is>
          <t>偉平貿易: CHISON ultrasound for the clinics you help open</t>
        </is>
      </c>
      <c r="I29" s="136" t="inlineStr">
        <is>
          <t>CHISON Corporate Brochure 2027 (PDF, 2.6 MB)</t>
        </is>
      </c>
      <c r="J29" s="136" t="inlineStr">
        <is>
          <t>2</t>
        </is>
      </c>
      <c r="K29" s="137" t="inlineStr">
        <is>
          <t>13 Oct 2026</t>
        </is>
      </c>
      <c r="L29" s="136" t="inlineStr">
        <is>
          <t>No</t>
        </is>
      </c>
      <c r="M29" s="136" t="inlineStr">
        <is>
          <t>Individual email</t>
        </is>
      </c>
    </row>
    <row r="30" ht="14.25" customHeight="1" s="104">
      <c r="A30" s="136" t="n">
        <v>26</v>
      </c>
      <c r="B30" s="137" t="inlineStr">
        <is>
          <t>06 Oct 2026</t>
        </is>
      </c>
      <c r="C30" s="136" t="inlineStr">
        <is>
          <t>Taiwan</t>
        </is>
      </c>
      <c r="D30" s="138" t="inlineStr">
        <is>
          <t>健富儀器有限公司</t>
        </is>
      </c>
      <c r="E30" s="136" t="inlineStr">
        <is>
          <t>Dealer</t>
        </is>
      </c>
      <c r="F30" s="136" t="inlineStr">
        <is>
          <t>fortunmw@ms49.hinet.net</t>
        </is>
      </c>
      <c r="G30" s="136" t="n"/>
      <c r="H30" s="138" t="inlineStr">
        <is>
          <t>健富儀器: CHISON ultrasound for long term care and home care</t>
        </is>
      </c>
      <c r="I30" s="136" t="inlineStr">
        <is>
          <t>CHISON Corporate Brochure 2027 (PDF, 2.6 MB)</t>
        </is>
      </c>
      <c r="J30" s="136" t="inlineStr">
        <is>
          <t>2</t>
        </is>
      </c>
      <c r="K30" s="137" t="inlineStr">
        <is>
          <t>13 Oct 2026</t>
        </is>
      </c>
      <c r="L30" s="136" t="inlineStr">
        <is>
          <t>Bounced</t>
        </is>
      </c>
      <c r="M30" s="136" t="inlineStr">
        <is>
          <t>Individual email; Mailbox full (quota exceeded); retry later</t>
        </is>
      </c>
    </row>
    <row r="31" ht="14.25" customHeight="1" s="104">
      <c r="A31" s="136" t="n">
        <v>27</v>
      </c>
      <c r="B31" s="137" t="inlineStr">
        <is>
          <t>06 Oct 2026</t>
        </is>
      </c>
      <c r="C31" s="136" t="inlineStr">
        <is>
          <t>Taiwan</t>
        </is>
      </c>
      <c r="D31" s="138" t="inlineStr">
        <is>
          <t>衛康醫療儀器股份有限公司</t>
        </is>
      </c>
      <c r="E31" s="136" t="inlineStr">
        <is>
          <t>Dealer</t>
        </is>
      </c>
      <c r="F31" s="136" t="inlineStr">
        <is>
          <t>wecare.medical@msa.hinet.net</t>
        </is>
      </c>
      <c r="G31" s="136" t="n"/>
      <c r="H31" s="138" t="inlineStr">
        <is>
          <t>衛康醫療儀器: adding CHISON ultrasound to your line</t>
        </is>
      </c>
      <c r="I31" s="136" t="inlineStr">
        <is>
          <t>CHISON Corporate Brochure 2027 (PDF, 2.6 MB)</t>
        </is>
      </c>
      <c r="J31" s="136" t="inlineStr">
        <is>
          <t>2</t>
        </is>
      </c>
      <c r="K31" s="137" t="inlineStr">
        <is>
          <t>13 Oct 2026</t>
        </is>
      </c>
      <c r="L31" s="136" t="inlineStr">
        <is>
          <t>No</t>
        </is>
      </c>
      <c r="M31" s="136" t="inlineStr">
        <is>
          <t>Individual email</t>
        </is>
      </c>
    </row>
    <row r="32" ht="14.25" customHeight="1" s="104">
      <c r="A32" s="136" t="n">
        <v>28</v>
      </c>
      <c r="B32" s="137" t="inlineStr">
        <is>
          <t>06 Oct 2026</t>
        </is>
      </c>
      <c r="C32" s="136" t="inlineStr">
        <is>
          <t>Taiwan</t>
        </is>
      </c>
      <c r="D32" s="138" t="inlineStr">
        <is>
          <t>忠杏股份有限公司</t>
        </is>
      </c>
      <c r="E32" s="136" t="inlineStr">
        <is>
          <t>Dealer</t>
        </is>
      </c>
      <c r="F32" s="136" t="inlineStr">
        <is>
          <t>tcrtsyst@ms47.hinet.net</t>
        </is>
      </c>
      <c r="G32" s="136" t="n"/>
      <c r="H32" s="138" t="inlineStr">
        <is>
          <t>忠杏: CHISON ultrasound for respiratory teams</t>
        </is>
      </c>
      <c r="I32" s="136" t="inlineStr">
        <is>
          <t>CHISON Corporate Brochure 2027 (PDF, 2.6 MB)</t>
        </is>
      </c>
      <c r="J32" s="136" t="inlineStr">
        <is>
          <t>2</t>
        </is>
      </c>
      <c r="K32" s="137" t="inlineStr">
        <is>
          <t>13 Oct 2026</t>
        </is>
      </c>
      <c r="L32" s="136" t="inlineStr">
        <is>
          <t>No</t>
        </is>
      </c>
      <c r="M32" s="136" t="inlineStr">
        <is>
          <t>Individual email</t>
        </is>
      </c>
    </row>
    <row r="33" ht="14.25" customHeight="1" s="104">
      <c r="A33" s="136" t="n">
        <v>29</v>
      </c>
      <c r="B33" s="137" t="inlineStr">
        <is>
          <t>06 Oct 2026</t>
        </is>
      </c>
      <c r="C33" s="136" t="inlineStr">
        <is>
          <t>Taiwan</t>
        </is>
      </c>
      <c r="D33" s="138" t="inlineStr">
        <is>
          <t>永英有限公司</t>
        </is>
      </c>
      <c r="E33" s="136" t="inlineStr">
        <is>
          <t>Dealer</t>
        </is>
      </c>
      <c r="F33" s="136" t="inlineStr">
        <is>
          <t>johnson@winningmedical.com</t>
        </is>
      </c>
      <c r="G33" s="136" t="n"/>
      <c r="H33" s="138" t="inlineStr">
        <is>
          <t>永英: CHISON ultrasound for your import and wholesale line</t>
        </is>
      </c>
      <c r="I33" s="136" t="inlineStr">
        <is>
          <t>CHISON Corporate Brochure 2027 (PDF, 2.6 MB)</t>
        </is>
      </c>
      <c r="J33" s="136" t="inlineStr">
        <is>
          <t>2</t>
        </is>
      </c>
      <c r="K33" s="137" t="inlineStr">
        <is>
          <t>13 Oct 2026</t>
        </is>
      </c>
      <c r="L33" s="136" t="inlineStr">
        <is>
          <t>No</t>
        </is>
      </c>
      <c r="M33" s="136" t="inlineStr">
        <is>
          <t>Individual email</t>
        </is>
      </c>
    </row>
    <row r="34" ht="14.25" customHeight="1" s="104">
      <c r="A34" s="136" t="n">
        <v>30</v>
      </c>
      <c r="B34" s="137" t="inlineStr">
        <is>
          <t>06 Oct 2026</t>
        </is>
      </c>
      <c r="C34" s="136" t="inlineStr">
        <is>
          <t>Taiwan</t>
        </is>
      </c>
      <c r="D34" s="138" t="inlineStr">
        <is>
          <t>優醫有限公司</t>
        </is>
      </c>
      <c r="E34" s="136" t="inlineStr">
        <is>
          <t>Dealer</t>
        </is>
      </c>
      <c r="F34" s="136" t="inlineStr">
        <is>
          <t>calvin@whc.com.tw</t>
        </is>
      </c>
      <c r="G34" s="136" t="n"/>
      <c r="H34" s="138" t="inlineStr">
        <is>
          <t>優醫: CHISON ultrasound for your import and wholesale line</t>
        </is>
      </c>
      <c r="I34" s="136" t="inlineStr">
        <is>
          <t>CHISON Corporate Brochure 2027 (PDF, 2.6 MB)</t>
        </is>
      </c>
      <c r="J34" s="136" t="inlineStr">
        <is>
          <t>2</t>
        </is>
      </c>
      <c r="K34" s="137" t="inlineStr">
        <is>
          <t>13 Oct 2026</t>
        </is>
      </c>
      <c r="L34" s="136" t="inlineStr">
        <is>
          <t>Bounced</t>
        </is>
      </c>
      <c r="M34" s="136" t="inlineStr">
        <is>
          <t>Individual email; Recipient rejected, access denied</t>
        </is>
      </c>
    </row>
    <row r="35" ht="14.25" customHeight="1" s="104">
      <c r="A35" s="136" t="n">
        <v>31</v>
      </c>
      <c r="B35" s="137" t="inlineStr">
        <is>
          <t>06 Oct 2026</t>
        </is>
      </c>
      <c r="C35" s="136" t="inlineStr">
        <is>
          <t>Taiwan</t>
        </is>
      </c>
      <c r="D35" s="138" t="inlineStr">
        <is>
          <t>白色牙材 White Dental</t>
        </is>
      </c>
      <c r="E35" s="136" t="inlineStr">
        <is>
          <t>Dealer</t>
        </is>
      </c>
      <c r="F35" s="136" t="inlineStr">
        <is>
          <t>service@whitedental.com.tw</t>
        </is>
      </c>
      <c r="G35" s="136" t="n"/>
      <c r="H35" s="138" t="inlineStr">
        <is>
          <t>誠徵台灣超音波經銷夥伴 | CHISON ultrasound distribution partners in Taiwan</t>
        </is>
      </c>
      <c r="I35" s="136" t="inlineStr">
        <is>
          <t>CHISON Corporate Brochure 2027 (PDF, 2.6 MB)</t>
        </is>
      </c>
      <c r="J35" s="136" t="inlineStr">
        <is>
          <t>3</t>
        </is>
      </c>
      <c r="K35" s="137" t="inlineStr">
        <is>
          <t>13 Oct 2026</t>
        </is>
      </c>
      <c r="L35" s="136" t="inlineStr">
        <is>
          <t>No</t>
        </is>
      </c>
      <c r="M35" s="136" t="inlineStr">
        <is>
          <t>Batch 1 of 3, sent separately</t>
        </is>
      </c>
    </row>
    <row r="36" ht="14.25" customHeight="1" s="104">
      <c r="A36" s="136" t="n">
        <v>32</v>
      </c>
      <c r="B36" s="137" t="inlineStr">
        <is>
          <t>06 Oct 2026</t>
        </is>
      </c>
      <c r="C36" s="136" t="inlineStr">
        <is>
          <t>Taiwan</t>
        </is>
      </c>
      <c r="D36" s="138" t="inlineStr">
        <is>
          <t>春菖貿易有限公司</t>
        </is>
      </c>
      <c r="E36" s="136" t="inlineStr">
        <is>
          <t>Dealer</t>
        </is>
      </c>
      <c r="F36" s="136" t="inlineStr">
        <is>
          <t>ellie@chinaspring.com.tw</t>
        </is>
      </c>
      <c r="G36" s="136" t="n"/>
      <c r="H36" s="138" t="inlineStr">
        <is>
          <t>誠徵台灣超音波經銷夥伴 | CHISON ultrasound distribution partners in Taiwan</t>
        </is>
      </c>
      <c r="I36" s="136" t="inlineStr">
        <is>
          <t>CHISON Corporate Brochure 2027 (PDF, 2.6 MB)</t>
        </is>
      </c>
      <c r="J36" s="136" t="inlineStr">
        <is>
          <t>3</t>
        </is>
      </c>
      <c r="K36" s="137" t="inlineStr">
        <is>
          <t>13 Oct 2026</t>
        </is>
      </c>
      <c r="L36" s="136" t="inlineStr">
        <is>
          <t>No</t>
        </is>
      </c>
      <c r="M36" s="136" t="inlineStr">
        <is>
          <t>Batch 1 of 3, sent separately; read receipt 7 Oct 2026, no reply yet</t>
        </is>
      </c>
    </row>
    <row r="37" ht="14.25" customHeight="1" s="104">
      <c r="A37" s="136" t="n">
        <v>33</v>
      </c>
      <c r="B37" s="137" t="inlineStr">
        <is>
          <t>06 Oct 2026</t>
        </is>
      </c>
      <c r="C37" s="136" t="inlineStr">
        <is>
          <t>Taiwan</t>
        </is>
      </c>
      <c r="D37" s="138" t="inlineStr">
        <is>
          <t>醫技實業有限公司</t>
        </is>
      </c>
      <c r="E37" s="136" t="inlineStr">
        <is>
          <t>Dealer</t>
        </is>
      </c>
      <c r="F37" s="136" t="inlineStr">
        <is>
          <t>medtec88@pchome.com.tw</t>
        </is>
      </c>
      <c r="G37" s="136" t="n"/>
      <c r="H37" s="138" t="inlineStr">
        <is>
          <t>誠徵台灣超音波經銷夥伴 | CHISON ultrasound distribution partners in Taiwan</t>
        </is>
      </c>
      <c r="I37" s="136" t="inlineStr">
        <is>
          <t>CHISON Corporate Brochure 2027 (PDF, 2.6 MB)</t>
        </is>
      </c>
      <c r="J37" s="136" t="inlineStr">
        <is>
          <t>3</t>
        </is>
      </c>
      <c r="K37" s="137" t="inlineStr">
        <is>
          <t>13 Oct 2026</t>
        </is>
      </c>
      <c r="L37" s="136" t="inlineStr">
        <is>
          <t>Bounced</t>
        </is>
      </c>
      <c r="M37" s="136" t="inlineStr">
        <is>
          <t>Batch 1 of 3, sent separately; No such user</t>
        </is>
      </c>
    </row>
    <row r="38" ht="14.25" customHeight="1" s="104">
      <c r="A38" s="136" t="n">
        <v>34</v>
      </c>
      <c r="B38" s="137" t="inlineStr">
        <is>
          <t>06 Oct 2026</t>
        </is>
      </c>
      <c r="C38" s="136" t="inlineStr">
        <is>
          <t>Taiwan</t>
        </is>
      </c>
      <c r="D38" s="138" t="inlineStr">
        <is>
          <t>鈞豊光學有限公司</t>
        </is>
      </c>
      <c r="E38" s="136" t="inlineStr">
        <is>
          <t>Dealer</t>
        </is>
      </c>
      <c r="F38" s="136" t="inlineStr">
        <is>
          <t>junfengop@xuite.net</t>
        </is>
      </c>
      <c r="G38" s="136" t="n"/>
      <c r="H38" s="138" t="inlineStr">
        <is>
          <t>誠徵台灣超音波經銷夥伴 | CHISON ultrasound distribution partners in Taiwan</t>
        </is>
      </c>
      <c r="I38" s="136" t="inlineStr">
        <is>
          <t>CHISON Corporate Brochure 2027 (PDF, 2.6 MB)</t>
        </is>
      </c>
      <c r="J38" s="136" t="inlineStr">
        <is>
          <t>3</t>
        </is>
      </c>
      <c r="K38" s="137" t="inlineStr">
        <is>
          <t>13 Oct 2026</t>
        </is>
      </c>
      <c r="L38" s="136" t="inlineStr">
        <is>
          <t>No</t>
        </is>
      </c>
      <c r="M38" s="136" t="inlineStr">
        <is>
          <t>Batch 1 of 3, sent separately</t>
        </is>
      </c>
    </row>
    <row r="39" ht="14.25" customHeight="1" s="104">
      <c r="A39" s="136" t="n">
        <v>35</v>
      </c>
      <c r="B39" s="137" t="inlineStr">
        <is>
          <t>06 Oct 2026</t>
        </is>
      </c>
      <c r="C39" s="136" t="inlineStr">
        <is>
          <t>Taiwan</t>
        </is>
      </c>
      <c r="D39" s="136" t="inlineStr">
        <is>
          <t>Broadsound Corporation</t>
        </is>
      </c>
      <c r="E39" s="136" t="inlineStr">
        <is>
          <t>Dealer</t>
        </is>
      </c>
      <c r="F39" s="136" t="inlineStr">
        <is>
          <t>info@broadsound.com.tw</t>
        </is>
      </c>
      <c r="G39" s="136" t="n"/>
      <c r="H39" s="138" t="inlineStr">
        <is>
          <t>誠徵台灣超音波經銷夥伴 | CHISON ultrasound distribution partners in Taiwan</t>
        </is>
      </c>
      <c r="I39" s="136" t="inlineStr">
        <is>
          <t>CHISON Corporate Brochure 2027 (PDF, 2.6 MB)</t>
        </is>
      </c>
      <c r="J39" s="136" t="inlineStr">
        <is>
          <t>3</t>
        </is>
      </c>
      <c r="K39" s="137" t="inlineStr">
        <is>
          <t>13 Oct 2026</t>
        </is>
      </c>
      <c r="L39" s="136" t="inlineStr">
        <is>
          <t>No</t>
        </is>
      </c>
      <c r="M39" s="136" t="inlineStr">
        <is>
          <t>Batch 1 of 3, sent separately</t>
        </is>
      </c>
    </row>
    <row r="40" ht="14.25" customHeight="1" s="104">
      <c r="A40" s="136" t="n">
        <v>36</v>
      </c>
      <c r="B40" s="137" t="inlineStr">
        <is>
          <t>06 Oct 2026</t>
        </is>
      </c>
      <c r="C40" s="136" t="inlineStr">
        <is>
          <t>Taiwan</t>
        </is>
      </c>
      <c r="D40" s="138" t="inlineStr">
        <is>
          <t>康豪醫療器材有限公司</t>
        </is>
      </c>
      <c r="E40" s="136" t="inlineStr">
        <is>
          <t>Dealer</t>
        </is>
      </c>
      <c r="F40" s="136" t="inlineStr">
        <is>
          <t>ho1223g@yahoo.com.tw</t>
        </is>
      </c>
      <c r="G40" s="136" t="n"/>
      <c r="H40" s="138" t="inlineStr">
        <is>
          <t>誠徵台灣超音波經銷夥伴 | CHISON ultrasound distribution partners in Taiwan</t>
        </is>
      </c>
      <c r="I40" s="136" t="inlineStr">
        <is>
          <t>CHISON Corporate Brochure 2027 (PDF, 2.6 MB)</t>
        </is>
      </c>
      <c r="J40" s="136" t="inlineStr">
        <is>
          <t>3</t>
        </is>
      </c>
      <c r="K40" s="137" t="inlineStr">
        <is>
          <t>13 Oct 2026</t>
        </is>
      </c>
      <c r="L40" s="136" t="inlineStr">
        <is>
          <t>No</t>
        </is>
      </c>
      <c r="M40" s="136" t="inlineStr">
        <is>
          <t>Batch 1 of 3, sent separately</t>
        </is>
      </c>
    </row>
    <row r="41" ht="14.25" customHeight="1" s="104">
      <c r="A41" s="136" t="n">
        <v>37</v>
      </c>
      <c r="B41" s="137" t="inlineStr">
        <is>
          <t>06 Oct 2026</t>
        </is>
      </c>
      <c r="C41" s="136" t="inlineStr">
        <is>
          <t>Taiwan</t>
        </is>
      </c>
      <c r="D41" s="138" t="inlineStr">
        <is>
          <t>國教儀器企業有限公司</t>
        </is>
      </c>
      <c r="E41" s="136" t="inlineStr">
        <is>
          <t>Dealer</t>
        </is>
      </c>
      <c r="F41" s="136" t="inlineStr">
        <is>
          <t>kou.juaw@msa.hinet.net</t>
        </is>
      </c>
      <c r="G41" s="136" t="n"/>
      <c r="H41" s="138" t="inlineStr">
        <is>
          <t>誠徵台灣超音波經銷夥伴 | CHISON ultrasound distribution partners in Taiwan</t>
        </is>
      </c>
      <c r="I41" s="136" t="inlineStr">
        <is>
          <t>CHISON Corporate Brochure 2027 (PDF, 2.6 MB)</t>
        </is>
      </c>
      <c r="J41" s="136" t="inlineStr">
        <is>
          <t>3</t>
        </is>
      </c>
      <c r="K41" s="137" t="inlineStr">
        <is>
          <t>13 Oct 2026</t>
        </is>
      </c>
      <c r="L41" s="136" t="inlineStr">
        <is>
          <t>No</t>
        </is>
      </c>
      <c r="M41" s="136" t="inlineStr">
        <is>
          <t>Batch 1 of 3, sent separately</t>
        </is>
      </c>
    </row>
    <row r="42" ht="14.25" customHeight="1" s="104">
      <c r="A42" s="136" t="n">
        <v>38</v>
      </c>
      <c r="B42" s="137" t="inlineStr">
        <is>
          <t>06 Oct 2026</t>
        </is>
      </c>
      <c r="C42" s="136" t="inlineStr">
        <is>
          <t>Taiwan</t>
        </is>
      </c>
      <c r="D42" s="138" t="inlineStr">
        <is>
          <t>久駿企業有限公司</t>
        </is>
      </c>
      <c r="E42" s="136" t="inlineStr">
        <is>
          <t>Dealer</t>
        </is>
      </c>
      <c r="F42" s="136" t="inlineStr">
        <is>
          <t>jiujun@pchome.com.tw</t>
        </is>
      </c>
      <c r="G42" s="136" t="n"/>
      <c r="H42" s="138" t="inlineStr">
        <is>
          <t>誠徵台灣超音波經銷夥伴 | CHISON ultrasound distribution partners in Taiwan</t>
        </is>
      </c>
      <c r="I42" s="136" t="inlineStr">
        <is>
          <t>CHISON Corporate Brochure 2027 (PDF, 2.6 MB)</t>
        </is>
      </c>
      <c r="J42" s="136" t="inlineStr">
        <is>
          <t>3</t>
        </is>
      </c>
      <c r="K42" s="137" t="inlineStr">
        <is>
          <t>13 Oct 2026</t>
        </is>
      </c>
      <c r="L42" s="136" t="inlineStr">
        <is>
          <t>Bounced</t>
        </is>
      </c>
      <c r="M42" s="136" t="inlineStr">
        <is>
          <t>Batch 1 of 3, sent separately; No such user</t>
        </is>
      </c>
    </row>
    <row r="43" ht="14.25" customHeight="1" s="104">
      <c r="A43" s="136" t="n">
        <v>39</v>
      </c>
      <c r="B43" s="137" t="inlineStr">
        <is>
          <t>06 Oct 2026</t>
        </is>
      </c>
      <c r="C43" s="136" t="inlineStr">
        <is>
          <t>Taiwan</t>
        </is>
      </c>
      <c r="D43" s="138" t="inlineStr">
        <is>
          <t>正育生化技有限公司</t>
        </is>
      </c>
      <c r="E43" s="136" t="inlineStr">
        <is>
          <t>Dealer</t>
        </is>
      </c>
      <c r="F43" s="136" t="inlineStr">
        <is>
          <t>bittle911@hotmail.com</t>
        </is>
      </c>
      <c r="G43" s="136" t="n"/>
      <c r="H43" s="138" t="inlineStr">
        <is>
          <t>誠徵台灣超音波經銷夥伴 | CHISON ultrasound distribution partners in Taiwan</t>
        </is>
      </c>
      <c r="I43" s="136" t="inlineStr">
        <is>
          <t>CHISON Corporate Brochure 2027 (PDF, 2.6 MB)</t>
        </is>
      </c>
      <c r="J43" s="136" t="inlineStr">
        <is>
          <t>3</t>
        </is>
      </c>
      <c r="K43" s="137" t="inlineStr">
        <is>
          <t>13 Oct 2026</t>
        </is>
      </c>
      <c r="L43" s="136" t="inlineStr">
        <is>
          <t>No</t>
        </is>
      </c>
      <c r="M43" s="136" t="inlineStr">
        <is>
          <t>Batch 1 of 3, sent separately</t>
        </is>
      </c>
    </row>
    <row r="44" ht="14.25" customHeight="1" s="104">
      <c r="A44" s="136" t="n">
        <v>40</v>
      </c>
      <c r="B44" s="137" t="inlineStr">
        <is>
          <t>06 Oct 2026</t>
        </is>
      </c>
      <c r="C44" s="136" t="inlineStr">
        <is>
          <t>Taiwan</t>
        </is>
      </c>
      <c r="D44" s="138" t="inlineStr">
        <is>
          <t>家好健康醫療器材有限公司</t>
        </is>
      </c>
      <c r="E44" s="136" t="inlineStr">
        <is>
          <t>Dealer</t>
        </is>
      </c>
      <c r="F44" s="136" t="inlineStr">
        <is>
          <t>c641556@gmail.com</t>
        </is>
      </c>
      <c r="G44" s="136" t="n"/>
      <c r="H44" s="138" t="inlineStr">
        <is>
          <t>誠徵台灣超音波經銷夥伴 | CHISON ultrasound distribution partners in Taiwan</t>
        </is>
      </c>
      <c r="I44" s="136" t="inlineStr">
        <is>
          <t>CHISON Corporate Brochure 2027 (PDF, 2.6 MB)</t>
        </is>
      </c>
      <c r="J44" s="136" t="inlineStr">
        <is>
          <t>3</t>
        </is>
      </c>
      <c r="K44" s="137" t="inlineStr">
        <is>
          <t>13 Oct 2026</t>
        </is>
      </c>
      <c r="L44" s="136" t="inlineStr">
        <is>
          <t>No</t>
        </is>
      </c>
      <c r="M44" s="136" t="inlineStr">
        <is>
          <t>Batch 1 of 3, sent separately</t>
        </is>
      </c>
    </row>
    <row r="45" ht="14.25" customHeight="1" s="104">
      <c r="A45" s="136" t="n">
        <v>41</v>
      </c>
      <c r="B45" s="137" t="inlineStr">
        <is>
          <t>06 Oct 2026</t>
        </is>
      </c>
      <c r="C45" s="136" t="inlineStr">
        <is>
          <t>Taiwan</t>
        </is>
      </c>
      <c r="D45" s="138" t="inlineStr">
        <is>
          <t>仁豪醫療器材有限公司</t>
        </is>
      </c>
      <c r="E45" s="136" t="inlineStr">
        <is>
          <t>Dealer</t>
        </is>
      </c>
      <c r="F45" s="136" t="inlineStr">
        <is>
          <t>renrenhao.med@gmail.com</t>
        </is>
      </c>
      <c r="G45" s="136" t="n"/>
      <c r="H45" s="138" t="inlineStr">
        <is>
          <t>誠徵台灣超音波經銷夥伴 | CHISON ultrasound distribution partners in Taiwan</t>
        </is>
      </c>
      <c r="I45" s="136" t="inlineStr">
        <is>
          <t>CHISON Corporate Brochure 2027 (PDF, 2.6 MB)</t>
        </is>
      </c>
      <c r="J45" s="136" t="inlineStr">
        <is>
          <t>3</t>
        </is>
      </c>
      <c r="K45" s="137" t="inlineStr">
        <is>
          <t>13 Oct 2026</t>
        </is>
      </c>
      <c r="L45" s="136" t="inlineStr">
        <is>
          <t>No</t>
        </is>
      </c>
      <c r="M45" s="136" t="inlineStr">
        <is>
          <t>Batch 1 of 3, sent separately</t>
        </is>
      </c>
    </row>
    <row r="46" ht="14.25" customHeight="1" s="104">
      <c r="A46" s="136" t="n">
        <v>42</v>
      </c>
      <c r="B46" s="137" t="inlineStr">
        <is>
          <t>06 Oct 2026</t>
        </is>
      </c>
      <c r="C46" s="136" t="inlineStr">
        <is>
          <t>Taiwan</t>
        </is>
      </c>
      <c r="D46" s="138" t="inlineStr">
        <is>
          <t>弘康醫療儀器行</t>
        </is>
      </c>
      <c r="E46" s="136" t="inlineStr">
        <is>
          <t>Dealer</t>
        </is>
      </c>
      <c r="F46" s="136" t="inlineStr">
        <is>
          <t>hongkang@ms57.hinet.net</t>
        </is>
      </c>
      <c r="G46" s="136" t="n"/>
      <c r="H46" s="138" t="inlineStr">
        <is>
          <t>誠徵台灣超音波經銷夥伴 | CHISON ultrasound distribution partners in Taiwan</t>
        </is>
      </c>
      <c r="I46" s="136" t="inlineStr">
        <is>
          <t>CHISON Corporate Brochure 2027 (PDF, 2.6 MB)</t>
        </is>
      </c>
      <c r="J46" s="136" t="inlineStr">
        <is>
          <t>3</t>
        </is>
      </c>
      <c r="K46" s="137" t="inlineStr">
        <is>
          <t>13 Oct 2026</t>
        </is>
      </c>
      <c r="L46" s="136" t="inlineStr">
        <is>
          <t>No</t>
        </is>
      </c>
      <c r="M46" s="136" t="inlineStr">
        <is>
          <t>Batch 1 of 3, sent separately</t>
        </is>
      </c>
    </row>
    <row r="47" ht="14.25" customHeight="1" s="104">
      <c r="A47" s="136" t="n">
        <v>43</v>
      </c>
      <c r="B47" s="137" t="inlineStr">
        <is>
          <t>06 Oct 2026</t>
        </is>
      </c>
      <c r="C47" s="136" t="inlineStr">
        <is>
          <t>Taiwan</t>
        </is>
      </c>
      <c r="D47" s="138" t="inlineStr">
        <is>
          <t>伸球企業有限公司</t>
        </is>
      </c>
      <c r="E47" s="136" t="inlineStr">
        <is>
          <t>Dealer</t>
        </is>
      </c>
      <c r="F47" s="136" t="inlineStr">
        <is>
          <t>shan.chiou@gmail.com</t>
        </is>
      </c>
      <c r="G47" s="136" t="n"/>
      <c r="H47" s="138" t="inlineStr">
        <is>
          <t>誠徵台灣超音波經銷夥伴 | CHISON ultrasound distribution partners in Taiwan</t>
        </is>
      </c>
      <c r="I47" s="136" t="inlineStr">
        <is>
          <t>CHISON Corporate Brochure 2027 (PDF, 2.6 MB)</t>
        </is>
      </c>
      <c r="J47" s="136" t="inlineStr">
        <is>
          <t>3</t>
        </is>
      </c>
      <c r="K47" s="137" t="inlineStr">
        <is>
          <t>13 Oct 2026</t>
        </is>
      </c>
      <c r="L47" s="136" t="inlineStr">
        <is>
          <t>No</t>
        </is>
      </c>
      <c r="M47" s="136" t="inlineStr">
        <is>
          <t>Batch 1 of 3, sent separately</t>
        </is>
      </c>
    </row>
    <row r="48" ht="14.25" customHeight="1" s="104">
      <c r="A48" s="136" t="n">
        <v>44</v>
      </c>
      <c r="B48" s="137" t="inlineStr">
        <is>
          <t>06 Oct 2026</t>
        </is>
      </c>
      <c r="C48" s="136" t="inlineStr">
        <is>
          <t>Taiwan</t>
        </is>
      </c>
      <c r="D48" s="138" t="inlineStr">
        <is>
          <t>睿康生醫股份有限公司</t>
        </is>
      </c>
      <c r="E48" s="136" t="inlineStr">
        <is>
          <t>Dealer</t>
        </is>
      </c>
      <c r="F48" s="136" t="inlineStr">
        <is>
          <t>william.Chen@medifun.com.tw</t>
        </is>
      </c>
      <c r="G48" s="136" t="n"/>
      <c r="H48" s="138" t="inlineStr">
        <is>
          <t>誠徵台灣超音波經銷夥伴 | CHISON ultrasound distribution partners in Taiwan</t>
        </is>
      </c>
      <c r="I48" s="136" t="inlineStr">
        <is>
          <t>CHISON Corporate Brochure 2027 (PDF, 2.6 MB)</t>
        </is>
      </c>
      <c r="J48" s="136" t="inlineStr">
        <is>
          <t>3</t>
        </is>
      </c>
      <c r="K48" s="137" t="inlineStr">
        <is>
          <t>13 Oct 2026</t>
        </is>
      </c>
      <c r="L48" s="136" t="inlineStr">
        <is>
          <t>No</t>
        </is>
      </c>
      <c r="M48" s="136" t="inlineStr">
        <is>
          <t>Batch 1 of 3, sent separately</t>
        </is>
      </c>
    </row>
    <row r="49" ht="14.25" customHeight="1" s="104">
      <c r="A49" s="136" t="n">
        <v>45</v>
      </c>
      <c r="B49" s="137" t="inlineStr">
        <is>
          <t>06 Oct 2026</t>
        </is>
      </c>
      <c r="C49" s="136" t="inlineStr">
        <is>
          <t>Taiwan</t>
        </is>
      </c>
      <c r="D49" s="138" t="inlineStr">
        <is>
          <t>美加醫療器材行</t>
        </is>
      </c>
      <c r="E49" s="136" t="inlineStr">
        <is>
          <t>Dealer</t>
        </is>
      </c>
      <c r="F49" s="136" t="inlineStr">
        <is>
          <t>egaodafiction@gmail.com</t>
        </is>
      </c>
      <c r="G49" s="136" t="n"/>
      <c r="H49" s="138" t="inlineStr">
        <is>
          <t>誠徵台灣超音波經銷夥伴 | CHISON ultrasound distribution partners in Taiwan</t>
        </is>
      </c>
      <c r="I49" s="136" t="inlineStr">
        <is>
          <t>CHISON Corporate Brochure 2027 (PDF, 2.6 MB)</t>
        </is>
      </c>
      <c r="J49" s="136" t="inlineStr">
        <is>
          <t>3</t>
        </is>
      </c>
      <c r="K49" s="137" t="inlineStr">
        <is>
          <t>13 Oct 2026</t>
        </is>
      </c>
      <c r="L49" s="136" t="inlineStr">
        <is>
          <t>No</t>
        </is>
      </c>
      <c r="M49" s="136" t="inlineStr">
        <is>
          <t>Batch 1 of 3, sent separately</t>
        </is>
      </c>
    </row>
    <row r="50" ht="14.25" customHeight="1" s="104">
      <c r="A50" s="136" t="n">
        <v>46</v>
      </c>
      <c r="B50" s="137" t="inlineStr">
        <is>
          <t>06 Oct 2026</t>
        </is>
      </c>
      <c r="C50" s="136" t="inlineStr">
        <is>
          <t>Taiwan</t>
        </is>
      </c>
      <c r="D50" s="138" t="inlineStr">
        <is>
          <t>艾茵艾學府健康企業有限公司</t>
        </is>
      </c>
      <c r="E50" s="136" t="inlineStr">
        <is>
          <t>Dealer</t>
        </is>
      </c>
      <c r="F50" s="136" t="inlineStr">
        <is>
          <t>afarjce@gmail.com</t>
        </is>
      </c>
      <c r="G50" s="136" t="n"/>
      <c r="H50" s="138" t="inlineStr">
        <is>
          <t>誠徵台灣超音波經銷夥伴 | CHISON ultrasound distribution partners in Taiwan</t>
        </is>
      </c>
      <c r="I50" s="136" t="inlineStr">
        <is>
          <t>CHISON Corporate Brochure 2027 (PDF, 2.6 MB)</t>
        </is>
      </c>
      <c r="J50" s="136" t="inlineStr">
        <is>
          <t>3</t>
        </is>
      </c>
      <c r="K50" s="137" t="inlineStr">
        <is>
          <t>13 Oct 2026</t>
        </is>
      </c>
      <c r="L50" s="136" t="inlineStr">
        <is>
          <t>Bounced</t>
        </is>
      </c>
      <c r="M50" s="136" t="inlineStr">
        <is>
          <t>Batch 1 of 3, sent separately; Gmail account does not exist</t>
        </is>
      </c>
    </row>
    <row r="51" ht="14.25" customHeight="1" s="104">
      <c r="A51" s="136" t="n">
        <v>47</v>
      </c>
      <c r="B51" s="137" t="inlineStr">
        <is>
          <t>06 Oct 2026</t>
        </is>
      </c>
      <c r="C51" s="136" t="inlineStr">
        <is>
          <t>Taiwan</t>
        </is>
      </c>
      <c r="D51" s="138" t="inlineStr">
        <is>
          <t>源創醫療設備科技有限公司</t>
        </is>
      </c>
      <c r="E51" s="136" t="inlineStr">
        <is>
          <t>Dealer</t>
        </is>
      </c>
      <c r="F51" s="136" t="inlineStr">
        <is>
          <t>maxlinyf@gmail.com</t>
        </is>
      </c>
      <c r="G51" s="136" t="n"/>
      <c r="H51" s="138" t="inlineStr">
        <is>
          <t>誠徵台灣超音波經銷夥伴 | CHISON ultrasound distribution partners in Taiwan</t>
        </is>
      </c>
      <c r="I51" s="136" t="inlineStr">
        <is>
          <t>CHISON Corporate Brochure 2027 (PDF, 2.6 MB)</t>
        </is>
      </c>
      <c r="J51" s="136" t="inlineStr">
        <is>
          <t>3</t>
        </is>
      </c>
      <c r="K51" s="137" t="inlineStr">
        <is>
          <t>13 Oct 2026</t>
        </is>
      </c>
      <c r="L51" s="136" t="inlineStr">
        <is>
          <t>No</t>
        </is>
      </c>
      <c r="M51" s="136" t="inlineStr">
        <is>
          <t>Batch 1 of 3, sent separately</t>
        </is>
      </c>
    </row>
    <row r="52" ht="14.25" customHeight="1" s="104">
      <c r="A52" s="136" t="n">
        <v>48</v>
      </c>
      <c r="B52" s="137" t="inlineStr">
        <is>
          <t>06 Oct 2026</t>
        </is>
      </c>
      <c r="C52" s="136" t="inlineStr">
        <is>
          <t>Taiwan</t>
        </is>
      </c>
      <c r="D52" s="138" t="inlineStr">
        <is>
          <t>裕苑企業有限公司</t>
        </is>
      </c>
      <c r="E52" s="136" t="inlineStr">
        <is>
          <t>Dealer</t>
        </is>
      </c>
      <c r="F52" s="136" t="inlineStr">
        <is>
          <t>kent3821@yahoo.com.tw</t>
        </is>
      </c>
      <c r="G52" s="136" t="n"/>
      <c r="H52" s="138" t="inlineStr">
        <is>
          <t>誠徵台灣超音波經銷夥伴 | CHISON ultrasound distribution partners in Taiwan</t>
        </is>
      </c>
      <c r="I52" s="136" t="inlineStr">
        <is>
          <t>CHISON Corporate Brochure 2027 (PDF, 2.6 MB)</t>
        </is>
      </c>
      <c r="J52" s="136" t="inlineStr">
        <is>
          <t>3</t>
        </is>
      </c>
      <c r="K52" s="137" t="inlineStr">
        <is>
          <t>13 Oct 2026</t>
        </is>
      </c>
      <c r="L52" s="136" t="inlineStr">
        <is>
          <t>No</t>
        </is>
      </c>
      <c r="M52" s="136" t="inlineStr">
        <is>
          <t>Batch 1 of 3, sent separately</t>
        </is>
      </c>
    </row>
    <row r="53" ht="14.25" customHeight="1" s="104">
      <c r="A53" s="136" t="n">
        <v>49</v>
      </c>
      <c r="B53" s="137" t="inlineStr">
        <is>
          <t>06 Oct 2026</t>
        </is>
      </c>
      <c r="C53" s="136" t="inlineStr">
        <is>
          <t>Taiwan</t>
        </is>
      </c>
      <c r="D53" s="138" t="inlineStr">
        <is>
          <t>惠堤醫療器材行</t>
        </is>
      </c>
      <c r="E53" s="136" t="inlineStr">
        <is>
          <t>Dealer</t>
        </is>
      </c>
      <c r="F53" s="136" t="inlineStr">
        <is>
          <t>rayohealth@yahoo.com.tw</t>
        </is>
      </c>
      <c r="G53" s="136" t="n"/>
      <c r="H53" s="138" t="inlineStr">
        <is>
          <t>誠徵台灣超音波經銷夥伴 | CHISON ultrasound distribution partners in Taiwan</t>
        </is>
      </c>
      <c r="I53" s="136" t="inlineStr">
        <is>
          <t>CHISON Corporate Brochure 2027 (PDF, 2.6 MB)</t>
        </is>
      </c>
      <c r="J53" s="136" t="inlineStr">
        <is>
          <t>3</t>
        </is>
      </c>
      <c r="K53" s="137" t="inlineStr">
        <is>
          <t>13 Oct 2026</t>
        </is>
      </c>
      <c r="L53" s="136" t="inlineStr">
        <is>
          <t>No</t>
        </is>
      </c>
      <c r="M53" s="136" t="inlineStr">
        <is>
          <t>Batch 1 of 3, sent separately</t>
        </is>
      </c>
    </row>
    <row r="54" ht="14.25" customHeight="1" s="104">
      <c r="A54" s="136" t="n">
        <v>50</v>
      </c>
      <c r="B54" s="137" t="inlineStr">
        <is>
          <t>06 Oct 2026</t>
        </is>
      </c>
      <c r="C54" s="136" t="inlineStr">
        <is>
          <t>Taiwan</t>
        </is>
      </c>
      <c r="D54" s="138" t="inlineStr">
        <is>
          <t>長洲醫療儀器有限公司</t>
        </is>
      </c>
      <c r="E54" s="136" t="inlineStr">
        <is>
          <t>Dealer</t>
        </is>
      </c>
      <c r="F54" s="136" t="inlineStr">
        <is>
          <t>spark338@yahoo.com.tw</t>
        </is>
      </c>
      <c r="G54" s="136" t="n"/>
      <c r="H54" s="138" t="inlineStr">
        <is>
          <t>誠徵台灣超音波經銷夥伴 | CHISON ultrasound distribution partners in Taiwan</t>
        </is>
      </c>
      <c r="I54" s="136" t="inlineStr">
        <is>
          <t>CHISON Corporate Brochure 2027 (PDF, 2.6 MB)</t>
        </is>
      </c>
      <c r="J54" s="136" t="inlineStr">
        <is>
          <t>3</t>
        </is>
      </c>
      <c r="K54" s="137" t="inlineStr">
        <is>
          <t>13 Oct 2026</t>
        </is>
      </c>
      <c r="L54" s="136" t="inlineStr">
        <is>
          <t>No</t>
        </is>
      </c>
      <c r="M54" s="136" t="inlineStr">
        <is>
          <t>Batch 1 of 3, sent separately</t>
        </is>
      </c>
    </row>
    <row r="55" ht="14.25" customHeight="1" s="104">
      <c r="A55" s="136" t="n">
        <v>51</v>
      </c>
      <c r="B55" s="137" t="inlineStr">
        <is>
          <t>06 Oct 2026</t>
        </is>
      </c>
      <c r="C55" s="136" t="inlineStr">
        <is>
          <t>Taiwan</t>
        </is>
      </c>
      <c r="D55" s="138" t="inlineStr">
        <is>
          <t>長春生活事業股份有限公司</t>
        </is>
      </c>
      <c r="E55" s="136" t="inlineStr">
        <is>
          <t>Dealer</t>
        </is>
      </c>
      <c r="F55" s="136" t="inlineStr">
        <is>
          <t>life168@ms7.hinet.net</t>
        </is>
      </c>
      <c r="G55" s="136" t="n"/>
      <c r="H55" s="138" t="inlineStr">
        <is>
          <t>誠徵台灣超音波經銷夥伴 | CHISON ultrasound distribution partners in Taiwan</t>
        </is>
      </c>
      <c r="I55" s="136" t="inlineStr">
        <is>
          <t>CHISON Corporate Brochure 2027 (PDF, 2.6 MB)</t>
        </is>
      </c>
      <c r="J55" s="136" t="inlineStr">
        <is>
          <t>3</t>
        </is>
      </c>
      <c r="K55" s="137" t="inlineStr">
        <is>
          <t>13 Oct 2026</t>
        </is>
      </c>
      <c r="L55" s="136" t="inlineStr">
        <is>
          <t>No</t>
        </is>
      </c>
      <c r="M55" s="136" t="inlineStr">
        <is>
          <t>Batch 1 of 3, sent separately</t>
        </is>
      </c>
    </row>
    <row r="56" ht="14.25" customHeight="1" s="104">
      <c r="A56" s="136" t="n">
        <v>52</v>
      </c>
      <c r="B56" s="137" t="inlineStr">
        <is>
          <t>06 Oct 2026</t>
        </is>
      </c>
      <c r="C56" s="136" t="inlineStr">
        <is>
          <t>Taiwan</t>
        </is>
      </c>
      <c r="D56" s="138" t="inlineStr">
        <is>
          <t>皇奇醫療器材有限公司</t>
        </is>
      </c>
      <c r="E56" s="136" t="inlineStr">
        <is>
          <t>Dealer</t>
        </is>
      </c>
      <c r="F56" s="136" t="inlineStr">
        <is>
          <t>virkon3612@yahoo.com.tw</t>
        </is>
      </c>
      <c r="G56" s="136" t="n"/>
      <c r="H56" s="138" t="inlineStr">
        <is>
          <t>誠徵台灣超音波經銷夥伴 | CHISON ultrasound distribution partners in Taiwan</t>
        </is>
      </c>
      <c r="I56" s="136" t="inlineStr">
        <is>
          <t>CHISON Corporate Brochure 2027 (PDF, 2.6 MB)</t>
        </is>
      </c>
      <c r="J56" s="136" t="inlineStr">
        <is>
          <t>3</t>
        </is>
      </c>
      <c r="K56" s="137" t="inlineStr">
        <is>
          <t>13 Oct 2026</t>
        </is>
      </c>
      <c r="L56" s="136" t="inlineStr">
        <is>
          <t>No</t>
        </is>
      </c>
      <c r="M56" s="136" t="inlineStr">
        <is>
          <t>Batch 1 of 3, sent separately</t>
        </is>
      </c>
    </row>
    <row r="57" ht="14.25" customHeight="1" s="104">
      <c r="A57" s="136" t="n">
        <v>53</v>
      </c>
      <c r="B57" s="137" t="inlineStr">
        <is>
          <t>06 Oct 2026</t>
        </is>
      </c>
      <c r="C57" s="136" t="inlineStr">
        <is>
          <t>Taiwan</t>
        </is>
      </c>
      <c r="D57" s="138" t="inlineStr">
        <is>
          <t>普營股份有限公司</t>
        </is>
      </c>
      <c r="E57" s="136" t="inlineStr">
        <is>
          <t>Dealer</t>
        </is>
      </c>
      <c r="F57" s="136" t="inlineStr">
        <is>
          <t>upwind@upwind.com.tw</t>
        </is>
      </c>
      <c r="G57" s="136" t="n"/>
      <c r="H57" s="138" t="inlineStr">
        <is>
          <t>誠徵台灣超音波經銷夥伴 | CHISON ultrasound distribution partners in Taiwan</t>
        </is>
      </c>
      <c r="I57" s="136" t="inlineStr">
        <is>
          <t>CHISON Corporate Brochure 2027 (PDF, 2.6 MB)</t>
        </is>
      </c>
      <c r="J57" s="136" t="inlineStr">
        <is>
          <t>3</t>
        </is>
      </c>
      <c r="K57" s="137" t="inlineStr">
        <is>
          <t>13 Oct 2026</t>
        </is>
      </c>
      <c r="L57" s="136" t="inlineStr">
        <is>
          <t>No</t>
        </is>
      </c>
      <c r="M57" s="136" t="inlineStr">
        <is>
          <t>Batch 1 of 3, sent separately</t>
        </is>
      </c>
    </row>
    <row r="58" ht="14.25" customHeight="1" s="104">
      <c r="A58" s="136" t="n">
        <v>54</v>
      </c>
      <c r="B58" s="137" t="inlineStr">
        <is>
          <t>06 Oct 2026</t>
        </is>
      </c>
      <c r="C58" s="136" t="inlineStr">
        <is>
          <t>Taiwan</t>
        </is>
      </c>
      <c r="D58" s="138" t="inlineStr">
        <is>
          <t>億代富國際股份有限公司</t>
        </is>
      </c>
      <c r="E58" s="136" t="inlineStr">
        <is>
          <t>Dealer</t>
        </is>
      </c>
      <c r="F58" s="136" t="inlineStr">
        <is>
          <t>order@medifly.com.tw</t>
        </is>
      </c>
      <c r="G58" s="136" t="n"/>
      <c r="H58" s="138" t="inlineStr">
        <is>
          <t>誠徵台灣超音波經銷夥伴 | CHISON ultrasound distribution partners in Taiwan</t>
        </is>
      </c>
      <c r="I58" s="136" t="inlineStr">
        <is>
          <t>CHISON Corporate Brochure 2027 (PDF, 2.6 MB)</t>
        </is>
      </c>
      <c r="J58" s="136" t="inlineStr">
        <is>
          <t>3</t>
        </is>
      </c>
      <c r="K58" s="137" t="inlineStr">
        <is>
          <t>13 Oct 2026</t>
        </is>
      </c>
      <c r="L58" s="136" t="inlineStr">
        <is>
          <t>No</t>
        </is>
      </c>
      <c r="M58" s="136" t="inlineStr">
        <is>
          <t>Batch 1 of 3, sent separately</t>
        </is>
      </c>
    </row>
    <row r="59" ht="14.25" customHeight="1" s="104">
      <c r="A59" s="136" t="n">
        <v>55</v>
      </c>
      <c r="B59" s="137" t="inlineStr">
        <is>
          <t>06 Oct 2026</t>
        </is>
      </c>
      <c r="C59" s="136" t="inlineStr">
        <is>
          <t>Taiwan</t>
        </is>
      </c>
      <c r="D59" s="138" t="inlineStr">
        <is>
          <t>達雅企業股份有限公司</t>
        </is>
      </c>
      <c r="E59" s="136" t="inlineStr">
        <is>
          <t>Dealer</t>
        </is>
      </c>
      <c r="F59" s="136" t="inlineStr">
        <is>
          <t>hr@diarex.com.tw</t>
        </is>
      </c>
      <c r="G59" s="136" t="n"/>
      <c r="H59" s="138" t="inlineStr">
        <is>
          <t>誠徵台灣超音波經銷夥伴 | CHISON ultrasound distribution partners in Taiwan</t>
        </is>
      </c>
      <c r="I59" s="136" t="inlineStr">
        <is>
          <t>CHISON Corporate Brochure 2027 (PDF, 2.6 MB)</t>
        </is>
      </c>
      <c r="J59" s="136" t="inlineStr">
        <is>
          <t>3</t>
        </is>
      </c>
      <c r="K59" s="137" t="inlineStr">
        <is>
          <t>13 Oct 2026</t>
        </is>
      </c>
      <c r="L59" s="136" t="inlineStr">
        <is>
          <t>No</t>
        </is>
      </c>
      <c r="M59" s="136" t="inlineStr">
        <is>
          <t>Batch 1 of 3, sent separately</t>
        </is>
      </c>
    </row>
    <row r="60" ht="14.25" customHeight="1" s="104">
      <c r="A60" s="136" t="n">
        <v>56</v>
      </c>
      <c r="B60" s="137" t="inlineStr">
        <is>
          <t>06 Oct 2026</t>
        </is>
      </c>
      <c r="C60" s="136" t="inlineStr">
        <is>
          <t>Taiwan</t>
        </is>
      </c>
      <c r="D60" s="138" t="inlineStr">
        <is>
          <t>義杏股份有限公司</t>
        </is>
      </c>
      <c r="E60" s="136" t="inlineStr">
        <is>
          <t>Dealer</t>
        </is>
      </c>
      <c r="F60" s="136" t="inlineStr">
        <is>
          <t>labstm.tc@gmail.com</t>
        </is>
      </c>
      <c r="G60" s="136" t="n"/>
      <c r="H60" s="138" t="inlineStr">
        <is>
          <t>誠徵台灣超音波經銷夥伴 | CHISON ultrasound distribution partners in Taiwan</t>
        </is>
      </c>
      <c r="I60" s="136" t="inlineStr">
        <is>
          <t>CHISON Corporate Brochure 2027 (PDF, 2.6 MB)</t>
        </is>
      </c>
      <c r="J60" s="136" t="inlineStr">
        <is>
          <t>3</t>
        </is>
      </c>
      <c r="K60" s="137" t="inlineStr">
        <is>
          <t>13 Oct 2026</t>
        </is>
      </c>
      <c r="L60" s="136" t="inlineStr">
        <is>
          <t>No</t>
        </is>
      </c>
      <c r="M60" s="136" t="inlineStr">
        <is>
          <t>Batch 1 of 3, sent separately</t>
        </is>
      </c>
    </row>
    <row r="61" ht="14.25" customHeight="1" s="104">
      <c r="A61" s="136" t="n">
        <v>57</v>
      </c>
      <c r="B61" s="137" t="inlineStr">
        <is>
          <t>06 Oct 2026</t>
        </is>
      </c>
      <c r="C61" s="136" t="inlineStr">
        <is>
          <t>Taiwan</t>
        </is>
      </c>
      <c r="D61" s="138" t="inlineStr">
        <is>
          <t>捷騰股份有限公司</t>
        </is>
      </c>
      <c r="E61" s="136" t="inlineStr">
        <is>
          <t>Dealer</t>
        </is>
      </c>
      <c r="F61" s="136" t="inlineStr">
        <is>
          <t>can11888@ms18.hinet.net</t>
        </is>
      </c>
      <c r="G61" s="136" t="n"/>
      <c r="H61" s="138" t="inlineStr">
        <is>
          <t>誠徵台灣超音波經銷夥伴 | CHISON ultrasound distribution partners in Taiwan</t>
        </is>
      </c>
      <c r="I61" s="136" t="inlineStr">
        <is>
          <t>CHISON Corporate Brochure 2027 (PDF, 2.6 MB)</t>
        </is>
      </c>
      <c r="J61" s="136" t="inlineStr">
        <is>
          <t>3</t>
        </is>
      </c>
      <c r="K61" s="137" t="inlineStr">
        <is>
          <t>13 Oct 2026</t>
        </is>
      </c>
      <c r="L61" s="136" t="inlineStr">
        <is>
          <t>No</t>
        </is>
      </c>
      <c r="M61" s="136" t="inlineStr">
        <is>
          <t>Batch 1 of 3, sent separately</t>
        </is>
      </c>
    </row>
    <row r="62" ht="14.25" customHeight="1" s="104">
      <c r="A62" s="136" t="n">
        <v>58</v>
      </c>
      <c r="B62" s="137" t="inlineStr">
        <is>
          <t>06 Oct 2026</t>
        </is>
      </c>
      <c r="C62" s="136" t="inlineStr">
        <is>
          <t>Taiwan</t>
        </is>
      </c>
      <c r="D62" s="138" t="inlineStr">
        <is>
          <t>聯準生技國際有限公司</t>
        </is>
      </c>
      <c r="E62" s="136" t="inlineStr">
        <is>
          <t>Dealer</t>
        </is>
      </c>
      <c r="F62" s="136" t="inlineStr">
        <is>
          <t>legend@legendbio.com.tw</t>
        </is>
      </c>
      <c r="G62" s="136" t="n"/>
      <c r="H62" s="138" t="inlineStr">
        <is>
          <t>誠徵台灣超音波經銷夥伴 | CHISON ultrasound distribution partners in Taiwan</t>
        </is>
      </c>
      <c r="I62" s="136" t="inlineStr">
        <is>
          <t>CHISON Corporate Brochure 2027 (PDF, 2.6 MB)</t>
        </is>
      </c>
      <c r="J62" s="136" t="inlineStr">
        <is>
          <t>3</t>
        </is>
      </c>
      <c r="K62" s="137" t="inlineStr">
        <is>
          <t>13 Oct 2026</t>
        </is>
      </c>
      <c r="L62" s="136" t="inlineStr">
        <is>
          <t>No</t>
        </is>
      </c>
      <c r="M62" s="136" t="inlineStr">
        <is>
          <t>Batch 1 of 3, sent separately</t>
        </is>
      </c>
    </row>
    <row r="63" ht="14.25" customHeight="1" s="104">
      <c r="A63" s="136" t="n">
        <v>59</v>
      </c>
      <c r="B63" s="137" t="inlineStr">
        <is>
          <t>06 Oct 2026</t>
        </is>
      </c>
      <c r="C63" s="136" t="inlineStr">
        <is>
          <t>Taiwan</t>
        </is>
      </c>
      <c r="D63" s="138" t="inlineStr">
        <is>
          <t>善維健康股份有限公司</t>
        </is>
      </c>
      <c r="E63" s="136" t="inlineStr">
        <is>
          <t>Dealer</t>
        </is>
      </c>
      <c r="F63" s="136" t="inlineStr">
        <is>
          <t>sale@sanvic.com</t>
        </is>
      </c>
      <c r="G63" s="136" t="n"/>
      <c r="H63" s="138" t="inlineStr">
        <is>
          <t>誠徵台灣超音波經銷夥伴 | CHISON ultrasound distribution partners in Taiwan</t>
        </is>
      </c>
      <c r="I63" s="136" t="inlineStr">
        <is>
          <t>CHISON Corporate Brochure 2027 (PDF, 2.6 MB)</t>
        </is>
      </c>
      <c r="J63" s="136" t="inlineStr">
        <is>
          <t>3</t>
        </is>
      </c>
      <c r="K63" s="137" t="inlineStr">
        <is>
          <t>13 Oct 2026</t>
        </is>
      </c>
      <c r="L63" s="136" t="inlineStr">
        <is>
          <t>No</t>
        </is>
      </c>
      <c r="M63" s="136" t="inlineStr">
        <is>
          <t>Batch 1 of 3, sent separately</t>
        </is>
      </c>
    </row>
    <row r="64" ht="14.25" customHeight="1" s="104">
      <c r="A64" s="136" t="n">
        <v>60</v>
      </c>
      <c r="B64" s="137" t="inlineStr">
        <is>
          <t>06 Oct 2026</t>
        </is>
      </c>
      <c r="C64" s="136" t="inlineStr">
        <is>
          <t>Taiwan</t>
        </is>
      </c>
      <c r="D64" s="138" t="inlineStr">
        <is>
          <t>博先有限公司</t>
        </is>
      </c>
      <c r="E64" s="136" t="inlineStr">
        <is>
          <t>Dealer</t>
        </is>
      </c>
      <c r="F64" s="136" t="inlineStr">
        <is>
          <t>broad.saint@hinet.net</t>
        </is>
      </c>
      <c r="G64" s="136" t="n"/>
      <c r="H64" s="138" t="inlineStr">
        <is>
          <t>誠徵台灣超音波經銷夥伴 | CHISON ultrasound distribution partners in Taiwan</t>
        </is>
      </c>
      <c r="I64" s="136" t="inlineStr">
        <is>
          <t>CHISON Corporate Brochure 2027 (PDF, 2.6 MB)</t>
        </is>
      </c>
      <c r="J64" s="136" t="inlineStr">
        <is>
          <t>3</t>
        </is>
      </c>
      <c r="K64" s="137" t="inlineStr">
        <is>
          <t>13 Oct 2026</t>
        </is>
      </c>
      <c r="L64" s="136" t="inlineStr">
        <is>
          <t>No</t>
        </is>
      </c>
      <c r="M64" s="136" t="inlineStr">
        <is>
          <t>Batch 1 of 3, sent separately</t>
        </is>
      </c>
    </row>
    <row r="65" ht="14.25" customHeight="1" s="104">
      <c r="A65" s="136" t="n">
        <v>61</v>
      </c>
      <c r="B65" s="137" t="inlineStr">
        <is>
          <t>06 Oct 2026</t>
        </is>
      </c>
      <c r="C65" s="136" t="inlineStr">
        <is>
          <t>Taiwan</t>
        </is>
      </c>
      <c r="D65" s="138" t="inlineStr">
        <is>
          <t>盈俞股份有限公司</t>
        </is>
      </c>
      <c r="E65" s="136" t="inlineStr">
        <is>
          <t>Dealer</t>
        </is>
      </c>
      <c r="F65" s="136" t="inlineStr">
        <is>
          <t>vincent@inwin.tw</t>
        </is>
      </c>
      <c r="G65" s="136" t="n"/>
      <c r="H65" s="138" t="inlineStr">
        <is>
          <t>誠徵台灣超音波經銷夥伴 | CHISON ultrasound distribution partners in Taiwan</t>
        </is>
      </c>
      <c r="I65" s="136" t="inlineStr">
        <is>
          <t>CHISON Corporate Brochure 2027 (PDF, 2.6 MB)</t>
        </is>
      </c>
      <c r="J65" s="136" t="inlineStr">
        <is>
          <t>3</t>
        </is>
      </c>
      <c r="K65" s="137" t="inlineStr">
        <is>
          <t>13 Oct 2026</t>
        </is>
      </c>
      <c r="L65" s="136" t="inlineStr">
        <is>
          <t>No</t>
        </is>
      </c>
      <c r="M65" s="136" t="inlineStr">
        <is>
          <t>Batch 1 of 3, sent separately</t>
        </is>
      </c>
    </row>
    <row r="66" ht="14.25" customHeight="1" s="104">
      <c r="A66" s="136" t="n">
        <v>62</v>
      </c>
      <c r="B66" s="137" t="inlineStr">
        <is>
          <t>06 Oct 2026</t>
        </is>
      </c>
      <c r="C66" s="136" t="inlineStr">
        <is>
          <t>Taiwan</t>
        </is>
      </c>
      <c r="D66" s="138" t="inlineStr">
        <is>
          <t>柏榮生醫有限公司</t>
        </is>
      </c>
      <c r="E66" s="136" t="inlineStr">
        <is>
          <t>Dealer</t>
        </is>
      </c>
      <c r="F66" s="136" t="inlineStr">
        <is>
          <t>bio-zon@yahoo.com.tw</t>
        </is>
      </c>
      <c r="G66" s="136" t="n"/>
      <c r="H66" s="138" t="inlineStr">
        <is>
          <t>誠徵台灣超音波經銷夥伴 | CHISON ultrasound distribution partners in Taiwan</t>
        </is>
      </c>
      <c r="I66" s="136" t="inlineStr">
        <is>
          <t>CHISON Corporate Brochure 2027 (PDF, 2.6 MB)</t>
        </is>
      </c>
      <c r="J66" s="136" t="inlineStr">
        <is>
          <t>3</t>
        </is>
      </c>
      <c r="K66" s="137" t="inlineStr">
        <is>
          <t>13 Oct 2026</t>
        </is>
      </c>
      <c r="L66" s="136" t="inlineStr">
        <is>
          <t>Bounced</t>
        </is>
      </c>
      <c r="M66" s="136" t="inlineStr">
        <is>
          <t>Batch 1 of 3, sent separately; Mailbox not found (Yahoo 552); directory address contains a stray character</t>
        </is>
      </c>
    </row>
    <row r="67" ht="14.25" customHeight="1" s="104">
      <c r="A67" s="136" t="n">
        <v>63</v>
      </c>
      <c r="B67" s="137" t="inlineStr">
        <is>
          <t>06 Oct 2026</t>
        </is>
      </c>
      <c r="C67" s="136" t="inlineStr">
        <is>
          <t>Taiwan</t>
        </is>
      </c>
      <c r="D67" s="138" t="inlineStr">
        <is>
          <t>坤茂貿易有限公司</t>
        </is>
      </c>
      <c r="E67" s="136" t="inlineStr">
        <is>
          <t>Dealer</t>
        </is>
      </c>
      <c r="F67" s="136" t="inlineStr">
        <is>
          <t>service@longtermsupplies.com</t>
        </is>
      </c>
      <c r="G67" s="136" t="n"/>
      <c r="H67" s="138" t="inlineStr">
        <is>
          <t>誠徵台灣超音波經銷夥伴 | CHISON ultrasound distribution partners in Taiwan</t>
        </is>
      </c>
      <c r="I67" s="136" t="inlineStr">
        <is>
          <t>CHISON Corporate Brochure 2027 (PDF, 2.6 MB)</t>
        </is>
      </c>
      <c r="J67" s="136" t="inlineStr">
        <is>
          <t>3</t>
        </is>
      </c>
      <c r="K67" s="137" t="inlineStr">
        <is>
          <t>13 Oct 2026</t>
        </is>
      </c>
      <c r="L67" s="136" t="inlineStr">
        <is>
          <t>No</t>
        </is>
      </c>
      <c r="M67" s="136" t="inlineStr">
        <is>
          <t>Batch 1 of 3, sent separately</t>
        </is>
      </c>
    </row>
    <row r="68" ht="14.25" customHeight="1" s="104">
      <c r="A68" s="136" t="n">
        <v>64</v>
      </c>
      <c r="B68" s="137" t="inlineStr">
        <is>
          <t>06 Oct 2026</t>
        </is>
      </c>
      <c r="C68" s="136" t="inlineStr">
        <is>
          <t>Taiwan</t>
        </is>
      </c>
      <c r="D68" s="138" t="inlineStr">
        <is>
          <t>傑達實業有限公司</t>
        </is>
      </c>
      <c r="E68" s="136" t="inlineStr">
        <is>
          <t>Dealer</t>
        </is>
      </c>
      <c r="F68" s="136" t="inlineStr">
        <is>
          <t>adam@jetstar-tw.com</t>
        </is>
      </c>
      <c r="G68" s="136" t="n"/>
      <c r="H68" s="138" t="inlineStr">
        <is>
          <t>誠徵台灣超音波經銷夥伴 | CHISON ultrasound distribution partners in Taiwan</t>
        </is>
      </c>
      <c r="I68" s="136" t="inlineStr">
        <is>
          <t>CHISON Corporate Brochure 2027 (PDF, 2.6 MB)</t>
        </is>
      </c>
      <c r="J68" s="136" t="inlineStr">
        <is>
          <t>3</t>
        </is>
      </c>
      <c r="K68" s="137" t="inlineStr">
        <is>
          <t>13 Oct 2026</t>
        </is>
      </c>
      <c r="L68" s="136" t="inlineStr">
        <is>
          <t>Bounced</t>
        </is>
      </c>
      <c r="M68" s="136" t="inlineStr">
        <is>
          <t>Batch 1 of 3, sent separately; Domain jetstar-tw.com not found</t>
        </is>
      </c>
    </row>
    <row r="69" ht="14.25" customHeight="1" s="104">
      <c r="A69" s="136" t="n">
        <v>65</v>
      </c>
      <c r="B69" s="137" t="inlineStr">
        <is>
          <t>06 Oct 2026</t>
        </is>
      </c>
      <c r="C69" s="136" t="inlineStr">
        <is>
          <t>Taiwan</t>
        </is>
      </c>
      <c r="D69" s="138" t="inlineStr">
        <is>
          <t>瑞謙儀器有限公司</t>
        </is>
      </c>
      <c r="E69" s="136" t="inlineStr">
        <is>
          <t>Dealer</t>
        </is>
      </c>
      <c r="F69" s="136" t="inlineStr">
        <is>
          <t>YC.Huang@rcinst.com.tw</t>
        </is>
      </c>
      <c r="G69" s="136" t="n"/>
      <c r="H69" s="138" t="inlineStr">
        <is>
          <t>誠徵台灣超音波經銷夥伴 | CHISON ultrasound distribution partners in Taiwan</t>
        </is>
      </c>
      <c r="I69" s="136" t="inlineStr">
        <is>
          <t>CHISON Corporate Brochure 2027 (PDF, 2.6 MB)</t>
        </is>
      </c>
      <c r="J69" s="136" t="inlineStr">
        <is>
          <t>3</t>
        </is>
      </c>
      <c r="K69" s="137" t="inlineStr">
        <is>
          <t>13 Oct 2026</t>
        </is>
      </c>
      <c r="L69" s="136" t="inlineStr">
        <is>
          <t>Bounced</t>
        </is>
      </c>
      <c r="M69" s="136" t="inlineStr">
        <is>
          <t>Batch 1 of 3, sent separately; Domain rcinst.com.tw not found</t>
        </is>
      </c>
    </row>
    <row r="70" ht="14.25" customHeight="1" s="104">
      <c r="A70" s="136" t="n">
        <v>66</v>
      </c>
      <c r="B70" s="137" t="inlineStr">
        <is>
          <t>06 Oct 2026</t>
        </is>
      </c>
      <c r="C70" s="136" t="inlineStr">
        <is>
          <t>Taiwan</t>
        </is>
      </c>
      <c r="D70" s="138" t="inlineStr">
        <is>
          <t>享原實業股份有限公司</t>
        </is>
      </c>
      <c r="E70" s="136" t="inlineStr">
        <is>
          <t>Dealer</t>
        </is>
      </c>
      <c r="F70" s="136" t="inlineStr">
        <is>
          <t>billpower147@gmail.com</t>
        </is>
      </c>
      <c r="G70" s="136" t="n"/>
      <c r="H70" s="138" t="inlineStr">
        <is>
          <t>誠徵台灣超音波經銷夥伴 | CHISON ultrasound distribution partners in Taiwan</t>
        </is>
      </c>
      <c r="I70" s="136" t="inlineStr">
        <is>
          <t>CHISON Corporate Brochure 2027 (PDF, 2.6 MB)</t>
        </is>
      </c>
      <c r="J70" s="136" t="inlineStr">
        <is>
          <t>3</t>
        </is>
      </c>
      <c r="K70" s="137" t="inlineStr">
        <is>
          <t>13 Oct 2026</t>
        </is>
      </c>
      <c r="L70" s="136" t="inlineStr">
        <is>
          <t>No</t>
        </is>
      </c>
      <c r="M70" s="136" t="inlineStr">
        <is>
          <t>Batch 1 of 3, sent separately</t>
        </is>
      </c>
    </row>
    <row r="71" ht="14.25" customHeight="1" s="104">
      <c r="A71" s="136" t="n">
        <v>67</v>
      </c>
      <c r="B71" s="137" t="inlineStr">
        <is>
          <t>06 Oct 2026</t>
        </is>
      </c>
      <c r="C71" s="136" t="inlineStr">
        <is>
          <t>Taiwan</t>
        </is>
      </c>
      <c r="D71" s="138" t="inlineStr">
        <is>
          <t>永澄儀器有限公司</t>
        </is>
      </c>
      <c r="E71" s="136" t="inlineStr">
        <is>
          <t>Dealer</t>
        </is>
      </c>
      <c r="F71" s="136" t="inlineStr">
        <is>
          <t>yongcheng83221388@gmail.com</t>
        </is>
      </c>
      <c r="G71" s="136" t="n"/>
      <c r="H71" s="138" t="inlineStr">
        <is>
          <t>誠徵台灣超音波經銷夥伴 | CHISON ultrasound distribution partners in Taiwan</t>
        </is>
      </c>
      <c r="I71" s="136" t="inlineStr">
        <is>
          <t>CHISON Corporate Brochure 2027 (PDF, 2.6 MB)</t>
        </is>
      </c>
      <c r="J71" s="136" t="inlineStr">
        <is>
          <t>3</t>
        </is>
      </c>
      <c r="K71" s="137" t="inlineStr">
        <is>
          <t>13 Oct 2026</t>
        </is>
      </c>
      <c r="L71" s="136" t="inlineStr">
        <is>
          <t>No</t>
        </is>
      </c>
      <c r="M71" s="136" t="inlineStr">
        <is>
          <t>Batch 1 of 3, sent separately</t>
        </is>
      </c>
    </row>
    <row r="72" ht="14.25" customHeight="1" s="104">
      <c r="A72" s="136" t="n">
        <v>68</v>
      </c>
      <c r="B72" s="137" t="inlineStr">
        <is>
          <t>06 Oct 2026</t>
        </is>
      </c>
      <c r="C72" s="136" t="inlineStr">
        <is>
          <t>Taiwan</t>
        </is>
      </c>
      <c r="D72" s="138" t="inlineStr">
        <is>
          <t>恭昌貿易有限公司</t>
        </is>
      </c>
      <c r="E72" s="136" t="inlineStr">
        <is>
          <t>Dealer</t>
        </is>
      </c>
      <c r="F72" s="136" t="inlineStr">
        <is>
          <t>hsiaokc@ms62.hinet.net</t>
        </is>
      </c>
      <c r="G72" s="136" t="n"/>
      <c r="H72" s="138" t="inlineStr">
        <is>
          <t>誠徵台灣超音波經銷夥伴 | CHISON ultrasound distribution partners in Taiwan</t>
        </is>
      </c>
      <c r="I72" s="136" t="inlineStr">
        <is>
          <t>CHISON Corporate Brochure 2027 (PDF, 2.6 MB)</t>
        </is>
      </c>
      <c r="J72" s="136" t="inlineStr">
        <is>
          <t>3</t>
        </is>
      </c>
      <c r="K72" s="137" t="inlineStr">
        <is>
          <t>13 Oct 2026</t>
        </is>
      </c>
      <c r="L72" s="136" t="inlineStr">
        <is>
          <t>No</t>
        </is>
      </c>
      <c r="M72" s="136" t="inlineStr">
        <is>
          <t>Batch 1 of 3, sent separately</t>
        </is>
      </c>
    </row>
    <row r="73" ht="14.25" customHeight="1" s="104">
      <c r="A73" s="136" t="n">
        <v>69</v>
      </c>
      <c r="B73" s="137" t="inlineStr">
        <is>
          <t>06 Oct 2026</t>
        </is>
      </c>
      <c r="C73" s="136" t="inlineStr">
        <is>
          <t>Taiwan</t>
        </is>
      </c>
      <c r="D73" s="138" t="inlineStr">
        <is>
          <t>錦源儀器有限公司</t>
        </is>
      </c>
      <c r="E73" s="136" t="inlineStr">
        <is>
          <t>Dealer</t>
        </is>
      </c>
      <c r="F73" s="136" t="inlineStr">
        <is>
          <t>jy0141@yahoo.com.tw</t>
        </is>
      </c>
      <c r="G73" s="136" t="n"/>
      <c r="H73" s="138" t="inlineStr">
        <is>
          <t>誠徵台灣超音波經銷夥伴 | CHISON ultrasound distribution partners in Taiwan</t>
        </is>
      </c>
      <c r="I73" s="136" t="inlineStr">
        <is>
          <t>CHISON Corporate Brochure 2027 (PDF, 2.6 MB)</t>
        </is>
      </c>
      <c r="J73" s="136" t="inlineStr">
        <is>
          <t>3</t>
        </is>
      </c>
      <c r="K73" s="137" t="inlineStr">
        <is>
          <t>13 Oct 2026</t>
        </is>
      </c>
      <c r="L73" s="136" t="inlineStr">
        <is>
          <t>Bounced</t>
        </is>
      </c>
      <c r="M73" s="136" t="inlineStr">
        <is>
          <t>Batch 1 of 3, sent separately; Mailbox disabled (Yahoo 554)</t>
        </is>
      </c>
    </row>
    <row r="74" ht="14.25" customHeight="1" s="104">
      <c r="A74" s="136" t="n">
        <v>70</v>
      </c>
      <c r="B74" s="137" t="inlineStr">
        <is>
          <t>06 Oct 2026</t>
        </is>
      </c>
      <c r="C74" s="136" t="inlineStr">
        <is>
          <t>Taiwan</t>
        </is>
      </c>
      <c r="D74" s="138" t="inlineStr">
        <is>
          <t>寬達企業股份有限公司</t>
        </is>
      </c>
      <c r="E74" s="136" t="inlineStr">
        <is>
          <t>Dealer</t>
        </is>
      </c>
      <c r="F74" s="136" t="inlineStr">
        <is>
          <t>yus0101@kimo.com</t>
        </is>
      </c>
      <c r="G74" s="136" t="n"/>
      <c r="H74" s="138" t="inlineStr">
        <is>
          <t>誠徵台灣超音波經銷夥伴 | CHISON ultrasound distribution partners in Taiwan</t>
        </is>
      </c>
      <c r="I74" s="136" t="inlineStr">
        <is>
          <t>CHISON Corporate Brochure 2027 (PDF, 2.6 MB)</t>
        </is>
      </c>
      <c r="J74" s="136" t="inlineStr">
        <is>
          <t>3</t>
        </is>
      </c>
      <c r="K74" s="137" t="inlineStr">
        <is>
          <t>13 Oct 2026</t>
        </is>
      </c>
      <c r="L74" s="136" t="inlineStr">
        <is>
          <t>No</t>
        </is>
      </c>
      <c r="M74" s="136" t="inlineStr">
        <is>
          <t>Batch 1 of 3, sent separately</t>
        </is>
      </c>
    </row>
    <row r="75" ht="14.25" customHeight="1" s="104">
      <c r="A75" s="136" t="n">
        <v>71</v>
      </c>
      <c r="B75" s="137" t="inlineStr">
        <is>
          <t>06 Oct 2026</t>
        </is>
      </c>
      <c r="C75" s="136" t="inlineStr">
        <is>
          <t>Taiwan</t>
        </is>
      </c>
      <c r="D75" s="138" t="inlineStr">
        <is>
          <t>吉特醫療器材有限公司</t>
        </is>
      </c>
      <c r="E75" s="136" t="inlineStr">
        <is>
          <t>Dealer</t>
        </is>
      </c>
      <c r="F75" s="136" t="inlineStr">
        <is>
          <t>jet.medical@msa.hinet.net</t>
        </is>
      </c>
      <c r="G75" s="136" t="n"/>
      <c r="H75" s="138" t="inlineStr">
        <is>
          <t>誠徵台灣超音波經銷夥伴 | CHISON ultrasound distribution partners in Taiwan</t>
        </is>
      </c>
      <c r="I75" s="136" t="inlineStr">
        <is>
          <t>CHISON Corporate Brochure 2027 (PDF, 2.6 MB)</t>
        </is>
      </c>
      <c r="J75" s="136" t="inlineStr">
        <is>
          <t>3</t>
        </is>
      </c>
      <c r="K75" s="137" t="inlineStr">
        <is>
          <t>13 Oct 2026</t>
        </is>
      </c>
      <c r="L75" s="136" t="inlineStr">
        <is>
          <t>No</t>
        </is>
      </c>
      <c r="M75" s="136" t="inlineStr">
        <is>
          <t>Batch 1 of 3, sent separately</t>
        </is>
      </c>
    </row>
    <row r="76" ht="14.25" customHeight="1" s="104">
      <c r="A76" s="136" t="n">
        <v>72</v>
      </c>
      <c r="B76" s="137" t="inlineStr">
        <is>
          <t>06 Oct 2026</t>
        </is>
      </c>
      <c r="C76" s="136" t="inlineStr">
        <is>
          <t>Taiwan</t>
        </is>
      </c>
      <c r="D76" s="138" t="inlineStr">
        <is>
          <t>協展事業有限公司</t>
        </is>
      </c>
      <c r="E76" s="136" t="inlineStr">
        <is>
          <t>Dealer</t>
        </is>
      </c>
      <c r="F76" s="136" t="inlineStr">
        <is>
          <t>b78905@ms18.hinet.net</t>
        </is>
      </c>
      <c r="G76" s="136" t="n"/>
      <c r="H76" s="138" t="inlineStr">
        <is>
          <t>誠徵台灣超音波經銷夥伴 | CHISON ultrasound distribution partners in Taiwan</t>
        </is>
      </c>
      <c r="I76" s="136" t="inlineStr">
        <is>
          <t>CHISON Corporate Brochure 2027 (PDF, 2.6 MB)</t>
        </is>
      </c>
      <c r="J76" s="136" t="inlineStr">
        <is>
          <t>3</t>
        </is>
      </c>
      <c r="K76" s="137" t="inlineStr">
        <is>
          <t>13 Oct 2026</t>
        </is>
      </c>
      <c r="L76" s="136" t="inlineStr">
        <is>
          <t>No</t>
        </is>
      </c>
      <c r="M76" s="136" t="inlineStr">
        <is>
          <t>Batch 1 of 3, sent separately</t>
        </is>
      </c>
    </row>
    <row r="77" ht="14.25" customHeight="1" s="104">
      <c r="A77" s="136" t="n">
        <v>73</v>
      </c>
      <c r="B77" s="137" t="inlineStr">
        <is>
          <t>06 Oct 2026</t>
        </is>
      </c>
      <c r="C77" s="136" t="inlineStr">
        <is>
          <t>Taiwan</t>
        </is>
      </c>
      <c r="D77" s="138" t="inlineStr">
        <is>
          <t>濟生醫療器材有限公司</t>
        </is>
      </c>
      <c r="E77" s="136" t="inlineStr">
        <is>
          <t>Dealer</t>
        </is>
      </c>
      <c r="F77" s="136" t="inlineStr">
        <is>
          <t>ufau0383@ms36.hinet.net</t>
        </is>
      </c>
      <c r="G77" s="136" t="n"/>
      <c r="H77" s="138" t="inlineStr">
        <is>
          <t>誠徵台灣超音波經銷夥伴 | CHISON ultrasound distribution partners in Taiwan</t>
        </is>
      </c>
      <c r="I77" s="136" t="inlineStr">
        <is>
          <t>CHISON Corporate Brochure 2027 (PDF, 2.6 MB)</t>
        </is>
      </c>
      <c r="J77" s="136" t="inlineStr">
        <is>
          <t>3</t>
        </is>
      </c>
      <c r="K77" s="137" t="inlineStr">
        <is>
          <t>13 Oct 2026</t>
        </is>
      </c>
      <c r="L77" s="136" t="inlineStr">
        <is>
          <t>No</t>
        </is>
      </c>
      <c r="M77" s="136" t="inlineStr">
        <is>
          <t>Batch 1 of 3, sent separately</t>
        </is>
      </c>
    </row>
    <row r="78" ht="14.25" customHeight="1" s="104">
      <c r="A78" s="136" t="n">
        <v>74</v>
      </c>
      <c r="B78" s="137" t="inlineStr">
        <is>
          <t>06 Oct 2026</t>
        </is>
      </c>
      <c r="C78" s="136" t="inlineStr">
        <is>
          <t>Taiwan</t>
        </is>
      </c>
      <c r="D78" s="138" t="inlineStr">
        <is>
          <t>金風國際有限公司</t>
        </is>
      </c>
      <c r="E78" s="136" t="inlineStr">
        <is>
          <t>Dealer</t>
        </is>
      </c>
      <c r="F78" s="136" t="inlineStr">
        <is>
          <t>tcgoldwind@gmail.com</t>
        </is>
      </c>
      <c r="G78" s="136" t="n"/>
      <c r="H78" s="138" t="inlineStr">
        <is>
          <t>誠徵台灣超音波經銷夥伴 | CHISON ultrasound distribution partners in Taiwan</t>
        </is>
      </c>
      <c r="I78" s="136" t="inlineStr">
        <is>
          <t>CHISON Corporate Brochure 2027 (PDF, 2.6 MB)</t>
        </is>
      </c>
      <c r="J78" s="136" t="inlineStr">
        <is>
          <t>3</t>
        </is>
      </c>
      <c r="K78" s="137" t="inlineStr">
        <is>
          <t>13 Oct 2026</t>
        </is>
      </c>
      <c r="L78" s="136" t="inlineStr">
        <is>
          <t>No</t>
        </is>
      </c>
      <c r="M78" s="136" t="inlineStr">
        <is>
          <t>Batch 2 of 3, sent separately</t>
        </is>
      </c>
    </row>
    <row r="79" ht="14.25" customHeight="1" s="104">
      <c r="A79" s="136" t="n">
        <v>75</v>
      </c>
      <c r="B79" s="137" t="inlineStr">
        <is>
          <t>06 Oct 2026</t>
        </is>
      </c>
      <c r="C79" s="136" t="inlineStr">
        <is>
          <t>Taiwan</t>
        </is>
      </c>
      <c r="D79" s="138" t="inlineStr">
        <is>
          <t>揚健生物科技有限公司</t>
        </is>
      </c>
      <c r="E79" s="136" t="inlineStr">
        <is>
          <t>Dealer</t>
        </is>
      </c>
      <c r="F79" s="136" t="inlineStr">
        <is>
          <t>young27622558@gmail.com</t>
        </is>
      </c>
      <c r="G79" s="136" t="n"/>
      <c r="H79" s="138" t="inlineStr">
        <is>
          <t>誠徵台灣超音波經銷夥伴 | CHISON ultrasound distribution partners in Taiwan</t>
        </is>
      </c>
      <c r="I79" s="136" t="inlineStr">
        <is>
          <t>CHISON Corporate Brochure 2027 (PDF, 2.6 MB)</t>
        </is>
      </c>
      <c r="J79" s="136" t="inlineStr">
        <is>
          <t>3</t>
        </is>
      </c>
      <c r="K79" s="137" t="inlineStr">
        <is>
          <t>13 Oct 2026</t>
        </is>
      </c>
      <c r="L79" s="136" t="inlineStr">
        <is>
          <t>No</t>
        </is>
      </c>
      <c r="M79" s="136" t="inlineStr">
        <is>
          <t>Batch 2 of 3, sent separately</t>
        </is>
      </c>
    </row>
    <row r="80" ht="14.25" customHeight="1" s="104">
      <c r="A80" s="136" t="n">
        <v>76</v>
      </c>
      <c r="B80" s="137" t="inlineStr">
        <is>
          <t>06 Oct 2026</t>
        </is>
      </c>
      <c r="C80" s="136" t="inlineStr">
        <is>
          <t>Taiwan</t>
        </is>
      </c>
      <c r="D80" s="138" t="inlineStr">
        <is>
          <t>華信醫療器材有限公司</t>
        </is>
      </c>
      <c r="E80" s="136" t="inlineStr">
        <is>
          <t>Dealer</t>
        </is>
      </c>
      <c r="F80" s="136" t="inlineStr">
        <is>
          <t>service@huaxing.com.tw</t>
        </is>
      </c>
      <c r="G80" s="136" t="n"/>
      <c r="H80" s="138" t="inlineStr">
        <is>
          <t>誠徵台灣超音波經銷夥伴 | CHISON ultrasound distribution partners in Taiwan</t>
        </is>
      </c>
      <c r="I80" s="136" t="inlineStr">
        <is>
          <t>CHISON Corporate Brochure 2027 (PDF, 2.6 MB)</t>
        </is>
      </c>
      <c r="J80" s="136" t="inlineStr">
        <is>
          <t>3</t>
        </is>
      </c>
      <c r="K80" s="137" t="inlineStr">
        <is>
          <t>13 Oct 2026</t>
        </is>
      </c>
      <c r="L80" s="136" t="inlineStr">
        <is>
          <t>No</t>
        </is>
      </c>
      <c r="M80" s="136" t="inlineStr">
        <is>
          <t>Batch 2 of 3, sent separately</t>
        </is>
      </c>
    </row>
    <row r="81" ht="14.25" customHeight="1" s="104">
      <c r="A81" s="136" t="n">
        <v>77</v>
      </c>
      <c r="B81" s="137" t="inlineStr">
        <is>
          <t>06 Oct 2026</t>
        </is>
      </c>
      <c r="C81" s="136" t="inlineStr">
        <is>
          <t>Taiwan</t>
        </is>
      </c>
      <c r="D81" s="138" t="inlineStr">
        <is>
          <t>合泰醫療器材有限公司</t>
        </is>
      </c>
      <c r="E81" s="136" t="inlineStr">
        <is>
          <t>Dealer</t>
        </is>
      </c>
      <c r="F81" s="136" t="inlineStr">
        <is>
          <t>hotai.med@gmail.com</t>
        </is>
      </c>
      <c r="G81" s="136" t="n"/>
      <c r="H81" s="138" t="inlineStr">
        <is>
          <t>誠徵台灣超音波經銷夥伴 | CHISON ultrasound distribution partners in Taiwan</t>
        </is>
      </c>
      <c r="I81" s="136" t="inlineStr">
        <is>
          <t>CHISON Corporate Brochure 2027 (PDF, 2.6 MB)</t>
        </is>
      </c>
      <c r="J81" s="136" t="inlineStr">
        <is>
          <t>3</t>
        </is>
      </c>
      <c r="K81" s="137" t="inlineStr">
        <is>
          <t>13 Oct 2026</t>
        </is>
      </c>
      <c r="L81" s="136" t="inlineStr">
        <is>
          <t>No</t>
        </is>
      </c>
      <c r="M81" s="136" t="inlineStr">
        <is>
          <t>Batch 2 of 3, sent separately</t>
        </is>
      </c>
    </row>
    <row r="82" ht="14.25" customHeight="1" s="104">
      <c r="A82" s="136" t="n">
        <v>78</v>
      </c>
      <c r="B82" s="137" t="inlineStr">
        <is>
          <t>06 Oct 2026</t>
        </is>
      </c>
      <c r="C82" s="136" t="inlineStr">
        <is>
          <t>Taiwan</t>
        </is>
      </c>
      <c r="D82" s="138" t="inlineStr">
        <is>
          <t>永益科儀有限公司</t>
        </is>
      </c>
      <c r="E82" s="136" t="inlineStr">
        <is>
          <t>Dealer</t>
        </is>
      </c>
      <c r="F82" s="136" t="inlineStr">
        <is>
          <t>forevermede@gmail.com</t>
        </is>
      </c>
      <c r="G82" s="136" t="n"/>
      <c r="H82" s="138" t="inlineStr">
        <is>
          <t>誠徵台灣超音波經銷夥伴 | CHISON ultrasound distribution partners in Taiwan</t>
        </is>
      </c>
      <c r="I82" s="136" t="inlineStr">
        <is>
          <t>CHISON Corporate Brochure 2027 (PDF, 2.6 MB)</t>
        </is>
      </c>
      <c r="J82" s="136" t="inlineStr">
        <is>
          <t>3</t>
        </is>
      </c>
      <c r="K82" s="137" t="inlineStr">
        <is>
          <t>13 Oct 2026</t>
        </is>
      </c>
      <c r="L82" s="136" t="inlineStr">
        <is>
          <t>No</t>
        </is>
      </c>
      <c r="M82" s="136" t="inlineStr">
        <is>
          <t>Batch 2 of 3, sent separately</t>
        </is>
      </c>
    </row>
    <row r="83" ht="14.25" customHeight="1" s="104">
      <c r="A83" s="136" t="n">
        <v>79</v>
      </c>
      <c r="B83" s="137" t="inlineStr">
        <is>
          <t>06 Oct 2026</t>
        </is>
      </c>
      <c r="C83" s="136" t="inlineStr">
        <is>
          <t>Taiwan</t>
        </is>
      </c>
      <c r="D83" s="138" t="inlineStr">
        <is>
          <t>世康生技股份有限公司</t>
        </is>
      </c>
      <c r="E83" s="136" t="inlineStr">
        <is>
          <t>Dealer</t>
        </is>
      </c>
      <c r="F83" s="136" t="inlineStr">
        <is>
          <t>getmed@gettw.com.tw</t>
        </is>
      </c>
      <c r="G83" s="136" t="n"/>
      <c r="H83" s="138" t="inlineStr">
        <is>
          <t>誠徵台灣超音波經銷夥伴 | CHISON ultrasound distribution partners in Taiwan</t>
        </is>
      </c>
      <c r="I83" s="136" t="inlineStr">
        <is>
          <t>CHISON Corporate Brochure 2027 (PDF, 2.6 MB)</t>
        </is>
      </c>
      <c r="J83" s="136" t="inlineStr">
        <is>
          <t>3</t>
        </is>
      </c>
      <c r="K83" s="137" t="inlineStr">
        <is>
          <t>13 Oct 2026</t>
        </is>
      </c>
      <c r="L83" s="136" t="inlineStr">
        <is>
          <t>No</t>
        </is>
      </c>
      <c r="M83" s="136" t="inlineStr">
        <is>
          <t>Batch 2 of 3, sent separately</t>
        </is>
      </c>
    </row>
    <row r="84" ht="14.25" customHeight="1" s="104">
      <c r="A84" s="136" t="n">
        <v>80</v>
      </c>
      <c r="B84" s="137" t="inlineStr">
        <is>
          <t>06 Oct 2026</t>
        </is>
      </c>
      <c r="C84" s="136" t="inlineStr">
        <is>
          <t>Taiwan</t>
        </is>
      </c>
      <c r="D84" s="138" t="inlineStr">
        <is>
          <t>明緯醫療器材有限公司</t>
        </is>
      </c>
      <c r="E84" s="136" t="inlineStr">
        <is>
          <t>Dealer</t>
        </is>
      </c>
      <c r="F84" s="136" t="inlineStr">
        <is>
          <t>klauslin0301@gmail.com</t>
        </is>
      </c>
      <c r="G84" s="136" t="n"/>
      <c r="H84" s="138" t="inlineStr">
        <is>
          <t>誠徵台灣超音波經銷夥伴 | CHISON ultrasound distribution partners in Taiwan</t>
        </is>
      </c>
      <c r="I84" s="136" t="inlineStr">
        <is>
          <t>CHISON Corporate Brochure 2027 (PDF, 2.6 MB)</t>
        </is>
      </c>
      <c r="J84" s="136" t="inlineStr">
        <is>
          <t>3</t>
        </is>
      </c>
      <c r="K84" s="137" t="inlineStr">
        <is>
          <t>13 Oct 2026</t>
        </is>
      </c>
      <c r="L84" s="136" t="inlineStr">
        <is>
          <t>No</t>
        </is>
      </c>
      <c r="M84" s="136" t="inlineStr">
        <is>
          <t>Batch 2 of 3, sent separately</t>
        </is>
      </c>
    </row>
    <row r="85" ht="14.25" customHeight="1" s="104">
      <c r="A85" s="136" t="n">
        <v>81</v>
      </c>
      <c r="B85" s="137" t="inlineStr">
        <is>
          <t>06 Oct 2026</t>
        </is>
      </c>
      <c r="C85" s="136" t="inlineStr">
        <is>
          <t>Taiwan</t>
        </is>
      </c>
      <c r="D85" s="138" t="inlineStr">
        <is>
          <t>合豐實業有限公司</t>
        </is>
      </c>
      <c r="E85" s="136" t="inlineStr">
        <is>
          <t>Dealer</t>
        </is>
      </c>
      <c r="F85" s="136" t="inlineStr">
        <is>
          <t>hot.first@msa.hinet.net</t>
        </is>
      </c>
      <c r="G85" s="136" t="n"/>
      <c r="H85" s="138" t="inlineStr">
        <is>
          <t>誠徵台灣超音波經銷夥伴 | CHISON ultrasound distribution partners in Taiwan</t>
        </is>
      </c>
      <c r="I85" s="136" t="inlineStr">
        <is>
          <t>CHISON Corporate Brochure 2027 (PDF, 2.6 MB)</t>
        </is>
      </c>
      <c r="J85" s="136" t="inlineStr">
        <is>
          <t>3</t>
        </is>
      </c>
      <c r="K85" s="137" t="inlineStr">
        <is>
          <t>13 Oct 2026</t>
        </is>
      </c>
      <c r="L85" s="136" t="inlineStr">
        <is>
          <t>No</t>
        </is>
      </c>
      <c r="M85" s="136" t="inlineStr">
        <is>
          <t>Batch 2 of 3, sent separately</t>
        </is>
      </c>
    </row>
    <row r="86" ht="14.25" customHeight="1" s="104">
      <c r="A86" s="136" t="n">
        <v>82</v>
      </c>
      <c r="B86" s="137" t="inlineStr">
        <is>
          <t>06 Oct 2026</t>
        </is>
      </c>
      <c r="C86" s="136" t="inlineStr">
        <is>
          <t>Taiwan</t>
        </is>
      </c>
      <c r="D86" s="138" t="inlineStr">
        <is>
          <t>立謄科技有限公司</t>
        </is>
      </c>
      <c r="E86" s="136" t="inlineStr">
        <is>
          <t>Dealer</t>
        </is>
      </c>
      <c r="F86" s="136" t="inlineStr">
        <is>
          <t>avalohuang@gmail.com</t>
        </is>
      </c>
      <c r="G86" s="136" t="n"/>
      <c r="H86" s="138" t="inlineStr">
        <is>
          <t>誠徵台灣超音波經銷夥伴 | CHISON ultrasound distribution partners in Taiwan</t>
        </is>
      </c>
      <c r="I86" s="136" t="inlineStr">
        <is>
          <t>CHISON Corporate Brochure 2027 (PDF, 2.6 MB)</t>
        </is>
      </c>
      <c r="J86" s="136" t="inlineStr">
        <is>
          <t>3</t>
        </is>
      </c>
      <c r="K86" s="137" t="inlineStr">
        <is>
          <t>13 Oct 2026</t>
        </is>
      </c>
      <c r="L86" s="136" t="inlineStr">
        <is>
          <t>No</t>
        </is>
      </c>
      <c r="M86" s="136" t="inlineStr">
        <is>
          <t>Batch 2 of 3, sent separately</t>
        </is>
      </c>
    </row>
    <row r="87" ht="14.25" customHeight="1" s="104">
      <c r="A87" s="136" t="n">
        <v>83</v>
      </c>
      <c r="B87" s="137" t="inlineStr">
        <is>
          <t>06 Oct 2026</t>
        </is>
      </c>
      <c r="C87" s="136" t="inlineStr">
        <is>
          <t>Taiwan</t>
        </is>
      </c>
      <c r="D87" s="138" t="inlineStr">
        <is>
          <t>瑞麗國際貿易股份有限公司</t>
        </is>
      </c>
      <c r="E87" s="136" t="inlineStr">
        <is>
          <t>Dealer</t>
        </is>
      </c>
      <c r="F87" s="136" t="inlineStr">
        <is>
          <t>kiki@etechmis.com.tw</t>
        </is>
      </c>
      <c r="G87" s="136" t="n"/>
      <c r="H87" s="138" t="inlineStr">
        <is>
          <t>誠徵台灣超音波經銷夥伴 | CHISON ultrasound distribution partners in Taiwan</t>
        </is>
      </c>
      <c r="I87" s="136" t="inlineStr">
        <is>
          <t>CHISON Corporate Brochure 2027 (PDF, 2.6 MB)</t>
        </is>
      </c>
      <c r="J87" s="136" t="inlineStr">
        <is>
          <t>3</t>
        </is>
      </c>
      <c r="K87" s="137" t="inlineStr">
        <is>
          <t>13 Oct 2026</t>
        </is>
      </c>
      <c r="L87" s="136" t="inlineStr">
        <is>
          <t>No</t>
        </is>
      </c>
      <c r="M87" s="136" t="inlineStr">
        <is>
          <t>Batch 2 of 3, sent separately</t>
        </is>
      </c>
    </row>
    <row r="88" ht="14.25" customHeight="1" s="104">
      <c r="A88" s="136" t="n">
        <v>84</v>
      </c>
      <c r="B88" s="137" t="inlineStr">
        <is>
          <t>06 Oct 2026</t>
        </is>
      </c>
      <c r="C88" s="136" t="inlineStr">
        <is>
          <t>Taiwan</t>
        </is>
      </c>
      <c r="D88" s="138" t="inlineStr">
        <is>
          <t>博盛生醫股份有限公司</t>
        </is>
      </c>
      <c r="E88" s="136" t="inlineStr">
        <is>
          <t>Dealer</t>
        </is>
      </c>
      <c r="F88" s="136" t="inlineStr">
        <is>
          <t>powen_cheng@bmt.com.tw</t>
        </is>
      </c>
      <c r="G88" s="136" t="n"/>
      <c r="H88" s="138" t="inlineStr">
        <is>
          <t>誠徵台灣超音波經銷夥伴 | CHISON ultrasound distribution partners in Taiwan</t>
        </is>
      </c>
      <c r="I88" s="136" t="inlineStr">
        <is>
          <t>CHISON Corporate Brochure 2027 (PDF, 2.6 MB)</t>
        </is>
      </c>
      <c r="J88" s="136" t="inlineStr">
        <is>
          <t>3</t>
        </is>
      </c>
      <c r="K88" s="137" t="inlineStr">
        <is>
          <t>13 Oct 2026</t>
        </is>
      </c>
      <c r="L88" s="136" t="inlineStr">
        <is>
          <t>No</t>
        </is>
      </c>
      <c r="M88" s="136" t="inlineStr">
        <is>
          <t>Batch 2 of 3, sent separately</t>
        </is>
      </c>
    </row>
    <row r="89" ht="14.25" customHeight="1" s="104">
      <c r="A89" s="136" t="n">
        <v>85</v>
      </c>
      <c r="B89" s="137" t="inlineStr">
        <is>
          <t>06 Oct 2026</t>
        </is>
      </c>
      <c r="C89" s="136" t="inlineStr">
        <is>
          <t>Taiwan</t>
        </is>
      </c>
      <c r="D89" s="138" t="inlineStr">
        <is>
          <t>東泰儀器有限公司</t>
        </is>
      </c>
      <c r="E89" s="136" t="inlineStr">
        <is>
          <t>Dealer</t>
        </is>
      </c>
      <c r="F89" s="136" t="inlineStr">
        <is>
          <t>a0931357871@gmail.com</t>
        </is>
      </c>
      <c r="G89" s="136" t="n"/>
      <c r="H89" s="138" t="inlineStr">
        <is>
          <t>誠徵台灣超音波經銷夥伴 | CHISON ultrasound distribution partners in Taiwan</t>
        </is>
      </c>
      <c r="I89" s="136" t="inlineStr">
        <is>
          <t>CHISON Corporate Brochure 2027 (PDF, 2.6 MB)</t>
        </is>
      </c>
      <c r="J89" s="136" t="inlineStr">
        <is>
          <t>3</t>
        </is>
      </c>
      <c r="K89" s="137" t="inlineStr">
        <is>
          <t>13 Oct 2026</t>
        </is>
      </c>
      <c r="L89" s="136" t="inlineStr">
        <is>
          <t>No</t>
        </is>
      </c>
      <c r="M89" s="136" t="inlineStr">
        <is>
          <t>Batch 2 of 3, sent separately</t>
        </is>
      </c>
    </row>
    <row r="90" ht="14.25" customHeight="1" s="104">
      <c r="A90" s="136" t="n">
        <v>86</v>
      </c>
      <c r="B90" s="137" t="inlineStr">
        <is>
          <t>06 Oct 2026</t>
        </is>
      </c>
      <c r="C90" s="136" t="inlineStr">
        <is>
          <t>Taiwan</t>
        </is>
      </c>
      <c r="D90" s="138" t="inlineStr">
        <is>
          <t>美爾富科技股份有限公司</t>
        </is>
      </c>
      <c r="E90" s="136" t="inlineStr">
        <is>
          <t>Dealer</t>
        </is>
      </c>
      <c r="F90" s="136" t="inlineStr">
        <is>
          <t>hosp.cs@a-strong1987.com.tw</t>
        </is>
      </c>
      <c r="G90" s="136" t="n"/>
      <c r="H90" s="138" t="inlineStr">
        <is>
          <t>誠徵台灣超音波經銷夥伴 | CHISON ultrasound distribution partners in Taiwan</t>
        </is>
      </c>
      <c r="I90" s="136" t="inlineStr">
        <is>
          <t>CHISON Corporate Brochure 2027 (PDF, 2.6 MB)</t>
        </is>
      </c>
      <c r="J90" s="136" t="inlineStr">
        <is>
          <t>3</t>
        </is>
      </c>
      <c r="K90" s="137" t="inlineStr">
        <is>
          <t>13 Oct 2026</t>
        </is>
      </c>
      <c r="L90" s="136" t="inlineStr">
        <is>
          <t>No</t>
        </is>
      </c>
      <c r="M90" s="136" t="inlineStr">
        <is>
          <t>Batch 2 of 3, sent separately; read receipt 7 Oct 2026, no reply yet</t>
        </is>
      </c>
    </row>
    <row r="91" ht="14.25" customHeight="1" s="104">
      <c r="A91" s="136" t="n">
        <v>87</v>
      </c>
      <c r="B91" s="137" t="inlineStr">
        <is>
          <t>06 Oct 2026</t>
        </is>
      </c>
      <c r="C91" s="136" t="inlineStr">
        <is>
          <t>Taiwan</t>
        </is>
      </c>
      <c r="D91" s="138" t="inlineStr">
        <is>
          <t>凱上有限公司</t>
        </is>
      </c>
      <c r="E91" s="136" t="inlineStr">
        <is>
          <t>Dealer</t>
        </is>
      </c>
      <c r="F91" s="136" t="inlineStr">
        <is>
          <t>casaioannechi@gmail.com</t>
        </is>
      </c>
      <c r="G91" s="136" t="n"/>
      <c r="H91" s="138" t="inlineStr">
        <is>
          <t>誠徵台灣超音波經銷夥伴 | CHISON ultrasound distribution partners in Taiwan</t>
        </is>
      </c>
      <c r="I91" s="136" t="inlineStr">
        <is>
          <t>CHISON Corporate Brochure 2027 (PDF, 2.6 MB)</t>
        </is>
      </c>
      <c r="J91" s="136" t="inlineStr">
        <is>
          <t>3</t>
        </is>
      </c>
      <c r="K91" s="137" t="inlineStr">
        <is>
          <t>13 Oct 2026</t>
        </is>
      </c>
      <c r="L91" s="136" t="inlineStr">
        <is>
          <t>Bounced</t>
        </is>
      </c>
      <c r="M91" s="136" t="inlineStr">
        <is>
          <t>Batch 2 of 3, sent separately; Gmail account does not exist</t>
        </is>
      </c>
    </row>
    <row r="92" ht="14.25" customHeight="1" s="104">
      <c r="A92" s="136" t="n">
        <v>88</v>
      </c>
      <c r="B92" s="137" t="inlineStr">
        <is>
          <t>06 Oct 2026</t>
        </is>
      </c>
      <c r="C92" s="136" t="inlineStr">
        <is>
          <t>Taiwan</t>
        </is>
      </c>
      <c r="D92" s="138" t="inlineStr">
        <is>
          <t>喜兒生企業有限公司</t>
        </is>
      </c>
      <c r="E92" s="136" t="inlineStr">
        <is>
          <t>Dealer</t>
        </is>
      </c>
      <c r="F92" s="136" t="inlineStr">
        <is>
          <t>baby9march@yahoo.com.tw</t>
        </is>
      </c>
      <c r="G92" s="136" t="n"/>
      <c r="H92" s="138" t="inlineStr">
        <is>
          <t>誠徵台灣超音波經銷夥伴 | CHISON ultrasound distribution partners in Taiwan</t>
        </is>
      </c>
      <c r="I92" s="136" t="inlineStr">
        <is>
          <t>CHISON Corporate Brochure 2027 (PDF, 2.6 MB)</t>
        </is>
      </c>
      <c r="J92" s="136" t="inlineStr">
        <is>
          <t>3</t>
        </is>
      </c>
      <c r="K92" s="137" t="inlineStr">
        <is>
          <t>13 Oct 2026</t>
        </is>
      </c>
      <c r="L92" s="136" t="inlineStr">
        <is>
          <t>No</t>
        </is>
      </c>
      <c r="M92" s="136" t="inlineStr">
        <is>
          <t>Batch 2 of 3, sent separately</t>
        </is>
      </c>
    </row>
    <row r="93" ht="14.25" customHeight="1" s="104">
      <c r="A93" s="136" t="n">
        <v>89</v>
      </c>
      <c r="B93" s="137" t="inlineStr">
        <is>
          <t>06 Oct 2026</t>
        </is>
      </c>
      <c r="C93" s="136" t="inlineStr">
        <is>
          <t>Taiwan</t>
        </is>
      </c>
      <c r="D93" s="138" t="inlineStr">
        <is>
          <t>元佑實業有限公司台中分公司</t>
        </is>
      </c>
      <c r="E93" s="136" t="inlineStr">
        <is>
          <t>Dealer</t>
        </is>
      </c>
      <c r="F93" s="136" t="inlineStr">
        <is>
          <t>emily@yuanyu.tw</t>
        </is>
      </c>
      <c r="G93" s="136" t="n"/>
      <c r="H93" s="138" t="inlineStr">
        <is>
          <t>誠徵台灣超音波經銷夥伴 | CHISON ultrasound distribution partners in Taiwan</t>
        </is>
      </c>
      <c r="I93" s="136" t="inlineStr">
        <is>
          <t>CHISON Corporate Brochure 2027 (PDF, 2.6 MB)</t>
        </is>
      </c>
      <c r="J93" s="136" t="inlineStr">
        <is>
          <t>3</t>
        </is>
      </c>
      <c r="K93" s="137" t="inlineStr">
        <is>
          <t>13 Oct 2026</t>
        </is>
      </c>
      <c r="L93" s="136" t="inlineStr">
        <is>
          <t>No</t>
        </is>
      </c>
      <c r="M93" s="136" t="inlineStr">
        <is>
          <t>Batch 2 of 3, sent separately</t>
        </is>
      </c>
    </row>
    <row r="94" ht="14.25" customHeight="1" s="104">
      <c r="A94" s="136" t="n">
        <v>90</v>
      </c>
      <c r="B94" s="137" t="inlineStr">
        <is>
          <t>06 Oct 2026</t>
        </is>
      </c>
      <c r="C94" s="136" t="inlineStr">
        <is>
          <t>Taiwan</t>
        </is>
      </c>
      <c r="D94" s="138" t="inlineStr">
        <is>
          <t>兢威有限公司</t>
        </is>
      </c>
      <c r="E94" s="136" t="inlineStr">
        <is>
          <t>Dealer</t>
        </is>
      </c>
      <c r="F94" s="136" t="inlineStr">
        <is>
          <t>duke@geneway.com.tw</t>
        </is>
      </c>
      <c r="G94" s="136" t="n"/>
      <c r="H94" s="138" t="inlineStr">
        <is>
          <t>誠徵台灣超音波經銷夥伴 | CHISON ultrasound distribution partners in Taiwan</t>
        </is>
      </c>
      <c r="I94" s="136" t="inlineStr">
        <is>
          <t>CHISON Corporate Brochure 2027 (PDF, 2.6 MB)</t>
        </is>
      </c>
      <c r="J94" s="136" t="inlineStr">
        <is>
          <t>3</t>
        </is>
      </c>
      <c r="K94" s="137" t="inlineStr">
        <is>
          <t>13 Oct 2026</t>
        </is>
      </c>
      <c r="L94" s="136" t="inlineStr">
        <is>
          <t>No</t>
        </is>
      </c>
      <c r="M94" s="136" t="inlineStr">
        <is>
          <t>Batch 2 of 3, sent separately</t>
        </is>
      </c>
    </row>
    <row r="95" ht="14.25" customHeight="1" s="104">
      <c r="A95" s="136" t="n">
        <v>91</v>
      </c>
      <c r="B95" s="137" t="inlineStr">
        <is>
          <t>06 Oct 2026</t>
        </is>
      </c>
      <c r="C95" s="136" t="inlineStr">
        <is>
          <t>Taiwan</t>
        </is>
      </c>
      <c r="D95" s="138" t="inlineStr">
        <is>
          <t>植舜企業股份有限公司</t>
        </is>
      </c>
      <c r="E95" s="136" t="inlineStr">
        <is>
          <t>Dealer</t>
        </is>
      </c>
      <c r="F95" s="136" t="inlineStr">
        <is>
          <t>business@green-hope.com.tw</t>
        </is>
      </c>
      <c r="G95" s="136" t="n"/>
      <c r="H95" s="138" t="inlineStr">
        <is>
          <t>誠徵台灣超音波經銷夥伴 | CHISON ultrasound distribution partners in Taiwan</t>
        </is>
      </c>
      <c r="I95" s="136" t="inlineStr">
        <is>
          <t>CHISON Corporate Brochure 2027 (PDF, 2.6 MB)</t>
        </is>
      </c>
      <c r="J95" s="136" t="inlineStr">
        <is>
          <t>3</t>
        </is>
      </c>
      <c r="K95" s="137" t="inlineStr">
        <is>
          <t>13 Oct 2026</t>
        </is>
      </c>
      <c r="L95" s="136" t="inlineStr">
        <is>
          <t>No</t>
        </is>
      </c>
      <c r="M95" s="136" t="inlineStr">
        <is>
          <t>Batch 2 of 3, sent separately</t>
        </is>
      </c>
    </row>
    <row r="96" ht="14.25" customHeight="1" s="104">
      <c r="A96" s="136" t="n">
        <v>92</v>
      </c>
      <c r="B96" s="137" t="inlineStr">
        <is>
          <t>06 Oct 2026</t>
        </is>
      </c>
      <c r="C96" s="136" t="inlineStr">
        <is>
          <t>Taiwan</t>
        </is>
      </c>
      <c r="D96" s="138" t="inlineStr">
        <is>
          <t>堡順企業有限公司</t>
        </is>
      </c>
      <c r="E96" s="136" t="inlineStr">
        <is>
          <t>Dealer</t>
        </is>
      </c>
      <c r="F96" s="136" t="inlineStr">
        <is>
          <t>boysun.com@gmail.com</t>
        </is>
      </c>
      <c r="G96" s="136" t="n"/>
      <c r="H96" s="138" t="inlineStr">
        <is>
          <t>誠徵台灣超音波經銷夥伴 | CHISON ultrasound distribution partners in Taiwan</t>
        </is>
      </c>
      <c r="I96" s="136" t="inlineStr">
        <is>
          <t>CHISON Corporate Brochure 2027 (PDF, 2.6 MB)</t>
        </is>
      </c>
      <c r="J96" s="136" t="inlineStr">
        <is>
          <t>3</t>
        </is>
      </c>
      <c r="K96" s="137" t="inlineStr">
        <is>
          <t>13 Oct 2026</t>
        </is>
      </c>
      <c r="L96" s="136" t="inlineStr">
        <is>
          <t>No</t>
        </is>
      </c>
      <c r="M96" s="136" t="inlineStr">
        <is>
          <t>Batch 2 of 3, sent separately</t>
        </is>
      </c>
    </row>
    <row r="97" ht="14.25" customHeight="1" s="104">
      <c r="A97" s="136" t="n">
        <v>93</v>
      </c>
      <c r="B97" s="137" t="inlineStr">
        <is>
          <t>06 Oct 2026</t>
        </is>
      </c>
      <c r="C97" s="136" t="inlineStr">
        <is>
          <t>Taiwan</t>
        </is>
      </c>
      <c r="D97" s="138" t="inlineStr">
        <is>
          <t>佳昇醫療器材有限公司</t>
        </is>
      </c>
      <c r="E97" s="136" t="inlineStr">
        <is>
          <t>Dealer</t>
        </is>
      </c>
      <c r="F97" s="136" t="inlineStr">
        <is>
          <t>betty910921@yahoo.com.tw</t>
        </is>
      </c>
      <c r="G97" s="136" t="n"/>
      <c r="H97" s="138" t="inlineStr">
        <is>
          <t>誠徵台灣超音波經銷夥伴 | CHISON ultrasound distribution partners in Taiwan</t>
        </is>
      </c>
      <c r="I97" s="136" t="inlineStr">
        <is>
          <t>CHISON Corporate Brochure 2027 (PDF, 2.6 MB)</t>
        </is>
      </c>
      <c r="J97" s="136" t="inlineStr">
        <is>
          <t>3</t>
        </is>
      </c>
      <c r="K97" s="137" t="inlineStr">
        <is>
          <t>13 Oct 2026</t>
        </is>
      </c>
      <c r="L97" s="136" t="inlineStr">
        <is>
          <t>No</t>
        </is>
      </c>
      <c r="M97" s="136" t="inlineStr">
        <is>
          <t>Batch 2 of 3, sent separately</t>
        </is>
      </c>
    </row>
    <row r="98" ht="14.25" customHeight="1" s="104">
      <c r="A98" s="136" t="n">
        <v>94</v>
      </c>
      <c r="B98" s="137" t="inlineStr">
        <is>
          <t>06 Oct 2026</t>
        </is>
      </c>
      <c r="C98" s="136" t="inlineStr">
        <is>
          <t>Taiwan</t>
        </is>
      </c>
      <c r="D98" s="138" t="inlineStr">
        <is>
          <t>博晟儀器有限公司</t>
        </is>
      </c>
      <c r="E98" s="136" t="inlineStr">
        <is>
          <t>Dealer</t>
        </is>
      </c>
      <c r="F98" s="136" t="inlineStr">
        <is>
          <t>yao93353810@gmail.com</t>
        </is>
      </c>
      <c r="G98" s="136" t="n"/>
      <c r="H98" s="138" t="inlineStr">
        <is>
          <t>誠徵台灣超音波經銷夥伴 | CHISON ultrasound distribution partners in Taiwan</t>
        </is>
      </c>
      <c r="I98" s="136" t="inlineStr">
        <is>
          <t>CHISON Corporate Brochure 2027 (PDF, 2.6 MB)</t>
        </is>
      </c>
      <c r="J98" s="136" t="inlineStr">
        <is>
          <t>3</t>
        </is>
      </c>
      <c r="K98" s="137" t="inlineStr">
        <is>
          <t>13 Oct 2026</t>
        </is>
      </c>
      <c r="L98" s="136" t="inlineStr">
        <is>
          <t>No</t>
        </is>
      </c>
      <c r="M98" s="136" t="inlineStr">
        <is>
          <t>Batch 2 of 3, sent separately</t>
        </is>
      </c>
    </row>
    <row r="99" ht="14.25" customHeight="1" s="104">
      <c r="A99" s="136" t="n">
        <v>95</v>
      </c>
      <c r="B99" s="137" t="inlineStr">
        <is>
          <t>06 Oct 2026</t>
        </is>
      </c>
      <c r="C99" s="136" t="inlineStr">
        <is>
          <t>Taiwan</t>
        </is>
      </c>
      <c r="D99" s="138" t="inlineStr">
        <is>
          <t>鼎霖醫療器材股份有限公司</t>
        </is>
      </c>
      <c r="E99" s="136" t="inlineStr">
        <is>
          <t>Dealer</t>
        </is>
      </c>
      <c r="F99" s="136" t="inlineStr">
        <is>
          <t>lin@dlmedical.com.tw</t>
        </is>
      </c>
      <c r="G99" s="136" t="n"/>
      <c r="H99" s="138" t="inlineStr">
        <is>
          <t>誠徵台灣超音波經銷夥伴 | CHISON ultrasound distribution partners in Taiwan</t>
        </is>
      </c>
      <c r="I99" s="136" t="inlineStr">
        <is>
          <t>CHISON Corporate Brochure 2027 (PDF, 2.6 MB)</t>
        </is>
      </c>
      <c r="J99" s="136" t="inlineStr">
        <is>
          <t>3</t>
        </is>
      </c>
      <c r="K99" s="137" t="inlineStr">
        <is>
          <t>13 Oct 2026</t>
        </is>
      </c>
      <c r="L99" s="136" t="inlineStr">
        <is>
          <t>No</t>
        </is>
      </c>
      <c r="M99" s="136" t="inlineStr">
        <is>
          <t>Batch 2 of 3, sent separately</t>
        </is>
      </c>
    </row>
    <row r="100" ht="14.25" customHeight="1" s="104">
      <c r="A100" s="136" t="n">
        <v>96</v>
      </c>
      <c r="B100" s="137" t="inlineStr">
        <is>
          <t>06 Oct 2026</t>
        </is>
      </c>
      <c r="C100" s="136" t="inlineStr">
        <is>
          <t>Taiwan</t>
        </is>
      </c>
      <c r="D100" s="138" t="inlineStr">
        <is>
          <t>晟德科技工程有限公司</t>
        </is>
      </c>
      <c r="E100" s="136" t="inlineStr">
        <is>
          <t>Dealer</t>
        </is>
      </c>
      <c r="F100" s="136" t="inlineStr">
        <is>
          <t>patty988@samde.com.tw</t>
        </is>
      </c>
      <c r="G100" s="136" t="n"/>
      <c r="H100" s="138" t="inlineStr">
        <is>
          <t>誠徵台灣超音波經銷夥伴 | CHISON ultrasound distribution partners in Taiwan</t>
        </is>
      </c>
      <c r="I100" s="136" t="inlineStr">
        <is>
          <t>CHISON Corporate Brochure 2027 (PDF, 2.6 MB)</t>
        </is>
      </c>
      <c r="J100" s="136" t="inlineStr">
        <is>
          <t>3</t>
        </is>
      </c>
      <c r="K100" s="137" t="inlineStr">
        <is>
          <t>13 Oct 2026</t>
        </is>
      </c>
      <c r="L100" s="136" t="inlineStr">
        <is>
          <t>Bounced</t>
        </is>
      </c>
      <c r="M100" s="136" t="inlineStr">
        <is>
          <t>Batch 2 of 3, sent separately; Domain samde.com.tw not found</t>
        </is>
      </c>
    </row>
    <row r="101" ht="14.25" customHeight="1" s="104">
      <c r="A101" s="136" t="n">
        <v>97</v>
      </c>
      <c r="B101" s="137" t="inlineStr">
        <is>
          <t>06 Oct 2026</t>
        </is>
      </c>
      <c r="C101" s="136" t="inlineStr">
        <is>
          <t>Taiwan</t>
        </is>
      </c>
      <c r="D101" s="138" t="inlineStr">
        <is>
          <t>鴻霖生技股份有限公司</t>
        </is>
      </c>
      <c r="E101" s="136" t="inlineStr">
        <is>
          <t>Dealer</t>
        </is>
      </c>
      <c r="F101" s="136" t="inlineStr">
        <is>
          <t>honglinbiotech@gmail.com</t>
        </is>
      </c>
      <c r="G101" s="136" t="n"/>
      <c r="H101" s="138" t="inlineStr">
        <is>
          <t>誠徵台灣超音波經銷夥伴 | CHISON ultrasound distribution partners in Taiwan</t>
        </is>
      </c>
      <c r="I101" s="136" t="inlineStr">
        <is>
          <t>CHISON Corporate Brochure 2027 (PDF, 2.6 MB)</t>
        </is>
      </c>
      <c r="J101" s="136" t="inlineStr">
        <is>
          <t>3</t>
        </is>
      </c>
      <c r="K101" s="137" t="inlineStr">
        <is>
          <t>13 Oct 2026</t>
        </is>
      </c>
      <c r="L101" s="136" t="inlineStr">
        <is>
          <t>No</t>
        </is>
      </c>
      <c r="M101" s="136" t="inlineStr">
        <is>
          <t>Batch 2 of 3, sent separately</t>
        </is>
      </c>
    </row>
    <row r="102" ht="14.25" customHeight="1" s="104">
      <c r="A102" s="136" t="n">
        <v>98</v>
      </c>
      <c r="B102" s="137" t="inlineStr">
        <is>
          <t>06 Oct 2026</t>
        </is>
      </c>
      <c r="C102" s="136" t="inlineStr">
        <is>
          <t>Taiwan</t>
        </is>
      </c>
      <c r="D102" s="138" t="inlineStr">
        <is>
          <t>峻典股份有限公司</t>
        </is>
      </c>
      <c r="E102" s="136" t="inlineStr">
        <is>
          <t>Dealer</t>
        </is>
      </c>
      <c r="F102" s="136" t="inlineStr">
        <is>
          <t>fuhan.wei@jiunndean.com</t>
        </is>
      </c>
      <c r="G102" s="136" t="n"/>
      <c r="H102" s="138" t="inlineStr">
        <is>
          <t>誠徵台灣超音波經銷夥伴 | CHISON ultrasound distribution partners in Taiwan</t>
        </is>
      </c>
      <c r="I102" s="136" t="inlineStr">
        <is>
          <t>CHISON Corporate Brochure 2027 (PDF, 2.6 MB)</t>
        </is>
      </c>
      <c r="J102" s="136" t="inlineStr">
        <is>
          <t>3</t>
        </is>
      </c>
      <c r="K102" s="137" t="inlineStr">
        <is>
          <t>13 Oct 2026</t>
        </is>
      </c>
      <c r="L102" s="136" t="inlineStr">
        <is>
          <t>No</t>
        </is>
      </c>
      <c r="M102" s="136" t="inlineStr">
        <is>
          <t>Batch 2 of 3, sent separately</t>
        </is>
      </c>
    </row>
    <row r="103" ht="14.25" customHeight="1" s="104">
      <c r="A103" s="136" t="n">
        <v>99</v>
      </c>
      <c r="B103" s="137" t="inlineStr">
        <is>
          <t>06 Oct 2026</t>
        </is>
      </c>
      <c r="C103" s="136" t="inlineStr">
        <is>
          <t>Taiwan</t>
        </is>
      </c>
      <c r="D103" s="138" t="inlineStr">
        <is>
          <t>采京貿易有限公司</t>
        </is>
      </c>
      <c r="E103" s="136" t="inlineStr">
        <is>
          <t>Dealer</t>
        </is>
      </c>
      <c r="F103" s="136" t="inlineStr">
        <is>
          <t>caijing.tw@msa.hinet.net</t>
        </is>
      </c>
      <c r="G103" s="136" t="n"/>
      <c r="H103" s="138" t="inlineStr">
        <is>
          <t>誠徵台灣超音波經銷夥伴 | CHISON ultrasound distribution partners in Taiwan</t>
        </is>
      </c>
      <c r="I103" s="136" t="inlineStr">
        <is>
          <t>CHISON Corporate Brochure 2027 (PDF, 2.6 MB)</t>
        </is>
      </c>
      <c r="J103" s="136" t="inlineStr">
        <is>
          <t>3</t>
        </is>
      </c>
      <c r="K103" s="137" t="inlineStr">
        <is>
          <t>13 Oct 2026</t>
        </is>
      </c>
      <c r="L103" s="136" t="inlineStr">
        <is>
          <t>No</t>
        </is>
      </c>
      <c r="M103" s="136" t="inlineStr">
        <is>
          <t>Batch 2 of 3, sent separately</t>
        </is>
      </c>
    </row>
    <row r="104" ht="14.25" customHeight="1" s="104">
      <c r="A104" s="136" t="n">
        <v>100</v>
      </c>
      <c r="B104" s="137" t="inlineStr">
        <is>
          <t>06 Oct 2026</t>
        </is>
      </c>
      <c r="C104" s="136" t="inlineStr">
        <is>
          <t>Taiwan</t>
        </is>
      </c>
      <c r="D104" s="138" t="inlineStr">
        <is>
          <t>久洋醫療器械有限公司</t>
        </is>
      </c>
      <c r="E104" s="136" t="inlineStr">
        <is>
          <t>Dealer</t>
        </is>
      </c>
      <c r="F104" s="136" t="inlineStr">
        <is>
          <t>eocean547@gmail.com</t>
        </is>
      </c>
      <c r="G104" s="136" t="n"/>
      <c r="H104" s="138" t="inlineStr">
        <is>
          <t>誠徵台灣超音波經銷夥伴 | CHISON ultrasound distribution partners in Taiwan</t>
        </is>
      </c>
      <c r="I104" s="136" t="inlineStr">
        <is>
          <t>CHISON Corporate Brochure 2027 (PDF, 2.6 MB)</t>
        </is>
      </c>
      <c r="J104" s="136" t="inlineStr">
        <is>
          <t>3</t>
        </is>
      </c>
      <c r="K104" s="137" t="inlineStr">
        <is>
          <t>13 Oct 2026</t>
        </is>
      </c>
      <c r="L104" s="136" t="inlineStr">
        <is>
          <t>No</t>
        </is>
      </c>
      <c r="M104" s="136" t="inlineStr">
        <is>
          <t>Batch 2 of 3, sent separately</t>
        </is>
      </c>
    </row>
    <row r="105" ht="14.25" customHeight="1" s="104">
      <c r="A105" s="136" t="n">
        <v>101</v>
      </c>
      <c r="B105" s="137" t="inlineStr">
        <is>
          <t>06 Oct 2026</t>
        </is>
      </c>
      <c r="C105" s="136" t="inlineStr">
        <is>
          <t>Taiwan</t>
        </is>
      </c>
      <c r="D105" s="138" t="inlineStr">
        <is>
          <t>邦成國際貿易有限公司</t>
        </is>
      </c>
      <c r="E105" s="136" t="inlineStr">
        <is>
          <t>Dealer</t>
        </is>
      </c>
      <c r="F105" s="136" t="inlineStr">
        <is>
          <t>mesad0410@hotmail.com</t>
        </is>
      </c>
      <c r="G105" s="136" t="n"/>
      <c r="H105" s="138" t="inlineStr">
        <is>
          <t>誠徵台灣超音波經銷夥伴 | CHISON ultrasound distribution partners in Taiwan</t>
        </is>
      </c>
      <c r="I105" s="136" t="inlineStr">
        <is>
          <t>CHISON Corporate Brochure 2027 (PDF, 2.6 MB)</t>
        </is>
      </c>
      <c r="J105" s="136" t="inlineStr">
        <is>
          <t>3</t>
        </is>
      </c>
      <c r="K105" s="137" t="inlineStr">
        <is>
          <t>13 Oct 2026</t>
        </is>
      </c>
      <c r="L105" s="136" t="inlineStr">
        <is>
          <t>No</t>
        </is>
      </c>
      <c r="M105" s="136" t="inlineStr">
        <is>
          <t>Batch 2 of 3, sent separately</t>
        </is>
      </c>
    </row>
    <row r="106" ht="14.25" customHeight="1" s="104">
      <c r="A106" s="136" t="n">
        <v>102</v>
      </c>
      <c r="B106" s="137" t="inlineStr">
        <is>
          <t>06 Oct 2026</t>
        </is>
      </c>
      <c r="C106" s="136" t="inlineStr">
        <is>
          <t>Taiwan</t>
        </is>
      </c>
      <c r="D106" s="138" t="inlineStr">
        <is>
          <t>凱成商行</t>
        </is>
      </c>
      <c r="E106" s="136" t="inlineStr">
        <is>
          <t>Dealer</t>
        </is>
      </c>
      <c r="F106" s="136" t="inlineStr">
        <is>
          <t>alen.kevin@msa.hinet.net</t>
        </is>
      </c>
      <c r="G106" s="136" t="n"/>
      <c r="H106" s="138" t="inlineStr">
        <is>
          <t>誠徵台灣超音波經銷夥伴 | CHISON ultrasound distribution partners in Taiwan</t>
        </is>
      </c>
      <c r="I106" s="136" t="inlineStr">
        <is>
          <t>CHISON Corporate Brochure 2027 (PDF, 2.6 MB)</t>
        </is>
      </c>
      <c r="J106" s="136" t="inlineStr">
        <is>
          <t>3</t>
        </is>
      </c>
      <c r="K106" s="137" t="inlineStr">
        <is>
          <t>13 Oct 2026</t>
        </is>
      </c>
      <c r="L106" s="136" t="inlineStr">
        <is>
          <t>No</t>
        </is>
      </c>
      <c r="M106" s="136" t="inlineStr">
        <is>
          <t>Batch 2 of 3, sent separately</t>
        </is>
      </c>
    </row>
    <row r="107" ht="14.25" customHeight="1" s="104">
      <c r="A107" s="136" t="n">
        <v>103</v>
      </c>
      <c r="B107" s="137" t="inlineStr">
        <is>
          <t>06 Oct 2026</t>
        </is>
      </c>
      <c r="C107" s="136" t="inlineStr">
        <is>
          <t>Taiwan</t>
        </is>
      </c>
      <c r="D107" s="138" t="inlineStr">
        <is>
          <t>翔泰醫療器材企業有限公司</t>
        </is>
      </c>
      <c r="E107" s="136" t="inlineStr">
        <is>
          <t>Dealer</t>
        </is>
      </c>
      <c r="F107" s="136" t="inlineStr">
        <is>
          <t>shiningtop200@hotmail.com</t>
        </is>
      </c>
      <c r="G107" s="136" t="n"/>
      <c r="H107" s="138" t="inlineStr">
        <is>
          <t>誠徵台灣超音波經銷夥伴 | CHISON ultrasound distribution partners in Taiwan</t>
        </is>
      </c>
      <c r="I107" s="136" t="inlineStr">
        <is>
          <t>CHISON Corporate Brochure 2027 (PDF, 2.6 MB)</t>
        </is>
      </c>
      <c r="J107" s="136" t="inlineStr">
        <is>
          <t>3</t>
        </is>
      </c>
      <c r="K107" s="137" t="inlineStr">
        <is>
          <t>13 Oct 2026</t>
        </is>
      </c>
      <c r="L107" s="136" t="inlineStr">
        <is>
          <t>No</t>
        </is>
      </c>
      <c r="M107" s="136" t="inlineStr">
        <is>
          <t>Batch 2 of 3, sent separately</t>
        </is>
      </c>
    </row>
    <row r="108" ht="14.25" customHeight="1" s="104">
      <c r="A108" s="136" t="n">
        <v>104</v>
      </c>
      <c r="B108" s="137" t="inlineStr">
        <is>
          <t>06 Oct 2026</t>
        </is>
      </c>
      <c r="C108" s="136" t="inlineStr">
        <is>
          <t>Taiwan</t>
        </is>
      </c>
      <c r="D108" s="138" t="inlineStr">
        <is>
          <t>鐿慶國際有限公司</t>
        </is>
      </c>
      <c r="E108" s="136" t="inlineStr">
        <is>
          <t>Dealer</t>
        </is>
      </c>
      <c r="F108" s="136" t="inlineStr">
        <is>
          <t>accoanting.tw@yichyi.com</t>
        </is>
      </c>
      <c r="G108" s="136" t="n"/>
      <c r="H108" s="138" t="inlineStr">
        <is>
          <t>誠徵台灣超音波經銷夥伴 | CHISON ultrasound distribution partners in Taiwan</t>
        </is>
      </c>
      <c r="I108" s="136" t="inlineStr">
        <is>
          <t>CHISON Corporate Brochure 2027 (PDF, 2.6 MB)</t>
        </is>
      </c>
      <c r="J108" s="136" t="inlineStr">
        <is>
          <t>3</t>
        </is>
      </c>
      <c r="K108" s="137" t="inlineStr">
        <is>
          <t>13 Oct 2026</t>
        </is>
      </c>
      <c r="L108" s="136" t="inlineStr">
        <is>
          <t>Bounced</t>
        </is>
      </c>
      <c r="M108" s="136" t="inlineStr">
        <is>
          <t>Batch 2 of 3, sent separately; User unknown</t>
        </is>
      </c>
    </row>
    <row r="109" ht="14.25" customHeight="1" s="104">
      <c r="A109" s="136" t="n">
        <v>105</v>
      </c>
      <c r="B109" s="137" t="inlineStr">
        <is>
          <t>06 Oct 2026</t>
        </is>
      </c>
      <c r="C109" s="136" t="inlineStr">
        <is>
          <t>Taiwan</t>
        </is>
      </c>
      <c r="D109" s="138" t="inlineStr">
        <is>
          <t>船井生醫股份有限公司</t>
        </is>
      </c>
      <c r="E109" s="136" t="inlineStr">
        <is>
          <t>Dealer</t>
        </is>
      </c>
      <c r="F109" s="136" t="inlineStr">
        <is>
          <t>account@funcare.com</t>
        </is>
      </c>
      <c r="G109" s="136" t="n"/>
      <c r="H109" s="138" t="inlineStr">
        <is>
          <t>誠徵台灣超音波經銷夥伴 | CHISON ultrasound distribution partners in Taiwan</t>
        </is>
      </c>
      <c r="I109" s="136" t="inlineStr">
        <is>
          <t>CHISON Corporate Brochure 2027 (PDF, 2.6 MB)</t>
        </is>
      </c>
      <c r="J109" s="136" t="inlineStr">
        <is>
          <t>3</t>
        </is>
      </c>
      <c r="K109" s="137" t="inlineStr">
        <is>
          <t>13 Oct 2026</t>
        </is>
      </c>
      <c r="L109" s="136" t="inlineStr">
        <is>
          <t>No</t>
        </is>
      </c>
      <c r="M109" s="136" t="inlineStr">
        <is>
          <t>Batch 2 of 3, sent separately</t>
        </is>
      </c>
    </row>
    <row r="110" ht="14.25" customHeight="1" s="104">
      <c r="A110" s="136" t="n">
        <v>106</v>
      </c>
      <c r="B110" s="137" t="inlineStr">
        <is>
          <t>06 Oct 2026</t>
        </is>
      </c>
      <c r="C110" s="136" t="inlineStr">
        <is>
          <t>Taiwan</t>
        </is>
      </c>
      <c r="D110" s="138" t="inlineStr">
        <is>
          <t>慶錩儀器有限公司</t>
        </is>
      </c>
      <c r="E110" s="136" t="inlineStr">
        <is>
          <t>Dealer</t>
        </is>
      </c>
      <c r="F110" s="136" t="inlineStr">
        <is>
          <t>cci.medical@msa.hinet.net</t>
        </is>
      </c>
      <c r="G110" s="136" t="n"/>
      <c r="H110" s="138" t="inlineStr">
        <is>
          <t>誠徵台灣超音波經銷夥伴 | CHISON ultrasound distribution partners in Taiwan</t>
        </is>
      </c>
      <c r="I110" s="136" t="inlineStr">
        <is>
          <t>CHISON Corporate Brochure 2027 (PDF, 2.6 MB)</t>
        </is>
      </c>
      <c r="J110" s="136" t="inlineStr">
        <is>
          <t>3</t>
        </is>
      </c>
      <c r="K110" s="137" t="inlineStr">
        <is>
          <t>13 Oct 2026</t>
        </is>
      </c>
      <c r="L110" s="136" t="inlineStr">
        <is>
          <t>No</t>
        </is>
      </c>
      <c r="M110" s="136" t="inlineStr">
        <is>
          <t>Batch 2 of 3, sent separately</t>
        </is>
      </c>
    </row>
    <row r="111" ht="14.25" customHeight="1" s="104">
      <c r="A111" s="136" t="n">
        <v>107</v>
      </c>
      <c r="B111" s="137" t="inlineStr">
        <is>
          <t>06 Oct 2026</t>
        </is>
      </c>
      <c r="C111" s="136" t="inlineStr">
        <is>
          <t>Taiwan</t>
        </is>
      </c>
      <c r="D111" s="138" t="inlineStr">
        <is>
          <t>可大醫療儀器有限公司</t>
        </is>
      </c>
      <c r="E111" s="136" t="inlineStr">
        <is>
          <t>Dealer</t>
        </is>
      </c>
      <c r="F111" s="136" t="inlineStr">
        <is>
          <t>icodamed@ms49.hinet.net</t>
        </is>
      </c>
      <c r="G111" s="136" t="n"/>
      <c r="H111" s="138" t="inlineStr">
        <is>
          <t>誠徵台灣超音波經銷夥伴 | CHISON ultrasound distribution partners in Taiwan</t>
        </is>
      </c>
      <c r="I111" s="136" t="inlineStr">
        <is>
          <t>CHISON Corporate Brochure 2027 (PDF, 2.6 MB)</t>
        </is>
      </c>
      <c r="J111" s="136" t="inlineStr">
        <is>
          <t>3</t>
        </is>
      </c>
      <c r="K111" s="137" t="inlineStr">
        <is>
          <t>13 Oct 2026</t>
        </is>
      </c>
      <c r="L111" s="136" t="inlineStr">
        <is>
          <t>No</t>
        </is>
      </c>
      <c r="M111" s="136" t="inlineStr">
        <is>
          <t>Batch 2 of 3, sent separately</t>
        </is>
      </c>
    </row>
    <row r="112" ht="14.25" customHeight="1" s="104">
      <c r="A112" s="136" t="n">
        <v>108</v>
      </c>
      <c r="B112" s="137" t="inlineStr">
        <is>
          <t>06 Oct 2026</t>
        </is>
      </c>
      <c r="C112" s="136" t="inlineStr">
        <is>
          <t>Taiwan</t>
        </is>
      </c>
      <c r="D112" s="138" t="inlineStr">
        <is>
          <t>竹必佳股份有限公司</t>
        </is>
      </c>
      <c r="E112" s="136" t="inlineStr">
        <is>
          <t>Dealer</t>
        </is>
      </c>
      <c r="F112" s="136" t="inlineStr">
        <is>
          <t>medenint@ms11.hinet.net</t>
        </is>
      </c>
      <c r="G112" s="136" t="n"/>
      <c r="H112" s="138" t="inlineStr">
        <is>
          <t>誠徵台灣超音波經銷夥伴 | CHISON ultrasound distribution partners in Taiwan</t>
        </is>
      </c>
      <c r="I112" s="136" t="inlineStr">
        <is>
          <t>CHISON Corporate Brochure 2027 (PDF, 2.6 MB)</t>
        </is>
      </c>
      <c r="J112" s="136" t="inlineStr">
        <is>
          <t>3</t>
        </is>
      </c>
      <c r="K112" s="137" t="inlineStr">
        <is>
          <t>13 Oct 2026</t>
        </is>
      </c>
      <c r="L112" s="136" t="inlineStr">
        <is>
          <t>No</t>
        </is>
      </c>
      <c r="M112" s="136" t="inlineStr">
        <is>
          <t>Batch 2 of 3, sent separately</t>
        </is>
      </c>
    </row>
    <row r="113" ht="14.25" customHeight="1" s="104">
      <c r="A113" s="136" t="n">
        <v>109</v>
      </c>
      <c r="B113" s="137" t="inlineStr">
        <is>
          <t>06 Oct 2026</t>
        </is>
      </c>
      <c r="C113" s="136" t="inlineStr">
        <is>
          <t>Taiwan</t>
        </is>
      </c>
      <c r="D113" s="138" t="inlineStr">
        <is>
          <t>強盛興企業股份有限公司</t>
        </is>
      </c>
      <c r="E113" s="136" t="inlineStr">
        <is>
          <t>Dealer</t>
        </is>
      </c>
      <c r="F113" s="136" t="inlineStr">
        <is>
          <t>financial@joson-care.com.tw</t>
        </is>
      </c>
      <c r="G113" s="136" t="n"/>
      <c r="H113" s="138" t="inlineStr">
        <is>
          <t>誠徵台灣超音波經銷夥伴 | CHISON ultrasound distribution partners in Taiwan</t>
        </is>
      </c>
      <c r="I113" s="136" t="inlineStr">
        <is>
          <t>CHISON Corporate Brochure 2027 (PDF, 2.6 MB)</t>
        </is>
      </c>
      <c r="J113" s="136" t="inlineStr">
        <is>
          <t>3</t>
        </is>
      </c>
      <c r="K113" s="137" t="inlineStr">
        <is>
          <t>13 Oct 2026</t>
        </is>
      </c>
      <c r="L113" s="136" t="inlineStr">
        <is>
          <t>No</t>
        </is>
      </c>
      <c r="M113" s="136" t="inlineStr">
        <is>
          <t>Batch 2 of 3, sent separately</t>
        </is>
      </c>
    </row>
    <row r="114" ht="14.25" customHeight="1" s="104">
      <c r="A114" s="136" t="n">
        <v>110</v>
      </c>
      <c r="B114" s="137" t="inlineStr">
        <is>
          <t>06 Oct 2026</t>
        </is>
      </c>
      <c r="C114" s="136" t="inlineStr">
        <is>
          <t>Taiwan</t>
        </is>
      </c>
      <c r="D114" s="138" t="inlineStr">
        <is>
          <t>服杏企業有限公司</t>
        </is>
      </c>
      <c r="E114" s="136" t="inlineStr">
        <is>
          <t>Dealer</t>
        </is>
      </c>
      <c r="F114" s="136" t="inlineStr">
        <is>
          <t>servicet@ms49.hinet.net</t>
        </is>
      </c>
      <c r="G114" s="136" t="n"/>
      <c r="H114" s="138" t="inlineStr">
        <is>
          <t>誠徵台灣超音波經銷夥伴 | CHISON ultrasound distribution partners in Taiwan</t>
        </is>
      </c>
      <c r="I114" s="136" t="inlineStr">
        <is>
          <t>CHISON Corporate Brochure 2027 (PDF, 2.6 MB)</t>
        </is>
      </c>
      <c r="J114" s="136" t="inlineStr">
        <is>
          <t>3</t>
        </is>
      </c>
      <c r="K114" s="137" t="inlineStr">
        <is>
          <t>13 Oct 2026</t>
        </is>
      </c>
      <c r="L114" s="136" t="inlineStr">
        <is>
          <t>No</t>
        </is>
      </c>
      <c r="M114" s="136" t="inlineStr">
        <is>
          <t>Batch 2 of 3, sent separately</t>
        </is>
      </c>
    </row>
    <row r="115" ht="14.25" customHeight="1" s="104">
      <c r="A115" s="136" t="n">
        <v>111</v>
      </c>
      <c r="B115" s="137" t="inlineStr">
        <is>
          <t>06 Oct 2026</t>
        </is>
      </c>
      <c r="C115" s="136" t="inlineStr">
        <is>
          <t>Taiwan</t>
        </is>
      </c>
      <c r="D115" s="138" t="inlineStr">
        <is>
          <t>宗育醫療器材有限公司</t>
        </is>
      </c>
      <c r="E115" s="136" t="inlineStr">
        <is>
          <t>Dealer</t>
        </is>
      </c>
      <c r="F115" s="136" t="inlineStr">
        <is>
          <t>a1213yy@yahoo.com.tw</t>
        </is>
      </c>
      <c r="G115" s="136" t="n"/>
      <c r="H115" s="138" t="inlineStr">
        <is>
          <t>誠徵台灣超音波經銷夥伴 | CHISON ultrasound distribution partners in Taiwan</t>
        </is>
      </c>
      <c r="I115" s="136" t="inlineStr">
        <is>
          <t>CHISON Corporate Brochure 2027 (PDF, 2.6 MB)</t>
        </is>
      </c>
      <c r="J115" s="136" t="inlineStr">
        <is>
          <t>3</t>
        </is>
      </c>
      <c r="K115" s="137" t="inlineStr">
        <is>
          <t>13 Oct 2026</t>
        </is>
      </c>
      <c r="L115" s="136" t="inlineStr">
        <is>
          <t>Bounced</t>
        </is>
      </c>
      <c r="M115" s="136" t="inlineStr">
        <is>
          <t>Batch 2 of 3, sent separately; Mailbox disabled (Yahoo 554)</t>
        </is>
      </c>
    </row>
    <row r="116" ht="14.25" customHeight="1" s="104">
      <c r="A116" s="136" t="n">
        <v>112</v>
      </c>
      <c r="B116" s="137" t="inlineStr">
        <is>
          <t>06 Oct 2026</t>
        </is>
      </c>
      <c r="C116" s="136" t="inlineStr">
        <is>
          <t>Taiwan</t>
        </is>
      </c>
      <c r="D116" s="138" t="inlineStr">
        <is>
          <t>康威利實業有限公司</t>
        </is>
      </c>
      <c r="E116" s="136" t="inlineStr">
        <is>
          <t>Dealer</t>
        </is>
      </c>
      <c r="F116" s="136" t="inlineStr">
        <is>
          <t>jensen@conwellmedical.com</t>
        </is>
      </c>
      <c r="G116" s="136" t="n"/>
      <c r="H116" s="138" t="inlineStr">
        <is>
          <t>誠徵台灣超音波經銷夥伴 | CHISON ultrasound distribution partners in Taiwan</t>
        </is>
      </c>
      <c r="I116" s="136" t="inlineStr">
        <is>
          <t>CHISON Corporate Brochure 2027 (PDF, 2.6 MB)</t>
        </is>
      </c>
      <c r="J116" s="136" t="inlineStr">
        <is>
          <t>3</t>
        </is>
      </c>
      <c r="K116" s="137" t="inlineStr">
        <is>
          <t>13 Oct 2026</t>
        </is>
      </c>
      <c r="L116" s="136" t="inlineStr">
        <is>
          <t>No</t>
        </is>
      </c>
      <c r="M116" s="136" t="inlineStr">
        <is>
          <t>Batch 2 of 3, sent separately</t>
        </is>
      </c>
    </row>
    <row r="117" ht="14.25" customHeight="1" s="104">
      <c r="A117" s="136" t="n">
        <v>113</v>
      </c>
      <c r="B117" s="137" t="inlineStr">
        <is>
          <t>06 Oct 2026</t>
        </is>
      </c>
      <c r="C117" s="136" t="inlineStr">
        <is>
          <t>Taiwan</t>
        </is>
      </c>
      <c r="D117" s="138" t="inlineStr">
        <is>
          <t>寶宸生化科技有限公司</t>
        </is>
      </c>
      <c r="E117" s="136" t="inlineStr">
        <is>
          <t>Dealer</t>
        </is>
      </c>
      <c r="F117" s="136" t="inlineStr">
        <is>
          <t>ba.chcnn@msa.hinet.net</t>
        </is>
      </c>
      <c r="G117" s="136" t="n"/>
      <c r="H117" s="138" t="inlineStr">
        <is>
          <t>誠徵台灣超音波經銷夥伴 | CHISON ultrasound distribution partners in Taiwan</t>
        </is>
      </c>
      <c r="I117" s="136" t="inlineStr">
        <is>
          <t>CHISON Corporate Brochure 2027 (PDF, 2.6 MB)</t>
        </is>
      </c>
      <c r="J117" s="136" t="inlineStr">
        <is>
          <t>3</t>
        </is>
      </c>
      <c r="K117" s="137" t="inlineStr">
        <is>
          <t>13 Oct 2026</t>
        </is>
      </c>
      <c r="L117" s="136" t="inlineStr">
        <is>
          <t>No</t>
        </is>
      </c>
      <c r="M117" s="136" t="inlineStr">
        <is>
          <t>Batch 2 of 3, sent separately</t>
        </is>
      </c>
    </row>
    <row r="118" ht="14.25" customHeight="1" s="104">
      <c r="A118" s="136" t="n">
        <v>114</v>
      </c>
      <c r="B118" s="137" t="inlineStr">
        <is>
          <t>06 Oct 2026</t>
        </is>
      </c>
      <c r="C118" s="136" t="inlineStr">
        <is>
          <t>Taiwan</t>
        </is>
      </c>
      <c r="D118" s="138" t="inlineStr">
        <is>
          <t>瑩芳有限公司</t>
        </is>
      </c>
      <c r="E118" s="136" t="inlineStr">
        <is>
          <t>Dealer</t>
        </is>
      </c>
      <c r="F118" s="136" t="inlineStr">
        <is>
          <t>paul@infung.com.tw</t>
        </is>
      </c>
      <c r="G118" s="136" t="n"/>
      <c r="H118" s="138" t="inlineStr">
        <is>
          <t>誠徵台灣超音波經銷夥伴 | CHISON ultrasound distribution partners in Taiwan</t>
        </is>
      </c>
      <c r="I118" s="136" t="inlineStr">
        <is>
          <t>CHISON Corporate Brochure 2027 (PDF, 2.6 MB)</t>
        </is>
      </c>
      <c r="J118" s="136" t="inlineStr">
        <is>
          <t>3</t>
        </is>
      </c>
      <c r="K118" s="137" t="inlineStr">
        <is>
          <t>13 Oct 2026</t>
        </is>
      </c>
      <c r="L118" s="136" t="inlineStr">
        <is>
          <t>No</t>
        </is>
      </c>
      <c r="M118" s="136" t="inlineStr">
        <is>
          <t>Batch 2 of 3, sent separately</t>
        </is>
      </c>
    </row>
    <row r="119" ht="14.25" customHeight="1" s="104">
      <c r="A119" s="136" t="n">
        <v>115</v>
      </c>
      <c r="B119" s="137" t="inlineStr">
        <is>
          <t>06 Oct 2026</t>
        </is>
      </c>
      <c r="C119" s="136" t="inlineStr">
        <is>
          <t>Taiwan</t>
        </is>
      </c>
      <c r="D119" s="138" t="inlineStr">
        <is>
          <t>健晟儀器有限公司</t>
        </is>
      </c>
      <c r="E119" s="136" t="inlineStr">
        <is>
          <t>Dealer</t>
        </is>
      </c>
      <c r="F119" s="136" t="inlineStr">
        <is>
          <t>epii.tc@epii.com.tw</t>
        </is>
      </c>
      <c r="G119" s="136" t="n"/>
      <c r="H119" s="138" t="inlineStr">
        <is>
          <t>誠徵台灣超音波經銷夥伴 | CHISON ultrasound distribution partners in Taiwan</t>
        </is>
      </c>
      <c r="I119" s="136" t="inlineStr">
        <is>
          <t>CHISON Corporate Brochure 2027 (PDF, 2.6 MB)</t>
        </is>
      </c>
      <c r="J119" s="136" t="inlineStr">
        <is>
          <t>3</t>
        </is>
      </c>
      <c r="K119" s="137" t="inlineStr">
        <is>
          <t>13 Oct 2026</t>
        </is>
      </c>
      <c r="L119" s="136" t="inlineStr">
        <is>
          <t>No</t>
        </is>
      </c>
      <c r="M119" s="136" t="inlineStr">
        <is>
          <t>Batch 2 of 3, sent separately</t>
        </is>
      </c>
    </row>
    <row r="120" ht="14.25" customHeight="1" s="104">
      <c r="A120" s="136" t="n">
        <v>116</v>
      </c>
      <c r="B120" s="137" t="inlineStr">
        <is>
          <t>06 Oct 2026</t>
        </is>
      </c>
      <c r="C120" s="136" t="inlineStr">
        <is>
          <t>Taiwan</t>
        </is>
      </c>
      <c r="D120" s="138" t="inlineStr">
        <is>
          <t>尚翊企業社</t>
        </is>
      </c>
      <c r="E120" s="136" t="inlineStr">
        <is>
          <t>Dealer</t>
        </is>
      </c>
      <c r="F120" s="136" t="inlineStr">
        <is>
          <t>ya.lans88@msa.hinet.net</t>
        </is>
      </c>
      <c r="G120" s="136" t="n"/>
      <c r="H120" s="138" t="inlineStr">
        <is>
          <t>誠徵台灣超音波經銷夥伴 | CHISON ultrasound distribution partners in Taiwan</t>
        </is>
      </c>
      <c r="I120" s="136" t="inlineStr">
        <is>
          <t>CHISON Corporate Brochure 2027 (PDF, 2.6 MB)</t>
        </is>
      </c>
      <c r="J120" s="136" t="inlineStr">
        <is>
          <t>3</t>
        </is>
      </c>
      <c r="K120" s="137" t="inlineStr">
        <is>
          <t>13 Oct 2026</t>
        </is>
      </c>
      <c r="L120" s="136" t="inlineStr">
        <is>
          <t>No</t>
        </is>
      </c>
      <c r="M120" s="136" t="inlineStr">
        <is>
          <t>Batch 2 of 3, sent separately</t>
        </is>
      </c>
    </row>
    <row r="121" ht="14.25" customHeight="1" s="104">
      <c r="A121" s="136" t="n">
        <v>117</v>
      </c>
      <c r="B121" s="137" t="inlineStr">
        <is>
          <t>06 Oct 2026</t>
        </is>
      </c>
      <c r="C121" s="136" t="inlineStr">
        <is>
          <t>Taiwan</t>
        </is>
      </c>
      <c r="D121" s="138" t="inlineStr">
        <is>
          <t>康儀科技股份有限公司</t>
        </is>
      </c>
      <c r="E121" s="136" t="inlineStr">
        <is>
          <t>Dealer</t>
        </is>
      </c>
      <c r="F121" s="136" t="inlineStr">
        <is>
          <t>pay@coning-biotech.com</t>
        </is>
      </c>
      <c r="G121" s="136" t="n"/>
      <c r="H121" s="138" t="inlineStr">
        <is>
          <t>誠徵台灣超音波經銷夥伴 | CHISON ultrasound distribution partners in Taiwan</t>
        </is>
      </c>
      <c r="I121" s="136" t="inlineStr">
        <is>
          <t>CHISON Corporate Brochure 2027 (PDF, 2.6 MB)</t>
        </is>
      </c>
      <c r="J121" s="136" t="inlineStr">
        <is>
          <t>3</t>
        </is>
      </c>
      <c r="K121" s="137" t="inlineStr">
        <is>
          <t>13 Oct 2026</t>
        </is>
      </c>
      <c r="L121" s="136" t="inlineStr">
        <is>
          <t>No</t>
        </is>
      </c>
      <c r="M121" s="136" t="inlineStr">
        <is>
          <t>Batch 3 of 3, sent separately</t>
        </is>
      </c>
    </row>
    <row r="122" ht="14.25" customHeight="1" s="104">
      <c r="A122" s="136" t="n">
        <v>118</v>
      </c>
      <c r="B122" s="137" t="inlineStr">
        <is>
          <t>06 Oct 2026</t>
        </is>
      </c>
      <c r="C122" s="136" t="inlineStr">
        <is>
          <t>Taiwan</t>
        </is>
      </c>
      <c r="D122" s="138" t="inlineStr">
        <is>
          <t>奕泰生技股份有限公司</t>
        </is>
      </c>
      <c r="E122" s="136" t="inlineStr">
        <is>
          <t>Dealer</t>
        </is>
      </c>
      <c r="F122" s="136" t="inlineStr">
        <is>
          <t>schung-v38@umail.hinet.net</t>
        </is>
      </c>
      <c r="G122" s="136" t="n"/>
      <c r="H122" s="138" t="inlineStr">
        <is>
          <t>誠徵台灣超音波經銷夥伴 | CHISON ultrasound distribution partners in Taiwan</t>
        </is>
      </c>
      <c r="I122" s="136" t="inlineStr">
        <is>
          <t>CHISON Corporate Brochure 2027 (PDF, 2.6 MB)</t>
        </is>
      </c>
      <c r="J122" s="136" t="inlineStr">
        <is>
          <t>3</t>
        </is>
      </c>
      <c r="K122" s="137" t="inlineStr">
        <is>
          <t>13 Oct 2026</t>
        </is>
      </c>
      <c r="L122" s="136" t="inlineStr">
        <is>
          <t>No</t>
        </is>
      </c>
      <c r="M122" s="136" t="inlineStr">
        <is>
          <t>Batch 3 of 3, sent separately</t>
        </is>
      </c>
    </row>
    <row r="123" ht="14.25" customHeight="1" s="104">
      <c r="A123" s="136" t="n">
        <v>119</v>
      </c>
      <c r="B123" s="137" t="inlineStr">
        <is>
          <t>06 Oct 2026</t>
        </is>
      </c>
      <c r="C123" s="136" t="inlineStr">
        <is>
          <t>Taiwan</t>
        </is>
      </c>
      <c r="D123" s="138" t="inlineStr">
        <is>
          <t>德益科技股份有限公司</t>
        </is>
      </c>
      <c r="E123" s="136" t="inlineStr">
        <is>
          <t>Dealer</t>
        </is>
      </c>
      <c r="F123" s="136" t="inlineStr">
        <is>
          <t>det.corp@msa.hinet.net</t>
        </is>
      </c>
      <c r="G123" s="136" t="n"/>
      <c r="H123" s="138" t="inlineStr">
        <is>
          <t>誠徵台灣超音波經銷夥伴 | CHISON ultrasound distribution partners in Taiwan</t>
        </is>
      </c>
      <c r="I123" s="136" t="inlineStr">
        <is>
          <t>CHISON Corporate Brochure 2027 (PDF, 2.6 MB)</t>
        </is>
      </c>
      <c r="J123" s="136" t="inlineStr">
        <is>
          <t>3</t>
        </is>
      </c>
      <c r="K123" s="137" t="inlineStr">
        <is>
          <t>13 Oct 2026</t>
        </is>
      </c>
      <c r="L123" s="136" t="inlineStr">
        <is>
          <t>No</t>
        </is>
      </c>
      <c r="M123" s="136" t="inlineStr">
        <is>
          <t>Batch 3 of 3, sent separately</t>
        </is>
      </c>
    </row>
    <row r="124" ht="14.25" customHeight="1" s="104">
      <c r="A124" s="136" t="n">
        <v>120</v>
      </c>
      <c r="B124" s="137" t="inlineStr">
        <is>
          <t>06 Oct 2026</t>
        </is>
      </c>
      <c r="C124" s="136" t="inlineStr">
        <is>
          <t>Taiwan</t>
        </is>
      </c>
      <c r="D124" s="138" t="inlineStr">
        <is>
          <t>柏銧醫療器材有限公司</t>
        </is>
      </c>
      <c r="E124" s="136" t="inlineStr">
        <is>
          <t>Dealer</t>
        </is>
      </c>
      <c r="F124" s="136" t="inlineStr">
        <is>
          <t>baiko2924@gmail.com</t>
        </is>
      </c>
      <c r="G124" s="136" t="n"/>
      <c r="H124" s="138" t="inlineStr">
        <is>
          <t>誠徵台灣超音波經銷夥伴 | CHISON ultrasound distribution partners in Taiwan</t>
        </is>
      </c>
      <c r="I124" s="136" t="inlineStr">
        <is>
          <t>CHISON Corporate Brochure 2027 (PDF, 2.6 MB)</t>
        </is>
      </c>
      <c r="J124" s="136" t="inlineStr">
        <is>
          <t>3</t>
        </is>
      </c>
      <c r="K124" s="137" t="inlineStr">
        <is>
          <t>13 Oct 2026</t>
        </is>
      </c>
      <c r="L124" s="136" t="inlineStr">
        <is>
          <t>No</t>
        </is>
      </c>
      <c r="M124" s="136" t="inlineStr">
        <is>
          <t>Batch 3 of 3, sent separately</t>
        </is>
      </c>
    </row>
    <row r="125" ht="14.25" customHeight="1" s="104">
      <c r="A125" s="136" t="n">
        <v>121</v>
      </c>
      <c r="B125" s="137" t="inlineStr">
        <is>
          <t>06 Oct 2026</t>
        </is>
      </c>
      <c r="C125" s="136" t="inlineStr">
        <is>
          <t>Taiwan</t>
        </is>
      </c>
      <c r="D125" s="138" t="inlineStr">
        <is>
          <t>東芳龍國際貿易有限公司</t>
        </is>
      </c>
      <c r="E125" s="136" t="inlineStr">
        <is>
          <t>Dealer</t>
        </is>
      </c>
      <c r="F125" s="136" t="inlineStr">
        <is>
          <t>donfun.long@msa.hinet.net</t>
        </is>
      </c>
      <c r="G125" s="136" t="n"/>
      <c r="H125" s="138" t="inlineStr">
        <is>
          <t>誠徵台灣超音波經銷夥伴 | CHISON ultrasound distribution partners in Taiwan</t>
        </is>
      </c>
      <c r="I125" s="136" t="inlineStr">
        <is>
          <t>CHISON Corporate Brochure 2027 (PDF, 2.6 MB)</t>
        </is>
      </c>
      <c r="J125" s="136" t="inlineStr">
        <is>
          <t>3</t>
        </is>
      </c>
      <c r="K125" s="137" t="inlineStr">
        <is>
          <t>13 Oct 2026</t>
        </is>
      </c>
      <c r="L125" s="136" t="inlineStr">
        <is>
          <t>No</t>
        </is>
      </c>
      <c r="M125" s="136" t="inlineStr">
        <is>
          <t>Batch 3 of 3, sent separately</t>
        </is>
      </c>
    </row>
    <row r="126" ht="14.25" customHeight="1" s="104">
      <c r="A126" s="136" t="n">
        <v>122</v>
      </c>
      <c r="B126" s="137" t="inlineStr">
        <is>
          <t>06 Oct 2026</t>
        </is>
      </c>
      <c r="C126" s="136" t="inlineStr">
        <is>
          <t>Taiwan</t>
        </is>
      </c>
      <c r="D126" s="138" t="inlineStr">
        <is>
          <t>優擎科技有限公司</t>
        </is>
      </c>
      <c r="E126" s="136" t="inlineStr">
        <is>
          <t>Dealer</t>
        </is>
      </c>
      <c r="F126" s="136" t="inlineStr">
        <is>
          <t>mike@ugintech.com</t>
        </is>
      </c>
      <c r="G126" s="136" t="n"/>
      <c r="H126" s="138" t="inlineStr">
        <is>
          <t>誠徵台灣超音波經銷夥伴 | CHISON ultrasound distribution partners in Taiwan</t>
        </is>
      </c>
      <c r="I126" s="136" t="inlineStr">
        <is>
          <t>CHISON Corporate Brochure 2027 (PDF, 2.6 MB)</t>
        </is>
      </c>
      <c r="J126" s="136" t="inlineStr">
        <is>
          <t>3</t>
        </is>
      </c>
      <c r="K126" s="137" t="inlineStr">
        <is>
          <t>13 Oct 2026</t>
        </is>
      </c>
      <c r="L126" s="136" t="inlineStr">
        <is>
          <t>No</t>
        </is>
      </c>
      <c r="M126" s="136" t="inlineStr">
        <is>
          <t>Batch 3 of 3, sent separately</t>
        </is>
      </c>
    </row>
    <row r="127" ht="14.25" customHeight="1" s="104">
      <c r="A127" s="136" t="n">
        <v>123</v>
      </c>
      <c r="B127" s="137" t="inlineStr">
        <is>
          <t>06 Oct 2026</t>
        </is>
      </c>
      <c r="C127" s="136" t="inlineStr">
        <is>
          <t>Taiwan</t>
        </is>
      </c>
      <c r="D127" s="138" t="inlineStr">
        <is>
          <t>宏緯醫療儀器有限公司</t>
        </is>
      </c>
      <c r="E127" s="136" t="inlineStr">
        <is>
          <t>Dealer</t>
        </is>
      </c>
      <c r="F127" s="136" t="inlineStr">
        <is>
          <t>grand.medical@msa.hinet.net</t>
        </is>
      </c>
      <c r="G127" s="136" t="n"/>
      <c r="H127" s="138" t="inlineStr">
        <is>
          <t>誠徵台灣超音波經銷夥伴 | CHISON ultrasound distribution partners in Taiwan</t>
        </is>
      </c>
      <c r="I127" s="136" t="inlineStr">
        <is>
          <t>CHISON Corporate Brochure 2027 (PDF, 2.6 MB)</t>
        </is>
      </c>
      <c r="J127" s="136" t="inlineStr">
        <is>
          <t>3</t>
        </is>
      </c>
      <c r="K127" s="137" t="inlineStr">
        <is>
          <t>13 Oct 2026</t>
        </is>
      </c>
      <c r="L127" s="136" t="inlineStr">
        <is>
          <t>Bounced</t>
        </is>
      </c>
      <c r="M127" s="136" t="inlineStr">
        <is>
          <t>Batch 3 of 3, sent separately; Forwarded to Gmail and rejected: astramed.sg failed SPF and DKIM</t>
        </is>
      </c>
    </row>
    <row r="128" ht="14.25" customHeight="1" s="104">
      <c r="A128" s="136" t="n">
        <v>124</v>
      </c>
      <c r="B128" s="137" t="inlineStr">
        <is>
          <t>06 Oct 2026</t>
        </is>
      </c>
      <c r="C128" s="136" t="inlineStr">
        <is>
          <t>Taiwan</t>
        </is>
      </c>
      <c r="D128" s="138" t="inlineStr">
        <is>
          <t>龐德生技有限公司</t>
        </is>
      </c>
      <c r="E128" s="136" t="inlineStr">
        <is>
          <t>Dealer</t>
        </is>
      </c>
      <c r="F128" s="136" t="inlineStr">
        <is>
          <t>hs001@seysam.com.tw</t>
        </is>
      </c>
      <c r="G128" s="136" t="n"/>
      <c r="H128" s="138" t="inlineStr">
        <is>
          <t>誠徵台灣超音波經銷夥伴 | CHISON ultrasound distribution partners in Taiwan</t>
        </is>
      </c>
      <c r="I128" s="136" t="inlineStr">
        <is>
          <t>CHISON Corporate Brochure 2027 (PDF, 2.6 MB)</t>
        </is>
      </c>
      <c r="J128" s="136" t="inlineStr">
        <is>
          <t>3</t>
        </is>
      </c>
      <c r="K128" s="137" t="inlineStr">
        <is>
          <t>13 Oct 2026</t>
        </is>
      </c>
      <c r="L128" s="136" t="inlineStr">
        <is>
          <t>Bounced</t>
        </is>
      </c>
      <c r="M128" s="136" t="inlineStr">
        <is>
          <t>Batch 3 of 3, sent separately; Domain seysam.com.tw not found</t>
        </is>
      </c>
    </row>
    <row r="129" ht="14.25" customHeight="1" s="104">
      <c r="A129" s="136" t="n">
        <v>125</v>
      </c>
      <c r="B129" s="137" t="inlineStr">
        <is>
          <t>06 Oct 2026</t>
        </is>
      </c>
      <c r="C129" s="136" t="inlineStr">
        <is>
          <t>Taiwan</t>
        </is>
      </c>
      <c r="D129" s="138" t="inlineStr">
        <is>
          <t>才源醫療器材有限公司</t>
        </is>
      </c>
      <c r="E129" s="136" t="inlineStr">
        <is>
          <t>Dealer</t>
        </is>
      </c>
      <c r="F129" s="136" t="inlineStr">
        <is>
          <t>yen1561@ms14.hinet.net</t>
        </is>
      </c>
      <c r="G129" s="136" t="n"/>
      <c r="H129" s="138" t="inlineStr">
        <is>
          <t>誠徵台灣超音波經銷夥伴 | CHISON ultrasound distribution partners in Taiwan</t>
        </is>
      </c>
      <c r="I129" s="136" t="inlineStr">
        <is>
          <t>CHISON Corporate Brochure 2027 (PDF, 2.6 MB)</t>
        </is>
      </c>
      <c r="J129" s="136" t="inlineStr">
        <is>
          <t>3</t>
        </is>
      </c>
      <c r="K129" s="137" t="inlineStr">
        <is>
          <t>13 Oct 2026</t>
        </is>
      </c>
      <c r="L129" s="136" t="inlineStr">
        <is>
          <t>No</t>
        </is>
      </c>
      <c r="M129" s="136" t="inlineStr">
        <is>
          <t>Batch 3 of 3, sent separately</t>
        </is>
      </c>
    </row>
    <row r="130" ht="14.25" customHeight="1" s="104">
      <c r="A130" s="136" t="n">
        <v>126</v>
      </c>
      <c r="B130" s="137" t="inlineStr">
        <is>
          <t>06 Oct 2026</t>
        </is>
      </c>
      <c r="C130" s="136" t="inlineStr">
        <is>
          <t>Taiwan</t>
        </is>
      </c>
      <c r="D130" s="138" t="inlineStr">
        <is>
          <t>凱馺國際股份有限公司</t>
        </is>
      </c>
      <c r="E130" s="136" t="inlineStr">
        <is>
          <t>Dealer</t>
        </is>
      </c>
      <c r="F130" s="136" t="inlineStr">
        <is>
          <t>aboss.tech@msa.hinet.net</t>
        </is>
      </c>
      <c r="G130" s="136" t="n"/>
      <c r="H130" s="138" t="inlineStr">
        <is>
          <t>誠徵台灣超音波經銷夥伴 | CHISON ultrasound distribution partners in Taiwan</t>
        </is>
      </c>
      <c r="I130" s="136" t="inlineStr">
        <is>
          <t>CHISON Corporate Brochure 2027 (PDF, 2.6 MB)</t>
        </is>
      </c>
      <c r="J130" s="136" t="inlineStr">
        <is>
          <t>3</t>
        </is>
      </c>
      <c r="K130" s="137" t="inlineStr">
        <is>
          <t>13 Oct 2026</t>
        </is>
      </c>
      <c r="L130" s="136" t="inlineStr">
        <is>
          <t>No</t>
        </is>
      </c>
      <c r="M130" s="136" t="inlineStr">
        <is>
          <t>Batch 3 of 3, sent separately</t>
        </is>
      </c>
    </row>
    <row r="131" ht="14.25" customHeight="1" s="104">
      <c r="A131" s="136" t="n">
        <v>127</v>
      </c>
      <c r="B131" s="137" t="inlineStr">
        <is>
          <t>06 Oct 2026</t>
        </is>
      </c>
      <c r="C131" s="136" t="inlineStr">
        <is>
          <t>Taiwan</t>
        </is>
      </c>
      <c r="D131" s="138" t="inlineStr">
        <is>
          <t>坦頓國際有限公司</t>
        </is>
      </c>
      <c r="E131" s="136" t="inlineStr">
        <is>
          <t>Dealer</t>
        </is>
      </c>
      <c r="F131" s="136" t="inlineStr">
        <is>
          <t>lisa.li@latandem.com</t>
        </is>
      </c>
      <c r="G131" s="136" t="n"/>
      <c r="H131" s="138" t="inlineStr">
        <is>
          <t>誠徵台灣超音波經銷夥伴 | CHISON ultrasound distribution partners in Taiwan</t>
        </is>
      </c>
      <c r="I131" s="136" t="inlineStr">
        <is>
          <t>CHISON Corporate Brochure 2027 (PDF, 2.6 MB)</t>
        </is>
      </c>
      <c r="J131" s="136" t="inlineStr">
        <is>
          <t>3</t>
        </is>
      </c>
      <c r="K131" s="137" t="inlineStr">
        <is>
          <t>13 Oct 2026</t>
        </is>
      </c>
      <c r="L131" s="136" t="inlineStr">
        <is>
          <t>No</t>
        </is>
      </c>
      <c r="M131" s="136" t="inlineStr">
        <is>
          <t>Batch 3 of 3, sent separately</t>
        </is>
      </c>
    </row>
    <row r="132" ht="14.25" customHeight="1" s="104">
      <c r="A132" s="136" t="n">
        <v>128</v>
      </c>
      <c r="B132" s="137" t="inlineStr">
        <is>
          <t>06 Oct 2026</t>
        </is>
      </c>
      <c r="C132" s="136" t="inlineStr">
        <is>
          <t>Taiwan</t>
        </is>
      </c>
      <c r="D132" s="138" t="inlineStr">
        <is>
          <t>金元晟科技有限公司</t>
        </is>
      </c>
      <c r="E132" s="136" t="inlineStr">
        <is>
          <t>Dealer</t>
        </is>
      </c>
      <c r="F132" s="136" t="inlineStr">
        <is>
          <t>jyctwg@gmail.com</t>
        </is>
      </c>
      <c r="G132" s="136" t="n"/>
      <c r="H132" s="138" t="inlineStr">
        <is>
          <t>誠徵台灣超音波經銷夥伴 | CHISON ultrasound distribution partners in Taiwan</t>
        </is>
      </c>
      <c r="I132" s="136" t="inlineStr">
        <is>
          <t>CHISON Corporate Brochure 2027 (PDF, 2.6 MB)</t>
        </is>
      </c>
      <c r="J132" s="136" t="inlineStr">
        <is>
          <t>3</t>
        </is>
      </c>
      <c r="K132" s="137" t="inlineStr">
        <is>
          <t>13 Oct 2026</t>
        </is>
      </c>
      <c r="L132" s="136" t="inlineStr">
        <is>
          <t>No</t>
        </is>
      </c>
      <c r="M132" s="136" t="inlineStr">
        <is>
          <t>Batch 3 of 3, sent separately</t>
        </is>
      </c>
    </row>
    <row r="133" ht="14.25" customHeight="1" s="104">
      <c r="A133" s="136" t="n">
        <v>129</v>
      </c>
      <c r="B133" s="137" t="inlineStr">
        <is>
          <t>06 Oct 2026</t>
        </is>
      </c>
      <c r="C133" s="136" t="inlineStr">
        <is>
          <t>Taiwan</t>
        </is>
      </c>
      <c r="D133" s="138" t="inlineStr">
        <is>
          <t>榕佑國際有限公司</t>
        </is>
      </c>
      <c r="E133" s="136" t="inlineStr">
        <is>
          <t>Dealer</t>
        </is>
      </c>
      <c r="F133" s="136" t="inlineStr">
        <is>
          <t>ony.chen@prosperway.com.tw</t>
        </is>
      </c>
      <c r="G133" s="136" t="n"/>
      <c r="H133" s="138" t="inlineStr">
        <is>
          <t>誠徵台灣超音波經銷夥伴 | CHISON ultrasound distribution partners in Taiwan</t>
        </is>
      </c>
      <c r="I133" s="136" t="inlineStr">
        <is>
          <t>CHISON Corporate Brochure 2027 (PDF, 2.6 MB)</t>
        </is>
      </c>
      <c r="J133" s="136" t="inlineStr">
        <is>
          <t>3</t>
        </is>
      </c>
      <c r="K133" s="137" t="inlineStr">
        <is>
          <t>13 Oct 2026</t>
        </is>
      </c>
      <c r="L133" s="136" t="inlineStr">
        <is>
          <t>Bounced</t>
        </is>
      </c>
      <c r="M133" s="136" t="inlineStr">
        <is>
          <t>Batch 3 of 3, sent separately; Account does not exist</t>
        </is>
      </c>
    </row>
    <row r="134" ht="14.25" customHeight="1" s="104">
      <c r="A134" s="136" t="n">
        <v>130</v>
      </c>
      <c r="B134" s="137" t="inlineStr">
        <is>
          <t>06 Oct 2026</t>
        </is>
      </c>
      <c r="C134" s="136" t="inlineStr">
        <is>
          <t>Taiwan</t>
        </is>
      </c>
      <c r="D134" s="138" t="inlineStr">
        <is>
          <t>凡葳有限公司</t>
        </is>
      </c>
      <c r="E134" s="136" t="inlineStr">
        <is>
          <t>Dealer</t>
        </is>
      </c>
      <c r="F134" s="136" t="inlineStr">
        <is>
          <t>fanwei16922425@hotmail.com</t>
        </is>
      </c>
      <c r="G134" s="136" t="n"/>
      <c r="H134" s="138" t="inlineStr">
        <is>
          <t>誠徵台灣超音波經銷夥伴 | CHISON ultrasound distribution partners in Taiwan</t>
        </is>
      </c>
      <c r="I134" s="136" t="inlineStr">
        <is>
          <t>CHISON Corporate Brochure 2027 (PDF, 2.6 MB)</t>
        </is>
      </c>
      <c r="J134" s="136" t="inlineStr">
        <is>
          <t>3</t>
        </is>
      </c>
      <c r="K134" s="137" t="inlineStr">
        <is>
          <t>13 Oct 2026</t>
        </is>
      </c>
      <c r="L134" s="136" t="inlineStr">
        <is>
          <t>No</t>
        </is>
      </c>
      <c r="M134" s="136" t="inlineStr">
        <is>
          <t>Batch 3 of 3, sent separately</t>
        </is>
      </c>
    </row>
    <row r="135" ht="14.25" customHeight="1" s="104">
      <c r="A135" s="136" t="n">
        <v>131</v>
      </c>
      <c r="B135" s="137" t="inlineStr">
        <is>
          <t>06 Oct 2026</t>
        </is>
      </c>
      <c r="C135" s="136" t="inlineStr">
        <is>
          <t>Taiwan</t>
        </is>
      </c>
      <c r="D135" s="138" t="inlineStr">
        <is>
          <t>景翌企業有限公司</t>
        </is>
      </c>
      <c r="E135" s="136" t="inlineStr">
        <is>
          <t>Dealer</t>
        </is>
      </c>
      <c r="F135" s="136" t="inlineStr">
        <is>
          <t>steele@ms12.hinet.net</t>
        </is>
      </c>
      <c r="G135" s="136" t="n"/>
      <c r="H135" s="138" t="inlineStr">
        <is>
          <t>誠徵台灣超音波經銷夥伴 | CHISON ultrasound distribution partners in Taiwan</t>
        </is>
      </c>
      <c r="I135" s="136" t="inlineStr">
        <is>
          <t>CHISON Corporate Brochure 2027 (PDF, 2.6 MB)</t>
        </is>
      </c>
      <c r="J135" s="136" t="inlineStr">
        <is>
          <t>3</t>
        </is>
      </c>
      <c r="K135" s="137" t="inlineStr">
        <is>
          <t>13 Oct 2026</t>
        </is>
      </c>
      <c r="L135" s="136" t="inlineStr">
        <is>
          <t>No</t>
        </is>
      </c>
      <c r="M135" s="136" t="inlineStr">
        <is>
          <t>Batch 3 of 3, sent separately</t>
        </is>
      </c>
    </row>
    <row r="136" ht="14.25" customHeight="1" s="104">
      <c r="A136" s="136" t="n">
        <v>132</v>
      </c>
      <c r="B136" s="137" t="inlineStr">
        <is>
          <t>06 Oct 2026</t>
        </is>
      </c>
      <c r="C136" s="136" t="inlineStr">
        <is>
          <t>Taiwan</t>
        </is>
      </c>
      <c r="D136" s="138" t="inlineStr">
        <is>
          <t>大翰翔企業股份有限公司</t>
        </is>
      </c>
      <c r="E136" s="136" t="inlineStr">
        <is>
          <t>Dealer</t>
        </is>
      </c>
      <c r="F136" s="136" t="inlineStr">
        <is>
          <t>thh66@ms51.hinet.net</t>
        </is>
      </c>
      <c r="G136" s="136" t="n"/>
      <c r="H136" s="138" t="inlineStr">
        <is>
          <t>誠徵台灣超音波經銷夥伴 | CHISON ultrasound distribution partners in Taiwan</t>
        </is>
      </c>
      <c r="I136" s="136" t="inlineStr">
        <is>
          <t>CHISON Corporate Brochure 2027 (PDF, 2.6 MB)</t>
        </is>
      </c>
      <c r="J136" s="136" t="inlineStr">
        <is>
          <t>3</t>
        </is>
      </c>
      <c r="K136" s="137" t="inlineStr">
        <is>
          <t>13 Oct 2026</t>
        </is>
      </c>
      <c r="L136" s="136" t="inlineStr">
        <is>
          <t>No</t>
        </is>
      </c>
      <c r="M136" s="136" t="inlineStr">
        <is>
          <t>Batch 3 of 3, sent separately</t>
        </is>
      </c>
    </row>
    <row r="137" ht="14.25" customHeight="1" s="104">
      <c r="A137" s="136" t="n">
        <v>133</v>
      </c>
      <c r="B137" s="137" t="inlineStr">
        <is>
          <t>06 Oct 2026</t>
        </is>
      </c>
      <c r="C137" s="136" t="inlineStr">
        <is>
          <t>Taiwan</t>
        </is>
      </c>
      <c r="D137" s="138" t="inlineStr">
        <is>
          <t>傳斯美德有限公司</t>
        </is>
      </c>
      <c r="E137" s="136" t="inlineStr">
        <is>
          <t>Dealer</t>
        </is>
      </c>
      <c r="F137" s="136" t="inlineStr">
        <is>
          <t>keilco56@ms25.hinet.net</t>
        </is>
      </c>
      <c r="G137" s="136" t="n"/>
      <c r="H137" s="138" t="inlineStr">
        <is>
          <t>誠徵台灣超音波經銷夥伴 | CHISON ultrasound distribution partners in Taiwan</t>
        </is>
      </c>
      <c r="I137" s="136" t="inlineStr">
        <is>
          <t>CHISON Corporate Brochure 2027 (PDF, 2.6 MB)</t>
        </is>
      </c>
      <c r="J137" s="136" t="inlineStr">
        <is>
          <t>3</t>
        </is>
      </c>
      <c r="K137" s="137" t="inlineStr">
        <is>
          <t>13 Oct 2026</t>
        </is>
      </c>
      <c r="L137" s="136" t="inlineStr">
        <is>
          <t>No</t>
        </is>
      </c>
      <c r="M137" s="136" t="inlineStr">
        <is>
          <t>Batch 3 of 3, sent separately</t>
        </is>
      </c>
    </row>
    <row r="138" ht="14.25" customHeight="1" s="104">
      <c r="A138" s="136" t="n">
        <v>134</v>
      </c>
      <c r="B138" s="137" t="inlineStr">
        <is>
          <t>06 Oct 2026</t>
        </is>
      </c>
      <c r="C138" s="136" t="inlineStr">
        <is>
          <t>Taiwan</t>
        </is>
      </c>
      <c r="D138" s="138" t="inlineStr">
        <is>
          <t>泉勝儀器有限公司</t>
        </is>
      </c>
      <c r="E138" s="136" t="inlineStr">
        <is>
          <t>Dealer</t>
        </is>
      </c>
      <c r="F138" s="136" t="inlineStr">
        <is>
          <t>mail@bio-mega.com.tw</t>
        </is>
      </c>
      <c r="G138" s="136" t="n"/>
      <c r="H138" s="138" t="inlineStr">
        <is>
          <t>誠徵台灣超音波經銷夥伴 | CHISON ultrasound distribution partners in Taiwan</t>
        </is>
      </c>
      <c r="I138" s="136" t="inlineStr">
        <is>
          <t>CHISON Corporate Brochure 2027 (PDF, 2.6 MB)</t>
        </is>
      </c>
      <c r="J138" s="136" t="inlineStr">
        <is>
          <t>3</t>
        </is>
      </c>
      <c r="K138" s="137" t="inlineStr">
        <is>
          <t>13 Oct 2026</t>
        </is>
      </c>
      <c r="L138" s="136" t="inlineStr">
        <is>
          <t>No</t>
        </is>
      </c>
      <c r="M138" s="136" t="inlineStr">
        <is>
          <t>Batch 3 of 3, sent separately</t>
        </is>
      </c>
    </row>
    <row r="139" ht="14.25" customHeight="1" s="104">
      <c r="A139" s="136" t="n">
        <v>135</v>
      </c>
      <c r="B139" s="137" t="inlineStr">
        <is>
          <t>06 Oct 2026</t>
        </is>
      </c>
      <c r="C139" s="136" t="inlineStr">
        <is>
          <t>Taiwan</t>
        </is>
      </c>
      <c r="D139" s="138" t="inlineStr">
        <is>
          <t>美利馳股份有限公司</t>
        </is>
      </c>
      <c r="E139" s="136" t="inlineStr">
        <is>
          <t>Dealer</t>
        </is>
      </c>
      <c r="F139" s="136" t="inlineStr">
        <is>
          <t>merits.tw@gmail.com</t>
        </is>
      </c>
      <c r="G139" s="136" t="n"/>
      <c r="H139" s="138" t="inlineStr">
        <is>
          <t>誠徵台灣超音波經銷夥伴 | CHISON ultrasound distribution partners in Taiwan</t>
        </is>
      </c>
      <c r="I139" s="136" t="inlineStr">
        <is>
          <t>CHISON Corporate Brochure 2027 (PDF, 2.6 MB)</t>
        </is>
      </c>
      <c r="J139" s="136" t="inlineStr">
        <is>
          <t>3</t>
        </is>
      </c>
      <c r="K139" s="137" t="inlineStr">
        <is>
          <t>13 Oct 2026</t>
        </is>
      </c>
      <c r="L139" s="136" t="inlineStr">
        <is>
          <t>No</t>
        </is>
      </c>
      <c r="M139" s="136" t="inlineStr">
        <is>
          <t>Batch 3 of 3, sent separately</t>
        </is>
      </c>
    </row>
    <row r="140" ht="14.25" customHeight="1" s="104">
      <c r="A140" s="136" t="n">
        <v>136</v>
      </c>
      <c r="B140" s="137" t="inlineStr">
        <is>
          <t>06 Oct 2026</t>
        </is>
      </c>
      <c r="C140" s="136" t="inlineStr">
        <is>
          <t>Taiwan</t>
        </is>
      </c>
      <c r="D140" s="138" t="inlineStr">
        <is>
          <t>奧尼里奇股份有限公司</t>
        </is>
      </c>
      <c r="E140" s="136" t="inlineStr">
        <is>
          <t>Dealer</t>
        </is>
      </c>
      <c r="F140" s="136" t="inlineStr">
        <is>
          <t>benchen@aonirich.com</t>
        </is>
      </c>
      <c r="G140" s="136" t="n"/>
      <c r="H140" s="138" t="inlineStr">
        <is>
          <t>誠徵台灣超音波經銷夥伴 | CHISON ultrasound distribution partners in Taiwan</t>
        </is>
      </c>
      <c r="I140" s="136" t="inlineStr">
        <is>
          <t>CHISON Corporate Brochure 2027 (PDF, 2.6 MB)</t>
        </is>
      </c>
      <c r="J140" s="136" t="inlineStr">
        <is>
          <t>3</t>
        </is>
      </c>
      <c r="K140" s="137" t="inlineStr">
        <is>
          <t>13 Oct 2026</t>
        </is>
      </c>
      <c r="L140" s="136" t="inlineStr">
        <is>
          <t>Bounced</t>
        </is>
      </c>
      <c r="M140" s="136" t="inlineStr">
        <is>
          <t>Batch 3 of 3, sent separately; Could not connect to the aonirich.com mail server</t>
        </is>
      </c>
    </row>
    <row r="141" ht="14.25" customHeight="1" s="104">
      <c r="A141" s="136" t="n">
        <v>137</v>
      </c>
      <c r="B141" s="137" t="inlineStr">
        <is>
          <t>06 Oct 2026</t>
        </is>
      </c>
      <c r="C141" s="136" t="inlineStr">
        <is>
          <t>Taiwan</t>
        </is>
      </c>
      <c r="D141" s="138" t="inlineStr">
        <is>
          <t>茵特斯克股份有限公司</t>
        </is>
      </c>
      <c r="E141" s="136" t="inlineStr">
        <is>
          <t>Dealer</t>
        </is>
      </c>
      <c r="F141" s="136" t="inlineStr">
        <is>
          <t>michael@intersurgical.com.tw</t>
        </is>
      </c>
      <c r="G141" s="136" t="n"/>
      <c r="H141" s="138" t="inlineStr">
        <is>
          <t>誠徵台灣超音波經銷夥伴 | CHISON ultrasound distribution partners in Taiwan</t>
        </is>
      </c>
      <c r="I141" s="136" t="inlineStr">
        <is>
          <t>CHISON Corporate Brochure 2027 (PDF, 2.6 MB)</t>
        </is>
      </c>
      <c r="J141" s="136" t="inlineStr">
        <is>
          <t>3</t>
        </is>
      </c>
      <c r="K141" s="137" t="inlineStr">
        <is>
          <t>13 Oct 2026</t>
        </is>
      </c>
      <c r="L141" s="136" t="inlineStr">
        <is>
          <t>No</t>
        </is>
      </c>
      <c r="M141" s="136" t="inlineStr">
        <is>
          <t>Batch 3 of 3, sent separately</t>
        </is>
      </c>
    </row>
    <row r="142" ht="14.25" customHeight="1" s="104">
      <c r="A142" s="136" t="n">
        <v>138</v>
      </c>
      <c r="B142" s="137" t="inlineStr">
        <is>
          <t>06 Oct 2026</t>
        </is>
      </c>
      <c r="C142" s="136" t="inlineStr">
        <is>
          <t>Taiwan</t>
        </is>
      </c>
      <c r="D142" s="138" t="inlineStr">
        <is>
          <t>德易國際有限公司</t>
        </is>
      </c>
      <c r="E142" s="136" t="inlineStr">
        <is>
          <t>Dealer</t>
        </is>
      </c>
      <c r="F142" s="136" t="inlineStr">
        <is>
          <t>sherry@fortworth.com</t>
        </is>
      </c>
      <c r="G142" s="136" t="n"/>
      <c r="H142" s="138" t="inlineStr">
        <is>
          <t>誠徵台灣超音波經銷夥伴 | CHISON ultrasound distribution partners in Taiwan</t>
        </is>
      </c>
      <c r="I142" s="136" t="inlineStr">
        <is>
          <t>CHISON Corporate Brochure 2027 (PDF, 2.6 MB)</t>
        </is>
      </c>
      <c r="J142" s="136" t="inlineStr">
        <is>
          <t>3</t>
        </is>
      </c>
      <c r="K142" s="137" t="inlineStr">
        <is>
          <t>13 Oct 2026</t>
        </is>
      </c>
      <c r="L142" s="136" t="inlineStr">
        <is>
          <t>Bounced</t>
        </is>
      </c>
      <c r="M142" s="136" t="inlineStr">
        <is>
          <t>Batch 3 of 3, sent separately; Recipient rejected, access denied</t>
        </is>
      </c>
    </row>
    <row r="143" ht="14.25" customHeight="1" s="104">
      <c r="A143" s="136" t="n">
        <v>139</v>
      </c>
      <c r="B143" s="137" t="inlineStr">
        <is>
          <t>06 Oct 2026</t>
        </is>
      </c>
      <c r="C143" s="136" t="inlineStr">
        <is>
          <t>Taiwan</t>
        </is>
      </c>
      <c r="D143" s="138" t="inlineStr">
        <is>
          <t>信謄醫技有限公司</t>
        </is>
      </c>
      <c r="E143" s="136" t="inlineStr">
        <is>
          <t>Dealer</t>
        </is>
      </c>
      <c r="F143" s="136" t="inlineStr">
        <is>
          <t>monsan@ms34.hinet.net</t>
        </is>
      </c>
      <c r="G143" s="136" t="n"/>
      <c r="H143" s="138" t="inlineStr">
        <is>
          <t>誠徵台灣超音波經銷夥伴 | CHISON ultrasound distribution partners in Taiwan</t>
        </is>
      </c>
      <c r="I143" s="136" t="inlineStr">
        <is>
          <t>CHISON Corporate Brochure 2027 (PDF, 2.6 MB)</t>
        </is>
      </c>
      <c r="J143" s="136" t="inlineStr">
        <is>
          <t>3</t>
        </is>
      </c>
      <c r="K143" s="137" t="inlineStr">
        <is>
          <t>13 Oct 2026</t>
        </is>
      </c>
      <c r="L143" s="136" t="inlineStr">
        <is>
          <t>No</t>
        </is>
      </c>
      <c r="M143" s="136" t="inlineStr">
        <is>
          <t>Batch 3 of 3, sent separately</t>
        </is>
      </c>
    </row>
    <row r="144" ht="14.25" customHeight="1" s="104">
      <c r="A144" s="136" t="n">
        <v>140</v>
      </c>
      <c r="B144" s="137" t="inlineStr">
        <is>
          <t>06 Oct 2026</t>
        </is>
      </c>
      <c r="C144" s="136" t="inlineStr">
        <is>
          <t>Taiwan</t>
        </is>
      </c>
      <c r="D144" s="138" t="inlineStr">
        <is>
          <t>大田儀器有限公司</t>
        </is>
      </c>
      <c r="E144" s="136" t="inlineStr">
        <is>
          <t>Dealer</t>
        </is>
      </c>
      <c r="F144" s="136" t="inlineStr">
        <is>
          <t>ezcare5000@gmail.com</t>
        </is>
      </c>
      <c r="G144" s="136" t="n"/>
      <c r="H144" s="138" t="inlineStr">
        <is>
          <t>誠徵台灣超音波經銷夥伴 | CHISON ultrasound distribution partners in Taiwan</t>
        </is>
      </c>
      <c r="I144" s="136" t="inlineStr">
        <is>
          <t>CHISON Corporate Brochure 2027 (PDF, 2.6 MB)</t>
        </is>
      </c>
      <c r="J144" s="136" t="inlineStr">
        <is>
          <t>3</t>
        </is>
      </c>
      <c r="K144" s="137" t="inlineStr">
        <is>
          <t>13 Oct 2026</t>
        </is>
      </c>
      <c r="L144" s="136" t="inlineStr">
        <is>
          <t>No</t>
        </is>
      </c>
      <c r="M144" s="136" t="inlineStr">
        <is>
          <t>Batch 3 of 3, sent separately</t>
        </is>
      </c>
    </row>
    <row r="145" ht="14.25" customHeight="1" s="104">
      <c r="A145" s="136" t="n">
        <v>141</v>
      </c>
      <c r="B145" s="137" t="inlineStr">
        <is>
          <t>06 Oct 2026</t>
        </is>
      </c>
      <c r="C145" s="136" t="inlineStr">
        <is>
          <t>Taiwan</t>
        </is>
      </c>
      <c r="D145" s="138" t="inlineStr">
        <is>
          <t>昊佑企業有限公司</t>
        </is>
      </c>
      <c r="E145" s="136" t="inlineStr">
        <is>
          <t>Dealer</t>
        </is>
      </c>
      <c r="F145" s="136" t="inlineStr">
        <is>
          <t>haoyo@haoyo.com.tw</t>
        </is>
      </c>
      <c r="G145" s="136" t="n"/>
      <c r="H145" s="138" t="inlineStr">
        <is>
          <t>誠徵台灣超音波經銷夥伴 | CHISON ultrasound distribution partners in Taiwan</t>
        </is>
      </c>
      <c r="I145" s="136" t="inlineStr">
        <is>
          <t>CHISON Corporate Brochure 2027 (PDF, 2.6 MB)</t>
        </is>
      </c>
      <c r="J145" s="136" t="inlineStr">
        <is>
          <t>3</t>
        </is>
      </c>
      <c r="K145" s="137" t="inlineStr">
        <is>
          <t>13 Oct 2026</t>
        </is>
      </c>
      <c r="L145" s="136" t="inlineStr">
        <is>
          <t>No</t>
        </is>
      </c>
      <c r="M145" s="136" t="inlineStr">
        <is>
          <t>Batch 3 of 3, sent separately</t>
        </is>
      </c>
    </row>
    <row r="146" ht="14.25" customHeight="1" s="104">
      <c r="A146" s="136" t="n">
        <v>142</v>
      </c>
      <c r="B146" s="137" t="inlineStr">
        <is>
          <t>06 Oct 2026</t>
        </is>
      </c>
      <c r="C146" s="136" t="inlineStr">
        <is>
          <t>Taiwan</t>
        </is>
      </c>
      <c r="D146" s="138" t="inlineStr">
        <is>
          <t>凱能醫療器材有限公司</t>
        </is>
      </c>
      <c r="E146" s="136" t="inlineStr">
        <is>
          <t>Dealer</t>
        </is>
      </c>
      <c r="F146" s="136" t="inlineStr">
        <is>
          <t>snow9902a57@yahoo.com.tw</t>
        </is>
      </c>
      <c r="G146" s="136" t="n"/>
      <c r="H146" s="138" t="inlineStr">
        <is>
          <t>誠徵台灣超音波經銷夥伴 | CHISON ultrasound distribution partners in Taiwan</t>
        </is>
      </c>
      <c r="I146" s="136" t="inlineStr">
        <is>
          <t>CHISON Corporate Brochure 2027 (PDF, 2.6 MB)</t>
        </is>
      </c>
      <c r="J146" s="136" t="inlineStr">
        <is>
          <t>3</t>
        </is>
      </c>
      <c r="K146" s="137" t="inlineStr">
        <is>
          <t>13 Oct 2026</t>
        </is>
      </c>
      <c r="L146" s="136" t="inlineStr">
        <is>
          <t>No</t>
        </is>
      </c>
      <c r="M146" s="136" t="inlineStr">
        <is>
          <t>Batch 3 of 3, sent separately</t>
        </is>
      </c>
    </row>
    <row r="147" ht="14.25" customHeight="1" s="104">
      <c r="A147" s="136" t="n">
        <v>143</v>
      </c>
      <c r="B147" s="137" t="inlineStr">
        <is>
          <t>06 Oct 2026</t>
        </is>
      </c>
      <c r="C147" s="136" t="inlineStr">
        <is>
          <t>Taiwan</t>
        </is>
      </c>
      <c r="D147" s="138" t="inlineStr">
        <is>
          <t>玖鉅儀器有限公司</t>
        </is>
      </c>
      <c r="E147" s="136" t="inlineStr">
        <is>
          <t>Dealer</t>
        </is>
      </c>
      <c r="F147" s="136" t="inlineStr">
        <is>
          <t>jaspermedical@gmail.com</t>
        </is>
      </c>
      <c r="G147" s="136" t="n"/>
      <c r="H147" s="138" t="inlineStr">
        <is>
          <t>誠徵台灣超音波經銷夥伴 | CHISON ultrasound distribution partners in Taiwan</t>
        </is>
      </c>
      <c r="I147" s="136" t="inlineStr">
        <is>
          <t>CHISON Corporate Brochure 2027 (PDF, 2.6 MB)</t>
        </is>
      </c>
      <c r="J147" s="136" t="inlineStr">
        <is>
          <t>3</t>
        </is>
      </c>
      <c r="K147" s="137" t="inlineStr">
        <is>
          <t>13 Oct 2026</t>
        </is>
      </c>
      <c r="L147" s="136" t="inlineStr">
        <is>
          <t>No</t>
        </is>
      </c>
      <c r="M147" s="136" t="inlineStr">
        <is>
          <t>Batch 3 of 3, sent separately</t>
        </is>
      </c>
    </row>
    <row r="148" ht="14.25" customHeight="1" s="104">
      <c r="A148" s="136" t="n">
        <v>144</v>
      </c>
      <c r="B148" s="137" t="inlineStr">
        <is>
          <t>06 Oct 2026</t>
        </is>
      </c>
      <c r="C148" s="136" t="inlineStr">
        <is>
          <t>Taiwan</t>
        </is>
      </c>
      <c r="D148" s="138" t="inlineStr">
        <is>
          <t>景發醫療器材有限公司</t>
        </is>
      </c>
      <c r="E148" s="136" t="inlineStr">
        <is>
          <t>Dealer</t>
        </is>
      </c>
      <c r="F148" s="136" t="inlineStr">
        <is>
          <t>vincent71@mail2000.com.tw</t>
        </is>
      </c>
      <c r="G148" s="136" t="n"/>
      <c r="H148" s="138" t="inlineStr">
        <is>
          <t>誠徵台灣超音波經銷夥伴 | CHISON ultrasound distribution partners in Taiwan</t>
        </is>
      </c>
      <c r="I148" s="136" t="inlineStr">
        <is>
          <t>CHISON Corporate Brochure 2027 (PDF, 2.6 MB)</t>
        </is>
      </c>
      <c r="J148" s="136" t="inlineStr">
        <is>
          <t>3</t>
        </is>
      </c>
      <c r="K148" s="137" t="inlineStr">
        <is>
          <t>13 Oct 2026</t>
        </is>
      </c>
      <c r="L148" s="136" t="inlineStr">
        <is>
          <t>No</t>
        </is>
      </c>
      <c r="M148" s="136" t="inlineStr">
        <is>
          <t>Batch 3 of 3, sent separately</t>
        </is>
      </c>
    </row>
    <row r="149" ht="14.25" customHeight="1" s="104">
      <c r="A149" s="136" t="n">
        <v>145</v>
      </c>
      <c r="B149" s="137" t="inlineStr">
        <is>
          <t>06 Oct 2026</t>
        </is>
      </c>
      <c r="C149" s="136" t="inlineStr">
        <is>
          <t>Taiwan</t>
        </is>
      </c>
      <c r="D149" s="138" t="inlineStr">
        <is>
          <t>翰銓醫材生技有限公司</t>
        </is>
      </c>
      <c r="E149" s="136" t="inlineStr">
        <is>
          <t>Dealer</t>
        </is>
      </c>
      <c r="F149" s="136" t="inlineStr">
        <is>
          <t>d0388@ms57.hinet.net</t>
        </is>
      </c>
      <c r="G149" s="136" t="n"/>
      <c r="H149" s="138" t="inlineStr">
        <is>
          <t>誠徵台灣超音波經銷夥伴 | CHISON ultrasound distribution partners in Taiwan</t>
        </is>
      </c>
      <c r="I149" s="136" t="inlineStr">
        <is>
          <t>CHISON Corporate Brochure 2027 (PDF, 2.6 MB)</t>
        </is>
      </c>
      <c r="J149" s="136" t="inlineStr">
        <is>
          <t>3</t>
        </is>
      </c>
      <c r="K149" s="137" t="inlineStr">
        <is>
          <t>13 Oct 2026</t>
        </is>
      </c>
      <c r="L149" s="136" t="inlineStr">
        <is>
          <t>No</t>
        </is>
      </c>
      <c r="M149" s="136" t="inlineStr">
        <is>
          <t>Batch 3 of 3, sent separately</t>
        </is>
      </c>
    </row>
    <row r="150" ht="14.25" customHeight="1" s="104">
      <c r="A150" s="136" t="n">
        <v>146</v>
      </c>
      <c r="B150" s="137" t="inlineStr">
        <is>
          <t>06 Oct 2026</t>
        </is>
      </c>
      <c r="C150" s="136" t="inlineStr">
        <is>
          <t>Taiwan</t>
        </is>
      </c>
      <c r="D150" s="138" t="inlineStr">
        <is>
          <t>皓康股份有限公司</t>
        </is>
      </c>
      <c r="E150" s="136" t="inlineStr">
        <is>
          <t>Dealer</t>
        </is>
      </c>
      <c r="F150" s="136" t="inlineStr">
        <is>
          <t>hsu@healthyou.com.tw</t>
        </is>
      </c>
      <c r="G150" s="136" t="n"/>
      <c r="H150" s="138" t="inlineStr">
        <is>
          <t>誠徵台灣超音波經銷夥伴 | CHISON ultrasound distribution partners in Taiwan</t>
        </is>
      </c>
      <c r="I150" s="136" t="inlineStr">
        <is>
          <t>CHISON Corporate Brochure 2027 (PDF, 2.6 MB)</t>
        </is>
      </c>
      <c r="J150" s="136" t="inlineStr">
        <is>
          <t>3</t>
        </is>
      </c>
      <c r="K150" s="137" t="inlineStr">
        <is>
          <t>13 Oct 2026</t>
        </is>
      </c>
      <c r="L150" s="136" t="inlineStr">
        <is>
          <t>No</t>
        </is>
      </c>
      <c r="M150" s="136" t="inlineStr">
        <is>
          <t>Batch 3 of 3, sent separately</t>
        </is>
      </c>
    </row>
    <row r="151" ht="14.25" customHeight="1" s="104">
      <c r="A151" s="136" t="n">
        <v>147</v>
      </c>
      <c r="B151" s="137" t="inlineStr">
        <is>
          <t>06 Oct 2026</t>
        </is>
      </c>
      <c r="C151" s="136" t="inlineStr">
        <is>
          <t>Taiwan</t>
        </is>
      </c>
      <c r="D151" s="138" t="inlineStr">
        <is>
          <t>昶驊企業有限公司</t>
        </is>
      </c>
      <c r="E151" s="136" t="inlineStr">
        <is>
          <t>Dealer</t>
        </is>
      </c>
      <c r="F151" s="136" t="inlineStr">
        <is>
          <t>liao219@seed.net.tw</t>
        </is>
      </c>
      <c r="G151" s="136" t="n"/>
      <c r="H151" s="138" t="inlineStr">
        <is>
          <t>誠徵台灣超音波經銷夥伴 | CHISON ultrasound distribution partners in Taiwan</t>
        </is>
      </c>
      <c r="I151" s="136" t="inlineStr">
        <is>
          <t>CHISON Corporate Brochure 2027 (PDF, 2.6 MB)</t>
        </is>
      </c>
      <c r="J151" s="136" t="inlineStr">
        <is>
          <t>3</t>
        </is>
      </c>
      <c r="K151" s="137" t="inlineStr">
        <is>
          <t>13 Oct 2026</t>
        </is>
      </c>
      <c r="L151" s="136" t="inlineStr">
        <is>
          <t>No</t>
        </is>
      </c>
      <c r="M151" s="136" t="inlineStr">
        <is>
          <t>Batch 3 of 3, sent separately</t>
        </is>
      </c>
    </row>
    <row r="152" ht="14.25" customHeight="1" s="104">
      <c r="A152" s="136" t="n">
        <v>148</v>
      </c>
      <c r="B152" s="137" t="inlineStr">
        <is>
          <t>06 Oct 2026</t>
        </is>
      </c>
      <c r="C152" s="136" t="inlineStr">
        <is>
          <t>Taiwan</t>
        </is>
      </c>
      <c r="D152" s="138" t="inlineStr">
        <is>
          <t>源豐醫療器材有限公司</t>
        </is>
      </c>
      <c r="E152" s="136" t="inlineStr">
        <is>
          <t>Dealer</t>
        </is>
      </c>
      <c r="F152" s="136" t="inlineStr">
        <is>
          <t>yuan-feng-yf@yahoo.com.tw</t>
        </is>
      </c>
      <c r="G152" s="136" t="n"/>
      <c r="H152" s="138" t="inlineStr">
        <is>
          <t>誠徵台灣超音波經銷夥伴 | CHISON ultrasound distribution partners in Taiwan</t>
        </is>
      </c>
      <c r="I152" s="136" t="inlineStr">
        <is>
          <t>CHISON Corporate Brochure 2027 (PDF, 2.6 MB)</t>
        </is>
      </c>
      <c r="J152" s="136" t="inlineStr">
        <is>
          <t>3</t>
        </is>
      </c>
      <c r="K152" s="137" t="inlineStr">
        <is>
          <t>13 Oct 2026</t>
        </is>
      </c>
      <c r="L152" s="136" t="inlineStr">
        <is>
          <t>Bounced</t>
        </is>
      </c>
      <c r="M152" s="136" t="inlineStr">
        <is>
          <t>Batch 3 of 3, sent separately; Mailbox not found (Yahoo 552)</t>
        </is>
      </c>
    </row>
    <row r="153" ht="14.25" customHeight="1" s="104">
      <c r="A153" s="136" t="n">
        <v>149</v>
      </c>
      <c r="B153" s="137" t="inlineStr">
        <is>
          <t>06 Oct 2026</t>
        </is>
      </c>
      <c r="C153" s="136" t="inlineStr">
        <is>
          <t>Taiwan</t>
        </is>
      </c>
      <c r="D153" s="138" t="inlineStr">
        <is>
          <t>金益萬數位儀器行</t>
        </is>
      </c>
      <c r="E153" s="136" t="inlineStr">
        <is>
          <t>Dealer</t>
        </is>
      </c>
      <c r="F153" s="136" t="inlineStr">
        <is>
          <t>jinywan7@gmail.com</t>
        </is>
      </c>
      <c r="G153" s="136" t="n"/>
      <c r="H153" s="138" t="inlineStr">
        <is>
          <t>誠徵台灣超音波經銷夥伴 | CHISON ultrasound distribution partners in Taiwan</t>
        </is>
      </c>
      <c r="I153" s="136" t="inlineStr">
        <is>
          <t>CHISON Corporate Brochure 2027 (PDF, 2.6 MB)</t>
        </is>
      </c>
      <c r="J153" s="136" t="inlineStr">
        <is>
          <t>3</t>
        </is>
      </c>
      <c r="K153" s="137" t="inlineStr">
        <is>
          <t>13 Oct 2026</t>
        </is>
      </c>
      <c r="L153" s="136" t="inlineStr">
        <is>
          <t>Bounced</t>
        </is>
      </c>
      <c r="M153" s="136" t="inlineStr">
        <is>
          <t>Batch 3 of 3, sent separately; Gmail account does not exist</t>
        </is>
      </c>
    </row>
    <row r="154" ht="14.25" customHeight="1" s="104">
      <c r="A154" s="136" t="n">
        <v>150</v>
      </c>
      <c r="B154" s="137" t="inlineStr">
        <is>
          <t>06 Oct 2026</t>
        </is>
      </c>
      <c r="C154" s="136" t="inlineStr">
        <is>
          <t>Taiwan</t>
        </is>
      </c>
      <c r="D154" s="138" t="inlineStr">
        <is>
          <t>博宇貿易有限公司</t>
        </is>
      </c>
      <c r="E154" s="136" t="inlineStr">
        <is>
          <t>Dealer</t>
        </is>
      </c>
      <c r="F154" s="136" t="inlineStr">
        <is>
          <t>boyu.taiwan@gmail.com</t>
        </is>
      </c>
      <c r="G154" s="136" t="n"/>
      <c r="H154" s="138" t="inlineStr">
        <is>
          <t>誠徵台灣超音波經銷夥伴 | CHISON ultrasound distribution partners in Taiwan</t>
        </is>
      </c>
      <c r="I154" s="136" t="inlineStr">
        <is>
          <t>CHISON Corporate Brochure 2027 (PDF, 2.6 MB)</t>
        </is>
      </c>
      <c r="J154" s="136" t="inlineStr">
        <is>
          <t>3</t>
        </is>
      </c>
      <c r="K154" s="137" t="inlineStr">
        <is>
          <t>13 Oct 2026</t>
        </is>
      </c>
      <c r="L154" s="136" t="inlineStr">
        <is>
          <t>No</t>
        </is>
      </c>
      <c r="M154" s="136" t="inlineStr">
        <is>
          <t>Batch 3 of 3, sent separately</t>
        </is>
      </c>
    </row>
    <row r="155" ht="14.25" customHeight="1" s="104">
      <c r="A155" s="136" t="n">
        <v>151</v>
      </c>
      <c r="B155" s="137" t="inlineStr">
        <is>
          <t>06 Oct 2026</t>
        </is>
      </c>
      <c r="C155" s="136" t="inlineStr">
        <is>
          <t>Taiwan</t>
        </is>
      </c>
      <c r="D155" s="138" t="inlineStr">
        <is>
          <t>永荃儀器有限公司</t>
        </is>
      </c>
      <c r="E155" s="136" t="inlineStr">
        <is>
          <t>Dealer</t>
        </is>
      </c>
      <c r="F155" s="136" t="inlineStr">
        <is>
          <t>penny.little@msa.hinet.net</t>
        </is>
      </c>
      <c r="G155" s="136" t="n"/>
      <c r="H155" s="138" t="inlineStr">
        <is>
          <t>誠徵台灣超音波經銷夥伴 | CHISON ultrasound distribution partners in Taiwan</t>
        </is>
      </c>
      <c r="I155" s="136" t="inlineStr">
        <is>
          <t>CHISON Corporate Brochure 2027 (PDF, 2.6 MB)</t>
        </is>
      </c>
      <c r="J155" s="136" t="inlineStr">
        <is>
          <t>3</t>
        </is>
      </c>
      <c r="K155" s="137" t="inlineStr">
        <is>
          <t>13 Oct 2026</t>
        </is>
      </c>
      <c r="L155" s="136" t="inlineStr">
        <is>
          <t>No</t>
        </is>
      </c>
      <c r="M155" s="136" t="inlineStr">
        <is>
          <t>Batch 3 of 3, sent separately</t>
        </is>
      </c>
    </row>
    <row r="156" ht="14.25" customHeight="1" s="104">
      <c r="A156" s="136" t="n">
        <v>152</v>
      </c>
      <c r="B156" s="137" t="inlineStr">
        <is>
          <t>06 Oct 2026</t>
        </is>
      </c>
      <c r="C156" s="136" t="inlineStr">
        <is>
          <t>Taiwan</t>
        </is>
      </c>
      <c r="D156" s="138" t="inlineStr">
        <is>
          <t>裕鑫儀器有限公司</t>
        </is>
      </c>
      <c r="E156" s="136" t="inlineStr">
        <is>
          <t>Dealer</t>
        </is>
      </c>
      <c r="F156" s="136" t="inlineStr">
        <is>
          <t>yuxin50833458@gmail.com</t>
        </is>
      </c>
      <c r="G156" s="136" t="n"/>
      <c r="H156" s="138" t="inlineStr">
        <is>
          <t>誠徵台灣超音波經銷夥伴 | CHISON ultrasound distribution partners in Taiwan</t>
        </is>
      </c>
      <c r="I156" s="136" t="inlineStr">
        <is>
          <t>CHISON Corporate Brochure 2027 (PDF, 2.6 MB)</t>
        </is>
      </c>
      <c r="J156" s="136" t="inlineStr">
        <is>
          <t>3</t>
        </is>
      </c>
      <c r="K156" s="137" t="inlineStr">
        <is>
          <t>13 Oct 2026</t>
        </is>
      </c>
      <c r="L156" s="136" t="inlineStr">
        <is>
          <t>No</t>
        </is>
      </c>
      <c r="M156" s="136" t="inlineStr">
        <is>
          <t>Batch 3 of 3, sent separately</t>
        </is>
      </c>
    </row>
    <row r="157" ht="14.25" customHeight="1" s="104">
      <c r="A157" s="136" t="n">
        <v>153</v>
      </c>
      <c r="B157" s="137" t="inlineStr">
        <is>
          <t>06 Oct 2026</t>
        </is>
      </c>
      <c r="C157" s="136" t="inlineStr">
        <is>
          <t>Taiwan</t>
        </is>
      </c>
      <c r="D157" s="138" t="inlineStr">
        <is>
          <t>劦振企業有限公司</t>
        </is>
      </c>
      <c r="E157" s="136" t="inlineStr">
        <is>
          <t>Dealer</t>
        </is>
      </c>
      <c r="F157" s="136" t="inlineStr">
        <is>
          <t>sj01@hibox.hinet.net</t>
        </is>
      </c>
      <c r="G157" s="136" t="n"/>
      <c r="H157" s="138" t="inlineStr">
        <is>
          <t>誠徵台灣超音波經銷夥伴 | CHISON ultrasound distribution partners in Taiwan</t>
        </is>
      </c>
      <c r="I157" s="136" t="inlineStr">
        <is>
          <t>CHISON Corporate Brochure 2027 (PDF, 2.6 MB)</t>
        </is>
      </c>
      <c r="J157" s="136" t="inlineStr">
        <is>
          <t>3</t>
        </is>
      </c>
      <c r="K157" s="137" t="inlineStr">
        <is>
          <t>13 Oct 2026</t>
        </is>
      </c>
      <c r="L157" s="136" t="inlineStr">
        <is>
          <t>No</t>
        </is>
      </c>
      <c r="M157" s="136" t="inlineStr">
        <is>
          <t>Batch 3 of 3, sent separately</t>
        </is>
      </c>
    </row>
    <row r="158" ht="14.25" customHeight="1" s="104">
      <c r="A158" s="136" t="n">
        <v>154</v>
      </c>
      <c r="B158" s="137" t="inlineStr">
        <is>
          <t>06 Oct 2026</t>
        </is>
      </c>
      <c r="C158" s="136" t="inlineStr">
        <is>
          <t>Taiwan</t>
        </is>
      </c>
      <c r="D158" s="138" t="inlineStr">
        <is>
          <t>勝羽儀器有限公司</t>
        </is>
      </c>
      <c r="E158" s="136" t="inlineStr">
        <is>
          <t>Dealer</t>
        </is>
      </c>
      <c r="F158" s="136" t="inlineStr">
        <is>
          <t>chkwen@ms32.hinet.net</t>
        </is>
      </c>
      <c r="G158" s="136" t="n"/>
      <c r="H158" s="138" t="inlineStr">
        <is>
          <t>誠徵台灣超音波經銷夥伴 | CHISON ultrasound distribution partners in Taiwan</t>
        </is>
      </c>
      <c r="I158" s="136" t="inlineStr">
        <is>
          <t>CHISON Corporate Brochure 2027 (PDF, 2.6 MB)</t>
        </is>
      </c>
      <c r="J158" s="136" t="inlineStr">
        <is>
          <t>3</t>
        </is>
      </c>
      <c r="K158" s="137" t="inlineStr">
        <is>
          <t>13 Oct 2026</t>
        </is>
      </c>
      <c r="L158" s="136" t="inlineStr">
        <is>
          <t>No</t>
        </is>
      </c>
      <c r="M158" s="136" t="inlineStr">
        <is>
          <t>Batch 3 of 3, sent separately</t>
        </is>
      </c>
    </row>
    <row r="159" ht="14.25" customHeight="1" s="104">
      <c r="A159" s="136" t="n">
        <v>155</v>
      </c>
      <c r="B159" s="137" t="inlineStr">
        <is>
          <t>06 Oct 2026</t>
        </is>
      </c>
      <c r="C159" s="136" t="inlineStr">
        <is>
          <t>Taiwan</t>
        </is>
      </c>
      <c r="D159" s="138" t="inlineStr">
        <is>
          <t>永強生技有限公司</t>
        </is>
      </c>
      <c r="E159" s="136" t="inlineStr">
        <is>
          <t>Dealer</t>
        </is>
      </c>
      <c r="F159" s="136" t="inlineStr">
        <is>
          <t>j0932502428@yahoo.com.tw</t>
        </is>
      </c>
      <c r="G159" s="136" t="n"/>
      <c r="H159" s="138" t="inlineStr">
        <is>
          <t>誠徵台灣超音波經銷夥伴 | CHISON ultrasound distribution partners in Taiwan</t>
        </is>
      </c>
      <c r="I159" s="136" t="inlineStr">
        <is>
          <t>CHISON Corporate Brochure 2027 (PDF, 2.6 MB)</t>
        </is>
      </c>
      <c r="J159" s="136" t="inlineStr">
        <is>
          <t>3</t>
        </is>
      </c>
      <c r="K159" s="137" t="inlineStr">
        <is>
          <t>13 Oct 2026</t>
        </is>
      </c>
      <c r="L159" s="136" t="inlineStr">
        <is>
          <t>No</t>
        </is>
      </c>
      <c r="M159" s="136" t="inlineStr">
        <is>
          <t>Batch 3 of 3, sent separately</t>
        </is>
      </c>
    </row>
    <row r="160" ht="14.25" customHeight="1" s="104">
      <c r="A160" s="136" t="n">
        <v>156</v>
      </c>
      <c r="B160" s="137" t="inlineStr">
        <is>
          <t>06 Oct 2026</t>
        </is>
      </c>
      <c r="C160" s="136" t="inlineStr">
        <is>
          <t>Taiwan</t>
        </is>
      </c>
      <c r="D160" s="138" t="inlineStr">
        <is>
          <t>谷曼有限公司</t>
        </is>
      </c>
      <c r="E160" s="136" t="inlineStr">
        <is>
          <t>Dealer</t>
        </is>
      </c>
      <c r="F160" s="136" t="inlineStr">
        <is>
          <t>trasexx@gmail.com</t>
        </is>
      </c>
      <c r="G160" s="136" t="n"/>
      <c r="H160" s="138" t="inlineStr">
        <is>
          <t>誠徵台灣超音波經銷夥伴 | CHISON ultrasound distribution partners in Taiwan</t>
        </is>
      </c>
      <c r="I160" s="136" t="inlineStr">
        <is>
          <t>CHISON Corporate Brochure 2027 (PDF, 2.6 MB)</t>
        </is>
      </c>
      <c r="J160" s="136" t="inlineStr">
        <is>
          <t>3</t>
        </is>
      </c>
      <c r="K160" s="137" t="inlineStr">
        <is>
          <t>13 Oct 2026</t>
        </is>
      </c>
      <c r="L160" s="136" t="inlineStr">
        <is>
          <t>No</t>
        </is>
      </c>
      <c r="M160" s="136" t="inlineStr">
        <is>
          <t>Batch 3 of 3, sent separately</t>
        </is>
      </c>
    </row>
    <row r="161" ht="14.25" customHeight="1" s="104">
      <c r="A161" s="136" t="n">
        <v>157</v>
      </c>
      <c r="B161" s="137" t="inlineStr">
        <is>
          <t>06 Oct 2026</t>
        </is>
      </c>
      <c r="C161" s="136" t="inlineStr">
        <is>
          <t>Taiwan</t>
        </is>
      </c>
      <c r="D161" s="138" t="inlineStr">
        <is>
          <t>康護醫療器材行</t>
        </is>
      </c>
      <c r="E161" s="136" t="inlineStr">
        <is>
          <t>Dealer</t>
        </is>
      </c>
      <c r="F161" s="136" t="inlineStr">
        <is>
          <t>d54875@yahoo.com.tw</t>
        </is>
      </c>
      <c r="G161" s="136" t="n"/>
      <c r="H161" s="138" t="inlineStr">
        <is>
          <t>誠徵台灣超音波經銷夥伴 | CHISON ultrasound distribution partners in Taiwan</t>
        </is>
      </c>
      <c r="I161" s="136" t="inlineStr">
        <is>
          <t>CHISON Corporate Brochure 2027 (PDF, 2.6 MB)</t>
        </is>
      </c>
      <c r="J161" s="136" t="inlineStr">
        <is>
          <t>3</t>
        </is>
      </c>
      <c r="K161" s="137" t="inlineStr">
        <is>
          <t>13 Oct 2026</t>
        </is>
      </c>
      <c r="L161" s="136" t="inlineStr">
        <is>
          <t>No</t>
        </is>
      </c>
      <c r="M161" s="136" t="inlineStr">
        <is>
          <t>Batch 3 of 3, sent separately</t>
        </is>
      </c>
    </row>
    <row r="162" ht="14.25" customHeight="1" s="104">
      <c r="A162" s="136" t="n">
        <v>158</v>
      </c>
      <c r="B162" s="137" t="inlineStr">
        <is>
          <t>06 Oct 2026</t>
        </is>
      </c>
      <c r="C162" s="136" t="inlineStr">
        <is>
          <t>Taiwan</t>
        </is>
      </c>
      <c r="D162" s="138" t="inlineStr">
        <is>
          <t>立生行</t>
        </is>
      </c>
      <c r="E162" s="136" t="inlineStr">
        <is>
          <t>Dealer</t>
        </is>
      </c>
      <c r="F162" s="136" t="inlineStr">
        <is>
          <t>m1201213@ms48.hinet.net</t>
        </is>
      </c>
      <c r="G162" s="136" t="n"/>
      <c r="H162" s="138" t="inlineStr">
        <is>
          <t>誠徵台灣超音波經銷夥伴 | CHISON ultrasound distribution partners in Taiwan</t>
        </is>
      </c>
      <c r="I162" s="136" t="inlineStr">
        <is>
          <t>CHISON Corporate Brochure 2027 (PDF, 2.6 MB)</t>
        </is>
      </c>
      <c r="J162" s="136" t="inlineStr">
        <is>
          <t>3</t>
        </is>
      </c>
      <c r="K162" s="137" t="inlineStr">
        <is>
          <t>13 Oct 2026</t>
        </is>
      </c>
      <c r="L162" s="136" t="inlineStr">
        <is>
          <t>No</t>
        </is>
      </c>
      <c r="M162" s="136" t="inlineStr">
        <is>
          <t>Batch 3 of 3, sent separately</t>
        </is>
      </c>
    </row>
    <row r="163" ht="14.25" customHeight="1" s="104">
      <c r="A163" s="136" t="n">
        <v>159</v>
      </c>
      <c r="B163" s="137" t="inlineStr">
        <is>
          <t>06 Oct 2026</t>
        </is>
      </c>
      <c r="C163" s="136" t="inlineStr">
        <is>
          <t>Taiwan</t>
        </is>
      </c>
      <c r="D163" s="138" t="inlineStr">
        <is>
          <t>仲鎂醫療器材有限公司</t>
        </is>
      </c>
      <c r="E163" s="136" t="inlineStr">
        <is>
          <t>Dealer</t>
        </is>
      </c>
      <c r="F163" s="136" t="inlineStr">
        <is>
          <t>jm22314315@yahoo.com.tw</t>
        </is>
      </c>
      <c r="G163" s="136" t="n"/>
      <c r="H163" s="138" t="inlineStr">
        <is>
          <t>誠徵台灣超音波經銷夥伴 | CHISON ultrasound distribution partners in Taiwan</t>
        </is>
      </c>
      <c r="I163" s="136" t="inlineStr">
        <is>
          <t>CHISON Corporate Brochure 2027 (PDF, 2.6 MB)</t>
        </is>
      </c>
      <c r="J163" s="136" t="inlineStr">
        <is>
          <t>3</t>
        </is>
      </c>
      <c r="K163" s="137" t="inlineStr">
        <is>
          <t>13 Oct 2026</t>
        </is>
      </c>
      <c r="L163" s="136" t="inlineStr">
        <is>
          <t>No</t>
        </is>
      </c>
      <c r="M163" s="136" t="inlineStr">
        <is>
          <t>Batch 3 of 3, sent separately</t>
        </is>
      </c>
    </row>
    <row r="164" ht="14.25" customHeight="1" s="104">
      <c r="A164" s="139" t="n"/>
      <c r="B164" s="140" t="n"/>
      <c r="C164" s="139" t="n"/>
      <c r="D164" s="139" t="n"/>
      <c r="E164" s="139" t="n"/>
      <c r="F164" s="139" t="n"/>
      <c r="G164" s="139" t="n"/>
      <c r="H164" s="139" t="n"/>
      <c r="I164" s="139" t="n"/>
      <c r="J164" s="139" t="n"/>
      <c r="K164" s="140" t="n"/>
      <c r="L164" s="139" t="n"/>
      <c r="M164" s="139" t="n"/>
    </row>
    <row r="165" ht="14.25" customHeight="1" s="104">
      <c r="A165" s="139" t="n"/>
      <c r="B165" s="140" t="n"/>
      <c r="C165" s="139" t="n"/>
      <c r="D165" s="139" t="n"/>
      <c r="E165" s="139" t="n"/>
      <c r="F165" s="139" t="n"/>
      <c r="G165" s="139" t="n"/>
      <c r="H165" s="139" t="n"/>
      <c r="I165" s="139" t="n"/>
      <c r="J165" s="139" t="n"/>
      <c r="K165" s="140" t="n"/>
      <c r="L165" s="139" t="n"/>
      <c r="M165" s="139" t="n"/>
    </row>
    <row r="166" ht="14.25" customHeight="1" s="104">
      <c r="A166" s="139" t="n"/>
      <c r="B166" s="140" t="n"/>
      <c r="C166" s="139" t="n"/>
      <c r="D166" s="139" t="n"/>
      <c r="E166" s="139" t="n"/>
      <c r="F166" s="139" t="n"/>
      <c r="G166" s="139" t="n"/>
      <c r="H166" s="139" t="n"/>
      <c r="I166" s="139" t="n"/>
      <c r="J166" s="139" t="n"/>
      <c r="K166" s="140" t="n"/>
      <c r="L166" s="139" t="n"/>
      <c r="M166" s="139" t="n"/>
    </row>
    <row r="167" ht="14.25" customHeight="1" s="104">
      <c r="A167" s="139" t="n"/>
      <c r="B167" s="140" t="n"/>
      <c r="C167" s="139" t="n"/>
      <c r="D167" s="139" t="n"/>
      <c r="E167" s="139" t="n"/>
      <c r="F167" s="139" t="n"/>
      <c r="G167" s="139" t="n"/>
      <c r="H167" s="139" t="n"/>
      <c r="I167" s="139" t="n"/>
      <c r="J167" s="139" t="n"/>
      <c r="K167" s="140" t="n"/>
      <c r="L167" s="139" t="n"/>
      <c r="M167" s="139" t="n"/>
    </row>
    <row r="168" ht="14.25" customHeight="1" s="104">
      <c r="A168" s="139" t="n"/>
      <c r="B168" s="140" t="n"/>
      <c r="C168" s="139" t="n"/>
      <c r="D168" s="139" t="n"/>
      <c r="E168" s="139" t="n"/>
      <c r="F168" s="139" t="n"/>
      <c r="G168" s="139" t="n"/>
      <c r="H168" s="139" t="n"/>
      <c r="I168" s="139" t="n"/>
      <c r="J168" s="139" t="n"/>
      <c r="K168" s="140" t="n"/>
      <c r="L168" s="139" t="n"/>
      <c r="M168" s="139" t="n"/>
    </row>
    <row r="169" ht="14.25" customHeight="1" s="104">
      <c r="A169" s="139" t="n"/>
      <c r="B169" s="140" t="n"/>
      <c r="C169" s="139" t="n"/>
      <c r="D169" s="139" t="n"/>
      <c r="E169" s="139" t="n"/>
      <c r="F169" s="139" t="n"/>
      <c r="G169" s="139" t="n"/>
      <c r="H169" s="139" t="n"/>
      <c r="I169" s="139" t="n"/>
      <c r="J169" s="139" t="n"/>
      <c r="K169" s="140" t="n"/>
      <c r="L169" s="139" t="n"/>
      <c r="M169" s="139" t="n"/>
    </row>
    <row r="170" ht="14.25" customHeight="1" s="104">
      <c r="A170" s="139" t="n"/>
      <c r="B170" s="140" t="n"/>
      <c r="C170" s="139" t="n"/>
      <c r="D170" s="139" t="n"/>
      <c r="E170" s="139" t="n"/>
      <c r="F170" s="139" t="n"/>
      <c r="G170" s="139" t="n"/>
      <c r="H170" s="139" t="n"/>
      <c r="I170" s="139" t="n"/>
      <c r="J170" s="139" t="n"/>
      <c r="K170" s="140" t="n"/>
      <c r="L170" s="139" t="n"/>
      <c r="M170" s="139" t="n"/>
    </row>
    <row r="171" ht="14.25" customHeight="1" s="104">
      <c r="A171" s="139" t="n"/>
      <c r="B171" s="140" t="n"/>
      <c r="C171" s="139" t="n"/>
      <c r="D171" s="139" t="n"/>
      <c r="E171" s="139" t="n"/>
      <c r="F171" s="139" t="n"/>
      <c r="G171" s="139" t="n"/>
      <c r="H171" s="139" t="n"/>
      <c r="I171" s="139" t="n"/>
      <c r="J171" s="139" t="n"/>
      <c r="K171" s="140" t="n"/>
      <c r="L171" s="139" t="n"/>
      <c r="M171" s="139" t="n"/>
    </row>
    <row r="172" ht="14.25" customHeight="1" s="104">
      <c r="A172" s="139" t="n"/>
      <c r="B172" s="140" t="n"/>
      <c r="C172" s="139" t="n"/>
      <c r="D172" s="139" t="n"/>
      <c r="E172" s="139" t="n"/>
      <c r="F172" s="139" t="n"/>
      <c r="G172" s="139" t="n"/>
      <c r="H172" s="139" t="n"/>
      <c r="I172" s="139" t="n"/>
      <c r="J172" s="139" t="n"/>
      <c r="K172" s="140" t="n"/>
      <c r="L172" s="139" t="n"/>
      <c r="M172" s="139" t="n"/>
    </row>
    <row r="173" ht="14.25" customHeight="1" s="104">
      <c r="A173" s="139" t="n"/>
      <c r="B173" s="140" t="n"/>
      <c r="C173" s="139" t="n"/>
      <c r="D173" s="139" t="n"/>
      <c r="E173" s="139" t="n"/>
      <c r="F173" s="139" t="n"/>
      <c r="G173" s="139" t="n"/>
      <c r="H173" s="139" t="n"/>
      <c r="I173" s="139" t="n"/>
      <c r="J173" s="139" t="n"/>
      <c r="K173" s="140" t="n"/>
      <c r="L173" s="139" t="n"/>
      <c r="M173" s="139" t="n"/>
    </row>
    <row r="174" ht="14.25" customHeight="1" s="104">
      <c r="A174" s="139" t="n"/>
      <c r="B174" s="140" t="n"/>
      <c r="C174" s="139" t="n"/>
      <c r="D174" s="139" t="n"/>
      <c r="E174" s="139" t="n"/>
      <c r="F174" s="139" t="n"/>
      <c r="G174" s="139" t="n"/>
      <c r="H174" s="139" t="n"/>
      <c r="I174" s="139" t="n"/>
      <c r="J174" s="139" t="n"/>
      <c r="K174" s="140" t="n"/>
      <c r="L174" s="139" t="n"/>
      <c r="M174" s="139" t="n"/>
    </row>
    <row r="175" ht="14.25" customHeight="1" s="104">
      <c r="A175" s="139" t="n"/>
      <c r="B175" s="140" t="n"/>
      <c r="C175" s="139" t="n"/>
      <c r="D175" s="139" t="n"/>
      <c r="E175" s="139" t="n"/>
      <c r="F175" s="139" t="n"/>
      <c r="G175" s="139" t="n"/>
      <c r="H175" s="139" t="n"/>
      <c r="I175" s="139" t="n"/>
      <c r="J175" s="139" t="n"/>
      <c r="K175" s="140" t="n"/>
      <c r="L175" s="139" t="n"/>
      <c r="M175" s="139" t="n"/>
    </row>
    <row r="176" ht="14.25" customHeight="1" s="104">
      <c r="A176" s="139" t="n"/>
      <c r="B176" s="140" t="n"/>
      <c r="C176" s="139" t="n"/>
      <c r="D176" s="139" t="n"/>
      <c r="E176" s="139" t="n"/>
      <c r="F176" s="139" t="n"/>
      <c r="G176" s="139" t="n"/>
      <c r="H176" s="139" t="n"/>
      <c r="I176" s="139" t="n"/>
      <c r="J176" s="139" t="n"/>
      <c r="K176" s="140" t="n"/>
      <c r="L176" s="139" t="n"/>
      <c r="M176" s="139" t="n"/>
    </row>
    <row r="177" ht="14.25" customHeight="1" s="104">
      <c r="A177" s="139" t="n"/>
      <c r="B177" s="140" t="n"/>
      <c r="C177" s="139" t="n"/>
      <c r="D177" s="139" t="n"/>
      <c r="E177" s="139" t="n"/>
      <c r="F177" s="139" t="n"/>
      <c r="G177" s="139" t="n"/>
      <c r="H177" s="139" t="n"/>
      <c r="I177" s="139" t="n"/>
      <c r="J177" s="139" t="n"/>
      <c r="K177" s="140" t="n"/>
      <c r="L177" s="139" t="n"/>
      <c r="M177" s="139" t="n"/>
    </row>
    <row r="178" ht="14.25" customHeight="1" s="104">
      <c r="A178" s="139" t="n"/>
      <c r="B178" s="140" t="n"/>
      <c r="C178" s="139" t="n"/>
      <c r="D178" s="139" t="n"/>
      <c r="E178" s="139" t="n"/>
      <c r="F178" s="139" t="n"/>
      <c r="G178" s="139" t="n"/>
      <c r="H178" s="139" t="n"/>
      <c r="I178" s="139" t="n"/>
      <c r="J178" s="139" t="n"/>
      <c r="K178" s="140" t="n"/>
      <c r="L178" s="139" t="n"/>
      <c r="M178" s="139" t="n"/>
    </row>
    <row r="179" ht="14.25" customHeight="1" s="104">
      <c r="A179" s="139" t="n"/>
      <c r="B179" s="140" t="n"/>
      <c r="C179" s="139" t="n"/>
      <c r="D179" s="139" t="n"/>
      <c r="E179" s="139" t="n"/>
      <c r="F179" s="139" t="n"/>
      <c r="G179" s="139" t="n"/>
      <c r="H179" s="139" t="n"/>
      <c r="I179" s="139" t="n"/>
      <c r="J179" s="139" t="n"/>
      <c r="K179" s="140" t="n"/>
      <c r="L179" s="139" t="n"/>
      <c r="M179" s="139" t="n"/>
    </row>
    <row r="180" ht="14.25" customHeight="1" s="104">
      <c r="A180" s="139" t="n"/>
      <c r="B180" s="140" t="n"/>
      <c r="C180" s="139" t="n"/>
      <c r="D180" s="139" t="n"/>
      <c r="E180" s="139" t="n"/>
      <c r="F180" s="139" t="n"/>
      <c r="G180" s="139" t="n"/>
      <c r="H180" s="139" t="n"/>
      <c r="I180" s="139" t="n"/>
      <c r="J180" s="139" t="n"/>
      <c r="K180" s="140" t="n"/>
      <c r="L180" s="139" t="n"/>
      <c r="M180" s="139" t="n"/>
    </row>
    <row r="181" ht="14.25" customHeight="1" s="104">
      <c r="A181" s="139" t="n"/>
      <c r="B181" s="140" t="n"/>
      <c r="C181" s="139" t="n"/>
      <c r="D181" s="139" t="n"/>
      <c r="E181" s="139" t="n"/>
      <c r="F181" s="139" t="n"/>
      <c r="G181" s="139" t="n"/>
      <c r="H181" s="139" t="n"/>
      <c r="I181" s="139" t="n"/>
      <c r="J181" s="139" t="n"/>
      <c r="K181" s="140" t="n"/>
      <c r="L181" s="139" t="n"/>
      <c r="M181" s="139" t="n"/>
    </row>
    <row r="182" ht="14.25" customHeight="1" s="104">
      <c r="A182" s="139" t="n"/>
      <c r="B182" s="140" t="n"/>
      <c r="C182" s="139" t="n"/>
      <c r="D182" s="139" t="n"/>
      <c r="E182" s="139" t="n"/>
      <c r="F182" s="139" t="n"/>
      <c r="G182" s="139" t="n"/>
      <c r="H182" s="139" t="n"/>
      <c r="I182" s="139" t="n"/>
      <c r="J182" s="139" t="n"/>
      <c r="K182" s="140" t="n"/>
      <c r="L182" s="139" t="n"/>
      <c r="M182" s="139" t="n"/>
    </row>
    <row r="183" ht="14.25" customHeight="1" s="104">
      <c r="A183" s="139" t="n"/>
      <c r="B183" s="140" t="n"/>
      <c r="C183" s="139" t="n"/>
      <c r="D183" s="139" t="n"/>
      <c r="E183" s="139" t="n"/>
      <c r="F183" s="139" t="n"/>
      <c r="G183" s="139" t="n"/>
      <c r="H183" s="139" t="n"/>
      <c r="I183" s="139" t="n"/>
      <c r="J183" s="139" t="n"/>
      <c r="K183" s="140" t="n"/>
      <c r="L183" s="139" t="n"/>
      <c r="M183" s="139" t="n"/>
    </row>
    <row r="184" ht="14.25" customHeight="1" s="104">
      <c r="A184" s="139" t="n"/>
      <c r="B184" s="140" t="n"/>
      <c r="C184" s="139" t="n"/>
      <c r="D184" s="139" t="n"/>
      <c r="E184" s="139" t="n"/>
      <c r="F184" s="139" t="n"/>
      <c r="G184" s="139" t="n"/>
      <c r="H184" s="139" t="n"/>
      <c r="I184" s="139" t="n"/>
      <c r="J184" s="139" t="n"/>
      <c r="K184" s="140" t="n"/>
      <c r="L184" s="139" t="n"/>
      <c r="M184" s="139" t="n"/>
    </row>
    <row r="185" ht="14.25" customHeight="1" s="104">
      <c r="A185" s="139" t="n"/>
      <c r="B185" s="140" t="n"/>
      <c r="C185" s="139" t="n"/>
      <c r="D185" s="139" t="n"/>
      <c r="E185" s="139" t="n"/>
      <c r="F185" s="139" t="n"/>
      <c r="G185" s="139" t="n"/>
      <c r="H185" s="139" t="n"/>
      <c r="I185" s="139" t="n"/>
      <c r="J185" s="139" t="n"/>
      <c r="K185" s="140" t="n"/>
      <c r="L185" s="139" t="n"/>
      <c r="M185" s="139" t="n"/>
    </row>
    <row r="186" ht="14.25" customHeight="1" s="104">
      <c r="A186" s="139" t="n"/>
      <c r="B186" s="140" t="n"/>
      <c r="C186" s="139" t="n"/>
      <c r="D186" s="139" t="n"/>
      <c r="E186" s="139" t="n"/>
      <c r="F186" s="139" t="n"/>
      <c r="G186" s="139" t="n"/>
      <c r="H186" s="139" t="n"/>
      <c r="I186" s="139" t="n"/>
      <c r="J186" s="139" t="n"/>
      <c r="K186" s="140" t="n"/>
      <c r="L186" s="139" t="n"/>
      <c r="M186" s="139" t="n"/>
    </row>
    <row r="187" ht="14.25" customHeight="1" s="104">
      <c r="A187" s="139" t="n"/>
      <c r="B187" s="140" t="n"/>
      <c r="C187" s="139" t="n"/>
      <c r="D187" s="139" t="n"/>
      <c r="E187" s="139" t="n"/>
      <c r="F187" s="139" t="n"/>
      <c r="G187" s="139" t="n"/>
      <c r="H187" s="139" t="n"/>
      <c r="I187" s="139" t="n"/>
      <c r="J187" s="139" t="n"/>
      <c r="K187" s="140" t="n"/>
      <c r="L187" s="139" t="n"/>
      <c r="M187" s="139" t="n"/>
    </row>
    <row r="188" ht="14.25" customHeight="1" s="104">
      <c r="A188" s="139" t="n"/>
      <c r="B188" s="140" t="n"/>
      <c r="C188" s="139" t="n"/>
      <c r="D188" s="139" t="n"/>
      <c r="E188" s="139" t="n"/>
      <c r="F188" s="139" t="n"/>
      <c r="G188" s="139" t="n"/>
      <c r="H188" s="139" t="n"/>
      <c r="I188" s="139" t="n"/>
      <c r="J188" s="139" t="n"/>
      <c r="K188" s="140" t="n"/>
      <c r="L188" s="139" t="n"/>
      <c r="M188" s="139" t="n"/>
    </row>
    <row r="189" ht="14.25" customHeight="1" s="104">
      <c r="A189" s="139" t="n"/>
      <c r="B189" s="140" t="n"/>
      <c r="C189" s="139" t="n"/>
      <c r="D189" s="139" t="n"/>
      <c r="E189" s="139" t="n"/>
      <c r="F189" s="139" t="n"/>
      <c r="G189" s="139" t="n"/>
      <c r="H189" s="139" t="n"/>
      <c r="I189" s="139" t="n"/>
      <c r="J189" s="139" t="n"/>
      <c r="K189" s="140" t="n"/>
      <c r="L189" s="139" t="n"/>
      <c r="M189" s="139" t="n"/>
    </row>
    <row r="190" ht="14.25" customHeight="1" s="104">
      <c r="A190" s="139" t="n"/>
      <c r="B190" s="140" t="n"/>
      <c r="C190" s="139" t="n"/>
      <c r="D190" s="139" t="n"/>
      <c r="E190" s="139" t="n"/>
      <c r="F190" s="139" t="n"/>
      <c r="G190" s="139" t="n"/>
      <c r="H190" s="139" t="n"/>
      <c r="I190" s="139" t="n"/>
      <c r="J190" s="139" t="n"/>
      <c r="K190" s="140" t="n"/>
      <c r="L190" s="139" t="n"/>
      <c r="M190" s="139" t="n"/>
    </row>
    <row r="191" ht="14.25" customHeight="1" s="104">
      <c r="A191" s="139" t="n"/>
      <c r="B191" s="140" t="n"/>
      <c r="C191" s="139" t="n"/>
      <c r="D191" s="139" t="n"/>
      <c r="E191" s="139" t="n"/>
      <c r="F191" s="139" t="n"/>
      <c r="G191" s="139" t="n"/>
      <c r="H191" s="139" t="n"/>
      <c r="I191" s="139" t="n"/>
      <c r="J191" s="139" t="n"/>
      <c r="K191" s="140" t="n"/>
      <c r="L191" s="139" t="n"/>
      <c r="M191" s="139" t="n"/>
    </row>
    <row r="192" ht="14.25" customHeight="1" s="104">
      <c r="A192" s="139" t="n"/>
      <c r="B192" s="140" t="n"/>
      <c r="C192" s="139" t="n"/>
      <c r="D192" s="139" t="n"/>
      <c r="E192" s="139" t="n"/>
      <c r="F192" s="139" t="n"/>
      <c r="G192" s="139" t="n"/>
      <c r="H192" s="139" t="n"/>
      <c r="I192" s="139" t="n"/>
      <c r="J192" s="139" t="n"/>
      <c r="K192" s="140" t="n"/>
      <c r="L192" s="139" t="n"/>
      <c r="M192" s="139" t="n"/>
    </row>
    <row r="193" ht="14.25" customHeight="1" s="104">
      <c r="A193" s="139" t="n"/>
      <c r="B193" s="140" t="n"/>
      <c r="C193" s="139" t="n"/>
      <c r="D193" s="139" t="n"/>
      <c r="E193" s="139" t="n"/>
      <c r="F193" s="139" t="n"/>
      <c r="G193" s="139" t="n"/>
      <c r="H193" s="139" t="n"/>
      <c r="I193" s="139" t="n"/>
      <c r="J193" s="139" t="n"/>
      <c r="K193" s="140" t="n"/>
      <c r="L193" s="139" t="n"/>
      <c r="M193" s="139" t="n"/>
    </row>
    <row r="194" ht="14.25" customHeight="1" s="104">
      <c r="A194" s="139" t="n"/>
      <c r="B194" s="140" t="n"/>
      <c r="C194" s="139" t="n"/>
      <c r="D194" s="139" t="n"/>
      <c r="E194" s="139" t="n"/>
      <c r="F194" s="139" t="n"/>
      <c r="G194" s="139" t="n"/>
      <c r="H194" s="139" t="n"/>
      <c r="I194" s="139" t="n"/>
      <c r="J194" s="139" t="n"/>
      <c r="K194" s="140" t="n"/>
      <c r="L194" s="139" t="n"/>
      <c r="M194" s="139" t="n"/>
    </row>
    <row r="195" ht="14.25" customHeight="1" s="104">
      <c r="A195" s="139" t="n"/>
      <c r="B195" s="140" t="n"/>
      <c r="C195" s="139" t="n"/>
      <c r="D195" s="139" t="n"/>
      <c r="E195" s="139" t="n"/>
      <c r="F195" s="139" t="n"/>
      <c r="G195" s="139" t="n"/>
      <c r="H195" s="139" t="n"/>
      <c r="I195" s="139" t="n"/>
      <c r="J195" s="139" t="n"/>
      <c r="K195" s="140" t="n"/>
      <c r="L195" s="139" t="n"/>
      <c r="M195" s="139" t="n"/>
    </row>
    <row r="196" ht="14.25" customHeight="1" s="104">
      <c r="A196" s="139" t="n"/>
      <c r="B196" s="140" t="n"/>
      <c r="C196" s="139" t="n"/>
      <c r="D196" s="139" t="n"/>
      <c r="E196" s="139" t="n"/>
      <c r="F196" s="139" t="n"/>
      <c r="G196" s="139" t="n"/>
      <c r="H196" s="139" t="n"/>
      <c r="I196" s="139" t="n"/>
      <c r="J196" s="139" t="n"/>
      <c r="K196" s="140" t="n"/>
      <c r="L196" s="139" t="n"/>
      <c r="M196" s="139" t="n"/>
    </row>
    <row r="197" ht="14.25" customHeight="1" s="104">
      <c r="A197" s="139" t="n"/>
      <c r="B197" s="140" t="n"/>
      <c r="C197" s="139" t="n"/>
      <c r="D197" s="139" t="n"/>
      <c r="E197" s="139" t="n"/>
      <c r="F197" s="139" t="n"/>
      <c r="G197" s="139" t="n"/>
      <c r="H197" s="139" t="n"/>
      <c r="I197" s="139" t="n"/>
      <c r="J197" s="139" t="n"/>
      <c r="K197" s="140" t="n"/>
      <c r="L197" s="139" t="n"/>
      <c r="M197" s="139" t="n"/>
    </row>
    <row r="198" ht="14.25" customHeight="1" s="104">
      <c r="A198" s="139" t="n"/>
      <c r="B198" s="140" t="n"/>
      <c r="C198" s="139" t="n"/>
      <c r="D198" s="139" t="n"/>
      <c r="E198" s="139" t="n"/>
      <c r="F198" s="139" t="n"/>
      <c r="G198" s="139" t="n"/>
      <c r="H198" s="139" t="n"/>
      <c r="I198" s="139" t="n"/>
      <c r="J198" s="139" t="n"/>
      <c r="K198" s="140" t="n"/>
      <c r="L198" s="139" t="n"/>
      <c r="M198" s="139" t="n"/>
    </row>
    <row r="199" ht="14.25" customHeight="1" s="104">
      <c r="A199" s="139" t="n"/>
      <c r="B199" s="140" t="n"/>
      <c r="C199" s="139" t="n"/>
      <c r="D199" s="139" t="n"/>
      <c r="E199" s="139" t="n"/>
      <c r="F199" s="139" t="n"/>
      <c r="G199" s="139" t="n"/>
      <c r="H199" s="139" t="n"/>
      <c r="I199" s="139" t="n"/>
      <c r="J199" s="139" t="n"/>
      <c r="K199" s="140" t="n"/>
      <c r="L199" s="139" t="n"/>
      <c r="M199" s="139" t="n"/>
    </row>
    <row r="200" ht="14.25" customHeight="1" s="104">
      <c r="A200" s="139" t="n"/>
      <c r="B200" s="140" t="n"/>
      <c r="C200" s="139" t="n"/>
      <c r="D200" s="139" t="n"/>
      <c r="E200" s="139" t="n"/>
      <c r="F200" s="139" t="n"/>
      <c r="G200" s="139" t="n"/>
      <c r="H200" s="139" t="n"/>
      <c r="I200" s="139" t="n"/>
      <c r="J200" s="139" t="n"/>
      <c r="K200" s="140" t="n"/>
      <c r="L200" s="139" t="n"/>
      <c r="M200" s="139" t="n"/>
    </row>
    <row r="201" ht="14.25" customHeight="1" s="104">
      <c r="A201" s="139" t="n"/>
      <c r="B201" s="140" t="n"/>
      <c r="C201" s="139" t="n"/>
      <c r="D201" s="139" t="n"/>
      <c r="E201" s="139" t="n"/>
      <c r="F201" s="139" t="n"/>
      <c r="G201" s="139" t="n"/>
      <c r="H201" s="139" t="n"/>
      <c r="I201" s="139" t="n"/>
      <c r="J201" s="139" t="n"/>
      <c r="K201" s="140" t="n"/>
      <c r="L201" s="139" t="n"/>
      <c r="M201" s="139" t="n"/>
    </row>
    <row r="202" ht="14.25" customHeight="1" s="104">
      <c r="A202" s="139" t="n"/>
      <c r="B202" s="140" t="n"/>
      <c r="C202" s="139" t="n"/>
      <c r="D202" s="139" t="n"/>
      <c r="E202" s="139" t="n"/>
      <c r="F202" s="139" t="n"/>
      <c r="G202" s="139" t="n"/>
      <c r="H202" s="139" t="n"/>
      <c r="I202" s="139" t="n"/>
      <c r="J202" s="139" t="n"/>
      <c r="K202" s="140" t="n"/>
      <c r="L202" s="139" t="n"/>
      <c r="M202" s="139" t="n"/>
    </row>
    <row r="203" ht="14.25" customHeight="1" s="104">
      <c r="A203" s="139" t="n"/>
      <c r="B203" s="140" t="n"/>
      <c r="C203" s="139" t="n"/>
      <c r="D203" s="139" t="n"/>
      <c r="E203" s="139" t="n"/>
      <c r="F203" s="139" t="n"/>
      <c r="G203" s="139" t="n"/>
      <c r="H203" s="139" t="n"/>
      <c r="I203" s="139" t="n"/>
      <c r="J203" s="139" t="n"/>
      <c r="K203" s="140" t="n"/>
      <c r="L203" s="139" t="n"/>
      <c r="M203" s="139" t="n"/>
    </row>
    <row r="204" ht="14.25" customHeight="1" s="104">
      <c r="A204" s="139" t="n"/>
      <c r="B204" s="140" t="n"/>
      <c r="C204" s="139" t="n"/>
      <c r="D204" s="139" t="n"/>
      <c r="E204" s="139" t="n"/>
      <c r="F204" s="139" t="n"/>
      <c r="G204" s="139" t="n"/>
      <c r="H204" s="139" t="n"/>
      <c r="I204" s="139" t="n"/>
      <c r="J204" s="139" t="n"/>
      <c r="K204" s="140" t="n"/>
      <c r="L204" s="139" t="n"/>
      <c r="M204" s="139" t="n"/>
    </row>
  </sheetData>
  <dataValidations count="3">
    <dataValidation sqref="L5:L204" showDropDown="0" showInputMessage="0" showErrorMessage="0" allowBlank="1" type="list" errorStyle="stop" operator="between">
      <formula1>"No,Yes,Bounced,Out of office"</formula1>
      <formula2>0</formula2>
    </dataValidation>
    <dataValidation sqref="C5:C204" showDropDown="0" showInputMessage="0" showErrorMessage="0" allowBlank="1" type="list" errorStyle="stop" operator="between">
      <formula1>"Singapore,Taiwan,South Korea,Japan"</formula1>
      <formula2>0</formula2>
    </dataValidation>
    <dataValidation sqref="E5:E204" showDropDown="0" showInputMessage="0" showErrorMessage="0" allowBlank="1" type="list" errorStyle="stop" operator="between">
      <formula1>"Dealer,End user,Named contact,Private specialist,GP clinic"</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1">
    <tabColor rgb="FFC00000"/>
    <outlinePr summaryBelow="1" summaryRight="1"/>
    <pageSetUpPr fitToPage="0"/>
  </sheetPr>
  <dimension ref="A1:S429"/>
  <sheetViews>
    <sheetView showFormulas="0" showGridLines="1"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O5" activeCellId="0" sqref="O5"/>
    </sheetView>
  </sheetViews>
  <sheetFormatPr baseColWidth="8" defaultColWidth="8.66796875" defaultRowHeight="14.25" zeroHeight="0" outlineLevelRow="0"/>
  <cols>
    <col width="4" customWidth="1" style="103" min="1" max="1"/>
    <col width="26" customWidth="1" style="103" min="2" max="2"/>
    <col width="16" customWidth="1" style="103" min="3" max="3"/>
    <col width="30" customWidth="1" style="103" min="4" max="4"/>
    <col width="18" customWidth="1" style="103" min="5" max="6"/>
    <col width="20" customWidth="1" style="103" min="7" max="7"/>
    <col width="22" customWidth="1" style="103" min="8" max="8"/>
    <col width="32" customWidth="1" style="103" min="9" max="9"/>
    <col width="30" customWidth="1" style="103" min="10" max="10"/>
    <col width="7" customWidth="1" style="103" min="11" max="11"/>
    <col width="44" customWidth="1" style="103" min="12" max="12"/>
    <col width="18" customWidth="1" style="103" min="13" max="13"/>
    <col width="52" customWidth="1" style="103" min="14" max="14"/>
    <col width="100" customWidth="1" style="103" min="15" max="15"/>
    <col width="30" customWidth="1" style="103" min="16" max="16"/>
    <col width="26" customWidth="1" style="103" min="17" max="17"/>
    <col width="34" customWidth="1" style="103" min="18" max="18"/>
    <col width="22" customWidth="1" style="103" min="19" max="19"/>
  </cols>
  <sheetData>
    <row r="1" ht="18" customHeight="1" s="104">
      <c r="A1" s="117" t="inlineStr">
        <is>
          <t>Taiwan: Dealer &amp; Channel Targets (424)</t>
        </is>
      </c>
    </row>
    <row r="2" ht="14.25" customHeight="1" s="104">
      <c r="A2" s="118" t="inlineStr">
        <is>
          <t>Dealer model. Green=Tier1 contact first · Amber=Tier2 qualify · Grey=Tier3 long tail · Pink=REF (competitor/subsidiary, not a target). Rows 1–59 are the original researched list; the block below is the TFDA-registry sweep. TIER RULE (v2's own): Tier 1 needs the right segment, scale/service capability, no obvious competing ultrasound line (or a vet-dedicated channel), AND a working domain. Every tier is justified in the 'Priority rationale' column — see the Priority Audit tab for what changed and why.</t>
        </is>
      </c>
    </row>
    <row r="4" ht="25.5" customHeight="1" s="104">
      <c r="A4" s="119" t="inlineStr">
        <is>
          <t>#</t>
        </is>
      </c>
      <c r="B4" s="119" t="inlineStr">
        <is>
          <t>Company</t>
        </is>
      </c>
      <c r="C4" s="119" t="inlineStr">
        <is>
          <t>Pipeline stage</t>
        </is>
      </c>
      <c r="D4" s="119" t="inlineStr">
        <is>
          <t>Segment &amp; expertise</t>
        </is>
      </c>
      <c r="E4" s="119" t="inlineStr">
        <is>
          <t>Carries ultrasound?</t>
        </is>
      </c>
      <c r="F4" s="119" t="inlineStr">
        <is>
          <t>Location</t>
        </is>
      </c>
      <c r="G4" s="119" t="inlineStr">
        <is>
          <t>Website</t>
        </is>
      </c>
      <c r="H4" s="119" t="inlineStr">
        <is>
          <t>Phone / contact</t>
        </is>
      </c>
      <c r="I4" s="119" t="inlineStr">
        <is>
          <t>Fit notes for CHISON</t>
        </is>
      </c>
      <c r="J4" s="119" t="inlineStr">
        <is>
          <t>CHISON product focus</t>
        </is>
      </c>
      <c r="K4" s="119" t="inlineStr">
        <is>
          <t>Tier</t>
        </is>
      </c>
      <c r="L4" s="119" t="inlineStr">
        <is>
          <t>Priority rationale</t>
        </is>
      </c>
      <c r="M4" s="119" t="inlineStr">
        <is>
          <t>Source</t>
        </is>
      </c>
      <c r="N4" s="141" t="inlineStr">
        <is>
          <t>Email Title</t>
        </is>
      </c>
      <c r="O4" s="141" t="inlineStr">
        <is>
          <t>Email Body</t>
        </is>
      </c>
      <c r="P4" s="142" t="inlineStr">
        <is>
          <t>Email</t>
        </is>
      </c>
      <c r="Q4" s="142" t="inlineStr">
        <is>
          <t>CONTACT CONFIDENCE</t>
        </is>
      </c>
      <c r="R4" s="142" t="inlineStr">
        <is>
          <t>Outreach 6 Oct 2026 (Winmail draft)</t>
        </is>
      </c>
      <c r="S4" s="142" t="inlineStr">
        <is>
          <t>Visit shortlist</t>
        </is>
      </c>
    </row>
    <row r="5" ht="39.75" customHeight="1" s="104">
      <c r="A5" s="121" t="n">
        <v>1</v>
      </c>
      <c r="B5" s="143" t="inlineStr">
        <is>
          <t>品約醫療儀器 Pinyork Medical</t>
        </is>
      </c>
      <c r="C5" s="123" t="inlineStr">
        <is>
          <t>Contacted</t>
        </is>
      </c>
      <c r="D5" s="121" t="inlineStr">
        <is>
          <t>Ultrasound sales+service, ECG, spirometry, bone density; new &amp; used</t>
        </is>
      </c>
      <c r="E5" s="121" t="inlineStr">
        <is>
          <t>Yes — Fujifilm/Aloka, Medisono</t>
        </is>
      </c>
      <c r="F5" s="121" t="inlineStr">
        <is>
          <t>Taipei (Neihu)</t>
        </is>
      </c>
      <c r="G5" s="121" t="inlineStr">
        <is>
          <t>pinyork.com.tw</t>
        </is>
      </c>
      <c r="H5" s="121" t="inlineStr">
        <is>
          <t>(02)2791-5535 · service@pinyork.com.tw</t>
        </is>
      </c>
      <c r="I5" s="121" t="inlineStr">
        <is>
          <t>Ultrasound specialist w/ own service team &amp; clinic base; Aloka line aging — openable</t>
        </is>
      </c>
      <c r="J5" s="121" t="inlineStr">
        <is>
          <t>SonoGO (3-in-1) + SonoAir 70 as the Aloka-refresh pitch; SonoEye P3 for their clinic accounts</t>
        </is>
      </c>
      <c r="K5" s="144" t="inlineStr">
        <is>
          <t>1</t>
        </is>
      </c>
      <c r="L5" s="121" t="inlineStr">
        <is>
          <t>Tier 1 UPHELD despite carrying Fujifilm/Aloka + Medisono — Aloka is a legacy platform with an ageing installed base, and Pinyork runs its own service team and clinic base. The conflict IS the opportunity: lead the Aloka-refresh pitch. Verified domain + direct phone.</t>
        </is>
      </c>
      <c r="M5" s="121" t="inlineStr">
        <is>
          <t>Verified site</t>
        </is>
      </c>
      <c r="N5" s="145" t="inlineStr">
        <is>
          <t>Pinyork Medical: CHISON human diagnostic ultrasound for your clinic base</t>
        </is>
      </c>
      <c r="O5" s="108" t="inlineStr">
        <is>
          <t>Dear 品約醫療儀器 Pinyork Medical team,
I am Casper Tan, Senior Regional Sales Manager at AstraMed Healthcare, a subsidiary of CHISON Medical Technologies, and I look after Taiwan. Following my note of 28 September about our veterinary range, I am writing this time about human diagnostic ultrasound, because Pinyork's own sales and service team and its clinic installed base make you one of the best placed ultrasound specialists in Taiwan.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Where much of your installed base runs on ageing Fujifilm and Aloka systems, these are the models I would put forward as the refresh path:
• SonoAir 70: a 2.1 kg laptop with four active probe ports and SonoAI tools such as automatic bladder volume and thyroid and breast nodule measurement
• SonoGo: a 3 in 1 system with a 15.6 inch full touchscreen, laptop portability at 4.8 kg and a trolley for cart level work
• SonoEye P3: a pocket handheld for emergency, ICU and bedside work; SonoEye was rated the top handheld in an independent comparison of nine handheld devices published in Diagnostics (MDPI)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5" s="146" t="inlineStr">
        <is>
          <t>service@pinyork.com.tw</t>
        </is>
      </c>
      <c r="Q5" s="146" t="inlineStr">
        <is>
          <t>A: read on pinyork.com.tw (V12 + Winmail sent 28 Sep)</t>
        </is>
      </c>
      <c r="R5" s="146" t="inlineStr">
        <is>
          <t>Sent 6 Oct 2026 from Winmail with Corporate Brochure 2027</t>
        </is>
      </c>
      <c r="S5" s="146" t="inlineStr">
        <is>
          <t>VISIT 1: Taipei Neihu</t>
        </is>
      </c>
    </row>
    <row r="6" hidden="1" ht="39.75" customHeight="1" s="104">
      <c r="A6" s="121" t="n">
        <v>2</v>
      </c>
      <c r="B6" s="143" t="inlineStr">
        <is>
          <t>巨研科技 GETECH</t>
        </is>
      </c>
      <c r="C6" s="123" t="inlineStr">
        <is>
          <t>Contacted</t>
        </is>
      </c>
      <c r="D6" s="121" t="inlineStr">
        <is>
          <t>Medical + lab equipment; Philips US distributor (human &amp; VET); vet training programs</t>
        </is>
      </c>
      <c r="E6" s="121" t="inlineStr">
        <is>
          <t>Yes — Philips (human+vet)</t>
        </is>
      </c>
      <c r="F6" s="121" t="inlineStr">
        <is>
          <t>Kaohsiung/Taichung/Taipei</t>
        </is>
      </c>
      <c r="G6" s="121" t="inlineStr">
        <is>
          <t>getech.com.tw</t>
        </is>
      </c>
      <c r="H6" s="121" t="inlineStr">
        <is>
          <t>0800-802-206</t>
        </is>
      </c>
      <c r="I6" s="121" t="inlineStr">
        <is>
          <t>Dual human+vet, nationwide, education muscle; Philips conflict to qualify</t>
        </is>
      </c>
      <c r="J6" s="121" t="inlineStr">
        <is>
          <t>VET wedge (no Philips clash): SonoGO vet + SonoEye P3 Vet; human line only if Philips ties loosen</t>
        </is>
      </c>
      <c r="K6" s="147" t="inlineStr">
        <is>
          <t>2</t>
        </is>
      </c>
      <c r="L6" s="121" t="inlineStr">
        <is>
          <t>Tier 2 — carries a line (Yes — Philips (human+vet)) — conflict to qualify · verified domain + direct phone.</t>
        </is>
      </c>
      <c r="M6" s="121" t="inlineStr">
        <is>
          <t>Verified site</t>
        </is>
      </c>
      <c r="N6" s="145" t="inlineStr">
        <is>
          <t>GETECH: CHISON human diagnostic ultrasound, a tier below your premium line</t>
        </is>
      </c>
      <c r="O6" s="108" t="inlineStr">
        <is>
          <t>Dear 巨研科技 GETECH team,
I am Casper Tan, Senior Regional Sales Manager at AstraMed Healthcare, a subsidiary of CHISON Medical Technologies, and I look after Taiwan. Following my note of 28 September about veterinary ultrasound, I am writing about the human diagnostic side, where GETECH's nationwide offices and training programmes stand out.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I know you represent Philips, so I am not proposing a replacement. If your agreement leaves room, these models sit below a premium cart line rather than against it:
• SonoEye P3: a pocket handheld for emergency, ICU and bedside work; SonoEye was rated the top handheld in an independent comparison of nine handheld devices published in Diagnostics (MDPI)
• SonoAir 70: a 2.1 kg laptop with four active probe ports and SonoAI tools such as automatic bladder volume and thyroid and breast nodule measurement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6" s="146" t="inlineStr">
        <is>
          <t>service@getech.com.tw</t>
        </is>
      </c>
      <c r="Q6" s="146" t="inlineStr">
        <is>
          <t>A: read on getech.com.tw 6 Oct</t>
        </is>
      </c>
      <c r="R6" s="146" t="inlineStr">
        <is>
          <t>Sent 6 Oct 2026 from Winmail with Corporate Brochure 2027</t>
        </is>
      </c>
      <c r="S6" s="146" t="inlineStr">
        <is>
          <t>VISIT 8: Kaohsiung</t>
        </is>
      </c>
    </row>
    <row r="7" ht="39.75" customHeight="1" s="104">
      <c r="A7" s="121" t="n">
        <v>3</v>
      </c>
      <c r="B7" s="143" t="inlineStr">
        <is>
          <t>總騰儀器 SOAR Instrument-Tech</t>
        </is>
      </c>
      <c r="C7" s="123" t="inlineStr">
        <is>
          <t>Contacted</t>
        </is>
      </c>
      <c r="D7" s="121" t="inlineStr">
        <is>
          <t>Clinic-opening equipment: US, X-ray, anesthesia, monitors; vet CT line</t>
        </is>
      </c>
      <c r="E7" s="121" t="inlineStr">
        <is>
          <t>Yes — GE US</t>
        </is>
      </c>
      <c r="F7" s="121" t="inlineStr">
        <is>
          <t>Taiwan</t>
        </is>
      </c>
      <c r="G7" s="121" t="inlineStr">
        <is>
          <t>uni-soar.com</t>
        </is>
      </c>
      <c r="H7" s="121" t="inlineStr">
        <is>
          <t>via website</t>
        </is>
      </c>
      <c r="I7" s="121" t="inlineStr">
        <is>
          <t>Clinic-opening channel + vet crossover; GE line non-exclusive? | 6 Oct 2026 check: uni-soar.com lists a GE ultrasound series alongside Fukuda, Dräger and X-ray; GE conflict is live, email opens with the exclusivity question.</t>
        </is>
      </c>
      <c r="J7" s="121" t="inlineStr">
        <is>
          <t>Clinic-opening bundle: SonoEye P3 + EBit 50; SonoGO for premium openings; vet CT cross-sell → EBit 50 Vet</t>
        </is>
      </c>
      <c r="K7" s="144" t="inlineStr">
        <is>
          <t>1</t>
        </is>
      </c>
      <c r="L7" s="121" t="inlineStr">
        <is>
          <t>Tier 1 UPHELD despite carrying GE — the row records the GE line as non-exclusive, and the channel is clinic-opening turnkey bundles, a cost-sensitive buyer where a value-tier brand genuinely wins. Make the GE conflict your first qualifying question. Verified domain.</t>
        </is>
      </c>
      <c r="M7" s="121" t="inlineStr">
        <is>
          <t>From search</t>
        </is>
      </c>
      <c r="N7" s="145" t="inlineStr">
        <is>
          <t>SOAR: CHISON ultrasound for new clinic openings</t>
        </is>
      </c>
      <c r="O7" s="108" t="inlineStr">
        <is>
          <t>Dear 總騰儀器 SOAR team,
I am Casper Tan, Senior Regional Sales Manager at AstraMed Healthcare, a subsidiary of CHISON Medical Technologies, and I look after Taiwan. SOAR positions itself as the clinic founder's partner, from X ray and anaesthesia to monitors and the OR, and ultrasound is part of almost every new clinic you equip.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I know you carry GE ultrasound, so my first question is whether that agreement is exclusive. If it is not, these are the models I would offer as an entry tier for openings on a tighter budget:
• SonoEye P3: a pocket handheld for emergency, ICU and bedside work; SonoEye was rated the top handheld in an independent comparison of nine handheld devices published in Diagnostics (MDPI)
• SonoAir 70: a 2.1 kg laptop with four active probe ports and SonoAI tools such as automatic bladder volume and thyroid and breast nodule measurement
• SonoGo: a 3 in 1 system with a 15.6 inch full touchscreen, laptop portability at 4.8 kg and a trolley for cart level work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7" s="146" t="inlineStr">
        <is>
          <t>soar.jimmy@gmail.com</t>
        </is>
      </c>
      <c r="Q7" s="146" t="inlineStr">
        <is>
          <t>A: read on uni-soar.com contact page 6 Oct</t>
        </is>
      </c>
      <c r="R7" s="146" t="inlineStr">
        <is>
          <t>Sent 6 Oct 2026 from Winmail with Corporate Brochure 2027</t>
        </is>
      </c>
      <c r="S7" s="146" t="inlineStr">
        <is>
          <t>VISIT 4: New Taipei Xizhi</t>
        </is>
      </c>
    </row>
    <row r="8" ht="39.75" customHeight="1" s="104">
      <c r="A8" s="121" t="n">
        <v>4</v>
      </c>
      <c r="B8" s="143" t="inlineStr">
        <is>
          <t>杏恩醫療儀器 Shinn Medical</t>
        </is>
      </c>
      <c r="C8" s="123" t="inlineStr">
        <is>
          <t>Contacted</t>
        </is>
      </c>
      <c r="D8" s="121" t="inlineStr">
        <is>
          <t>Devices, equipment, consumables; agent for DE/UK brands</t>
        </is>
      </c>
      <c r="E8" s="121" t="inlineStr">
        <is>
          <t>Unknown</t>
        </is>
      </c>
      <c r="F8" s="121" t="inlineStr">
        <is>
          <t>Taiwan</t>
        </is>
      </c>
      <c r="G8" s="121" t="inlineStr">
        <is>
          <t>shinn.com.tw</t>
        </is>
      </c>
      <c r="H8" s="121" t="inlineStr">
        <is>
          <t>via website</t>
        </is>
      </c>
      <c r="I8" s="121" t="inlineStr">
        <is>
          <t>Broad importer incl. X-ray, monitors, OR items — no visible US brand</t>
        </is>
      </c>
      <c r="J8" s="121" t="inlineStr">
        <is>
          <t>SonoMax 7 + SonoPort for radiology; XBit 90 premium rooms</t>
        </is>
      </c>
      <c r="K8" s="144" t="inlineStr">
        <is>
          <t>1</t>
        </is>
      </c>
      <c r="L8" s="121" t="inlineStr">
        <is>
          <t>Tier 1 — line card unqualified — ask first · verified domain.</t>
        </is>
      </c>
      <c r="M8" s="121" t="inlineStr">
        <is>
          <t>From search</t>
        </is>
      </c>
      <c r="N8" s="145" t="inlineStr">
        <is>
          <t>Shinn Medical: adding ultrasound to your imaging and OR line card</t>
        </is>
      </c>
      <c r="O8" s="108" t="inlineStr">
        <is>
          <t>Dear 杏恩醫療儀器 Shinn Medical team,
I am Casper Tan, Senior Regional Sales Manager at AstraMed Healthcare, a subsidiary of CHISON Medical Technologies, and I look after Taiwan. Shinn already imports X ray, monitoring and OR equipment from European brands, and I could not find an ultrasound system on your line card, which is why I am writing.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a radiology and hospital channel without an ultrasound line today, these are the models I would start with:
• SonoPort: a cart that folds to 1 m high and weighs about 53 kg, with a 23.8 inch monitor, a 15.6 inch touchscreen and about 3 hours of scanning on battery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8" s="146" t="inlineStr">
        <is>
          <t>28262556serv@gmail.com</t>
        </is>
      </c>
      <c r="Q8" s="146" t="inlineStr">
        <is>
          <t>A: read on shinn.com.tw 6 Oct</t>
        </is>
      </c>
      <c r="R8" s="146" t="inlineStr">
        <is>
          <t>Sent 6 Oct 2026 from Winmail with Corporate Brochure 2027</t>
        </is>
      </c>
      <c r="S8" s="146" t="inlineStr">
        <is>
          <t>VISIT 3: Taipei</t>
        </is>
      </c>
    </row>
    <row r="9" hidden="1" ht="39.75" customHeight="1" s="104">
      <c r="A9" s="121" t="n">
        <v>5</v>
      </c>
      <c r="B9" s="143" t="inlineStr">
        <is>
          <t>派瑞勒生醫 Petrichor Biomed</t>
        </is>
      </c>
      <c r="C9" s="123" t="inlineStr">
        <is>
          <t>Not started</t>
        </is>
      </c>
      <c r="D9" s="121" t="inlineStr">
        <is>
          <t>Handheld/wireless US &amp; imaging distributor</t>
        </is>
      </c>
      <c r="E9" s="121" t="inlineStr">
        <is>
          <t>Yes — ASUS handheld, Konica</t>
        </is>
      </c>
      <c r="F9" s="121" t="inlineStr">
        <is>
          <t>Taiwan</t>
        </is>
      </c>
      <c r="G9" s="121" t="inlineStr">
        <is>
          <t>ptpetrichor.com.tw</t>
        </is>
      </c>
      <c r="H9" s="121" t="inlineStr">
        <is>
          <t>via website</t>
        </is>
      </c>
      <c r="I9" s="121" t="inlineStr">
        <is>
          <t>POCUS-native channel; ASUS conflict to qualify | 6 Oct 2026 check: domain ptpetrichor.com.tw redirects to a different company (倍可有限公司 Bei Ke Medcare). Not emailed. Bei Ke Medcare is now its own row (#424).</t>
        </is>
      </c>
      <c r="J9" s="121" t="inlineStr">
        <is>
          <t>SonoMax 7 + SonoPort for radiology; XBit 90 premium rooms</t>
        </is>
      </c>
      <c r="K9" s="147" t="inlineStr">
        <is>
          <t>2</t>
        </is>
      </c>
      <c r="L9" s="121" t="inlineStr">
        <is>
          <t>Tier 2 — carries a line (Yes — ASUS handheld, Konica) — conflict to qualify · verified domain.</t>
        </is>
      </c>
      <c r="M9" s="121" t="inlineStr">
        <is>
          <t>From search</t>
        </is>
      </c>
      <c r="N9" s="145" t="inlineStr">
        <is>
          <t>CHISON ultrasound for 派瑞勒生醫 Petrichor Biomed: a line-card addition, with TFDA handled by us</t>
        </is>
      </c>
      <c r="O9" s="108" t="inlineStr">
        <is>
          <t>Dear 派瑞勒生醫 Petrichor Biomed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Handheld/wireless ultrasound &amp; imaging distributor. You will therefore assess a new line faster than most, and on the criteria that actually matter: image quality, probe life and service turnaround.
Where CHISON fits your portfolio: you already sell ultrasound, so this is a second-brand question rather than a new-category question. CHISON is priced to win the accounts your current line is too expensive for:
• SonoMax 7: the flagship cart, carrying a full radiology, obstetric and cardiac workload
• SonoPort: our new-generation intelligent cart, launched April 2026
• XBit 90: premium cart for departments that want high-end imaging without a high-end budget
That gives you a focused cart offer. If you let me know which brand you carry today, I will show you exactly where CHISON sits against it rather than take up your time on a general presentation.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9" s="146" t="n"/>
      <c r="Q9" s="146" t="inlineStr">
        <is>
          <t>NOT CONFIRMED: ptpetrichor.com.tw now redirects to 倍可有限公司 Bei Ke Medcare (beikemd.com.tw, BKMD@beikemd.com). Verify which company trades before contacting</t>
        </is>
      </c>
      <c r="R9" s="146" t="n"/>
      <c r="S9" s="146" t="n"/>
    </row>
    <row r="10" hidden="1" ht="39.75" customHeight="1" s="104">
      <c r="A10" s="121" t="n">
        <v>6</v>
      </c>
      <c r="B10" s="143" t="inlineStr">
        <is>
          <t>安泰醫療儀器 Ontai Medical</t>
        </is>
      </c>
      <c r="C10" s="123" t="inlineStr">
        <is>
          <t>Contacted</t>
        </is>
      </c>
      <c r="D10" s="121" t="inlineStr">
        <is>
          <t>US + rehab/therapy devices</t>
        </is>
      </c>
      <c r="E10" s="121" t="inlineStr">
        <is>
          <t>Yes — therapy US</t>
        </is>
      </c>
      <c r="F10" s="121" t="inlineStr">
        <is>
          <t>Taiwan</t>
        </is>
      </c>
      <c r="G10" s="121" t="inlineStr">
        <is>
          <t>ontai.com.tw</t>
        </is>
      </c>
      <c r="H10" s="121" t="inlineStr">
        <is>
          <t>via website</t>
        </is>
      </c>
      <c r="I10" s="121" t="inlineStr">
        <is>
          <t>MSK/rehab niche for portable</t>
        </is>
      </c>
      <c r="J10" s="121" t="inlineStr">
        <is>
          <t>Lead SonoGO (new 3-in-1) + SonoEye vs incumbent line; SonoAir 70 premium portable</t>
        </is>
      </c>
      <c r="K10" s="148" t="inlineStr">
        <is>
          <t>3</t>
        </is>
      </c>
      <c r="L10" s="121" t="inlineStr">
        <is>
          <t>Tier 3 — carries a line (Yes — therapy US) — conflict to qualify · verified domain.</t>
        </is>
      </c>
      <c r="M10" s="121" t="inlineStr">
        <is>
          <t>From search</t>
        </is>
      </c>
      <c r="N10" s="145" t="inlineStr">
        <is>
          <t>Ontai Medical: CHISON ultrasound for MSK and rehabilitation clinics</t>
        </is>
      </c>
      <c r="O10" s="108" t="inlineStr">
        <is>
          <t>Dear 安泰醫療儀器 Ontai Medical team,
I am Casper Tan, Senior Regional Sales Manager at AstraMed Healthcare, a subsidiary of CHISON Medical Technologies, and I look after Taiwan. Ontai serves rehabilitation and therapy clinics, where diagnostic ultrasound for tendons, joints and guided injections is now part of everyday work.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MSK and rehabilitation customers, these are the models I would suggest:
• SonoEye P5: a phone paired handheld with high frequency imaging for MSK, vascular access and small parts
• SonoAir 70: a 2.1 kg laptop with four active probe ports and SonoAI tools such as automatic bladder volume and thyroid and breast nodule measurement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0" s="146" t="inlineStr">
        <is>
          <t>ontaisys@gmail.com</t>
        </is>
      </c>
      <c r="Q10" s="146" t="inlineStr">
        <is>
          <t>A: read on ontai.com.tw 6 Oct</t>
        </is>
      </c>
      <c r="R10" s="146" t="inlineStr">
        <is>
          <t>Sent 6 Oct 2026 from Winmail with Corporate Brochure 2027</t>
        </is>
      </c>
      <c r="S10" s="146" t="n"/>
    </row>
    <row r="11" hidden="1" ht="39.75" customHeight="1" s="104">
      <c r="A11" s="121" t="n">
        <v>7</v>
      </c>
      <c r="B11" s="143" t="inlineStr">
        <is>
          <t>京華超音波 KSonic</t>
        </is>
      </c>
      <c r="C11" s="123" t="inlineStr">
        <is>
          <t>Not started</t>
        </is>
      </c>
      <c r="D11" s="121" t="inlineStr">
        <is>
          <t>Therapeutic ultrasound devices</t>
        </is>
      </c>
      <c r="E11" s="121" t="inlineStr">
        <is>
          <t>Yes — therapy only</t>
        </is>
      </c>
      <c r="F11" s="121" t="inlineStr">
        <is>
          <t>Taiwan</t>
        </is>
      </c>
      <c r="G11" s="121" t="inlineStr">
        <is>
          <t>ksonic.com.tw</t>
        </is>
      </c>
      <c r="H11" s="121" t="inlineStr">
        <is>
          <t>via website</t>
        </is>
      </c>
      <c r="I11" s="121" t="inlineStr">
        <is>
          <t>Physio channel; diagnostic US = new line for them</t>
        </is>
      </c>
      <c r="J11" s="121" t="inlineStr">
        <is>
          <t>Lead SonoGO (new 3-in-1) + SonoEye vs incumbent line; SonoAir 70 premium portable</t>
        </is>
      </c>
      <c r="K11" s="148" t="inlineStr">
        <is>
          <t>3</t>
        </is>
      </c>
      <c r="L11" s="121" t="inlineStr">
        <is>
          <t>Tier 3 — carries a line (Yes — therapy only) — conflict to qualify · verified domain.</t>
        </is>
      </c>
      <c r="M11" s="121" t="inlineStr">
        <is>
          <t>From search</t>
        </is>
      </c>
      <c r="N11" s="145" t="inlineStr">
        <is>
          <t>General-imaging ultrasound alongside your current line: CHISON for 京華超音波 KSonic</t>
        </is>
      </c>
      <c r="O11" s="108" t="inlineStr">
        <is>
          <t>Dear 京華超音波 KSonic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Therapeutic ultrasound devices.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SonoGO: launched July 2026, the first 3-in-1 platform, working as tablet, laptop and trolley in one system with SonoAI on board
• SonoEye: pocket handheld for bedside point-of-care scanning
• SonoAir 70: the lightest laptop scanner in its class
None of it competes with what you already represent. It simply allows you to quote a second system into an account you have already won, with two portable formats at two very different budgets.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1" s="146" t="n"/>
      <c r="Q11" s="146" t="n"/>
      <c r="R11" s="146" t="n"/>
      <c r="S11" s="146" t="n"/>
    </row>
    <row r="12" hidden="1" ht="39.75" customHeight="1" s="104">
      <c r="A12" s="121" t="n">
        <v>8</v>
      </c>
      <c r="B12" s="122" t="inlineStr">
        <is>
          <t>Broadsound Corporation</t>
        </is>
      </c>
      <c r="C12" s="123" t="inlineStr">
        <is>
          <t>Contacted</t>
        </is>
      </c>
      <c r="D12" s="121" t="inlineStr">
        <is>
          <t>US transducers &amp; imaging (ITRI spin-off); 90+ country export</t>
        </is>
      </c>
      <c r="E12" s="121" t="inlineStr">
        <is>
          <t>Yes — own probes</t>
        </is>
      </c>
      <c r="F12" s="121" t="inlineStr">
        <is>
          <t>Hsinchu</t>
        </is>
      </c>
      <c r="G12" s="121" t="inlineStr">
        <is>
          <t>broadsound.com.tw</t>
        </is>
      </c>
      <c r="H12" s="121" t="inlineStr">
        <is>
          <t>via website</t>
        </is>
      </c>
      <c r="I12" s="121" t="inlineStr">
        <is>
          <t>Probe/service partner rather than clinic dealer</t>
        </is>
      </c>
      <c r="J12" s="121" t="inlineStr">
        <is>
          <t>SonoMax 7 + SonoPort for radiology; XBit 90 premium rooms</t>
        </is>
      </c>
      <c r="K12" s="148" t="inlineStr">
        <is>
          <t>3</t>
        </is>
      </c>
      <c r="L12" s="121" t="inlineStr">
        <is>
          <t>Tier 3 — carries a line (Yes — own probes) — conflict to qualify · verified domain.</t>
        </is>
      </c>
      <c r="M12" s="121" t="inlineStr">
        <is>
          <t>From search</t>
        </is>
      </c>
      <c r="N12" s="145" t="inlineStr">
        <is>
          <t>CHISON ultrasound for Broadsound Corporation: a line-card addition, with TFDA handled by us</t>
        </is>
      </c>
      <c r="O12" s="108" t="inlineStr">
        <is>
          <t>Dear Broadsound Corporation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ultrasound transducers &amp; imaging (ITRI spin-off), 90 and country export. You will therefore assess a new line faster than most, and on the criteria that actually matter: image quality, probe life and service turnaround.
Where CHISON fits your portfolio: you already sell ultrasound, so this is a second-brand question rather than a new-category question. CHISON is priced to win the accounts your current line is too expensive for:
• SonoMax 7: the flagship cart, carrying a full radiology, obstetric and cardiac workload
• SonoPort: our new-generation intelligent cart, launched April 2026
• XBit 90: premium cart for departments that want high-end imaging without a high-end budget
That gives you a focused cart offer. If you let me know which brand you carry today, I will show you exactly where CHISON sits against it rather than take up your time on a general presentation.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2" s="108" t="inlineStr">
        <is>
          <t>info@broadsound.com.tw</t>
        </is>
      </c>
      <c r="Q12" s="108" t="inlineStr">
        <is>
          <t>A: read on broadsound.com.tw 6 Oct</t>
        </is>
      </c>
      <c r="R12" s="108" t="inlineStr">
        <is>
          <t>Batch draft 1 of 3 (Send separately) sent 6 Oct 2026</t>
        </is>
      </c>
      <c r="S12" s="108" t="n"/>
    </row>
    <row r="13" ht="39.75" customHeight="1" s="104">
      <c r="A13" s="121" t="n">
        <v>9</v>
      </c>
      <c r="B13" s="143" t="inlineStr">
        <is>
          <t>台灣大昌華嘉 DKSH Taiwan</t>
        </is>
      </c>
      <c r="C13" s="123" t="inlineStr">
        <is>
          <t>Not started</t>
        </is>
      </c>
      <c r="D13" s="121" t="inlineStr">
        <is>
          <t>Market expansion giant — healthcare devices distribution (347 TFDA records / 40 foreign mfrs)</t>
        </is>
      </c>
      <c r="E13" s="121" t="inlineStr">
        <is>
          <t>Portfolio varies</t>
        </is>
      </c>
      <c r="F13" s="121" t="inlineStr">
        <is>
          <t>Taipei</t>
        </is>
      </c>
      <c r="G13" s="121" t="inlineStr">
        <is>
          <t>dksh.com</t>
        </is>
      </c>
      <c r="H13" s="121" t="inlineStr">
        <is>
          <t>via website</t>
        </is>
      </c>
      <c r="I13" s="121" t="inlineStr">
        <is>
          <t>Full-service market entry incl. regulatory + salesforce; premium cost</t>
        </is>
      </c>
      <c r="J13" s="121" t="inlineStr">
        <is>
          <t>Registration scope: SonoEye P3/P5 + SonoBook 9 + SonoMax 7 first</t>
        </is>
      </c>
      <c r="K13" s="144" t="inlineStr">
        <is>
          <t>1</t>
        </is>
      </c>
      <c r="L13" s="121" t="inlineStr">
        <is>
          <t>Tier 1 — line card unqualified — ask first · verified domain.</t>
        </is>
      </c>
      <c r="M13" s="121" t="inlineStr">
        <is>
          <t>Directory (TFDA)</t>
        </is>
      </c>
      <c r="N13" s="145" t="inlineStr">
        <is>
          <t>A full ultrasound ladder for 台灣大昌華嘉 DKSH Taiwan: CHISON distribution in Taiwan</t>
        </is>
      </c>
      <c r="O13" s="108" t="inlineStr">
        <is>
          <t>Dear 台灣大昌華嘉 DKSH Taiwan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the model foreign manufacturers turn to when they want a market entered properly rather than cheaply: Market expansion giant, healthcare devices distribution. That is exactly what we are looking for here.
Where CHISON fits your portfolio: this is a full ladder rather than a single product, which suits a house that carries whole categories:
• SonoEye P3: pocket handheld for emergency, intensive care and bedside point-of-care scanning
• SonoBook 9: the workhorse laptop and our volume seller across Asia
• SonoMax 7: the flagship cart, carrying a full radiology, obstetric and cardiac workload
One principal agreement then covers the tender, the departmental purchase and the clinic purchase, giving you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3" s="146" t="n"/>
      <c r="Q13" s="146" t="inlineStr">
        <is>
          <t>Not published: enquiry route via dksh.com/tw-zh-Hant/home/healthcare/direct-contact-hec</t>
        </is>
      </c>
      <c r="R13" s="146" t="n"/>
      <c r="S13" s="146" t="inlineStr">
        <is>
          <t>VISIT 5: Taipei (form first)</t>
        </is>
      </c>
    </row>
    <row r="14" hidden="1" ht="39.75" customHeight="1" s="104">
      <c r="A14" s="121" t="n">
        <v>10</v>
      </c>
      <c r="B14" s="143" t="inlineStr">
        <is>
          <t>元利儀器 Yuan Li Instruments · TFDA reg. name: 元利儀器股份有限公司</t>
        </is>
      </c>
      <c r="C14" s="123" t="inlineStr">
        <is>
          <t>Not started</t>
        </is>
      </c>
      <c r="D14" s="121" t="inlineStr">
        <is>
          <t>Olympus Taiwan agent since 1970 — industrial/scientific &amp; medical optics; 389 TFDA records · TFDA registry: Olympus-linked imaging/endoscopy distributor (Shirakawa Olympus JP)</t>
        </is>
      </c>
      <c r="E14" s="121" t="inlineStr">
        <is>
          <t>No known US line · TFDA registry: Olympus (Japan) — endoscopic ultrasound &amp; imaging systems</t>
        </is>
      </c>
      <c r="F14" s="121" t="inlineStr">
        <is>
          <t>Taipei · registered addr: 臺北市內湖區陽光街365巷39號6樓</t>
        </is>
      </c>
      <c r="G14" s="121" t="inlineStr">
        <is>
          <t>yuanli.com.tw · No website found — verify</t>
        </is>
      </c>
      <c r="H14" s="121" t="inlineStr">
        <is>
          <t>via website · Not verified — see registered address</t>
        </is>
      </c>
      <c r="I14" s="121" t="inlineStr">
        <is>
          <t>Large importer but core is industrial Olympus — qualify medical-division appetite first | 6 Oct 2026 check: yuanli.com.tw is a microscopy and industrial instrument supplier (元佑集團); human ultrasound fit is weak.</t>
        </is>
      </c>
      <c r="J14" s="121" t="inlineStr">
        <is>
          <t>Open with SonoEye P3 + SonoBook 9; add QBit 5/CBit 4 carts once service is set up</t>
        </is>
      </c>
      <c r="K14" s="147" t="inlineStr">
        <is>
          <t>2</t>
        </is>
      </c>
      <c r="L14" s="121" t="inlineStr">
        <is>
          <t>Tier 2 — carries a line (No known US line · TFDA registry: Olympus (Jap) — conflict to qualify · verified domain.</t>
        </is>
      </c>
      <c r="M14" s="121" t="inlineStr">
        <is>
          <t>Directory (TFDA) + site · TFDA registry (v2 relevance review)</t>
        </is>
      </c>
      <c r="N14" s="145" t="inlineStr">
        <is>
          <t>Adding an ultrasound line to 元利儀器 Yuan Li Instruments: CHISON SonoEye P3 and SonoBook 9</t>
        </is>
      </c>
      <c r="O14" s="108" t="inlineStr">
        <is>
          <t>Dear 元利儀器 Yuan Li Instruments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What you already have is the part we cannot build for ourselves: Olympus Taiwan agent since 1970, industrial/scientific &amp; medical optics.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and it adds an imaging modality to your line card without touching a single brand you currently represent.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4" s="146" t="n"/>
      <c r="Q14" s="146" t="inlineStr">
        <is>
          <t>Not published: form at yuanli.com.tw/contact · (02)8751-2222. Note: site is microscopy/industrial, not medical</t>
        </is>
      </c>
      <c r="R14" s="146" t="n"/>
      <c r="S14" s="146" t="n"/>
    </row>
    <row r="15" hidden="1" ht="39.75" customHeight="1" s="104">
      <c r="A15" s="121" t="n">
        <v>11</v>
      </c>
      <c r="B15" s="143" t="inlineStr">
        <is>
          <t>科林儀器 Clinico Instruments · TFDA reg. name: 科林儀器股份有限公司</t>
        </is>
      </c>
      <c r="C15" s="123" t="inlineStr">
        <is>
          <t>Not started</t>
        </is>
      </c>
      <c r="D15" s="121" t="inlineStr">
        <is>
          <t>Large importer (156 rec / 73 mfrs); Clinico group known in hearing &amp; medical devices · TFDA registry: Distributor for Optikon 2000 (IT) — ophthalmic ultrasound biometry</t>
        </is>
      </c>
      <c r="E15" s="121" t="inlineStr">
        <is>
          <t>Optikon — ophthalmology-only</t>
        </is>
      </c>
      <c r="F15" s="121" t="inlineStr">
        <is>
          <t>Taipei · registered addr: 新北市中和區中和路366號12樓之3</t>
        </is>
      </c>
      <c r="G15" s="121" t="inlineStr">
        <is>
          <t>No website found — verify</t>
        </is>
      </c>
      <c r="H15" s="121" t="inlineStr">
        <is>
          <t>via website · Not verified — see registered address</t>
        </is>
      </c>
      <c r="I15" s="121" t="inlineStr">
        <is>
          <t>73 foreign principals = proven multi-brand machine</t>
        </is>
      </c>
      <c r="J15" s="121" t="inlineStr">
        <is>
          <t>Open with SonoEye P3 + SonoBook 9; add QBit 5/CBit 4 carts once service is set up</t>
        </is>
      </c>
      <c r="K15" s="147" t="inlineStr">
        <is>
          <t>2</t>
        </is>
      </c>
      <c r="L15" s="121" t="inlineStr">
        <is>
          <t>Tier 2 — carries a line (Optikon — ophthalmology-only) — conflict to qualify · no verified domain.</t>
        </is>
      </c>
      <c r="M15" s="121" t="inlineStr">
        <is>
          <t>Directory (TFDA) · TFDA registry (v2 relevance review)</t>
        </is>
      </c>
      <c r="N15" s="145" t="inlineStr">
        <is>
          <t>General-imaging ultrasound alongside your current line: CHISON for 科林儀器 Clinico Instruments</t>
        </is>
      </c>
      <c r="O15" s="108" t="inlineStr">
        <is>
          <t>Dear 科林儀器 Clinico Instruments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Large importer, Clinico group known in hearing &amp; medical devices.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QBit 5: the value console that wins tenders on price-per-exam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5" s="146" t="n"/>
      <c r="Q15" s="146" t="n"/>
      <c r="R15" s="146" t="n"/>
      <c r="S15" s="146" t="n"/>
    </row>
    <row r="16" hidden="1" ht="39.75" customHeight="1" s="104">
      <c r="A16" s="121" t="n">
        <v>12</v>
      </c>
      <c r="B16" s="143" t="inlineStr">
        <is>
          <t>湧傑企業 Yung Chieh Enterprise</t>
        </is>
      </c>
      <c r="C16" s="123" t="inlineStr">
        <is>
          <t>Not started</t>
        </is>
      </c>
      <c r="D16" s="121" t="inlineStr">
        <is>
          <t>Multi-brand medical device importer — official registry shows 185 product registrations / 71 foreign foreign brands represented</t>
        </is>
      </c>
      <c r="E16" s="121" t="inlineStr">
        <is>
          <t>Unknown</t>
        </is>
      </c>
      <c r="F16" s="121" t="inlineStr">
        <is>
          <t>Taiwan</t>
        </is>
      </c>
      <c r="G16" s="121" t="inlineStr">
        <is>
          <t>search: 湧傑企業</t>
        </is>
      </c>
      <c r="H16" s="121" t="inlineStr">
        <is>
          <t>via website</t>
        </is>
      </c>
      <c r="I16" s="121" t="inlineStr">
        <is>
          <t>Very broad principal base; qualify segments</t>
        </is>
      </c>
      <c r="J16" s="121" t="inlineStr">
        <is>
          <t>Open with SonoEye P3 + SonoBook 9; add QBit 5/CBit 4 carts once service is set up</t>
        </is>
      </c>
      <c r="K16" s="147" t="inlineStr">
        <is>
          <t>2</t>
        </is>
      </c>
      <c r="L16" s="121" t="inlineStr">
        <is>
          <t>Tier 2 — line card unqualified — ask first · no verified domain.</t>
        </is>
      </c>
      <c r="M16" s="121" t="inlineStr">
        <is>
          <t>Directory (TFDA)</t>
        </is>
      </c>
      <c r="N16" s="145" t="inlineStr">
        <is>
          <t>CHISON ultrasound for 湧傑企業 Yung Chieh Enterprise: a line-card addition, with TFDA handled by us</t>
        </is>
      </c>
      <c r="O16" s="108" t="inlineStr">
        <is>
          <t>Dear 湧傑企業 Yung Chieh Enterprise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6" s="146" t="n"/>
      <c r="Q16" s="146" t="n"/>
      <c r="R16" s="146" t="n"/>
      <c r="S16" s="146" t="n"/>
    </row>
    <row r="17" hidden="1" ht="39.75" customHeight="1" s="104">
      <c r="A17" s="121" t="n">
        <v>13</v>
      </c>
      <c r="B17" s="143" t="inlineStr">
        <is>
          <t>東艾貿易 Dong Ai Trading</t>
        </is>
      </c>
      <c r="C17" s="123" t="inlineStr">
        <is>
          <t>Not started</t>
        </is>
      </c>
      <c r="D17" s="121" t="inlineStr">
        <is>
          <t>Multi-brand medical device importer — official registry shows 131 product registrations / 62 foreign brands represented</t>
        </is>
      </c>
      <c r="E17" s="121" t="inlineStr">
        <is>
          <t>Unknown</t>
        </is>
      </c>
      <c r="F17" s="121" t="inlineStr">
        <is>
          <t>Taiwan</t>
        </is>
      </c>
      <c r="G17" s="121" t="inlineStr">
        <is>
          <t>search: 東艾貿易</t>
        </is>
      </c>
      <c r="H17" s="121" t="inlineStr">
        <is>
          <t>via website</t>
        </is>
      </c>
      <c r="I17" s="121" t="inlineStr">
        <is>
          <t>Multi-brand importer; qualify</t>
        </is>
      </c>
      <c r="J17" s="121" t="inlineStr">
        <is>
          <t>Open with SonoEye P3 + SonoBook 9; add QBit 5/CBit 4 carts once service is set up</t>
        </is>
      </c>
      <c r="K17" s="147" t="inlineStr">
        <is>
          <t>2</t>
        </is>
      </c>
      <c r="L17" s="121" t="inlineStr">
        <is>
          <t>Tier 2 — line card unqualified — ask first · no verified domain.</t>
        </is>
      </c>
      <c r="M17" s="121" t="inlineStr">
        <is>
          <t>Directory (TFDA)</t>
        </is>
      </c>
      <c r="N17" s="145" t="inlineStr">
        <is>
          <t>CHISON ultrasound for 東艾貿易 Dong Ai Trading: a line-card addition, with TFDA handled by us</t>
        </is>
      </c>
      <c r="O17" s="108" t="inlineStr">
        <is>
          <t>Dear 東艾貿易 Dong Ai Trading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7" s="146" t="n"/>
      <c r="Q17" s="146" t="n"/>
      <c r="R17" s="146" t="n"/>
      <c r="S17" s="146" t="n"/>
    </row>
    <row r="18" ht="39.75" customHeight="1" s="104">
      <c r="A18" s="121" t="n">
        <v>14</v>
      </c>
      <c r="B18" s="143" t="inlineStr">
        <is>
          <t>久和醫療儀器 ChiuHo Medical (CHC group)</t>
        </is>
      </c>
      <c r="C18" s="123" t="inlineStr">
        <is>
          <t>Contacted</t>
        </is>
      </c>
      <c r="D18" s="121" t="inlineStr">
        <is>
          <t>CHC 承業生醫 subsidiary (est. 2000) — radiology, imaging, surgical, ENT, dental equipment; 109 TFDA rec / 56 mfrs</t>
        </is>
      </c>
      <c r="E18" s="121" t="inlineStr">
        <is>
          <t>No known US line</t>
        </is>
      </c>
      <c r="F18" s="121" t="inlineStr">
        <is>
          <t>Taipei</t>
        </is>
      </c>
      <c r="G18" s="121" t="inlineStr">
        <is>
          <t>chiuhomed.com</t>
        </is>
      </c>
      <c r="H18" s="121" t="inlineStr">
        <is>
          <t>via website</t>
        </is>
      </c>
      <c r="I18" s="121" t="inlineStr">
        <is>
          <t>Operating arm of CHC imaging group — one intro covers holding + subsidiary</t>
        </is>
      </c>
      <c r="J18" s="121" t="inlineStr">
        <is>
          <t>SonoEye P5 niche only (low fit)</t>
        </is>
      </c>
      <c r="K18" s="144" t="inlineStr">
        <is>
          <t>1</t>
        </is>
      </c>
      <c r="L18" s="121" t="inlineStr">
        <is>
          <t>Tier 1 — no competing ultrasound line · verified domain.</t>
        </is>
      </c>
      <c r="M18" s="121" t="inlineStr">
        <is>
          <t>Directory (TFDA) + site</t>
        </is>
      </c>
      <c r="N18" s="145" t="inlineStr">
        <is>
          <t>CHC Healthcare Group and ChiuHo Medical: an ultrasound line for your imaging channel</t>
        </is>
      </c>
      <c r="O18" s="108" t="inlineStr">
        <is>
          <t>Dear 承業生醫 CHC Healthcare Group and 久和醫療儀器 ChiuHo Medical team,
I am Casper Tan, Senior Regional Sales Manager at AstraMed Healthcare, a subsidiary of CHISON Medical Technologies, and I look after Taiwan. CHC and ChiuHo cover radiation oncology, medical imaging, neurology and surgery for Taiwan's hospitals with more than 30 international brands, yet ultrasound is not among them. I am writing to the group once rather than to each company; please let me know which entity should own the conversation.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imaging departments and the OR, these are the models I would put forward:
• SonoMax 9: our flagship cart for radiology and women's imaging departments
• SonoPort: a cart that folds to 1 m high and weighs about 53 kg, with a 23.8 inch monitor, a 15.6 inch touchscreen and about 3 hours of scanning on battery
• SonoEye P3: a pocket handheld for emergency, ICU and bedside work; SonoEye was rated the top handheld in an independent comparison of nine handheld devices published in Diagnostics (MDPI)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8" s="146" t="inlineStr">
        <is>
          <t>Sales.Rt@chcg.com; Sales.Ns@chcg.com</t>
        </is>
      </c>
      <c r="Q18" s="146" t="inlineStr">
        <is>
          <t>A: read on chiuhomed.com/contact 6 Oct (CHC group mailboxes)</t>
        </is>
      </c>
      <c r="R18" s="146" t="inlineStr">
        <is>
          <t>Sent 6 Oct 2026 from Winmail with Corporate Brochure 2027</t>
        </is>
      </c>
      <c r="S18" s="146" t="inlineStr">
        <is>
          <t>VISIT 2: Taipei Neihu (with CHC #27)</t>
        </is>
      </c>
    </row>
    <row r="19" hidden="1" ht="39.75" customHeight="1" s="104">
      <c r="A19" s="121" t="n">
        <v>15</v>
      </c>
      <c r="B19" s="143" t="inlineStr">
        <is>
          <t>新雅貿易 Hsin Ya Trading</t>
        </is>
      </c>
      <c r="C19" s="123" t="inlineStr">
        <is>
          <t>Not started</t>
        </is>
      </c>
      <c r="D19" s="121" t="inlineStr">
        <is>
          <t>Multi-brand medical device importer — official registry shows 118 product registrations / 58 foreign brands represented</t>
        </is>
      </c>
      <c r="E19" s="121" t="inlineStr">
        <is>
          <t>Unknown</t>
        </is>
      </c>
      <c r="F19" s="121" t="inlineStr">
        <is>
          <t>Taiwan</t>
        </is>
      </c>
      <c r="G19" s="121" t="inlineStr">
        <is>
          <t>search: 新雅貿易</t>
        </is>
      </c>
      <c r="H19" s="121" t="inlineStr">
        <is>
          <t>via website</t>
        </is>
      </c>
      <c r="I19" s="121" t="inlineStr">
        <is>
          <t>Multi-brand importer; qualify</t>
        </is>
      </c>
      <c r="J19" s="121" t="inlineStr">
        <is>
          <t>Open with SonoEye P3 + SonoBook 9; add QBit 5/CBit 4 carts once service is set up</t>
        </is>
      </c>
      <c r="K19" s="147" t="inlineStr">
        <is>
          <t>2</t>
        </is>
      </c>
      <c r="L19" s="121" t="inlineStr">
        <is>
          <t>Tier 2 — line card unqualified — ask first · no verified domain.</t>
        </is>
      </c>
      <c r="M19" s="121" t="inlineStr">
        <is>
          <t>Directory (TFDA)</t>
        </is>
      </c>
      <c r="N19" s="145" t="inlineStr">
        <is>
          <t>CHISON ultrasound for 新雅貿易 Hsin Ya Trading: a line-card addition, with TFDA handled by us</t>
        </is>
      </c>
      <c r="O19" s="108" t="inlineStr">
        <is>
          <t>Dear 新雅貿易 Hsin Ya Trading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9" s="146" t="n"/>
      <c r="Q19" s="146" t="n"/>
      <c r="R19" s="146" t="n"/>
      <c r="S19" s="146" t="n"/>
    </row>
    <row r="20" hidden="1" ht="39.75" customHeight="1" s="104">
      <c r="A20" s="121" t="n">
        <v>16</v>
      </c>
      <c r="B20" s="143" t="inlineStr">
        <is>
          <t>醫全實業 Yi Chuan Industrial</t>
        </is>
      </c>
      <c r="C20" s="123" t="inlineStr">
        <is>
          <t>Contacted</t>
        </is>
      </c>
      <c r="D20" s="121" t="inlineStr">
        <is>
          <t>Multi-brand medical device importer — official registry shows 210 product registrations / 26 foreign brands represented</t>
        </is>
      </c>
      <c r="E20" s="121" t="inlineStr">
        <is>
          <t>Unknown</t>
        </is>
      </c>
      <c r="F20" s="121" t="inlineStr">
        <is>
          <t>Taiwan</t>
        </is>
      </c>
      <c r="G20" s="121" t="inlineStr">
        <is>
          <t>search: 醫全實業</t>
        </is>
      </c>
      <c r="H20" s="121" t="inlineStr">
        <is>
          <t>via website</t>
        </is>
      </c>
      <c r="I20" s="121" t="inlineStr">
        <is>
          <t>High registration volume; qualify</t>
        </is>
      </c>
      <c r="J20" s="121" t="inlineStr">
        <is>
          <t>Open with SonoEye P3 + SonoBook 9; add QBit 5/CBit 4 carts once service is set up</t>
        </is>
      </c>
      <c r="K20" s="147" t="inlineStr">
        <is>
          <t>2</t>
        </is>
      </c>
      <c r="L20" s="121" t="inlineStr">
        <is>
          <t>Tier 2 — line card unqualified — ask first · no verified domain.</t>
        </is>
      </c>
      <c r="M20" s="121" t="inlineStr">
        <is>
          <t>Directory (TFDA)</t>
        </is>
      </c>
      <c r="N20" s="145" t="inlineStr">
        <is>
          <t>Medicare Products: an ultrasound line for your three regional offices</t>
        </is>
      </c>
      <c r="O20" s="108" t="inlineStr">
        <is>
          <t>Dear 醫全實業 Medicare Products team,
I am Casper Tan, Senior Regional Sales Manager at AstraMed Healthcare, a subsidiary of CHISON Medical Technologies, and I look after Taiwan. With offices in Taipei, Taichung and Kaohsiung, Medicare Products already reaches hospitals and clinics in all three regions, and I would like to explore whether ultrasound could join your line card.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These are the models I would start with: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 SonoPort: a cart that folds to 1 m high and weighs about 53 kg, with a 23.8 inch monitor, a 15.6 inch touchscreen and about 3 hours of scanning on battery
Could you tell me which ultrasound brands, if any, you carry today?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20" s="146" t="inlineStr">
        <is>
          <t>medicare@beam.com.tw</t>
        </is>
      </c>
      <c r="Q20" s="146" t="inlineStr">
        <is>
          <t>A: read on medicare.com.tw/zh_tw/contact.asp 6 Oct</t>
        </is>
      </c>
      <c r="R20" s="146" t="inlineStr">
        <is>
          <t>Sent 6 Oct 2026 from Winmail with Corporate Brochure 2027</t>
        </is>
      </c>
      <c r="S20" s="146" t="n"/>
    </row>
    <row r="21" hidden="1" ht="39.75" customHeight="1" s="104">
      <c r="A21" s="121" t="n">
        <v>17</v>
      </c>
      <c r="B21" s="143" t="inlineStr">
        <is>
          <t>成信新貿易 Cheng Hsin Hsin</t>
        </is>
      </c>
      <c r="C21" s="123" t="inlineStr">
        <is>
          <t>Not started</t>
        </is>
      </c>
      <c r="D21" s="121" t="inlineStr">
        <is>
          <t>Multi-brand medical device importer — official registry shows 201 product registrations / 20 foreign brands represented</t>
        </is>
      </c>
      <c r="E21" s="121" t="inlineStr">
        <is>
          <t>Unknown</t>
        </is>
      </c>
      <c r="F21" s="121" t="inlineStr">
        <is>
          <t>Taiwan</t>
        </is>
      </c>
      <c r="G21" s="121" t="inlineStr">
        <is>
          <t>search: 成信新貿易</t>
        </is>
      </c>
      <c r="H21" s="121" t="inlineStr">
        <is>
          <t>via website</t>
        </is>
      </c>
      <c r="I21" s="121" t="inlineStr">
        <is>
          <t>High registration volume; qualify</t>
        </is>
      </c>
      <c r="J21" s="121" t="inlineStr">
        <is>
          <t>Open with SonoEye P3 + SonoBook 9; add QBit 5/CBit 4 carts once service is set up</t>
        </is>
      </c>
      <c r="K21" s="148" t="inlineStr">
        <is>
          <t>3</t>
        </is>
      </c>
      <c r="L21" s="121" t="inlineStr">
        <is>
          <t>Tier 3 — line card unqualified — ask first · no verified domain.</t>
        </is>
      </c>
      <c r="M21" s="121" t="inlineStr">
        <is>
          <t>Directory (TFDA)</t>
        </is>
      </c>
      <c r="N21" s="145" t="inlineStr">
        <is>
          <t>CHISON ultrasound for 成信新貿易 Cheng Hsin Hsin: a line-card addition, with TFDA handled by us</t>
        </is>
      </c>
      <c r="O21" s="108" t="inlineStr">
        <is>
          <t>Dear 成信新貿易 Cheng Hsin Hsin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21" s="146" t="n"/>
      <c r="Q21" s="146" t="n"/>
      <c r="R21" s="146" t="n"/>
      <c r="S21" s="146" t="n"/>
    </row>
    <row r="22" hidden="1" ht="39.75" customHeight="1" s="104">
      <c r="A22" s="121" t="n">
        <v>18</v>
      </c>
      <c r="B22" s="143" t="inlineStr">
        <is>
          <t>友信行 Yu Hsin Hang (Uni Charm?) · TFDA reg. name: 友信行股份有限公司</t>
        </is>
      </c>
      <c r="C22" s="123" t="inlineStr">
        <is>
          <t>Contacted</t>
        </is>
      </c>
      <c r="D22" s="121" t="inlineStr">
        <is>
          <t>Long-established instrument trader, 109 rec / 47 mfrs · TFDA registry: Unison Healthcare Group — 70-year, multi-brand major medical equipment group</t>
        </is>
      </c>
      <c r="E22" s="121" t="inlineStr">
        <is>
          <t>Samsung Medison (KR) + Clarius (CA) + JingFang (CN) — full multi-brand ultrasound portfolio</t>
        </is>
      </c>
      <c r="F22" s="121" t="inlineStr">
        <is>
          <t>Taipei · registered addr: 臺北市大安區敦化南路2段97號14樓</t>
        </is>
      </c>
      <c r="G22" s="121" t="inlineStr">
        <is>
          <t>unisonhealthcaregroup.com/tw</t>
        </is>
      </c>
      <c r="H22" s="121" t="inlineStr">
        <is>
          <t>via website</t>
        </is>
      </c>
      <c r="I22" s="121" t="inlineStr">
        <is>
          <t>Historic lab/medical trader; qualify</t>
        </is>
      </c>
      <c r="J22" s="121" t="inlineStr">
        <is>
          <t>Open with SonoEye P3 + SonoBook 9; add QBit 5/CBit 4 carts once service is set up</t>
        </is>
      </c>
      <c r="K22" s="147" t="inlineStr">
        <is>
          <t>2</t>
        </is>
      </c>
      <c r="L22" s="121" t="inlineStr">
        <is>
          <t>Tier 2 — carries a line (Samsung Medison (KR) + Clarius (CA) + JingFang) — conflict to qualify · verified domain.</t>
        </is>
      </c>
      <c r="M22" s="121" t="inlineStr">
        <is>
          <t>Directory (TFDA) · TFDA registry (v2 relevance review)</t>
        </is>
      </c>
      <c r="N22" s="145" t="inlineStr">
        <is>
          <t>Unison Healthcare Group: CHISON ultrasound as a value tier</t>
        </is>
      </c>
      <c r="O22" s="108" t="inlineStr">
        <is>
          <t>Dear 友信醫療集團 Unison Healthcare Group team,
I am Casper Tan, Senior Regional Sales Manager at AstraMed Healthcare, a subsidiary of CHISON Medical Technologies, and I look after Taiwan. With 70 years in medical equipment and an established ultrasound portfolio, Unison knows this category better than most distributors in Taiwan.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I would like to ask openly whether there is room for a value tier alongside your current ultrasound brands. If so, these are the models I would discuss:
• SonoPort: a cart that folds to 1 m high and weighs about 53 kg, with a 23.8 inch monitor, a 15.6 inch touchscreen and about 3 hours of scanning on battery
• SonoGo: a 3 in 1 system with a 15.6 inch full touchscreen, laptop portability at 4.8 kg and a trolley for cart level work
• SonoEye P3: a pocket handheld for emergency, ICU and bedside work; SonoEye was rated the top handheld in an independent comparison of nine handheld devices published in Diagnostics (MDPI)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22" s="146" t="inlineStr">
        <is>
          <t>info@unison.com.tw</t>
        </is>
      </c>
      <c r="Q22" s="146" t="inlineStr">
        <is>
          <t>A: read on unisonhealthcaregroup.com/tw 6 Oct</t>
        </is>
      </c>
      <c r="R22" s="146" t="inlineStr">
        <is>
          <t>Sent 6 Oct 2026 from Winmail with Corporate Brochure 2027</t>
        </is>
      </c>
      <c r="S22" s="146" t="n"/>
    </row>
    <row r="23" ht="39.75" customHeight="1" s="104">
      <c r="A23" s="121" t="n">
        <v>19</v>
      </c>
      <c r="B23" s="143" t="inlineStr">
        <is>
          <t>杏昌生技 Hsin Chang Biotech</t>
        </is>
      </c>
      <c r="C23" s="123" t="inlineStr">
        <is>
          <t>Not started</t>
        </is>
      </c>
      <c r="D23" s="121" t="inlineStr">
        <is>
          <t>Listed distributor (4126.TW) — dialysis/hospital equipment strength, 77 rec / 47 mfrs</t>
        </is>
      </c>
      <c r="E23" s="121" t="inlineStr">
        <is>
          <t>No known US line</t>
        </is>
      </c>
      <c r="F23" s="121" t="inlineStr">
        <is>
          <t>Taipei</t>
        </is>
      </c>
      <c r="G23" s="121" t="inlineStr">
        <is>
          <t>hiclearance.com.tw</t>
        </is>
      </c>
      <c r="H23" s="121" t="inlineStr">
        <is>
          <t>via website</t>
        </is>
      </c>
      <c r="I23" s="121" t="inlineStr">
        <is>
          <t>Listed, capitalised, hospital relationships; adjacent segment — no US conflict</t>
        </is>
      </c>
      <c r="J23" s="121" t="inlineStr">
        <is>
          <t>SonoMax 7 + SonoPort for radiology; XBit 90 premium rooms</t>
        </is>
      </c>
      <c r="K23" s="144" t="inlineStr">
        <is>
          <t>1</t>
        </is>
      </c>
      <c r="L23" s="121" t="inlineStr">
        <is>
          <t>Tier 1 — no competing ultrasound line · verified domain.</t>
        </is>
      </c>
      <c r="M23" s="121" t="inlineStr">
        <is>
          <t>Directory (TFDA)</t>
        </is>
      </c>
      <c r="N23" s="145" t="inlineStr">
        <is>
          <t>Adding an ultrasound line to 杏昌生技 Hsin Chang Biotech: CHISON SonoMax 7 and SonoPort</t>
        </is>
      </c>
      <c r="O23" s="108" t="inlineStr">
        <is>
          <t>Dear 杏昌生技 Hsin Chang Biotech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profile is a listed distributor: Listed distributor (4126.TW), dialysis/hospital equipment strength. A company of your standing does not need another catalogue item, so I will be specific about why this one is worth your attention.
Where CHISON fits your portfolio: ultrasound sells to the same buyer you already call on, on the same visit, so there is no new customer base to build. I would suggest starting here:
• SonoMax 7: the flagship cart, carrying a full radiology, obstetric and cardiac workload
• SonoPort: our new-generation intelligent cart, launched April 2026
• XBit 90: premium cart for departments that want high-end imaging without a high-end budget
That is a focused cart offer, and it adds an imaging modality to your line card without touching a single brand you currently represent.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23" s="146" t="n"/>
      <c r="Q23" s="146" t="n"/>
      <c r="R23" s="146" t="n"/>
      <c r="S23" s="146" t="n"/>
    </row>
    <row r="24" hidden="1" ht="39.75" customHeight="1" s="104">
      <c r="A24" s="121" t="n">
        <v>20</v>
      </c>
      <c r="B24" s="143" t="inlineStr">
        <is>
          <t>荷茂生醫 Ho Mao Biomedical</t>
        </is>
      </c>
      <c r="C24" s="123" t="inlineStr">
        <is>
          <t>Not started</t>
        </is>
      </c>
      <c r="D24" s="121" t="inlineStr">
        <is>
          <t>Multi-brand medical device importer — official registry shows 75 product registrations / 35 foreign brands represented</t>
        </is>
      </c>
      <c r="E24" s="121" t="inlineStr">
        <is>
          <t>Unknown</t>
        </is>
      </c>
      <c r="F24" s="121" t="inlineStr">
        <is>
          <t>Taiwan</t>
        </is>
      </c>
      <c r="G24" s="121" t="inlineStr">
        <is>
          <t>search: 荷茂生醫</t>
        </is>
      </c>
      <c r="H24" s="121" t="inlineStr">
        <is>
          <t>via website</t>
        </is>
      </c>
      <c r="I24" s="121" t="inlineStr">
        <is>
          <t>Mid-size importer; qualify</t>
        </is>
      </c>
      <c r="J24" s="121" t="inlineStr">
        <is>
          <t>Open with SonoEye P3 + SonoBook 9; add QBit 5/CBit 4 carts once service is set up</t>
        </is>
      </c>
      <c r="K24" s="148" t="inlineStr">
        <is>
          <t>3</t>
        </is>
      </c>
      <c r="L24" s="121" t="inlineStr">
        <is>
          <t>Tier 3 — line card unqualified — ask first · no verified domain.</t>
        </is>
      </c>
      <c r="M24" s="121" t="inlineStr">
        <is>
          <t>Directory (TFDA)</t>
        </is>
      </c>
      <c r="N24" s="145" t="inlineStr">
        <is>
          <t>CHISON ultrasound for 荷茂生醫 Ho Mao Biomedical: a line-card addition, with TFDA handled by us</t>
        </is>
      </c>
      <c r="O24" s="108" t="inlineStr">
        <is>
          <t>Dear 荷茂生醫 Ho Mao Biomedical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24" s="146" t="n"/>
      <c r="Q24" s="146" t="n"/>
      <c r="R24" s="146" t="n"/>
      <c r="S24" s="146" t="n"/>
    </row>
    <row r="25" hidden="1" ht="39.75" customHeight="1" s="104">
      <c r="A25" s="121" t="n">
        <v>21</v>
      </c>
      <c r="B25" s="143" t="inlineStr">
        <is>
          <t>科達健康生技 Ke Da Health</t>
        </is>
      </c>
      <c r="C25" s="123" t="inlineStr">
        <is>
          <t>Not started</t>
        </is>
      </c>
      <c r="D25" s="121" t="inlineStr">
        <is>
          <t>Multi-brand medical device importer — official registry shows 105 product registrations / 29 foreign brands represented</t>
        </is>
      </c>
      <c r="E25" s="121" t="inlineStr">
        <is>
          <t>Unknown</t>
        </is>
      </c>
      <c r="F25" s="121" t="inlineStr">
        <is>
          <t>Taiwan</t>
        </is>
      </c>
      <c r="G25" s="121" t="inlineStr">
        <is>
          <t>search: 科達健康生技</t>
        </is>
      </c>
      <c r="H25" s="121" t="inlineStr">
        <is>
          <t>via website</t>
        </is>
      </c>
      <c r="I25" s="121" t="inlineStr">
        <is>
          <t>Mid-size importer; qualify</t>
        </is>
      </c>
      <c r="J25" s="121" t="inlineStr">
        <is>
          <t>Open with SonoEye P3 + SonoBook 9; add QBit 5/CBit 4 carts once service is set up</t>
        </is>
      </c>
      <c r="K25" s="148" t="inlineStr">
        <is>
          <t>3</t>
        </is>
      </c>
      <c r="L25" s="121" t="inlineStr">
        <is>
          <t>Tier 3 — line card unqualified — ask first · no verified domain.</t>
        </is>
      </c>
      <c r="M25" s="121" t="inlineStr">
        <is>
          <t>Directory (TFDA)</t>
        </is>
      </c>
      <c r="N25" s="145" t="inlineStr">
        <is>
          <t>CHISON ultrasound for 科達健康生技 Ke Da Health: a line-card addition, with TFDA handled by us</t>
        </is>
      </c>
      <c r="O25" s="108" t="inlineStr">
        <is>
          <t>Dear 科達健康生技 Ke Da Health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25" s="146" t="n"/>
      <c r="Q25" s="146" t="n"/>
      <c r="R25" s="146" t="n"/>
      <c r="S25" s="146" t="n"/>
    </row>
    <row r="26" hidden="1" ht="39.75" customHeight="1" s="104">
      <c r="A26" s="121" t="n">
        <v>22</v>
      </c>
      <c r="B26" s="143" t="inlineStr">
        <is>
          <t>太暘生物科技 Tai Yang Biotech</t>
        </is>
      </c>
      <c r="C26" s="123" t="inlineStr">
        <is>
          <t>Not started</t>
        </is>
      </c>
      <c r="D26" s="121" t="inlineStr">
        <is>
          <t>Multi-brand medical device importer — official registry shows 238 product registrations / 21 foreign brands represented</t>
        </is>
      </c>
      <c r="E26" s="121" t="inlineStr">
        <is>
          <t>Unknown</t>
        </is>
      </c>
      <c r="F26" s="121" t="inlineStr">
        <is>
          <t>Taiwan</t>
        </is>
      </c>
      <c r="G26" s="121" t="inlineStr">
        <is>
          <t>search: 太暘生物科技</t>
        </is>
      </c>
      <c r="H26" s="121" t="inlineStr">
        <is>
          <t>via website</t>
        </is>
      </c>
      <c r="I26" s="121" t="inlineStr">
        <is>
          <t>High registration count; qualify</t>
        </is>
      </c>
      <c r="J26" s="121" t="inlineStr">
        <is>
          <t>Open with SonoEye P3 + SonoBook 9; add QBit 5/CBit 4 carts once service is set up</t>
        </is>
      </c>
      <c r="K26" s="148" t="inlineStr">
        <is>
          <t>3</t>
        </is>
      </c>
      <c r="L26" s="121" t="inlineStr">
        <is>
          <t>Tier 3 — line card unqualified — ask first · no verified domain.</t>
        </is>
      </c>
      <c r="M26" s="121" t="inlineStr">
        <is>
          <t>Directory (TFDA)</t>
        </is>
      </c>
      <c r="N26" s="145" t="inlineStr">
        <is>
          <t>CHISON ultrasound for 太暘生物科技 Tai Yang Biotech: a line-card addition, with TFDA handled by us</t>
        </is>
      </c>
      <c r="O26" s="108" t="inlineStr">
        <is>
          <t>Dear 太暘生物科技 Tai Yang Biotech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26" s="146" t="n"/>
      <c r="Q26" s="146" t="n"/>
      <c r="R26" s="146" t="n"/>
      <c r="S26" s="146" t="n"/>
    </row>
    <row r="27" hidden="1" ht="39.75" customHeight="1" s="104">
      <c r="A27" s="121" t="n">
        <v>23</v>
      </c>
      <c r="B27" s="143" t="inlineStr">
        <is>
          <t>台灣悅廷和</t>
        </is>
      </c>
      <c r="C27" s="123" t="inlineStr">
        <is>
          <t>Not started</t>
        </is>
      </c>
      <c r="D27" s="121" t="inlineStr">
        <is>
          <t>Multi-brand medical device importer — official registry shows 113 product registrations / 34 foreign brands represented</t>
        </is>
      </c>
      <c r="E27" s="121" t="inlineStr">
        <is>
          <t>Unknown</t>
        </is>
      </c>
      <c r="F27" s="121" t="inlineStr">
        <is>
          <t>Taiwan</t>
        </is>
      </c>
      <c r="G27" s="121" t="inlineStr">
        <is>
          <t>search: 台灣悅廷和</t>
        </is>
      </c>
      <c r="H27" s="121" t="inlineStr">
        <is>
          <t>via website</t>
        </is>
      </c>
      <c r="I27" s="121" t="inlineStr">
        <is>
          <t>Qualify</t>
        </is>
      </c>
      <c r="J27" s="121" t="inlineStr">
        <is>
          <t>Open with SonoEye P3 + SonoBook 9; add QBit 5/CBit 4 carts once service is set up</t>
        </is>
      </c>
      <c r="K27" s="148" t="inlineStr">
        <is>
          <t>3</t>
        </is>
      </c>
      <c r="L27" s="121" t="inlineStr">
        <is>
          <t>Tier 3 — line card unqualified — ask first · no verified domain.</t>
        </is>
      </c>
      <c r="M27" s="121" t="inlineStr">
        <is>
          <t>Directory (TFDA)</t>
        </is>
      </c>
      <c r="N27" s="145" t="inlineStr">
        <is>
          <t>CHISON ultrasound for 台灣悅廷和: a line-card addition, with TFDA handled by us</t>
        </is>
      </c>
      <c r="O27" s="108" t="inlineStr">
        <is>
          <t>Dear 台灣悅廷和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27" s="146" t="n"/>
      <c r="Q27" s="146" t="n"/>
      <c r="R27" s="146" t="n"/>
      <c r="S27" s="146" t="n"/>
    </row>
    <row r="28" hidden="1" ht="39.75" customHeight="1" s="104">
      <c r="A28" s="121" t="n">
        <v>24</v>
      </c>
      <c r="B28" s="143" t="inlineStr">
        <is>
          <t>台灣而至</t>
        </is>
      </c>
      <c r="C28" s="123" t="inlineStr">
        <is>
          <t>Not started</t>
        </is>
      </c>
      <c r="D28" s="121" t="inlineStr">
        <is>
          <t>Multi-brand medical device importer — official registry shows 138 product registrations / 25 foreign brands represented</t>
        </is>
      </c>
      <c r="E28" s="121" t="inlineStr">
        <is>
          <t>Unknown</t>
        </is>
      </c>
      <c r="F28" s="121" t="inlineStr">
        <is>
          <t>Taiwan</t>
        </is>
      </c>
      <c r="G28" s="121" t="inlineStr">
        <is>
          <t>search: 台灣而至</t>
        </is>
      </c>
      <c r="H28" s="121" t="inlineStr">
        <is>
          <t>via website</t>
        </is>
      </c>
      <c r="I28" s="121" t="inlineStr">
        <is>
          <t>Qualify</t>
        </is>
      </c>
      <c r="J28" s="121" t="inlineStr">
        <is>
          <t>Open with SonoEye P3 + SonoBook 9; add QBit 5/CBit 4 carts once service is set up</t>
        </is>
      </c>
      <c r="K28" s="148" t="inlineStr">
        <is>
          <t>3</t>
        </is>
      </c>
      <c r="L28" s="121" t="inlineStr">
        <is>
          <t>Tier 3 — line card unqualified — ask first · no verified domain.</t>
        </is>
      </c>
      <c r="M28" s="121" t="inlineStr">
        <is>
          <t>Directory (TFDA)</t>
        </is>
      </c>
      <c r="N28" s="145" t="inlineStr">
        <is>
          <t>CHISON ultrasound for 台灣而至: a line-card addition, with TFDA handled by us</t>
        </is>
      </c>
      <c r="O28" s="108" t="inlineStr">
        <is>
          <t>Dear 台灣而至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28" s="146" t="n"/>
      <c r="Q28" s="146" t="n"/>
      <c r="R28" s="146" t="n"/>
      <c r="S28" s="146" t="n"/>
    </row>
    <row r="29" hidden="1" ht="39.75" customHeight="1" s="104">
      <c r="A29" s="121" t="n">
        <v>25</v>
      </c>
      <c r="B29" s="143" t="inlineStr">
        <is>
          <t>卡爾斯特</t>
        </is>
      </c>
      <c r="C29" s="123" t="inlineStr">
        <is>
          <t>Not started</t>
        </is>
      </c>
      <c r="D29" s="121" t="inlineStr">
        <is>
          <t>Multi-brand medical device importer — official registry shows 194 product registrations / 12 foreign brands represented</t>
        </is>
      </c>
      <c r="E29" s="121" t="inlineStr">
        <is>
          <t>Unknown</t>
        </is>
      </c>
      <c r="F29" s="121" t="inlineStr">
        <is>
          <t>Taiwan</t>
        </is>
      </c>
      <c r="G29" s="121" t="inlineStr">
        <is>
          <t>search: 卡爾斯特</t>
        </is>
      </c>
      <c r="H29" s="121" t="inlineStr">
        <is>
          <t>via website</t>
        </is>
      </c>
      <c r="I29" s="121" t="inlineStr">
        <is>
          <t>Qualify</t>
        </is>
      </c>
      <c r="J29" s="121" t="inlineStr">
        <is>
          <t>Open with SonoEye P3 + SonoBook 9; add QBit 5/CBit 4 carts once service is set up</t>
        </is>
      </c>
      <c r="K29" s="148" t="inlineStr">
        <is>
          <t>3</t>
        </is>
      </c>
      <c r="L29" s="121" t="inlineStr">
        <is>
          <t>Tier 3 — line card unqualified — ask first · no verified domain.</t>
        </is>
      </c>
      <c r="M29" s="121" t="inlineStr">
        <is>
          <t>Directory (TFDA)</t>
        </is>
      </c>
      <c r="N29" s="145" t="inlineStr">
        <is>
          <t>CHISON ultrasound for 卡爾斯特: a line-card addition, with TFDA handled by us</t>
        </is>
      </c>
      <c r="O29" s="108" t="inlineStr">
        <is>
          <t>Dear 卡爾斯特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import registrations show a genuine multi-brand operation. The licensing, logistics and after-sales machinery is already built, which is the expensive part of carrying any new line. What I am proposing simply makes use of it.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29" s="146" t="n"/>
      <c r="Q29" s="146" t="n"/>
      <c r="R29" s="146" t="n"/>
      <c r="S29" s="146" t="n"/>
    </row>
    <row r="30" hidden="1" ht="39.75" customHeight="1" s="104">
      <c r="A30" s="121" t="n">
        <v>26</v>
      </c>
      <c r="B30" s="143" t="inlineStr">
        <is>
          <t>埃默高 Emergo Taiwan · TFDA reg. name: 埃默高有限公司</t>
        </is>
      </c>
      <c r="C30" s="123" t="inlineStr">
        <is>
          <t>Not started</t>
        </is>
      </c>
      <c r="D30" s="121" t="inlineStr">
        <is>
          <t>Regulatory agent / license holder, 344 rec / 120 mfrs · TFDA registry: Distributor for FUJIFILM Sonosite (US) and Butterfly Network (US) handheld/POC ultrasound</t>
        </is>
      </c>
      <c r="E30" s="121" t="inlineStr">
        <is>
          <t>N/A — regulatory · TFDA registry: Sonosite + Butterfly — leading global handheld/POCUS brands</t>
        </is>
      </c>
      <c r="F30" s="121" t="inlineStr">
        <is>
          <t>Taipei · registered addr: 新北市新店區北新路3段221號10樓</t>
        </is>
      </c>
      <c r="G30" s="121" t="inlineStr">
        <is>
          <t>emergobyul.com · No website found — verify</t>
        </is>
      </c>
      <c r="H30" s="121" t="inlineStr">
        <is>
          <t>via website · Not verified — see registered address</t>
        </is>
      </c>
      <c r="I30" s="121" t="inlineStr">
        <is>
          <t>TFDA agent route if trade partner isn't the licence holder</t>
        </is>
      </c>
      <c r="J30" s="121" t="inlineStr">
        <is>
          <t>Registration scope: SonoEye P3/P5 + SonoBook 9 + SonoMax 7 first</t>
        </is>
      </c>
      <c r="K30" s="147" t="inlineStr">
        <is>
          <t>2</t>
        </is>
      </c>
      <c r="L30" s="121" t="inlineStr">
        <is>
          <t>Tier 2 — carries a line (N/A — regulatory · TFDA registry: Sonosite + B) — conflict to qualify · verified domain.</t>
        </is>
      </c>
      <c r="M30" s="121" t="inlineStr">
        <is>
          <t>Directory (TFDA) · TFDA registry (v2 relevance review)</t>
        </is>
      </c>
      <c r="N30" s="145" t="inlineStr">
        <is>
          <t>TFDA licence holder services for an incoming ultrasound line: CHISON / AstraMed</t>
        </is>
      </c>
      <c r="O30" s="108" t="inlineStr">
        <is>
          <t>Dear 埃默高 Emergo Taiwan team,
I am Casper Tan, Senior Regional Sales Manager at AstraMed Healthcare, the CHISON Medical Technologies subsidiary responsible for this region. CHISON has manufactured ultrasound in Wuxi, China since 1996, sells into more than 100 countries and holds CE and US FDA clearance, so the technical file is mature and already assembled to international standards.
Your strength here is the one thing we cannot shortcut. You already run TFDA work at volume, which is the difference between entering Taiwan this year and entering it next year.
What we require is a local agent and licence holder, so that we can register the line and then appoint sub-distributors beneath it. This is a portfolio of carts, laptops and handheld systems across several product codes rather than a single item, so the registration work is worth structuring properly from the outset.
Could you send your scope of service and indicative fees for a device portfolio of this shape, and let me know your realistic timeline from dossier submission to licence?
Best regards,
Casper Tan
Senior Regional Sales Manager
AstraMed Healthcare, a subsidiary of CHISON Medical Technologies</t>
        </is>
      </c>
      <c r="P30" s="146" t="n"/>
      <c r="Q30" s="146" t="n"/>
      <c r="R30" s="146" t="n"/>
      <c r="S30" s="146" t="n"/>
    </row>
    <row r="31" ht="39.75" customHeight="1" s="104">
      <c r="A31" s="121" t="n">
        <v>27</v>
      </c>
      <c r="B31" s="143" t="inlineStr">
        <is>
          <t>承業生醫 CHC Healthcare Group</t>
        </is>
      </c>
      <c r="C31" s="123" t="inlineStr">
        <is>
          <t>Contacted</t>
        </is>
      </c>
      <c r="D31" s="121" t="inlineStr">
        <is>
          <t>Listed (4164.TW) — exclusive TW agent for Elekta, Nucletron, Swissray, Leica, Lumenis; radiation-oncology &amp; imaging + hospital financing</t>
        </is>
      </c>
      <c r="E31" s="121" t="inlineStr">
        <is>
          <t>No known US line</t>
        </is>
      </c>
      <c r="F31" s="121" t="inlineStr">
        <is>
          <t>Taipei (Neihu)</t>
        </is>
      </c>
      <c r="G31" s="121" t="inlineStr">
        <is>
          <t>chcg.com</t>
        </is>
      </c>
      <c r="H31" s="121" t="inlineStr">
        <is>
          <t>+886-2-6608-1999</t>
        </is>
      </c>
      <c r="I31" s="121" t="inlineStr">
        <is>
          <t>Radiology/imaging channel + hospital capital ties; no US conflict — prime adjacent target (see also subsidiary ChiuHo)</t>
        </is>
      </c>
      <c r="J31" s="121" t="inlineStr">
        <is>
          <t>SonoMax 7 + SonoPort for radiology; XBit 90 premium rooms</t>
        </is>
      </c>
      <c r="K31" s="144" t="inlineStr">
        <is>
          <t>1</t>
        </is>
      </c>
      <c r="L31" s="121" t="inlineStr">
        <is>
          <t>Tier 1 — no competing ultrasound line · verified domain + direct phone.</t>
        </is>
      </c>
      <c r="M31" s="121" t="inlineStr">
        <is>
          <t>Verified site</t>
        </is>
      </c>
      <c r="N31" s="145" t="inlineStr">
        <is>
          <t>CHC Healthcare Group and ChiuHo Medical: an ultrasound line for your imaging channel</t>
        </is>
      </c>
      <c r="O31" s="108" t="inlineStr">
        <is>
          <t>Dear 承業生醫 CHC Healthcare Group and 久和醫療儀器 ChiuHo Medical team,
I am Casper Tan, Senior Regional Sales Manager at AstraMed Healthcare, a subsidiary of CHISON Medical Technologies, and I look after Taiwan. CHC and ChiuHo cover radiation oncology, medical imaging, neurology and surgery for Taiwan's hospitals with more than 30 international brands, yet ultrasound is not among them. I am writing to the group once rather than to each company; please let me know which entity should own the conversation.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imaging departments and the OR, these are the models I would put forward:
• SonoMax 9: our flagship cart for radiology and women's imaging departments
• SonoPort: a cart that folds to 1 m high and weighs about 53 kg, with a 23.8 inch monitor, a 15.6 inch touchscreen and about 3 hours of scanning on battery
• SonoEye P3: a pocket handheld for emergency, ICU and bedside work; SonoEye was rated the top handheld in an independent comparison of nine handheld devices published in Diagnostics (MDPI)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31" s="146" t="inlineStr">
        <is>
          <t>Sales.Rt@chcg.com; Sales.Ns@chcg.com</t>
        </is>
      </c>
      <c r="Q31" s="146" t="inlineStr">
        <is>
          <t>A: same CHC group mailboxes as ChiuHo (#14)</t>
        </is>
      </c>
      <c r="R31" s="146" t="inlineStr">
        <is>
          <t>Sent 6 Oct 2026 from Winmail with Corporate Brochure 2027</t>
        </is>
      </c>
      <c r="S31" s="146" t="inlineStr">
        <is>
          <t>VISIT 2: see ChiuHo #14</t>
        </is>
      </c>
    </row>
    <row r="32" ht="39.75" customHeight="1" s="104">
      <c r="A32" s="121" t="n">
        <v>28</v>
      </c>
      <c r="B32" s="122" t="inlineStr">
        <is>
          <t>Getz Healthcare Taiwan</t>
        </is>
      </c>
      <c r="C32" s="123" t="inlineStr">
        <is>
          <t>Not started</t>
        </is>
      </c>
      <c r="D32" s="121" t="inlineStr">
        <is>
          <t>Regional MNC distributor — endoscopy, monitoring, devices across APAC</t>
        </is>
      </c>
      <c r="E32" s="121" t="inlineStr">
        <is>
          <t>Portfolio varies</t>
        </is>
      </c>
      <c r="F32" s="121" t="inlineStr">
        <is>
          <t>Taipei</t>
        </is>
      </c>
      <c r="G32" s="121" t="inlineStr">
        <is>
          <t>getzhealthcare.com</t>
        </is>
      </c>
      <c r="H32" s="121" t="inlineStr">
        <is>
          <t>via website</t>
        </is>
      </c>
      <c r="I32" s="121" t="inlineStr">
        <is>
          <t>OR/endoscopy/monitoring channel; APAC footprint incl. TW</t>
        </is>
      </c>
      <c r="J32" s="121" t="inlineStr">
        <is>
          <t>SonoTouch + SonoEye P3 (peri-op, nerve block, vascular access); SonoBook 9 OR cart</t>
        </is>
      </c>
      <c r="K32" s="144" t="inlineStr">
        <is>
          <t>1</t>
        </is>
      </c>
      <c r="L32" s="121" t="inlineStr">
        <is>
          <t>Tier 1 — line card unqualified — ask first · verified domain.</t>
        </is>
      </c>
      <c r="M32" s="121" t="inlineStr">
        <is>
          <t>Knowledge — verify</t>
        </is>
      </c>
      <c r="N32" s="145" t="inlineStr">
        <is>
          <t>A full ultrasound ladder for Getz Healthcare Taiwan: CHISON distribution in Taiwan</t>
        </is>
      </c>
      <c r="O32" s="108" t="inlineStr">
        <is>
          <t>Dear Getz Healthcare Taiwan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the model foreign manufacturers turn to when they want a market entered properly rather than cheaply: Regional MNC distributor, endoscopy, monitoring, devices across APAC. That is exactly what we are looking for here.
Where CHISON fits your portfolio: this is a full ladder rather than a single product, which suits a house that carries whole categories:
• SonoTouch: all-touch point-of-care console
• SonoEye P3: pocket handheld for emergency, intensive care and bedside point-of-care scanning
• SonoBook 9: the workhorse laptop and our volume seller across Asia
One principal agreement then covers the tender, the departmental purchase and the clinic purchase, giving you two portable formats at two very different budgets.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32" s="108" t="n"/>
      <c r="Q32" s="108" t="inlineStr">
        <is>
          <t>Not published: form at tw.getzhealthcare.com/contact-us · +886 2 2721 2511</t>
        </is>
      </c>
      <c r="R32" s="108" t="n"/>
      <c r="S32" s="108" t="inlineStr">
        <is>
          <t>VISIT 6: Taipei (form first)</t>
        </is>
      </c>
    </row>
    <row r="33" hidden="1" ht="39.75" customHeight="1" s="104">
      <c r="A33" s="121" t="n">
        <v>29</v>
      </c>
      <c r="B33" s="143" t="inlineStr">
        <is>
          <t>商之器科技 EBM Technologies</t>
        </is>
      </c>
      <c r="C33" s="123" t="inlineStr">
        <is>
          <t>Contacted</t>
        </is>
      </c>
      <c r="D33" s="121" t="inlineStr">
        <is>
          <t>Listed (8409.TW) — PACS / medical imaging IT</t>
        </is>
      </c>
      <c r="E33" s="121" t="inlineStr">
        <is>
          <t>No known US line</t>
        </is>
      </c>
      <c r="F33" s="121" t="inlineStr">
        <is>
          <t>Taipei</t>
        </is>
      </c>
      <c r="G33" s="121" t="inlineStr">
        <is>
          <t>ebmtech.com</t>
        </is>
      </c>
      <c r="H33" s="121" t="inlineStr">
        <is>
          <t>via website</t>
        </is>
      </c>
      <c r="I33" s="121" t="inlineStr">
        <is>
          <t>Imaging-IT install base in hospitals; bundling angle for image mgmt + US</t>
        </is>
      </c>
      <c r="J33" s="121" t="inlineStr">
        <is>
          <t>SonoMax 7 + SonoPort for radiology; XBit 90 premium rooms</t>
        </is>
      </c>
      <c r="K33" s="147" t="inlineStr">
        <is>
          <t>2</t>
        </is>
      </c>
      <c r="L33" s="121" t="inlineStr">
        <is>
          <t>Tier 2 — no competing ultrasound line · verified domain.</t>
        </is>
      </c>
      <c r="M33" s="121" t="inlineStr">
        <is>
          <t>Knowledge — verify</t>
        </is>
      </c>
      <c r="N33" s="145" t="inlineStr">
        <is>
          <t>EBM Technologies: pairing CHISON ultrasound with your PACS installed base</t>
        </is>
      </c>
      <c r="O33" s="108" t="inlineStr">
        <is>
          <t>Dear 商之器科技 EBM Technologies team,
I am Casper Tan, Senior Regional Sales Manager at AstraMed Healthcare, a subsidiary of CHISON Medical Technologies, and I look after Taiwan. EBM's PACS and RIS sit inside many Taiwanese hospitals and clinics, and every new ultrasound system has to send its images somewhere, so I see a natural bundle between your imaging IT and our scanners.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These are the models I would look at first for a joint offer:
• SonoPort: a cart that folds to 1 m high and weighs about 53 kg, with a 23.8 inch monitor, a 15.6 inch touchscreen and about 3 hours of scanning on battery
• SonoAir 70: a 2.1 kg laptop with four active probe ports and SonoAI tools such as automatic bladder volume and thyroid and breast nodule measurement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33" s="146" t="inlineStr">
        <is>
          <t>info@ebmtech.com</t>
        </is>
      </c>
      <c r="Q33" s="146" t="inlineStr">
        <is>
          <t>A: read on ebmtech.com 6 Oct</t>
        </is>
      </c>
      <c r="R33" s="146" t="inlineStr">
        <is>
          <t>Sent 6 Oct 2026 from Winmail with Corporate Brochure 2027</t>
        </is>
      </c>
      <c r="S33" s="146" t="n"/>
    </row>
    <row r="34" hidden="1" ht="39.75" customHeight="1" s="104">
      <c r="A34" s="121" t="n">
        <v>30</v>
      </c>
      <c r="B34" s="143" t="inlineStr">
        <is>
          <t>東貿國際 T-Trade Int'l</t>
        </is>
      </c>
      <c r="C34" s="123" t="inlineStr">
        <is>
          <t>Not started</t>
        </is>
      </c>
      <c r="D34" s="121" t="inlineStr">
        <is>
          <t>Hospital equipment distributor (dialysis/hospital systems)</t>
        </is>
      </c>
      <c r="E34" s="121" t="inlineStr">
        <is>
          <t>No known US line</t>
        </is>
      </c>
      <c r="F34" s="121" t="inlineStr">
        <is>
          <t>Taipei</t>
        </is>
      </c>
      <c r="G34" s="121" t="inlineStr">
        <is>
          <t>search: 東貿國際</t>
        </is>
      </c>
      <c r="H34" s="121" t="inlineStr">
        <is>
          <t>via website</t>
        </is>
      </c>
      <c r="I34" s="121" t="inlineStr">
        <is>
          <t>Hospital channel, adjacent segment; verify current lines</t>
        </is>
      </c>
      <c r="J34" s="121" t="inlineStr">
        <is>
          <t>Open with SonoEye P3 + SonoBook 9; add QBit 5/CBit 4 carts once service is set up</t>
        </is>
      </c>
      <c r="K34" s="147" t="inlineStr">
        <is>
          <t>2</t>
        </is>
      </c>
      <c r="L34" s="121" t="inlineStr">
        <is>
          <t>Tier 2 — no competing ultrasound line · no verified domain.</t>
        </is>
      </c>
      <c r="M34" s="121" t="inlineStr">
        <is>
          <t>Knowledge — verify</t>
        </is>
      </c>
      <c r="N34" s="145" t="inlineStr">
        <is>
          <t>Adding an ultrasound line to 東貿國際 T-Trade Int'l: CHISON SonoEye P3 and SonoBook 9</t>
        </is>
      </c>
      <c r="O34" s="108" t="inlineStr">
        <is>
          <t>Dear 東貿國際 T-Trade Int'l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What you already have is the part we cannot build for ourselves: Hospital equipment distributor (dialysis/hospital systems).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and it adds an imaging modality to your line card without touching a single brand you currently represent.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34" s="146" t="n"/>
      <c r="Q34" s="146" t="n"/>
      <c r="R34" s="146" t="n"/>
      <c r="S34" s="146" t="n"/>
    </row>
    <row r="35" hidden="1" ht="39.75" customHeight="1" s="104">
      <c r="A35" s="121" t="n">
        <v>31</v>
      </c>
      <c r="B35" s="143" t="inlineStr">
        <is>
          <t>曜亞國際 YA Int'l</t>
        </is>
      </c>
      <c r="C35" s="123" t="inlineStr">
        <is>
          <t>Not started</t>
        </is>
      </c>
      <c r="D35" s="121" t="inlineStr">
        <is>
          <t>Listed aesthetics/derma device distributor</t>
        </is>
      </c>
      <c r="E35" s="121" t="inlineStr">
        <is>
          <t>No known diagnostic US</t>
        </is>
      </c>
      <c r="F35" s="121" t="inlineStr">
        <is>
          <t>Taipei</t>
        </is>
      </c>
      <c r="G35" s="121" t="inlineStr">
        <is>
          <t>search: 曜亞國際</t>
        </is>
      </c>
      <c r="H35" s="121" t="inlineStr">
        <is>
          <t>via website</t>
        </is>
      </c>
      <c r="I35" s="121" t="inlineStr">
        <is>
          <t>Aesthetic clinic channel — possible route for women's-health/portable in medspa-adjacent GP</t>
        </is>
      </c>
      <c r="J35" s="121" t="inlineStr">
        <is>
          <t>Open with SonoEye P3 + SonoBook 9; add QBit 5/CBit 4 carts once service is set up</t>
        </is>
      </c>
      <c r="K35" s="148" t="inlineStr">
        <is>
          <t>3</t>
        </is>
      </c>
      <c r="L35" s="121" t="inlineStr">
        <is>
          <t>Tier 3 — carries a line (No known diagnostic US) — conflict to qualify · no verified domain.</t>
        </is>
      </c>
      <c r="M35" s="121" t="inlineStr">
        <is>
          <t>Knowledge — verify</t>
        </is>
      </c>
      <c r="N35" s="145" t="inlineStr">
        <is>
          <t>Adding an ultrasound line to 曜亞國際 YA Int'l: CHISON SonoEye P3 and SonoBook 9</t>
        </is>
      </c>
      <c r="O35" s="108" t="inlineStr">
        <is>
          <t>Dear 曜亞國際 YA Int'l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profile is a listed distributor: Listed aesthetics/derma device distributor. A company of your standing does not need another catalogue item, so I will be specific about why this one is worth your attention.
Where CHISON fits your portfolio: ultrasound sells to the same buyer you already call on, on the same visit, so there is no new customer base to build.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and it adds an imaging modality to your line card without touching a single brand you currently represent.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35" s="146" t="n"/>
      <c r="Q35" s="146" t="n"/>
      <c r="R35" s="146" t="n"/>
      <c r="S35" s="146" t="n"/>
    </row>
    <row r="36" hidden="1" ht="39.75" customHeight="1" s="104">
      <c r="A36" s="121" t="n">
        <v>32</v>
      </c>
      <c r="B36" s="143" t="inlineStr">
        <is>
          <t>杏一醫療 Medfirst Healthcare</t>
        </is>
      </c>
      <c r="C36" s="123" t="inlineStr">
        <is>
          <t>Not started</t>
        </is>
      </c>
      <c r="D36" s="121" t="inlineStr">
        <is>
          <t>Listed (4175.TW) retail chain — 90+ medical supply stores in/near hospitals</t>
        </is>
      </c>
      <c r="E36" s="121" t="inlineStr">
        <is>
          <t>No known US line</t>
        </is>
      </c>
      <c r="F36" s="121" t="inlineStr">
        <is>
          <t>Nationwide</t>
        </is>
      </c>
      <c r="G36" s="121" t="inlineStr">
        <is>
          <t>medfirst.com.tw</t>
        </is>
      </c>
      <c r="H36" s="121" t="inlineStr">
        <is>
          <t>via website</t>
        </is>
      </c>
      <c r="I36" s="121" t="inlineStr">
        <is>
          <t>Retail/homecare channel for handheld (SonoEye) to clinics &amp; rehab; nonclassical but wide</t>
        </is>
      </c>
      <c r="J36" s="121" t="inlineStr">
        <is>
          <t>Clinic starter: SonoEye P3 + ECO/EBit 50; SonoGO for premium clinics</t>
        </is>
      </c>
      <c r="K36" s="148" t="inlineStr">
        <is>
          <t>3</t>
        </is>
      </c>
      <c r="L36" s="121" t="inlineStr">
        <is>
          <t>Tier 3 — no competing ultrasound line · verified domain.</t>
        </is>
      </c>
      <c r="M36" s="121" t="inlineStr">
        <is>
          <t>Knowledge — verify</t>
        </is>
      </c>
      <c r="N36" s="145" t="inlineStr">
        <is>
          <t>Adding an ultrasound line to 杏一醫療 Medfirst Healthcare: CHISON SonoEye P3 and ECO</t>
        </is>
      </c>
      <c r="O36" s="108" t="inlineStr">
        <is>
          <t>Dear 杏一醫療 Medfirst Healthcare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profile is a listed distributor: Listed (4175.TW) retail chain, 90 and medical supply stores in/near hospitals. A company of your standing does not need another catalogue item, so I will be specific about why this one is worth your attention.
Where CHISON fits your portfolio: ultrasound sells to the same buyer you already call on, on the same visit, so there is no new customer base to build. I would suggest starting here:
• SonoEye P3: pocket handheld for emergency, intensive care and bedside point-of-care scanning
• ECO: entry B&amp;W platform for budget and rural tenders
• EBit 50: the value laptop that opens price-sensitive clinic accounts
That is two portable formats at two very different budgets, and it adds an imaging modality to your line card without touching a single brand you currently represent.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36" s="146" t="n"/>
      <c r="Q36" s="146" t="n"/>
      <c r="R36" s="146" t="n"/>
      <c r="S36" s="146" t="n"/>
    </row>
    <row r="37" hidden="1" ht="39.75" customHeight="1" s="104">
      <c r="A37" s="121" t="n">
        <v>33</v>
      </c>
      <c r="B37" s="143" t="inlineStr">
        <is>
          <t>維康醫療用品 Wecare</t>
        </is>
      </c>
      <c r="C37" s="123" t="inlineStr">
        <is>
          <t>Not started</t>
        </is>
      </c>
      <c r="D37" s="121" t="inlineStr">
        <is>
          <t>Medical supply retail chain (hospital concessions)</t>
        </is>
      </c>
      <c r="E37" s="121" t="inlineStr">
        <is>
          <t>No known US line</t>
        </is>
      </c>
      <c r="F37" s="121" t="inlineStr">
        <is>
          <t>Nationwide</t>
        </is>
      </c>
      <c r="G37" s="121" t="inlineStr">
        <is>
          <t>search: 維康醫療</t>
        </is>
      </c>
      <c r="H37" s="121" t="inlineStr">
        <is>
          <t>via website</t>
        </is>
      </c>
      <c r="I37" s="121" t="inlineStr">
        <is>
          <t>Same retail/homecare logic as Medfirst</t>
        </is>
      </c>
      <c r="J37" s="121" t="inlineStr">
        <is>
          <t>Clinic starter: SonoEye P3 + ECO/EBit 50; SonoGO for premium clinics</t>
        </is>
      </c>
      <c r="K37" s="148" t="inlineStr">
        <is>
          <t>3</t>
        </is>
      </c>
      <c r="L37" s="121" t="inlineStr">
        <is>
          <t>Tier 3 — no competing ultrasound line · no verified domain.</t>
        </is>
      </c>
      <c r="M37" s="121" t="inlineStr">
        <is>
          <t>Knowledge — verify</t>
        </is>
      </c>
      <c r="N37" s="145" t="inlineStr">
        <is>
          <t>Adding an ultrasound line to 維康醫療用品 Wecare: CHISON SonoEye P3 and ECO</t>
        </is>
      </c>
      <c r="O37" s="108" t="inlineStr">
        <is>
          <t>Dear 維康醫療用品 Wecare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What you already have is the part we cannot build for ourselves: Medical supply retail chain (hospital concessions).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SonoEye P3: pocket handheld for emergency, intensive care and bedside point-of-care scanning
• ECO: entry B&amp;W platform for budget and rural tenders
• EBit 50: the value laptop that opens price-sensitive clinic accounts
That is two portable formats at two very different budgets, and it adds an imaging modality to your line card without touching a single brand you currently represent.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37" s="146" t="n"/>
      <c r="Q37" s="146" t="n"/>
      <c r="R37" s="146" t="n"/>
      <c r="S37" s="146" t="n"/>
    </row>
    <row r="38" hidden="1" ht="39.75" customHeight="1" s="104">
      <c r="A38" s="121" t="n">
        <v>34</v>
      </c>
      <c r="B38" s="143" t="inlineStr">
        <is>
          <t>白色牙材 White Dental</t>
        </is>
      </c>
      <c r="C38" s="123" t="inlineStr">
        <is>
          <t>Contacted</t>
        </is>
      </c>
      <c r="D38" s="121" t="inlineStr">
        <is>
          <t>Dental importer, 60 rec / 52 mfrs</t>
        </is>
      </c>
      <c r="E38" s="121" t="inlineStr">
        <is>
          <t>No — dental</t>
        </is>
      </c>
      <c r="F38" s="121" t="inlineStr">
        <is>
          <t>Taiwan</t>
        </is>
      </c>
      <c r="G38" s="121" t="inlineStr">
        <is>
          <t>search: 白色牙材</t>
        </is>
      </c>
      <c r="H38" s="121" t="inlineStr">
        <is>
          <t>via website</t>
        </is>
      </c>
      <c r="I38" s="121" t="inlineStr">
        <is>
          <t>Only if pursuing dental/OMS imaging niche</t>
        </is>
      </c>
      <c r="J38" s="121" t="inlineStr">
        <is>
          <t>SonoEye P5 niche only (low fit)</t>
        </is>
      </c>
      <c r="K38" s="148" t="inlineStr">
        <is>
          <t>3</t>
        </is>
      </c>
      <c r="L38" s="121" t="inlineStr">
        <is>
          <t>Tier 3 — carries a line (No — dental) — conflict to qualify · no verified domain.</t>
        </is>
      </c>
      <c r="M38" s="121" t="inlineStr">
        <is>
          <t>Directory (TFDA)</t>
        </is>
      </c>
      <c r="N38" s="145" t="inlineStr">
        <is>
          <t>Adding an ultrasound line to 白色牙材 White Dental: CHISON SonoEye P5 and SonoEye P3</t>
        </is>
      </c>
      <c r="O38" s="108" t="inlineStr">
        <is>
          <t>Dear 白色牙材 White Dental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What you already have is the part we cannot build for ourselves: Dental importer.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SonoEye P5: phone and tablet connected high-frequency handheld for musculoskeletal work, vascular access and small parts
• SonoEye P3: pocket handheld for emergency, intensive care and bedside point-of-care scanning
That is a focused handheld offer, and it adds an imaging modality to your line card without touching a single brand you currently represent.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38" s="146" t="inlineStr">
        <is>
          <t>service@whitedental.com.tw</t>
        </is>
      </c>
      <c r="Q38" s="146" t="inlineStr">
        <is>
          <t>DIR: TCMICA member directory</t>
        </is>
      </c>
      <c r="R38" s="146" t="inlineStr">
        <is>
          <t>Batch draft 1 of 3 (Send separately) sent 6 Oct 2026</t>
        </is>
      </c>
      <c r="S38" s="146" t="n"/>
    </row>
    <row r="39" ht="39.75" customHeight="1" s="104">
      <c r="A39" s="121" t="n">
        <v>35</v>
      </c>
      <c r="B39" s="143" t="inlineStr">
        <is>
          <t>力林國際 Vet Supply (crossover)</t>
        </is>
      </c>
      <c r="C39" s="123" t="inlineStr">
        <is>
          <t>Contacted</t>
        </is>
      </c>
      <c r="D39" s="121" t="inlineStr">
        <is>
          <t>Vet equipment distributor incl. vet US — see VET Taiwan tab</t>
        </is>
      </c>
      <c r="E39" s="121" t="inlineStr">
        <is>
          <t>Yes — vet US</t>
        </is>
      </c>
      <c r="F39" s="121" t="inlineStr">
        <is>
          <t>New Taipei</t>
        </is>
      </c>
      <c r="G39" s="121" t="inlineStr">
        <is>
          <t>vetsupply.com.tw</t>
        </is>
      </c>
      <c r="H39" s="121" t="inlineStr">
        <is>
          <t>(02)2250-9925 · j@vetsupply.com.tw</t>
        </is>
      </c>
      <c r="I39" s="121" t="inlineStr">
        <is>
          <t>Could take CHISON VET line nationally</t>
        </is>
      </c>
      <c r="J39" s="121" t="inlineStr">
        <is>
          <t>Full VET line national: SonoEye P3 Vet + EBit 50 Vet + SonoGO; complements their ProPet carts or replaces aging SKUs</t>
        </is>
      </c>
      <c r="K39" s="144" t="inlineStr">
        <is>
          <t>1</t>
        </is>
      </c>
      <c r="L39" s="121" t="inlineStr">
        <is>
          <t>Tier 1 UPHELD — carries vet ultrasound, but v2's Tier 1 definition explicitly carves out a vet-dedicated channel. Compliant, not an exception. Verified domain + direct phone.</t>
        </is>
      </c>
      <c r="M39" s="121" t="inlineStr">
        <is>
          <t>Verified site</t>
        </is>
      </c>
      <c r="N39" s="145" t="inlineStr">
        <is>
          <t>Vet Supply: CHISON ultrasound for your veterinary customers</t>
        </is>
      </c>
      <c r="O39" s="108" t="inlineStr">
        <is>
          <t>Dear 力林國際 Vet Supply team,
I am Casper Tan, Senior Regional Sales Manager at AstraMed Healthcare, a subsidiary of CHISON Medical Technologies, and I look after Taiwan. Vet Supply distributes veterinary equipment across Taiwan, and CHISON builds the same platforms in human and veterinary versions, with vet presets and dedicated probes.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veterinary clinics, these are the models I would start with:
• SonoEye P3: a pocket handheld for emergency, ICU and bedside work; SonoEye was rated the top handheld in an independent comparison of nine handheld devices published in Diagnostics (MDPI)
• SonoAir 70: a 2.1 kg laptop with four active probe ports and SonoAI tools such as automatic bladder volume and thyroid and breast nodule measurement
• SonoGo: a 3 in 1 system with a 15.6 inch full touchscreen, laptop portability at 4.8 kg and a trolley for cart level work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39" s="146" t="inlineStr">
        <is>
          <t>j@vetsupply.com.tw</t>
        </is>
      </c>
      <c r="Q39" s="146" t="inlineStr">
        <is>
          <t>A: from V12 verified site</t>
        </is>
      </c>
      <c r="R39" s="146" t="inlineStr">
        <is>
          <t>Sent 6 Oct 2026 from Winmail with Corporate Brochure 2027</t>
        </is>
      </c>
      <c r="S39" s="146" t="n"/>
    </row>
    <row r="40" hidden="1" ht="39.75" customHeight="1" s="104">
      <c r="A40" s="121" t="n">
        <v>36</v>
      </c>
      <c r="B40" s="122" t="inlineStr">
        <is>
          <t>EASTECH 動物超音波 · TFDA reg. name: 華鋒科技股份有限公司 (Eastech)</t>
        </is>
      </c>
      <c r="C40" s="123" t="inlineStr">
        <is>
          <t>Contacted</t>
        </is>
      </c>
      <c r="D40" s="121" t="inlineStr">
        <is>
          <t>Animal ultrasound systems supplier · TFDA registry: Established imaging distributor since 2006; Esaote (IT) + Zimmer Taiwan agent; acquired into BenQ/Qisda (明基佳世達) group in 2020</t>
        </is>
      </c>
      <c r="E40" s="121" t="inlineStr">
        <is>
          <t>Yes — vet US · TFDA registry: Esaote (Italy) — full cart/portable ultrasound line, plus vet ultrasound</t>
        </is>
      </c>
      <c r="F40" s="121" t="inlineStr">
        <is>
          <t>Taiwan · registered addr: 臺北市內湖區洲子街50號7樓</t>
        </is>
      </c>
      <c r="G40" s="121" t="inlineStr">
        <is>
          <t>eastech-medical.com</t>
        </is>
      </c>
      <c r="H40" s="121" t="inlineStr">
        <is>
          <t>via website · tel 02-8983-5039</t>
        </is>
      </c>
      <c r="I40" s="121" t="inlineStr">
        <is>
          <t>Vet channel candidate</t>
        </is>
      </c>
      <c r="J40" s="121" t="inlineStr">
        <is>
          <t>Lead SonoGO (new 3-in-1) + SonoEye vs incumbent line; SonoAir 70 premium portable</t>
        </is>
      </c>
      <c r="K40" s="147" t="inlineStr">
        <is>
          <t>2</t>
        </is>
      </c>
      <c r="L40" s="121" t="inlineStr">
        <is>
          <t>Tier 2 — carries a line (Yes — vet US · TFDA registry: Esaote (Italy) —) — conflict to qualify · verified domain.</t>
        </is>
      </c>
      <c r="M40" s="121" t="inlineStr">
        <is>
          <t>From search · TFDA registry (v2 relevance review)</t>
        </is>
      </c>
      <c r="N40" s="145" t="inlineStr">
        <is>
          <t>Eastech: CHISON handheld and portable ultrasound alongside your current line</t>
        </is>
      </c>
      <c r="O40" s="108" t="inlineStr">
        <is>
          <t>Dear 華鋒科技 Eastech team,
I am Casper Tan, Senior Regional Sales Manager at AstraMed Healthcare, a subsidiary of CHISON Medical Technologies, and I look after Taiwan. Eastech serves both human and veterinary customers in Taiwan with ultrasound, which is exactly the mix CHISON builds for.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As you already represent Esaote, my first question is whether that agreement is exclusive. If there is room, these handheld and portable models complement a cart line rather than compete with it:
• SonoEye P3: a pocket handheld for emergency, ICU and bedside work; SonoEye was rated the top handheld in an independent comparison of nine handheld devices published in Diagnostics (MDPI)
• SonoEye P5: a phone paired handheld with high frequency imaging for MSK, vascular access and small parts
• SonoAir 70: a 2.1 kg laptop with four active probe ports and SonoAI tools such as automatic bladder volume and thyroid and breast nodule measurement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40" s="108" t="inlineStr">
        <is>
          <t>info@eastech-medical.com.tw</t>
        </is>
      </c>
      <c r="Q40" s="108" t="inlineStr">
        <is>
          <t>A: read on eastech-medical.com/contact 6 Oct</t>
        </is>
      </c>
      <c r="R40" s="108" t="inlineStr">
        <is>
          <t>Sent 6 Oct 2026 from Winmail with Corporate Brochure 2027</t>
        </is>
      </c>
      <c r="S40" s="108" t="n"/>
    </row>
    <row r="41" hidden="1" ht="39.75" customHeight="1" s="104">
      <c r="A41" s="121" t="n">
        <v>37</v>
      </c>
      <c r="B41" s="122" t="inlineStr">
        <is>
          <t>Folibio</t>
        </is>
      </c>
      <c r="C41" s="123" t="inlineStr">
        <is>
          <t>Not started</t>
        </is>
      </c>
      <c r="D41" s="121" t="inlineStr">
        <is>
          <t>Vet/life-science distributor</t>
        </is>
      </c>
      <c r="E41" s="121" t="inlineStr">
        <is>
          <t>Unknown</t>
        </is>
      </c>
      <c r="F41" s="121" t="inlineStr">
        <is>
          <t>Taipei</t>
        </is>
      </c>
      <c r="G41" s="121" t="inlineStr">
        <is>
          <t>search: Folibio Taiwan</t>
        </is>
      </c>
      <c r="H41" s="121" t="inlineStr">
        <is>
          <t>Jovi Peng (lead to confirm)</t>
        </is>
      </c>
      <c r="I41" s="121" t="inlineStr">
        <is>
          <t>Vet channel candidate</t>
        </is>
      </c>
      <c r="J41" s="121" t="inlineStr">
        <is>
          <t>Open with SonoEye P3 + SonoBook 9; add QBit 5/CBit 4 carts once service is set up</t>
        </is>
      </c>
      <c r="K41" s="148" t="inlineStr">
        <is>
          <t>3</t>
        </is>
      </c>
      <c r="L41" s="121" t="inlineStr">
        <is>
          <t>Tier 3 — line card unqualified — ask first · no verified domain.</t>
        </is>
      </c>
      <c r="M41" s="121" t="inlineStr">
        <is>
          <t>From search</t>
        </is>
      </c>
      <c r="N41" s="145" t="inlineStr">
        <is>
          <t>CHISON ultrasound for Folibio: a line-card addition, with TFDA handled by us</t>
        </is>
      </c>
      <c r="O41" s="108" t="inlineStr">
        <is>
          <t>Dear Folibio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profile, as I understand it from the outside: Vet/life-science distributor, with coverage across Taipei.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41" s="108" t="n"/>
      <c r="Q41" s="108" t="n"/>
      <c r="R41" s="108" t="n"/>
      <c r="S41" s="108" t="n"/>
    </row>
    <row r="42" hidden="1" ht="39.75" customHeight="1" s="104">
      <c r="A42" s="121" t="n">
        <v>38</v>
      </c>
      <c r="B42" s="143" t="inlineStr">
        <is>
          <t>台灣醫療暨生技器材工業同業公會 TMBIA</t>
        </is>
      </c>
      <c r="C42" s="123" t="inlineStr">
        <is>
          <t>Not started</t>
        </is>
      </c>
      <c r="D42" s="121" t="inlineStr">
        <is>
          <t>Industry association — member directory searchable</t>
        </is>
      </c>
      <c r="E42" s="121" t="inlineStr">
        <is>
          <t>Resource</t>
        </is>
      </c>
      <c r="F42" s="121" t="inlineStr">
        <is>
          <t>Taipei</t>
        </is>
      </c>
      <c r="G42" s="121" t="inlineStr">
        <is>
          <t>tmbia.org.tw</t>
        </is>
      </c>
      <c r="H42" s="121" t="inlineStr">
        <is>
          <t>via website</t>
        </is>
      </c>
      <c r="I42" s="121" t="inlineStr">
        <is>
          <t>Source for dozens more qualified dealers; booth intros</t>
        </is>
      </c>
      <c r="J42" s="121" t="inlineStr">
        <is>
          <t>— (channel resource — no product pitch)</t>
        </is>
      </c>
      <c r="K42" s="148" t="inlineStr">
        <is>
          <t>3-Resource</t>
        </is>
      </c>
      <c r="L42" s="121" t="inlineStr">
        <is>
          <t>Resource — association, expo, registry or directory used to source more leads, not a company to pitch.</t>
        </is>
      </c>
      <c r="M42" s="121" t="inlineStr">
        <is>
          <t>Verified site</t>
        </is>
      </c>
      <c r="N42" s="145" t="inlineStr">
        <is>
          <t>Membership and member directory enquiry: AstraMed Healthcare (CHISON ultrasound)</t>
        </is>
      </c>
      <c r="O42" s="108" t="inlineStr">
        <is>
          <t>Dear 台灣醫療暨生技器材工業同業公會 TMBIA Secretariat,
I am Casper Tan, Senior Regional Sales Manager at AstraMed Healthcare, the CHISON Medical Technologies subsidiary responsible for this region. We are establishing distribution in Taiwan this year. CHISON has manufactured diagnostic ultrasound in Wuxi, China since 1996 and sells into more than 100 countries, with CE and US FDA clearance.
I have two requests, if I may. First, could you tell me what membership involves for a company in our position, including category, criteria, annual fee and the access it carries? Second, is the member directory available to members or to the trade, and does the association run any programme introducing overseas manufacturers to member distributors?
We are looking for a small number of serious partners rather than broad coverage, so any guidance on the appropriate route would be very welcome.
Best regards,
Casper Tan
Senior Regional Sales Manager
AstraMed Healthcare, a subsidiary of CHISON Medical Technologies</t>
        </is>
      </c>
      <c r="P42" s="146" t="n"/>
      <c r="Q42" s="146" t="n"/>
      <c r="R42" s="146" t="n"/>
      <c r="S42" s="146" t="n"/>
    </row>
    <row r="43" hidden="1" ht="39.75" customHeight="1" s="104">
      <c r="A43" s="121" t="n">
        <v>39</v>
      </c>
      <c r="B43" s="122" t="inlineStr">
        <is>
          <t>MEDICARE TAIWAN 台灣醫療展</t>
        </is>
      </c>
      <c r="C43" s="123" t="inlineStr">
        <is>
          <t>Not started</t>
        </is>
      </c>
      <c r="D43" s="121" t="inlineStr">
        <is>
          <t>Annual medical devices expo (TAITRA)</t>
        </is>
      </c>
      <c r="E43" s="121" t="inlineStr">
        <is>
          <t>Resource</t>
        </is>
      </c>
      <c r="F43" s="121" t="inlineStr">
        <is>
          <t>Taipei</t>
        </is>
      </c>
      <c r="G43" s="121" t="inlineStr">
        <is>
          <t>medicare.taiwantrade.com</t>
        </is>
      </c>
      <c r="H43" s="121" t="inlineStr">
        <is>
          <t>via website</t>
        </is>
      </c>
      <c r="I43" s="121" t="inlineStr">
        <is>
          <t>Dealer scouting + KOL contact in one trip</t>
        </is>
      </c>
      <c r="J43" s="121" t="inlineStr">
        <is>
          <t>— (channel resource — no product pitch)</t>
        </is>
      </c>
      <c r="K43" s="148" t="inlineStr">
        <is>
          <t>3-Resource</t>
        </is>
      </c>
      <c r="L43" s="121" t="inlineStr">
        <is>
          <t>Resource — association, expo, registry or directory used to source more leads, not a company to pitch.</t>
        </is>
      </c>
      <c r="M43" s="121" t="inlineStr">
        <is>
          <t>Knowledge — verify</t>
        </is>
      </c>
      <c r="N43" s="145" t="inlineStr">
        <is>
          <t>Exhibitor and visitor enquiry: CHISON / AstraMed Healthcare</t>
        </is>
      </c>
      <c r="O43" s="108" t="inlineStr">
        <is>
          <t>Dear MEDICARE TAIWAN 台灣醫療展 team,
I am Casper Tan, Senior Regional Sales Manager at AstraMed Healthcare, the CHISON Medical Technologies subsidiary responsible for this region. CHISON has manufactured diagnostic ultrasound in Wuxi, China since 1996 and sells into more than 100 countries, with CE and US FDA clearance.
We are planning our Taiwan market activity, and MEDICARE TAIWAN 台灣醫療展 is where the distributors we want to meet actually gather.
Could you send me the exhibitor prospectus for the coming edition, covering floor plan, booth categories, rates and deadlines, and let me know whether any distributor matchmaking or business partnering programme runs alongside the show? If exhibiting is already closed for this cycle, I would still like to attend and would appreciate the visitor registration details.
Best regards,
Casper Tan
Senior Regional Sales Manager
AstraMed Healthcare, a subsidiary of CHISON Medical Technologies</t>
        </is>
      </c>
      <c r="P43" s="108" t="n"/>
      <c r="Q43" s="108" t="n"/>
      <c r="R43" s="108" t="n"/>
      <c r="S43" s="108" t="n"/>
    </row>
    <row r="44" hidden="1" ht="39.75" customHeight="1" s="104">
      <c r="A44" s="121" t="n">
        <v>40</v>
      </c>
      <c r="B44" s="122" t="inlineStr">
        <is>
          <t>TW17 台灣儀器網</t>
        </is>
      </c>
      <c r="C44" s="123" t="inlineStr">
        <is>
          <t>Not started</t>
        </is>
      </c>
      <c r="D44" s="121" t="inlineStr">
        <is>
          <t>Online directory of instrument/device firms</t>
        </is>
      </c>
      <c r="E44" s="121" t="inlineStr">
        <is>
          <t>Resource</t>
        </is>
      </c>
      <c r="F44" s="121" t="inlineStr">
        <is>
          <t>Online</t>
        </is>
      </c>
      <c r="G44" s="121" t="inlineStr">
        <is>
          <t>tw17.com.tw</t>
        </is>
      </c>
      <c r="H44" s="121" t="inlineStr">
        <is>
          <t>—</t>
        </is>
      </c>
      <c r="I44" s="121" t="inlineStr">
        <is>
          <t>Lead replenishment</t>
        </is>
      </c>
      <c r="J44" s="121" t="inlineStr">
        <is>
          <t>— (channel resource — no product pitch)</t>
        </is>
      </c>
      <c r="K44" s="148" t="inlineStr">
        <is>
          <t>3-Resource</t>
        </is>
      </c>
      <c r="L44" s="121" t="inlineStr">
        <is>
          <t>Resource — association, expo, registry or directory used to source more leads, not a company to pitch.</t>
        </is>
      </c>
      <c r="M44" s="121" t="inlineStr">
        <is>
          <t>From search</t>
        </is>
      </c>
      <c r="N44" s="145" t="inlineStr">
        <is>
          <t>Listing and supplier enquiry: TW17 台灣儀器網</t>
        </is>
      </c>
      <c r="O44" s="108" t="inlineStr">
        <is>
          <t>Dear TW17 台灣儀器網 team,
I am Casper Tan, Senior Regional Sales Manager at AstraMed Healthcare, the CHISON Medical Technologies subsidiary responsible for this region. CHISON has manufactured diagnostic ultrasound in Wuxi, China since 1996 and sells into more than 100 countries, with CE and US FDA clearance.
We are developing distribution in Taiwan, and TW17 台灣儀器網 is one of the sources we are working through.
Could you let me know how a supplier listing works on your platform, including cost, what it includes and how enquiries are routed, and whether you offer any buyer matching or introduction service for companies seeking distributors? Could you point me to the right person, or let me know the process and the current fee schedule?
Best regards,
Casper Tan
Senior Regional Sales Manager
AstraMed Healthcare, a subsidiary of CHISON Medical Technologies</t>
        </is>
      </c>
      <c r="P44" s="108" t="n"/>
      <c r="Q44" s="108" t="n"/>
      <c r="R44" s="108" t="n"/>
      <c r="S44" s="108" t="n"/>
    </row>
    <row r="45" hidden="1" ht="39.75" customHeight="1" s="104">
      <c r="A45" s="121" t="n">
        <v>41</v>
      </c>
      <c r="B45" s="122" t="inlineStr">
        <is>
          <t>Healthcare+ B2B (Taiwan-Healthcare)</t>
        </is>
      </c>
      <c r="C45" s="123" t="inlineStr">
        <is>
          <t>Not started</t>
        </is>
      </c>
      <c r="D45" s="121" t="inlineStr">
        <is>
          <t>B2B directory of TW ultrasound/device suppliers</t>
        </is>
      </c>
      <c r="E45" s="121" t="inlineStr">
        <is>
          <t>Resource</t>
        </is>
      </c>
      <c r="F45" s="121" t="inlineStr">
        <is>
          <t>Online</t>
        </is>
      </c>
      <c r="G45" s="121" t="inlineStr">
        <is>
          <t>taiwan-healthcare.org</t>
        </is>
      </c>
      <c r="H45" s="121" t="inlineStr">
        <is>
          <t>—</t>
        </is>
      </c>
      <c r="I45" s="121" t="inlineStr">
        <is>
          <t>Lead replenishment</t>
        </is>
      </c>
      <c r="J45" s="121" t="inlineStr">
        <is>
          <t>— (channel resource — no product pitch)</t>
        </is>
      </c>
      <c r="K45" s="148" t="inlineStr">
        <is>
          <t>3-Resource</t>
        </is>
      </c>
      <c r="L45" s="121" t="inlineStr">
        <is>
          <t>Resource — association, expo, registry or directory used to source more leads, not a company to pitch.</t>
        </is>
      </c>
      <c r="M45" s="121" t="inlineStr">
        <is>
          <t>From search</t>
        </is>
      </c>
      <c r="N45" s="145" t="inlineStr">
        <is>
          <t>Listing and supplier enquiry: Healthcare+ B2B (Taiwan-Healthcare)</t>
        </is>
      </c>
      <c r="O45" s="108" t="inlineStr">
        <is>
          <t>Dear Healthcare+ B2B (Taiwan-Healthcare) team,
I am Casper Tan, Senior Regional Sales Manager at AstraMed Healthcare, the CHISON Medical Technologies subsidiary responsible for this region. CHISON has manufactured diagnostic ultrasound in Wuxi, China since 1996 and sells into more than 100 countries, with CE and US FDA clearance.
We are developing distribution in Taiwan, and Healthcare+ B2B (Taiwan-Healthcare) is one of the sources we are working through.
Could you let me know how a supplier listing works on your platform, including cost, what it includes and how enquiries are routed, and whether you offer any buyer matching or introduction service for companies seeking distributors? Could you point me to the right person, or let me know the process and the current fee schedule?
Best regards,
Casper Tan
Senior Regional Sales Manager
AstraMed Healthcare, a subsidiary of CHISON Medical Technologies</t>
        </is>
      </c>
      <c r="P45" s="108" t="n"/>
      <c r="Q45" s="108" t="n"/>
      <c r="R45" s="108" t="n"/>
      <c r="S45" s="108" t="n"/>
    </row>
    <row r="46" hidden="1" ht="39.75" customHeight="1" s="104">
      <c r="A46" s="121" t="n">
        <v>42</v>
      </c>
      <c r="B46" s="122" t="inlineStr">
        <is>
          <t>TFDA 智慧醫材媒合平台 AIMD</t>
        </is>
      </c>
      <c r="C46" s="123" t="inlineStr">
        <is>
          <t>Not started</t>
        </is>
      </c>
      <c r="D46" s="121" t="inlineStr">
        <is>
          <t>Official TFDA company match platform</t>
        </is>
      </c>
      <c r="E46" s="121" t="inlineStr">
        <is>
          <t>Resource</t>
        </is>
      </c>
      <c r="F46" s="121" t="inlineStr">
        <is>
          <t>Online</t>
        </is>
      </c>
      <c r="G46" s="121" t="inlineStr">
        <is>
          <t>aimd.fda.gov.tw</t>
        </is>
      </c>
      <c r="H46" s="121" t="inlineStr">
        <is>
          <t>—</t>
        </is>
      </c>
      <c r="I46" s="121" t="inlineStr">
        <is>
          <t>Registered-company lookup</t>
        </is>
      </c>
      <c r="J46" s="121" t="inlineStr">
        <is>
          <t>— (channel resource — no product pitch)</t>
        </is>
      </c>
      <c r="K46" s="148" t="inlineStr">
        <is>
          <t>3-Resource</t>
        </is>
      </c>
      <c r="L46" s="121" t="inlineStr">
        <is>
          <t>Resource — association, expo, registry or directory used to source more leads, not a company to pitch.</t>
        </is>
      </c>
      <c r="M46" s="121" t="inlineStr">
        <is>
          <t>From search</t>
        </is>
      </c>
      <c r="N46" s="145" t="inlineStr">
        <is>
          <t>Data access enquiry: TFDA 智慧醫材媒合平台 AIMD</t>
        </is>
      </c>
      <c r="O46" s="108" t="inlineStr">
        <is>
          <t>Dear TFDA 智慧醫材媒合平台 AIMD team,
I am Casper Tan, Senior Regional Sales Manager at AstraMed Healthcare, the CHISON Medical Technologies subsidiary responsible for this region. We are preparing market entry in Taiwan.
I would like to use TFDA 智慧醫材媒合平台 AIMD to verify the standing of the distributors we are considering, and to understand the current position for diagnostic ultrasound.
Could you confirm whether access is open to overseas companies, whether an account or local representative is required, and whether the data can be exported for our own analysis? Could you point me to the right person, or let me know the process and the current fee schedule?
Best regards,
Casper Tan
Senior Regional Sales Manager
AstraMed Healthcare, a subsidiary of CHISON Medical Technologies</t>
        </is>
      </c>
      <c r="P46" s="108" t="n"/>
      <c r="Q46" s="108" t="n"/>
      <c r="R46" s="108" t="n"/>
      <c r="S46" s="108" t="n"/>
    </row>
    <row r="47" hidden="1" ht="39.75" customHeight="1" s="104">
      <c r="A47" s="121" t="n">
        <v>43</v>
      </c>
      <c r="B47" s="143" t="inlineStr">
        <is>
          <t>台灣東洋/怡發等 pharma distributors</t>
        </is>
      </c>
      <c r="C47" s="123" t="inlineStr">
        <is>
          <t>Not started</t>
        </is>
      </c>
      <c r="D47" s="121" t="inlineStr">
        <is>
          <t>Pharma channels with device ambitions — explore selectively</t>
        </is>
      </c>
      <c r="E47" s="121" t="inlineStr">
        <is>
          <t>Unknown</t>
        </is>
      </c>
      <c r="F47" s="121" t="inlineStr">
        <is>
          <t>Taiwan</t>
        </is>
      </c>
      <c r="G47" s="121" t="inlineStr">
        <is>
          <t>—</t>
        </is>
      </c>
      <c r="H47" s="121" t="inlineStr">
        <is>
          <t>—</t>
        </is>
      </c>
      <c r="I47" s="121" t="inlineStr">
        <is>
          <t>Optional diversification route</t>
        </is>
      </c>
      <c r="J47" s="121" t="inlineStr">
        <is>
          <t>Clinic starter: SonoEye P3 + ECO/EBit 50; SonoGO for premium clinics</t>
        </is>
      </c>
      <c r="K47" s="148" t="inlineStr">
        <is>
          <t>3</t>
        </is>
      </c>
      <c r="L47" s="121" t="inlineStr">
        <is>
          <t>Tier 3 — line card unqualified — ask first · verified domain.</t>
        </is>
      </c>
      <c r="M47" s="121" t="inlineStr">
        <is>
          <t>Knowledge — verify</t>
        </is>
      </c>
      <c r="N47" s="145" t="inlineStr">
        <is>
          <t>CHISON ultrasound for 台灣東洋/怡發等 pharma distributors: a line-card addition, with TFDA handled by us</t>
        </is>
      </c>
      <c r="O47" s="108" t="inlineStr">
        <is>
          <t>Dear 台灣東洋/怡發等 pharma distributors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profile, as I understand it from the outside: Pharma channels with device ambitions, explore selectively, with coverage across Taiwan.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ECO: entry B&amp;W platform for budget and rural tenders
• EBit 50: the value laptop that opens price-sensitive clinic accounts
That is two portable formats at two very different budgets,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47" s="146" t="n"/>
      <c r="Q47" s="146" t="n"/>
      <c r="R47" s="146" t="n"/>
      <c r="S47" s="146" t="n"/>
    </row>
    <row r="48" hidden="1" ht="39.75" customHeight="1" s="104">
      <c r="A48" s="121" t="n">
        <v>44</v>
      </c>
      <c r="B48" s="143" t="inlineStr">
        <is>
          <t>台灣飛利浦 Philips Taiwan</t>
        </is>
      </c>
      <c r="C48" s="123" t="inlineStr">
        <is>
          <t>Not started</t>
        </is>
      </c>
      <c r="D48" s="121" t="inlineStr">
        <is>
          <t>Brand subsidiary (257 TFDA rec)</t>
        </is>
      </c>
      <c r="E48" s="121" t="inlineStr">
        <is>
          <t>Competitor</t>
        </is>
      </c>
      <c r="F48" s="121" t="inlineStr">
        <is>
          <t>Taipei</t>
        </is>
      </c>
      <c r="G48" s="121" t="inlineStr">
        <is>
          <t>philips.com.tw</t>
        </is>
      </c>
      <c r="H48" s="121" t="inlineStr">
        <is>
          <t>—</t>
        </is>
      </c>
      <c r="I48" s="121" t="inlineStr">
        <is>
          <t>NOT a target — competitor US maker</t>
        </is>
      </c>
      <c r="J48" s="121" t="inlineStr">
        <is>
          <t>—</t>
        </is>
      </c>
      <c r="K48" s="149" t="inlineStr">
        <is>
          <t>REF</t>
        </is>
      </c>
      <c r="L48" s="121" t="inlineStr">
        <is>
          <t>REF — competitor or brand subsidiary. Awareness only, not an outreach target.</t>
        </is>
      </c>
      <c r="M48" s="121" t="inlineStr">
        <is>
          <t>Directory (TFDA)</t>
        </is>
      </c>
      <c r="N48" s="150" t="inlineStr">
        <is>
          <t>REF row: not an outreach target</t>
        </is>
      </c>
      <c r="O48" s="150" t="inlineStr">
        <is>
          <t>No outreach email. This row is a competitor, brand subsidiary or local manufacturer, kept in the workbook for market awareness and price benchmarking only. Reference note from the list: NOT a target, competitor US maker</t>
        </is>
      </c>
      <c r="P48" s="146" t="n"/>
      <c r="Q48" s="146" t="n"/>
      <c r="R48" s="146" t="n"/>
      <c r="S48" s="146" t="n"/>
    </row>
    <row r="49" hidden="1" ht="39.75" customHeight="1" s="104">
      <c r="A49" s="121" t="n">
        <v>45</v>
      </c>
      <c r="B49" s="143" t="inlineStr">
        <is>
          <t>奇異亞洲醫療 GE HealthCare Taiwan</t>
        </is>
      </c>
      <c r="C49" s="123" t="inlineStr">
        <is>
          <t>Not started</t>
        </is>
      </c>
      <c r="D49" s="121" t="inlineStr">
        <is>
          <t>Brand subsidiary (152 rec)</t>
        </is>
      </c>
      <c r="E49" s="121" t="inlineStr">
        <is>
          <t>Competitor</t>
        </is>
      </c>
      <c r="F49" s="121" t="inlineStr">
        <is>
          <t>Taipei</t>
        </is>
      </c>
      <c r="G49" s="121" t="inlineStr">
        <is>
          <t>gehealthcare.com</t>
        </is>
      </c>
      <c r="H49" s="121" t="inlineStr">
        <is>
          <t>—</t>
        </is>
      </c>
      <c r="I49" s="121" t="inlineStr">
        <is>
          <t>NOT a target</t>
        </is>
      </c>
      <c r="J49" s="121" t="inlineStr">
        <is>
          <t>—</t>
        </is>
      </c>
      <c r="K49" s="149" t="inlineStr">
        <is>
          <t>REF</t>
        </is>
      </c>
      <c r="L49" s="121" t="inlineStr">
        <is>
          <t>REF — competitor or brand subsidiary. Awareness only, not an outreach target.</t>
        </is>
      </c>
      <c r="M49" s="121" t="inlineStr">
        <is>
          <t>Directory (TFDA)</t>
        </is>
      </c>
      <c r="N49" s="150" t="inlineStr">
        <is>
          <t>REF row: not an outreach target</t>
        </is>
      </c>
      <c r="O49" s="150" t="inlineStr">
        <is>
          <t>No outreach email. This row is a competitor, brand subsidiary or local manufacturer, kept in the workbook for market awareness and price benchmarking only. Reference note from the list: NOT a target</t>
        </is>
      </c>
      <c r="P49" s="146" t="n"/>
      <c r="Q49" s="146" t="n"/>
      <c r="R49" s="146" t="n"/>
      <c r="S49" s="146" t="n"/>
    </row>
    <row r="50" hidden="1" ht="39.75" customHeight="1" s="104">
      <c r="A50" s="121" t="n">
        <v>46</v>
      </c>
      <c r="B50" s="143" t="inlineStr">
        <is>
          <t>富士軟片醫療 Fujifilm Medical Taiwan</t>
        </is>
      </c>
      <c r="C50" s="123" t="inlineStr">
        <is>
          <t>Not started</t>
        </is>
      </c>
      <c r="D50" s="121" t="inlineStr">
        <is>
          <t>Brand subsidiary (269 rec)</t>
        </is>
      </c>
      <c r="E50" s="121" t="inlineStr">
        <is>
          <t>Competitor</t>
        </is>
      </c>
      <c r="F50" s="121" t="inlineStr">
        <is>
          <t>Taipei</t>
        </is>
      </c>
      <c r="G50" s="121" t="inlineStr">
        <is>
          <t>fujifilm.com/tw</t>
        </is>
      </c>
      <c r="H50" s="121" t="inlineStr">
        <is>
          <t>—</t>
        </is>
      </c>
      <c r="I50" s="121" t="inlineStr">
        <is>
          <t>NOT a target</t>
        </is>
      </c>
      <c r="J50" s="121" t="inlineStr">
        <is>
          <t>—</t>
        </is>
      </c>
      <c r="K50" s="149" t="inlineStr">
        <is>
          <t>REF</t>
        </is>
      </c>
      <c r="L50" s="121" t="inlineStr">
        <is>
          <t>REF — competitor or brand subsidiary. Awareness only, not an outreach target.</t>
        </is>
      </c>
      <c r="M50" s="121" t="inlineStr">
        <is>
          <t>Directory (TFDA)</t>
        </is>
      </c>
      <c r="N50" s="150" t="inlineStr">
        <is>
          <t>REF row: not an outreach target</t>
        </is>
      </c>
      <c r="O50" s="150" t="inlineStr">
        <is>
          <t>No outreach email. This row is a competitor, brand subsidiary or local manufacturer, kept in the workbook for market awareness and price benchmarking only. Reference note from the list: NOT a target</t>
        </is>
      </c>
      <c r="P50" s="146" t="n"/>
      <c r="Q50" s="146" t="n"/>
      <c r="R50" s="146" t="n"/>
      <c r="S50" s="146" t="n"/>
    </row>
    <row r="51" hidden="1" ht="39.75" customHeight="1" s="104">
      <c r="A51" s="121" t="n">
        <v>47</v>
      </c>
      <c r="B51" s="143" t="inlineStr">
        <is>
          <t>西門子醫療 Siemens Healthineers TW</t>
        </is>
      </c>
      <c r="C51" s="123" t="inlineStr">
        <is>
          <t>Not started</t>
        </is>
      </c>
      <c r="D51" s="121" t="inlineStr">
        <is>
          <t>Brand subsidiary (1159 rec)</t>
        </is>
      </c>
      <c r="E51" s="121" t="inlineStr">
        <is>
          <t>Competitor</t>
        </is>
      </c>
      <c r="F51" s="121" t="inlineStr">
        <is>
          <t>Taipei</t>
        </is>
      </c>
      <c r="G51" s="121" t="inlineStr">
        <is>
          <t>siemens-healthineers.com</t>
        </is>
      </c>
      <c r="H51" s="121" t="inlineStr">
        <is>
          <t>—</t>
        </is>
      </c>
      <c r="I51" s="121" t="inlineStr">
        <is>
          <t>NOT a target</t>
        </is>
      </c>
      <c r="J51" s="121" t="inlineStr">
        <is>
          <t>—</t>
        </is>
      </c>
      <c r="K51" s="149" t="inlineStr">
        <is>
          <t>REF</t>
        </is>
      </c>
      <c r="L51" s="121" t="inlineStr">
        <is>
          <t>REF — competitor or brand subsidiary. Awareness only, not an outreach target.</t>
        </is>
      </c>
      <c r="M51" s="121" t="inlineStr">
        <is>
          <t>Directory (TFDA)</t>
        </is>
      </c>
      <c r="N51" s="150" t="inlineStr">
        <is>
          <t>REF row: not an outreach target</t>
        </is>
      </c>
      <c r="O51" s="150" t="inlineStr">
        <is>
          <t>No outreach email. This row is a competitor, brand subsidiary or local manufacturer, kept in the workbook for market awareness and price benchmarking only. Reference note from the list: NOT a target</t>
        </is>
      </c>
      <c r="P51" s="146" t="n"/>
      <c r="Q51" s="146" t="n"/>
      <c r="R51" s="146" t="n"/>
      <c r="S51" s="146" t="n"/>
    </row>
    <row r="52" hidden="1" ht="39.75" customHeight="1" s="104">
      <c r="A52" s="121" t="n">
        <v>48</v>
      </c>
      <c r="B52" s="122" t="inlineStr">
        <is>
          <t>BenQ Medical 明基佳世達醫療</t>
        </is>
      </c>
      <c r="C52" s="123" t="inlineStr">
        <is>
          <t>Not started</t>
        </is>
      </c>
      <c r="D52" s="121" t="inlineStr">
        <is>
          <t>TW conglomerate making own ultrasound</t>
        </is>
      </c>
      <c r="E52" s="121" t="inlineStr">
        <is>
          <t>Competitor</t>
        </is>
      </c>
      <c r="F52" s="121" t="inlineStr">
        <is>
          <t>Taoyuan</t>
        </is>
      </c>
      <c r="G52" s="121" t="inlineStr">
        <is>
          <t>benqmedicaltech.com</t>
        </is>
      </c>
      <c r="H52" s="121" t="inlineStr">
        <is>
          <t>—</t>
        </is>
      </c>
      <c r="I52" s="121" t="inlineStr">
        <is>
          <t>Local competitor — price/positioning intel</t>
        </is>
      </c>
      <c r="J52" s="121" t="inlineStr">
        <is>
          <t>—</t>
        </is>
      </c>
      <c r="K52" s="149" t="inlineStr">
        <is>
          <t>REF</t>
        </is>
      </c>
      <c r="L52" s="121" t="inlineStr">
        <is>
          <t>REF — competitor or brand subsidiary. Awareness only, not an outreach target.</t>
        </is>
      </c>
      <c r="M52" s="121" t="inlineStr">
        <is>
          <t>Knowledge — verify</t>
        </is>
      </c>
      <c r="N52" s="150" t="inlineStr">
        <is>
          <t>REF row: not an outreach target</t>
        </is>
      </c>
      <c r="O52" s="150" t="inlineStr">
        <is>
          <t>No outreach email. This row is a competitor, brand subsidiary or local manufacturer, kept in the workbook for market awareness and price benchmarking only. Reference note from the list: Local competitor, price/positioning intel</t>
        </is>
      </c>
      <c r="P52" s="108" t="n"/>
      <c r="Q52" s="108" t="n"/>
      <c r="R52" s="108" t="n"/>
      <c r="S52" s="108" t="n"/>
    </row>
    <row r="53" hidden="1" ht="39.75" customHeight="1" s="104">
      <c r="A53" s="121" t="n">
        <v>49</v>
      </c>
      <c r="B53" s="143" t="inlineStr">
        <is>
          <t>美敦力/壯生/史賽克/波士頓 等 MNC subs</t>
        </is>
      </c>
      <c r="C53" s="123" t="inlineStr">
        <is>
          <t>Not started</t>
        </is>
      </c>
      <c r="D53" s="121" t="inlineStr">
        <is>
          <t>Therapy-device brand subsidiaries</t>
        </is>
      </c>
      <c r="E53" s="121" t="inlineStr">
        <is>
          <t>N/A</t>
        </is>
      </c>
      <c r="F53" s="121" t="inlineStr">
        <is>
          <t>Taipei</t>
        </is>
      </c>
      <c r="G53" s="121" t="inlineStr">
        <is>
          <t>—</t>
        </is>
      </c>
      <c r="H53" s="121" t="inlineStr">
        <is>
          <t>—</t>
        </is>
      </c>
      <c r="I53" s="121" t="inlineStr">
        <is>
          <t>Not targets; listed for completeness of TFDA top-importer landscape</t>
        </is>
      </c>
      <c r="J53" s="121" t="inlineStr">
        <is>
          <t>—</t>
        </is>
      </c>
      <c r="K53" s="149" t="inlineStr">
        <is>
          <t>REF</t>
        </is>
      </c>
      <c r="L53" s="121" t="inlineStr">
        <is>
          <t>REF — competitor or brand subsidiary. Awareness only, not an outreach target.</t>
        </is>
      </c>
      <c r="M53" s="121" t="inlineStr">
        <is>
          <t>Directory (TFDA)</t>
        </is>
      </c>
      <c r="N53" s="150" t="inlineStr">
        <is>
          <t>REF row: not an outreach target</t>
        </is>
      </c>
      <c r="O53" s="150" t="inlineStr">
        <is>
          <t>No outreach email. This row is a competitor, brand subsidiary or local manufacturer, kept in the workbook for market awareness and price benchmarking only. Reference note from the list: Not targets; listed for completeness of TFDA top-importer landscape</t>
        </is>
      </c>
      <c r="P53" s="146" t="n"/>
      <c r="Q53" s="146" t="n"/>
      <c r="R53" s="146" t="n"/>
      <c r="S53" s="146" t="n"/>
    </row>
    <row r="54" hidden="1" ht="39.75" customHeight="1" s="104">
      <c r="A54" s="121" t="n">
        <v>50</v>
      </c>
      <c r="B54" s="122" t="inlineStr">
        <is>
          <t>Medical-xprt TW supplier list</t>
        </is>
      </c>
      <c r="C54" s="123" t="inlineStr">
        <is>
          <t>Not started</t>
        </is>
      </c>
      <c r="D54" s="121" t="inlineStr">
        <is>
          <t>Aggregator of US suppliers serving TW</t>
        </is>
      </c>
      <c r="E54" s="121" t="inlineStr">
        <is>
          <t>Resource</t>
        </is>
      </c>
      <c r="F54" s="121" t="inlineStr">
        <is>
          <t>Online</t>
        </is>
      </c>
      <c r="G54" s="121" t="inlineStr">
        <is>
          <t>medical-xprt.com</t>
        </is>
      </c>
      <c r="H54" s="121" t="inlineStr">
        <is>
          <t>—</t>
        </is>
      </c>
      <c r="I54" s="121" t="inlineStr">
        <is>
          <t>Lead replenishment</t>
        </is>
      </c>
      <c r="J54" s="121" t="inlineStr">
        <is>
          <t>— (channel resource — no product pitch)</t>
        </is>
      </c>
      <c r="K54" s="148" t="inlineStr">
        <is>
          <t>3-Resource</t>
        </is>
      </c>
      <c r="L54" s="121" t="inlineStr">
        <is>
          <t>Resource — association, expo, registry or directory used to source more leads, not a company to pitch.</t>
        </is>
      </c>
      <c r="M54" s="121" t="inlineStr">
        <is>
          <t>From search</t>
        </is>
      </c>
      <c r="N54" s="145" t="inlineStr">
        <is>
          <t>Listing and supplier enquiry: Medical-xprt TW supplier list</t>
        </is>
      </c>
      <c r="O54" s="108" t="inlineStr">
        <is>
          <t>Dear Medical-xprt TW supplier list team,
I am Casper Tan, Senior Regional Sales Manager at AstraMed Healthcare, the CHISON Medical Technologies subsidiary responsible for this region. CHISON has manufactured diagnostic ultrasound in Wuxi, China since 1996 and sells into more than 100 countries, with CE and US FDA clearance.
We are developing distribution in Taiwan, and Medical-xprt TW supplier list is one of the sources we are working through.
Could you let me know how a supplier listing works on your platform, including cost, what it includes and how enquiries are routed, and whether you offer any buyer matching or introduction service for companies seeking distributors? Could you point me to the right person, or let me know the process and the current fee schedule?
Best regards,
Casper Tan
Senior Regional Sales Manager
AstraMed Healthcare, a subsidiary of CHISON Medical Technologies</t>
        </is>
      </c>
      <c r="P54" s="108" t="n"/>
      <c r="Q54" s="108" t="n"/>
      <c r="R54" s="108" t="n"/>
      <c r="S54" s="108" t="n"/>
    </row>
    <row r="55" hidden="1" ht="39.75" customHeight="1" s="104">
      <c r="A55" s="121" t="n">
        <v>51</v>
      </c>
      <c r="B55" s="122" t="inlineStr">
        <is>
          <t>Taiwantrade ultrasound suppliers</t>
        </is>
      </c>
      <c r="C55" s="123" t="inlineStr">
        <is>
          <t>Not started</t>
        </is>
      </c>
      <c r="D55" s="121" t="inlineStr">
        <is>
          <t>52 TW mfr/exporters of US products</t>
        </is>
      </c>
      <c r="E55" s="121" t="inlineStr">
        <is>
          <t>Resource</t>
        </is>
      </c>
      <c r="F55" s="121" t="inlineStr">
        <is>
          <t>Online</t>
        </is>
      </c>
      <c r="G55" s="121" t="inlineStr">
        <is>
          <t>taiwantrade.com</t>
        </is>
      </c>
      <c r="H55" s="121" t="inlineStr">
        <is>
          <t>—</t>
        </is>
      </c>
      <c r="I55" s="121" t="inlineStr">
        <is>
          <t>OEM/probe partners + niche dealers</t>
        </is>
      </c>
      <c r="J55" s="121" t="inlineStr">
        <is>
          <t>— (channel resource — no product pitch)</t>
        </is>
      </c>
      <c r="K55" s="148" t="inlineStr">
        <is>
          <t>3-Resource</t>
        </is>
      </c>
      <c r="L55" s="121" t="inlineStr">
        <is>
          <t>Resource — association, expo, registry or directory used to source more leads, not a company to pitch.</t>
        </is>
      </c>
      <c r="M55" s="121" t="inlineStr">
        <is>
          <t>From search</t>
        </is>
      </c>
      <c r="N55" s="145" t="inlineStr">
        <is>
          <t>Exhibitor and visitor enquiry: CHISON / AstraMed Healthcare</t>
        </is>
      </c>
      <c r="O55" s="108" t="inlineStr">
        <is>
          <t>Dear Taiwantrade ultrasound suppliers team,
I am Casper Tan, Senior Regional Sales Manager at AstraMed Healthcare, the CHISON Medical Technologies subsidiary responsible for this region. CHISON has manufactured diagnostic ultrasound in Wuxi, China since 1996 and sells into more than 100 countries, with CE and US FDA clearance.
We are planning our Taiwan market activity, and Taiwantrade ultrasound suppliers is where the distributors we want to meet actually gather.
Could you send me the exhibitor prospectus for the coming edition, covering floor plan, booth categories, rates and deadlines, and let me know whether any distributor matchmaking or business partnering programme runs alongside the show? If exhibiting is already closed for this cycle, I would still like to attend and would appreciate the visitor registration details.
Best regards,
Casper Tan
Senior Regional Sales Manager
AstraMed Healthcare, a subsidiary of CHISON Medical Technologies</t>
        </is>
      </c>
      <c r="P55" s="108" t="n"/>
      <c r="Q55" s="108" t="n"/>
      <c r="R55" s="108" t="n"/>
      <c r="S55" s="108" t="n"/>
    </row>
    <row r="56" hidden="1" ht="39.75" customHeight="1" s="104">
      <c r="A56" s="121" t="n">
        <v>52</v>
      </c>
      <c r="B56" s="143" t="inlineStr">
        <is>
          <t>中華民國醫師公會全聯會 (channel to clinics)</t>
        </is>
      </c>
      <c r="C56" s="123" t="inlineStr">
        <is>
          <t>Not started</t>
        </is>
      </c>
      <c r="D56" s="121" t="inlineStr">
        <is>
          <t>Physician association — CME/workshop sponsorship route</t>
        </is>
      </c>
      <c r="E56" s="121" t="inlineStr">
        <is>
          <t>Resource</t>
        </is>
      </c>
      <c r="F56" s="121" t="inlineStr">
        <is>
          <t>Taipei</t>
        </is>
      </c>
      <c r="G56" s="121" t="inlineStr">
        <is>
          <t>tma.tw</t>
        </is>
      </c>
      <c r="H56" s="121" t="inlineStr">
        <is>
          <t>via website</t>
        </is>
      </c>
      <c r="I56" s="121" t="inlineStr">
        <is>
          <t>Demand-side pull: POCUS workshops for GPs</t>
        </is>
      </c>
      <c r="J56" s="121" t="inlineStr">
        <is>
          <t>— (channel resource — no product pitch)</t>
        </is>
      </c>
      <c r="K56" s="148" t="inlineStr">
        <is>
          <t>3-Resource</t>
        </is>
      </c>
      <c r="L56" s="121" t="inlineStr">
        <is>
          <t>Resource — association, expo, registry or directory used to source more leads, not a company to pitch.</t>
        </is>
      </c>
      <c r="M56" s="121" t="inlineStr">
        <is>
          <t>Knowledge — verify</t>
        </is>
      </c>
      <c r="N56" s="145" t="inlineStr">
        <is>
          <t>Membership and member directory enquiry: AstraMed Healthcare (CHISON ultrasound)</t>
        </is>
      </c>
      <c r="O56" s="108" t="inlineStr">
        <is>
          <t>Dear 中華民國醫師公會全聯會 (channel to clinics) Secretariat,
I am Casper Tan, Senior Regional Sales Manager at AstraMed Healthcare, the CHISON Medical Technologies subsidiary responsible for this region. We are establishing distribution in Taiwan this year. CHISON has manufactured diagnostic ultrasound in Wuxi, China since 1996 and sells into more than 100 countries, with CE and US FDA clearance.
I have two requests, if I may. First, could you tell me what membership involves for a company in our position, including category, criteria, annual fee and the access it carries? Second, is the member directory available to members or to the trade, and does the association run any programme introducing overseas manufacturers to member distributors?
We are looking for a small number of serious partners rather than broad coverage, so any guidance on the appropriate route would be very welcome.
Best regards,
Casper Tan
Senior Regional Sales Manager
AstraMed Healthcare, a subsidiary of CHISON Medical Technologies</t>
        </is>
      </c>
      <c r="P56" s="146" t="n"/>
      <c r="Q56" s="146" t="n"/>
      <c r="R56" s="146" t="n"/>
      <c r="S56" s="146" t="n"/>
    </row>
    <row r="57" hidden="1" ht="39.75" customHeight="1" s="104">
      <c r="A57" s="121" t="n">
        <v>53</v>
      </c>
      <c r="B57" s="122" t="inlineStr">
        <is>
          <t>JML International</t>
        </is>
      </c>
      <c r="C57" s="123" t="inlineStr">
        <is>
          <t>Not started</t>
        </is>
      </c>
      <c r="D57" s="121" t="inlineStr">
        <is>
          <t>Imaging distributor — general imaging, MRI, CT, ultrasound</t>
        </is>
      </c>
      <c r="E57" s="121" t="inlineStr">
        <is>
          <t>Yes — multi-brand</t>
        </is>
      </c>
      <c r="F57" s="121" t="inlineStr">
        <is>
          <t>Taipei</t>
        </is>
      </c>
      <c r="G57" s="121" t="inlineStr">
        <is>
          <t>jml.com.tw</t>
        </is>
      </c>
      <c r="H57" s="121" t="inlineStr">
        <is>
          <t>+886-2-2705-2030</t>
        </is>
      </c>
      <c r="I57" s="121" t="inlineStr">
        <is>
          <t>Imaging-focused channel; qualify current brand card</t>
        </is>
      </c>
      <c r="J57" s="121" t="inlineStr">
        <is>
          <t>SonoMax 7 + XBit 90 for their imaging accounts; SonoEye P3 clinic add-on</t>
        </is>
      </c>
      <c r="K57" s="147" t="inlineStr">
        <is>
          <t>2</t>
        </is>
      </c>
      <c r="L57" s="121" t="inlineStr">
        <is>
          <t>Tier 2 — carries a line (Yes — multi-brand) — conflict to qualify · verified domain + direct phone.</t>
        </is>
      </c>
      <c r="M57" s="121" t="inlineStr">
        <is>
          <t>Prior list v3 — verify</t>
        </is>
      </c>
      <c r="N57" s="145" t="inlineStr">
        <is>
          <t>CHISON ultrasound for JML International: a line-card addition, with TFDA handled by us</t>
        </is>
      </c>
      <c r="O57" s="108" t="inlineStr">
        <is>
          <t>Dear JML International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Imaging distributor, general imaging, MRI, CT, ultrasound. You will therefore assess a new line faster than most, and on the criteria that actually matter: image quality, probe life and service turnaround.
Where CHISON fits your portfolio: you already sell ultrasound, so this is a second-brand question rather than a new-category question. CHISON is priced to win the accounts your current line is too expensive for:
• SonoMax 7: the flagship cart, carrying a full radiology, obstetric and cardiac workload
• XBit 90: premium cart for departments that want high-end imaging without a high-end budget
• SonoEye P3: pocket handheld for emergency, intensive care and bedside point-of-care scanning
That gives you both ends of the range, from bedside handheld to hospital cart. If you let me know which brand you carry today, I will show you exactly where CHISON sits against it rather than take up your time on a general presentation.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57" s="108" t="n"/>
      <c r="Q57" s="108" t="inlineStr">
        <is>
          <t>NOT CONFIRMED: jml.com.tw does not resolve (DNS error 6 Oct)</t>
        </is>
      </c>
      <c r="R57" s="108" t="n"/>
      <c r="S57" s="108" t="n"/>
    </row>
    <row r="58" hidden="1" ht="39.75" customHeight="1" s="104">
      <c r="A58" s="121" t="n">
        <v>54</v>
      </c>
      <c r="B58" s="143" t="inlineStr">
        <is>
          <t>醫影 Medical Imaging Corp</t>
        </is>
      </c>
      <c r="C58" s="123" t="inlineStr">
        <is>
          <t>Not started</t>
        </is>
      </c>
      <c r="D58" s="121" t="inlineStr">
        <is>
          <t>Medical imaging equipment &amp; services</t>
        </is>
      </c>
      <c r="E58" s="121" t="inlineStr">
        <is>
          <t>Unknown</t>
        </is>
      </c>
      <c r="F58" s="121" t="inlineStr">
        <is>
          <t>Taipei</t>
        </is>
      </c>
      <c r="G58" s="121" t="inlineStr">
        <is>
          <t>mic-tw.com</t>
        </is>
      </c>
      <c r="H58" s="121" t="inlineStr">
        <is>
          <t>+886-2-2760-0123</t>
        </is>
      </c>
      <c r="I58" s="121" t="inlineStr">
        <is>
          <t>Imaging services channel</t>
        </is>
      </c>
      <c r="J58" s="121" t="inlineStr">
        <is>
          <t>SonoMax 7 + XBit 90 imaging-service accounts; refurb-competitive EBit 50</t>
        </is>
      </c>
      <c r="K58" s="147" t="inlineStr">
        <is>
          <t>2</t>
        </is>
      </c>
      <c r="L58" s="121" t="inlineStr">
        <is>
          <t>Tier 2 — line card unqualified — ask first · verified domain + direct phone.</t>
        </is>
      </c>
      <c r="M58" s="121" t="inlineStr">
        <is>
          <t>Prior list v3 — verify</t>
        </is>
      </c>
      <c r="N58" s="145" t="inlineStr">
        <is>
          <t>CHISON ultrasound for 醫影 Medical Imaging Corp: a line-card addition, with TFDA handled by us</t>
        </is>
      </c>
      <c r="O58" s="108" t="inlineStr">
        <is>
          <t>Dear 醫影 Medical Imaging Corp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profile, as I understand it from the outside: Medical imaging equipment &amp; services, with coverage across Taipei. That is a channel already calling on the departments that buy ultrasound.
Where CHISON fits your portfolio: your channel already reaches the departments that buy ultrasound, so this is a line-card addition rather than a new market. I would suggest starting here:
• SonoMax 7: the flagship cart, carrying a full radiology, obstetric and cardiac workload
• XBit 90: premium cart for departments that want high-end imaging without a high-end budget
• EBit 50: the value laptop that opens price-sensitive clinic accounts
That is a portable and a cart option from the same brand,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58" s="146" t="n"/>
      <c r="Q58" s="146" t="inlineStr">
        <is>
          <t>Not published: service line 0800 010 770 (mic-tw.com). GE Lunar bone densitometry agent</t>
        </is>
      </c>
      <c r="R58" s="146" t="n"/>
      <c r="S58" s="146" t="n"/>
    </row>
    <row r="59" hidden="1" ht="39.75" customHeight="1" s="104">
      <c r="A59" s="121" t="n">
        <v>55</v>
      </c>
      <c r="B59" s="122" t="inlineStr">
        <is>
          <t>Aitronics</t>
        </is>
      </c>
      <c r="C59" s="123" t="inlineStr">
        <is>
          <t>Not started</t>
        </is>
      </c>
      <c r="D59" s="121" t="inlineStr">
        <is>
          <t>Imaging innovation solutions incl. ultrasound</t>
        </is>
      </c>
      <c r="E59" s="121" t="inlineStr">
        <is>
          <t>Unknown</t>
        </is>
      </c>
      <c r="F59" s="121" t="inlineStr">
        <is>
          <t>Taipei</t>
        </is>
      </c>
      <c r="G59" s="121" t="inlineStr">
        <is>
          <t>aitronics.com.tw</t>
        </is>
      </c>
      <c r="H59" s="121" t="inlineStr">
        <is>
          <t>+886-2-8751-2899</t>
        </is>
      </c>
      <c r="I59" s="121" t="inlineStr">
        <is>
          <t>Qualify scale &amp; lines</t>
        </is>
      </c>
      <c r="J59" s="121" t="inlineStr">
        <is>
          <t>SonoMax 7 + SonoPort for radiology; XBit 90 premium rooms</t>
        </is>
      </c>
      <c r="K59" s="148" t="inlineStr">
        <is>
          <t>3</t>
        </is>
      </c>
      <c r="L59" s="121" t="inlineStr">
        <is>
          <t>Tier 3 — line card unqualified — ask first · verified domain + direct phone.</t>
        </is>
      </c>
      <c r="M59" s="121" t="inlineStr">
        <is>
          <t>Prior list v3 — verify</t>
        </is>
      </c>
      <c r="N59" s="145" t="inlineStr">
        <is>
          <t>CHISON ultrasound for Aitronics: a line-card addition, with TFDA handled by us</t>
        </is>
      </c>
      <c r="O59" s="108" t="inlineStr">
        <is>
          <t>Dear Aitronics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profile, as I understand it from the outside: Imaging innovation solutions incl. ultrasound, with coverage across Taipei. That is a channel already calling on the departments that buy ultrasound.
Where CHISON fits your portfolio: your channel already reaches the departments that buy ultrasound, so this is a line-card addition rather than a new market. I would suggest starting here:
• SonoMax 7: the flagship cart, carrying a full radiology, obstetric and cardiac workload
• SonoPort: our new-generation intelligent cart, launched April 2026
• XBit 90: premium cart for departments that want high-end imaging without a high-end budget
That is a focused cart offer,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59" s="108" t="n"/>
      <c r="Q59" s="108" t="n"/>
      <c r="R59" s="108" t="n"/>
      <c r="S59" s="108" t="n"/>
    </row>
    <row r="60" hidden="1" ht="39.75" customHeight="1" s="104">
      <c r="A60" s="121" t="n">
        <v>56</v>
      </c>
      <c r="B60" s="122" t="inlineStr">
        <is>
          <t>Caremed B2B</t>
        </is>
      </c>
      <c r="C60" s="123" t="inlineStr">
        <is>
          <t>Not started</t>
        </is>
      </c>
      <c r="D60" s="121" t="inlineStr">
        <is>
          <t>Broad medical device distribution</t>
        </is>
      </c>
      <c r="E60" s="121" t="inlineStr">
        <is>
          <t>Unknown</t>
        </is>
      </c>
      <c r="F60" s="121" t="inlineStr">
        <is>
          <t>New Taipei</t>
        </is>
      </c>
      <c r="G60" s="121" t="inlineStr">
        <is>
          <t>caremedb2b.com</t>
        </is>
      </c>
      <c r="H60" s="121" t="inlineStr">
        <is>
          <t>+886-2-2917-9808</t>
        </is>
      </c>
      <c r="I60" s="121" t="inlineStr">
        <is>
          <t>Broad-line channel; qualify</t>
        </is>
      </c>
      <c r="J60" s="121" t="inlineStr">
        <is>
          <t>Open with SonoEye P3 + SonoBook 9; add QBit 5/CBit 4 carts once service is set up</t>
        </is>
      </c>
      <c r="K60" s="148" t="inlineStr">
        <is>
          <t>3</t>
        </is>
      </c>
      <c r="L60" s="121" t="inlineStr">
        <is>
          <t>Tier 3 — line card unqualified — ask first · verified domain + direct phone.</t>
        </is>
      </c>
      <c r="M60" s="121" t="inlineStr">
        <is>
          <t>Prior list v3 — verify</t>
        </is>
      </c>
      <c r="N60" s="145" t="inlineStr">
        <is>
          <t>CHISON ultrasound for Caremed B2B: a line-card addition, with TFDA handled by us</t>
        </is>
      </c>
      <c r="O60" s="108" t="inlineStr">
        <is>
          <t>Dear Caremed B2B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profile, as I understand it from the outside: Broad medical device distribution, with coverage across New Taipei.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60" s="108" t="n"/>
      <c r="Q60" s="108" t="n"/>
      <c r="R60" s="108" t="n"/>
      <c r="S60" s="108" t="n"/>
    </row>
    <row r="61" hidden="1" ht="39.75" customHeight="1" s="104">
      <c r="A61" s="121" t="n">
        <v>57</v>
      </c>
      <c r="B61" s="122" t="inlineStr">
        <is>
          <t>BioCare Corporation</t>
        </is>
      </c>
      <c r="C61" s="123" t="inlineStr">
        <is>
          <t>Not started</t>
        </is>
      </c>
      <c r="D61" s="121" t="inlineStr">
        <is>
          <t>IVD &amp; diagnostic equipment distribution</t>
        </is>
      </c>
      <c r="E61" s="121" t="inlineStr">
        <is>
          <t>No known US line</t>
        </is>
      </c>
      <c r="F61" s="121" t="inlineStr">
        <is>
          <t>Taoyuan</t>
        </is>
      </c>
      <c r="G61" s="121" t="inlineStr">
        <is>
          <t>biocare.com.tw</t>
        </is>
      </c>
      <c r="H61" s="121" t="inlineStr">
        <is>
          <t>+886-3-261-6678</t>
        </is>
      </c>
      <c r="I61" s="121" t="inlineStr">
        <is>
          <t>Clinic-diagnostics adjacency</t>
        </is>
      </c>
      <c r="J61" s="121" t="inlineStr">
        <is>
          <t>Open with SonoEye P3 + SonoBook 9; add QBit 5/CBit 4 carts once service is set up</t>
        </is>
      </c>
      <c r="K61" s="148" t="inlineStr">
        <is>
          <t>3</t>
        </is>
      </c>
      <c r="L61" s="121" t="inlineStr">
        <is>
          <t>Tier 3 — no competing ultrasound line · verified domain + direct phone.</t>
        </is>
      </c>
      <c r="M61" s="121" t="inlineStr">
        <is>
          <t>Prior list v3 — verify</t>
        </is>
      </c>
      <c r="N61" s="145" t="inlineStr">
        <is>
          <t>Adding an ultrasound line to BioCare Corporation: CHISON SonoEye P3 and SonoBook 9</t>
        </is>
      </c>
      <c r="O61" s="108" t="inlineStr">
        <is>
          <t>Dear BioCare Corporation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What you already have is the part we cannot build for ourselves: IVD &amp; diagnostic equipment distribution.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and it adds an imaging modality to your line card without touching a single brand you currently represent.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61" s="108" t="n"/>
      <c r="Q61" s="108" t="n"/>
      <c r="R61" s="108" t="n"/>
      <c r="S61" s="108" t="n"/>
    </row>
    <row r="62" hidden="1" ht="39.75" customHeight="1" s="104">
      <c r="A62" s="121" t="n">
        <v>58</v>
      </c>
      <c r="B62" s="122" t="inlineStr">
        <is>
          <t>TaiHao Medical 太豪生醫</t>
        </is>
      </c>
      <c r="C62" s="123" t="inlineStr">
        <is>
          <t>Not started</t>
        </is>
      </c>
      <c r="D62" s="121" t="inlineStr">
        <is>
          <t>TW maker — AI breast ultrasound (ABUS)</t>
        </is>
      </c>
      <c r="E62" s="121" t="inlineStr">
        <is>
          <t>Competitor (maker)</t>
        </is>
      </c>
      <c r="F62" s="121" t="inlineStr">
        <is>
          <t>Taipei</t>
        </is>
      </c>
      <c r="G62" s="121" t="inlineStr">
        <is>
          <t>taihaomed.com</t>
        </is>
      </c>
      <c r="H62" s="121" t="inlineStr">
        <is>
          <t>+886-2-7713-6660</t>
        </is>
      </c>
      <c r="I62" s="121" t="inlineStr">
        <is>
          <t>Local US maker — awareness only</t>
        </is>
      </c>
      <c r="J62" s="121" t="inlineStr">
        <is>
          <t>—</t>
        </is>
      </c>
      <c r="K62" s="149" t="inlineStr">
        <is>
          <t>REF</t>
        </is>
      </c>
      <c r="L62" s="121" t="inlineStr">
        <is>
          <t>REF — competitor or brand subsidiary. Awareness only, not an outreach target.</t>
        </is>
      </c>
      <c r="M62" s="121" t="inlineStr">
        <is>
          <t>Prior list v3</t>
        </is>
      </c>
      <c r="N62" s="150" t="inlineStr">
        <is>
          <t>REF row: not an outreach target</t>
        </is>
      </c>
      <c r="O62" s="150" t="inlineStr">
        <is>
          <t>No outreach email. This row is a competitor, brand subsidiary or local manufacturer, kept in the workbook for market awareness and price benchmarking only. Reference note from the list: Local US maker, awareness only</t>
        </is>
      </c>
      <c r="P62" s="108" t="n"/>
      <c r="Q62" s="108" t="n"/>
      <c r="R62" s="108" t="n"/>
      <c r="S62" s="108" t="n"/>
    </row>
    <row r="63" hidden="1" ht="39.75" customHeight="1" s="104">
      <c r="A63" s="121" t="n">
        <v>59</v>
      </c>
      <c r="B63" s="122" t="inlineStr">
        <is>
          <t>MIIS (Medimaging Integrated Solution)</t>
        </is>
      </c>
      <c r="C63" s="123" t="inlineStr">
        <is>
          <t>Not started</t>
        </is>
      </c>
      <c r="D63" s="121" t="inlineStr">
        <is>
          <t>TW maker — portable ultrasound &amp; diagnostic scopes</t>
        </is>
      </c>
      <c r="E63" s="121" t="inlineStr">
        <is>
          <t>Competitor (maker)</t>
        </is>
      </c>
      <c r="F63" s="121" t="inlineStr">
        <is>
          <t>Hsinchu</t>
        </is>
      </c>
      <c r="G63" s="121" t="inlineStr">
        <is>
          <t>miis.com.tw</t>
        </is>
      </c>
      <c r="H63" s="121" t="inlineStr">
        <is>
          <t>+886-2-8502-5500</t>
        </is>
      </c>
      <c r="I63" s="121" t="inlineStr">
        <is>
          <t>Local US maker — awareness only</t>
        </is>
      </c>
      <c r="J63" s="121" t="inlineStr">
        <is>
          <t>—</t>
        </is>
      </c>
      <c r="K63" s="149" t="inlineStr">
        <is>
          <t>REF</t>
        </is>
      </c>
      <c r="L63" s="121" t="inlineStr">
        <is>
          <t>REF — competitor or brand subsidiary. Awareness only, not an outreach target.</t>
        </is>
      </c>
      <c r="M63" s="121" t="inlineStr">
        <is>
          <t>Prior list v3</t>
        </is>
      </c>
      <c r="N63" s="150" t="inlineStr">
        <is>
          <t>REF row: not an outreach target</t>
        </is>
      </c>
      <c r="O63" s="150" t="inlineStr">
        <is>
          <t>No outreach email. This row is a competitor, brand subsidiary or local manufacturer, kept in the workbook for market awareness and price benchmarking only. Reference note from the list: Local US maker, awareness only</t>
        </is>
      </c>
      <c r="P63" s="108" t="n"/>
      <c r="Q63" s="108" t="n"/>
      <c r="R63" s="108" t="n"/>
      <c r="S63" s="108" t="n"/>
    </row>
    <row r="64" hidden="1" ht="21.75" customHeight="1" s="104">
      <c r="A64" s="120" t="n"/>
      <c r="B64" s="120" t="inlineStr">
        <is>
          <t>— TFDA REGISTRY ADDITIONS (53 companies new to this list; 5 registry companies were already above and were merged into those rows, not duplicated) —</t>
        </is>
      </c>
      <c r="C64" s="120" t="n"/>
      <c r="D64" s="120" t="n"/>
      <c r="E64" s="120" t="n"/>
      <c r="F64" s="120" t="n"/>
      <c r="G64" s="120" t="n"/>
      <c r="H64" s="120" t="n"/>
      <c r="I64" s="120" t="n"/>
      <c r="J64" s="120" t="n"/>
      <c r="K64" s="120" t="n"/>
      <c r="L64" s="120" t="n"/>
      <c r="M64" s="120" t="n"/>
    </row>
    <row r="65" hidden="1" ht="39.75" customHeight="1" s="104">
      <c r="A65" s="121" t="n">
        <v>60</v>
      </c>
      <c r="B65" s="143" t="inlineStr">
        <is>
          <t>上鉅實業股份有限公司</t>
        </is>
      </c>
      <c r="C65" s="123" t="inlineStr">
        <is>
          <t>Contacted</t>
        </is>
      </c>
      <c r="D65" s="121" t="inlineStr">
        <is>
          <t>Distributor for SuperSonic Imagine (FR, part of Hologic) — premium shear-wave elastography ultrasound systems</t>
        </is>
      </c>
      <c r="E65" s="121" t="inlineStr">
        <is>
          <t>SuperSonic Imagine / Aixplorer (France/Hologic) — high-end elastography-focused cart line</t>
        </is>
      </c>
      <c r="F65" s="124" t="inlineStr">
        <is>
          <t>新北市中和區板南路653號2樓</t>
        </is>
      </c>
      <c r="G65" s="121" t="inlineStr">
        <is>
          <t>No website found — verify</t>
        </is>
      </c>
      <c r="H65" s="121" t="inlineStr">
        <is>
          <t>Not verified — see registered address</t>
        </is>
      </c>
      <c r="I65" s="121" t="inlineStr">
        <is>
          <t>Established premium-segment distributor tied to a Hologic-affiliated elastography brand; high-end positioning makes full displacement unlikely, but worth a qualifying conversation for a complementary mid-tier or VET CHISON line. | 6 Oct 2026 check: sumtage.com.tw also lists Hologic mammography and Horizon DXA.</t>
        </is>
      </c>
      <c r="J65" s="121" t="inlineStr">
        <is>
          <t>SonoPort, VET line</t>
        </is>
      </c>
      <c r="K65" s="147" t="inlineStr">
        <is>
          <t>2</t>
        </is>
      </c>
      <c r="L65" s="121" t="inlineStr">
        <is>
          <t>Tier 2 — carries a line (SuperSonic Imagine / Aixplorer (France/Hologic) — conflict to qualify · no verified domain.</t>
        </is>
      </c>
      <c r="M65" s="121" t="inlineStr">
        <is>
          <t>TFDA registry · Registry (TFDA) — verify</t>
        </is>
      </c>
      <c r="N65" s="145" t="inlineStr">
        <is>
          <t>Sumtage: CHISON portable ultrasound alongside your premium imaging lines</t>
        </is>
      </c>
      <c r="O65" s="108" t="inlineStr">
        <is>
          <t>Dear 上鉅實業 Sumtage team,
I am Casper Tan, Senior Regional Sales Manager at AstraMed Healthcare, a subsidiary of CHISON Medical Technologies, and I look after Taiwan. Sumtage serves women's imaging with Hologic mammography, bone densitometry and premium elastography ultrasound, so your customers scan breasts and thyroids every day.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I am not proposing anything against your premium line. If your agreements allow it, these models fill the portable and bedside space below it:
• SonoAir 70: a 2.1 kg laptop with four active probe ports and SonoAI tools such as automatic bladder volume and thyroid and breast nodule measurement
• SonoBook 9: a laptop workhorse with automatic breast and thyroid lesion measurement
• SonoEye P5: a phone paired handheld with high frequency imaging for MSK, vascular access and small parts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65" s="146" t="inlineStr">
        <is>
          <t>tphq@sumtage.com.tw</t>
        </is>
      </c>
      <c r="Q65" s="146" t="inlineStr">
        <is>
          <t>A: read on sumtage.com.tw 6 Oct</t>
        </is>
      </c>
      <c r="R65" s="146" t="inlineStr">
        <is>
          <t>Sent 6 Oct 2026 from Winmail with Corporate Brochure 2027</t>
        </is>
      </c>
      <c r="S65" s="146" t="n"/>
    </row>
    <row r="66" hidden="1" ht="39.75" customHeight="1" s="104">
      <c r="A66" s="121" t="n">
        <v>61</v>
      </c>
      <c r="B66" s="143" t="inlineStr">
        <is>
          <t>博宣寧股份有限公司</t>
        </is>
      </c>
      <c r="C66" s="123" t="inlineStr">
        <is>
          <t>Not started</t>
        </is>
      </c>
      <c r="D66" s="121" t="inlineStr">
        <is>
          <t>Distributor for Shenzhen Mindray (CN) — a top-3 global ultrasound competitor</t>
        </is>
      </c>
      <c r="E66" s="121" t="inlineStr">
        <is>
          <t>Mindray (China) — full cart/portable/handheld ultrasound line</t>
        </is>
      </c>
      <c r="F66" s="124" t="inlineStr">
        <is>
          <t>臺北市內湖區瑞光路358巷30弄8號3樓之1</t>
        </is>
      </c>
      <c r="G66" s="121" t="inlineStr">
        <is>
          <t>No website found — verify</t>
        </is>
      </c>
      <c r="H66" s="121" t="inlineStr">
        <is>
          <t>Not verified — see registered address</t>
        </is>
      </c>
      <c r="I66" s="121" t="inlineStr">
        <is>
          <t>Represents a major global competitor with a very deep product line; hard to displace on core imaging, but their scale/reach make them worth a VET-only or niche conversation. | 6 Oct 2026 check: TMSC (tmsc.com.tw) product menu lists ultrasound, anaesthesia, respiratory, monitoring and simulation; offices Taipei, Taichung, Kaohsiung.</t>
        </is>
      </c>
      <c r="J66" s="121" t="inlineStr">
        <is>
          <t>VET line only (brand-conflict on human imaging)</t>
        </is>
      </c>
      <c r="K66" s="147" t="inlineStr">
        <is>
          <t>2</t>
        </is>
      </c>
      <c r="L66" s="121" t="inlineStr">
        <is>
          <t>Tier 2 — carries a line (Mindray (China) — full cart/portable/handheld ) — conflict to qualify · no verified domain.</t>
        </is>
      </c>
      <c r="M66" s="121" t="inlineStr">
        <is>
          <t>TFDA registry · Registry (TFDA) — verify</t>
        </is>
      </c>
      <c r="N66" s="145" t="inlineStr">
        <is>
          <t>A value tier beneath your Mindray line: CHISON SonoEye P3 and SonoBook 9</t>
        </is>
      </c>
      <c r="O66" s="108" t="inlineStr">
        <is>
          <t>Dear 博宣寧股份有限公司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Shenzhen Mindray (CN), a top-3 global ultrasound competitor. You will therefore assess a new line faster than most, and on the criteria that actually matter: image quality, probe life and service turnaround.
Where CHISON fits your portfolio: CHISON is not positioned against Mindray. It sits beneath it. The accounts you lose on price today are the accounts this line was built for:
• SonoEye P3: pocket handheld for emergency, intensive care and bedside point-of-care scanning
• SonoBook 9: the workhorse laptop and our volume seller across Asia
• CBit 4: mid-range cart for cardiology, women's health and general radiology
That gives you a complete handheld to cart ladder under one supplier agreement, so you can hold Mindray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66" s="146" t="n"/>
      <c r="Q66" s="146" t="inlineStr">
        <is>
          <t>Not published: tmsc.com.tw lists offices only · Taipei (02)8792-5666. Carries ultrasound, anaesthesia, respiratory, monitoring</t>
        </is>
      </c>
      <c r="R66" s="146" t="n"/>
      <c r="S66" s="146" t="n"/>
    </row>
    <row r="67" hidden="1" ht="39.75" customHeight="1" s="104">
      <c r="A67" s="121" t="n">
        <v>62</v>
      </c>
      <c r="B67" s="143" t="inlineStr">
        <is>
          <t>台灣達孚股份有限公司</t>
        </is>
      </c>
      <c r="C67" s="123" t="inlineStr">
        <is>
          <t>Not started</t>
        </is>
      </c>
      <c r="D67" s="121" t="inlineStr">
        <is>
          <t>Established since 1985; exclusive B-K Medical (radiology/urology cart ultrasound) distributor, plus CIVCO probe covers</t>
        </is>
      </c>
      <c r="E67" s="121" t="inlineStr">
        <is>
          <t>B-K Medical (Denmark, part of GE) — cart ultrasound, urology/radiology focus</t>
        </is>
      </c>
      <c r="F67" s="124" t="inlineStr">
        <is>
          <t>臺北市松山區民權東路3段142號13樓之3</t>
        </is>
      </c>
      <c r="G67" s="121" t="inlineStr">
        <is>
          <t>twincn.com listing / web66.tw inquiry site</t>
        </is>
      </c>
      <c r="H67" s="121" t="inlineStr">
        <is>
          <t>via website</t>
        </is>
      </c>
      <c r="I67" s="121" t="inlineStr">
        <is>
          <t>Long-established (40+ yrs), credible full-service distributor; B-K is a specialist radiology/urology niche (not general imaging), leaving room to pitch CHISON's general-purpose or OB/GYN cart line as complementary rather than competing.</t>
        </is>
      </c>
      <c r="J67" s="121" t="inlineStr">
        <is>
          <t>SonoMax 7, SonoPort</t>
        </is>
      </c>
      <c r="K67" s="147" t="inlineStr">
        <is>
          <t>2</t>
        </is>
      </c>
      <c r="L67" s="121" t="inlineStr">
        <is>
          <t>Tier 2 — carries a line (B-K Medical (Denmark, part of GE) — cart ultra) — conflict to qualify · verified domain.</t>
        </is>
      </c>
      <c r="M67" s="121" t="inlineStr">
        <is>
          <t>TFDA registry · Verified site</t>
        </is>
      </c>
      <c r="N67" s="145" t="inlineStr">
        <is>
          <t>General-imaging ultrasound alongside your current line: CHISON for 台灣達孚股份有限公司</t>
        </is>
      </c>
      <c r="O67" s="108" t="inlineStr">
        <is>
          <t>Dear 台灣達孚股份有限公司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Established since 1985, exclusive B-K Medical (radiology/urology cart ultrasound) distributor, plus CIVCO probe covers.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SonoMax 7: the flagship cart, carrying a full radiology, obstetric and cardiac workload
• SonoPort: our new-generation intelligent cart, launched April 2026
None of it competes with what you already represent. It simply allows you to quote a second system into an account you have already won, with a focused cart offer.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67" s="146" t="n"/>
      <c r="Q67" s="146" t="n"/>
      <c r="R67" s="146" t="n"/>
      <c r="S67" s="146" t="n"/>
    </row>
    <row r="68" hidden="1" ht="39.75" customHeight="1" s="104">
      <c r="A68" s="121" t="n">
        <v>63</v>
      </c>
      <c r="B68" s="143" t="inlineStr">
        <is>
          <t>台美醫療器材股份有限公司</t>
        </is>
      </c>
      <c r="C68" s="123" t="inlineStr">
        <is>
          <t>Not started</t>
        </is>
      </c>
      <c r="D68" s="121" t="inlineStr">
        <is>
          <t>Distributor for KOELIS (FR) prostate fusion-biopsy ultrasound</t>
        </is>
      </c>
      <c r="E68" s="121" t="inlineStr">
        <is>
          <t>KOELIS (France) — niche urology fusion-biopsy ultrasound</t>
        </is>
      </c>
      <c r="F68" s="124" t="inlineStr">
        <is>
          <t>臺北市大安區敦化南路2段168號5樓</t>
        </is>
      </c>
      <c r="G68" s="121" t="inlineStr">
        <is>
          <t>No website found — verify</t>
        </is>
      </c>
      <c r="H68" s="121" t="inlineStr">
        <is>
          <t>Not verified — see registered address</t>
        </is>
      </c>
      <c r="I68" s="121" t="inlineStr">
        <is>
          <t>Specialist urology fusion-biopsy niche; narrow but relevant to a urology-focused CHISON pitch.</t>
        </is>
      </c>
      <c r="J68" s="121" t="inlineStr">
        <is>
          <t>SonoMax 7 (urology preset)</t>
        </is>
      </c>
      <c r="K68" s="147" t="inlineStr">
        <is>
          <t>2</t>
        </is>
      </c>
      <c r="L68" s="121" t="inlineStr">
        <is>
          <t>Tier 2 — carries a line (KOELIS (France) — niche urology fusion-biopsy ) — conflict to qualify · no verified domain.</t>
        </is>
      </c>
      <c r="M68" s="121" t="inlineStr">
        <is>
          <t>TFDA registry · Registry (TFDA) — verify</t>
        </is>
      </c>
      <c r="N68" s="145" t="inlineStr">
        <is>
          <t>General-imaging ultrasound alongside your current line: CHISON for 台美醫療器材股份有限公司</t>
        </is>
      </c>
      <c r="O68" s="108" t="inlineStr">
        <is>
          <t>Dear 台美醫療器材股份有限公司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KOELIS (FR) prostate fusion-biopsy ultrasound.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SonoMax 7: the flagship cart, carrying a full radiology, obstetric and cardiac workload
• SonoEye P3: pocket handheld for emergency, intensive care and bedside point-of-care scanning
None of it competes with what you already represent. It simply allows you to quote a second system into an account you have already won, with both ends of the range, from bedside handheld to hospital cart.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68" s="146" t="n"/>
      <c r="Q68" s="146" t="n"/>
      <c r="R68" s="146" t="n"/>
      <c r="S68" s="146" t="n"/>
    </row>
    <row r="69" hidden="1" ht="39.75" customHeight="1" s="104">
      <c r="A69" s="121" t="n">
        <v>64</v>
      </c>
      <c r="B69" s="143" t="inlineStr">
        <is>
          <t>奇裕企業股份有限公司</t>
        </is>
      </c>
      <c r="C69" s="123" t="inlineStr">
        <is>
          <t>Contacted</t>
        </is>
      </c>
      <c r="D69" s="121" t="inlineStr">
        <is>
          <t>Small independent trading co.; imports Healcerion (KR) portable/wireless ultrasound</t>
        </is>
      </c>
      <c r="E69" s="121" t="inlineStr">
        <is>
          <t>Healcerion (Korea) — single small brand, no major cart line</t>
        </is>
      </c>
      <c r="F69" s="124" t="inlineStr">
        <is>
          <t>新竹縣竹北市台元街26號7樓之1</t>
        </is>
      </c>
      <c r="G69" s="121" t="inlineStr">
        <is>
          <t>kromax.com</t>
        </is>
      </c>
      <c r="H69" s="121" t="inlineStr">
        <is>
          <t>LinkedIn: linkedin.com/company/kromax-international-corp.</t>
        </is>
      </c>
      <c r="I69" s="121" t="inlineStr">
        <is>
          <t>Single niche Korean brand only; scale/service capability to confirm, but no entrenched major-brand conflict — good open door for CHISON portable/handheld line.</t>
        </is>
      </c>
      <c r="J69" s="121" t="inlineStr">
        <is>
          <t>SonoAir 30/70, SonoEye P3</t>
        </is>
      </c>
      <c r="K69" s="147" t="inlineStr">
        <is>
          <t>2</t>
        </is>
      </c>
      <c r="L69" s="121" t="inlineStr">
        <is>
          <t>Kromax International (奇裕集團) is real and reachable — kromax.com, a LinkedIn company page, and TEEIA membership — so the registry's 'Not verified' was wrong and contact detail is now filled in. But TEEIA is the ELECTRONICS MANUFACTURING EQUIPMENT association: medical looks like a sideline of an industrial-equipment group, so 'right segment + service capability' is unproven. Qualify before promoting.</t>
        </is>
      </c>
      <c r="M69" s="121" t="inlineStr">
        <is>
          <t>TFDA registry · Registry (TFDA) — verify</t>
        </is>
      </c>
      <c r="N69" s="145" t="inlineStr">
        <is>
          <t>Kromax: broadening your portable ultrasound line with CHISON</t>
        </is>
      </c>
      <c r="O69" s="108" t="inlineStr">
        <is>
          <t>Dear 奇裕企業 Kromax team,
I am Casper Tan, Senior Regional Sales Manager at AstraMed Healthcare, a subsidiary of CHISON Medical Technologies, and I look after Taiwan. Kromax already brings in a Korean wireless ultrasound brand, so you know the portable category, and I believe CHISON can broaden it from the handheld up to laptop and cart systems.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These are the models I would add first:
• SonoAir 70: a 2.1 kg laptop with four active probe ports and SonoAI tools such as automatic bladder volume and thyroid and breast nodule measurement
• SonoEye P5: a phone paired handheld with high frequency imaging for MSK, vascular access and small parts
• SonoGo: a 3 in 1 system with a 15.6 inch full touchscreen, laptop portability at 4.8 kg and a trolley for cart level work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69" s="146" t="inlineStr">
        <is>
          <t>info@kromax.com</t>
        </is>
      </c>
      <c r="Q69" s="146" t="inlineStr">
        <is>
          <t>A: read on kromax.com 6 Oct</t>
        </is>
      </c>
      <c r="R69" s="146" t="inlineStr">
        <is>
          <t>Sent 6 Oct 2026 from Winmail with Corporate Brochure 2027</t>
        </is>
      </c>
      <c r="S69" s="146" t="inlineStr">
        <is>
          <t>VISIT 7: Hsinchu Zhubei</t>
        </is>
      </c>
    </row>
    <row r="70" hidden="1" ht="39.75" customHeight="1" s="104">
      <c r="A70" s="121" t="n">
        <v>65</v>
      </c>
      <c r="B70" s="143" t="inlineStr">
        <is>
          <t>威康有限公司</t>
        </is>
      </c>
      <c r="C70" s="123" t="inlineStr">
        <is>
          <t>Not started</t>
        </is>
      </c>
      <c r="D70" s="121" t="inlineStr">
        <is>
          <t>Distributor for EchoNous (US) — AI-driven handheld cardiopulmonary/bladder ultrasound (Kosmos)</t>
        </is>
      </c>
      <c r="E70" s="121" t="inlineStr">
        <is>
          <t>EchoNous (US) — established niche AI handheld ultrasound brand</t>
        </is>
      </c>
      <c r="F70" s="124" t="inlineStr">
        <is>
          <t>臺北市內湖區成功路4段188號9樓之25</t>
        </is>
      </c>
      <c r="G70" s="121" t="inlineStr">
        <is>
          <t>No website found — verify</t>
        </is>
      </c>
      <c r="H70" s="121" t="inlineStr">
        <is>
          <t>Not verified — see registered address</t>
        </is>
      </c>
      <c r="I70" s="121" t="inlineStr">
        <is>
          <t>Established, differentiated AI-handheld ultrasound channel; competing directly with CHISON's SonoEye AI story, so a harder displacement but worth benchmarking their sales motion.</t>
        </is>
      </c>
      <c r="J70" s="121" t="inlineStr">
        <is>
          <t>SonoEye P3/P5 (AI story)</t>
        </is>
      </c>
      <c r="K70" s="147" t="inlineStr">
        <is>
          <t>2</t>
        </is>
      </c>
      <c r="L70" s="121" t="inlineStr">
        <is>
          <t>Tier 2 — carries a line (EchoNous (US) — established niche AI handheld ) — conflict to qualify · no verified domain.</t>
        </is>
      </c>
      <c r="M70" s="121" t="inlineStr">
        <is>
          <t>TFDA registry · Registry (TFDA) — verify</t>
        </is>
      </c>
      <c r="N70" s="145" t="inlineStr">
        <is>
          <t>A value tier beneath your EchoNous line: CHISON SonoEye P3 and SonoAir 30</t>
        </is>
      </c>
      <c r="O70" s="108" t="inlineStr">
        <is>
          <t>Dear 威康有限公司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EchoNous (US), AI-driven handheld cardiopulmonary/bladder ultrasound (Kosmos). You will therefore assess a new line faster than most, and on the criteria that actually matter: image quality, probe life and service turnaround.
Where CHISON fits your portfolio: CHISON is not positioned against EchoNous. It sits beneath it. The accounts you lose on price today are the accounts this line was built for:
• SonoEye P3: pocket handheld for emergency, intensive care and bedside point-of-care scanning
• SonoAir 30: lightweight laptop for mobile and multi-site work
That gives you two portable formats at two very different budgets, so you can hold EchoNous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0" s="146" t="n"/>
      <c r="Q70" s="146" t="n"/>
      <c r="R70" s="146" t="n"/>
      <c r="S70" s="146" t="n"/>
    </row>
    <row r="71" hidden="1" ht="39.75" customHeight="1" s="104">
      <c r="A71" s="121" t="n">
        <v>66</v>
      </c>
      <c r="B71" s="143" t="inlineStr">
        <is>
          <t>宏昱儀器有限公司</t>
        </is>
      </c>
      <c r="C71" s="123" t="inlineStr">
        <is>
          <t>Not started</t>
        </is>
      </c>
      <c r="D71" s="121" t="inlineStr">
        <is>
          <t>Distributor for Edan Instruments (CN) fetal/patient monitors</t>
        </is>
      </c>
      <c r="E71" s="121" t="inlineStr">
        <is>
          <t>Edan (China) — OB fetal monitors (competing monitoring, adjacent to ultrasound)</t>
        </is>
      </c>
      <c r="F71" s="124" t="inlineStr">
        <is>
          <t>臺南市仁德區太子路137號3、4樓</t>
        </is>
      </c>
      <c r="G71" s="121" t="inlineStr">
        <is>
          <t>No website found — verify</t>
        </is>
      </c>
      <c r="H71" s="121" t="inlineStr">
        <is>
          <t>Not verified — see registered address</t>
        </is>
      </c>
      <c r="I71" s="121" t="inlineStr">
        <is>
          <t>Patient-monitoring channel distributor (Edan) — good fit for CHISON's EBit 50 + SonoEye add-on strategy aimed at monitoring dealers.</t>
        </is>
      </c>
      <c r="J71" s="121" t="inlineStr">
        <is>
          <t>EBit 50 + SonoEye add-on</t>
        </is>
      </c>
      <c r="K71" s="147" t="inlineStr">
        <is>
          <t>2</t>
        </is>
      </c>
      <c r="L71" s="121" t="inlineStr">
        <is>
          <t>Tier 2 — carries a line (Edan (China) — OB fetal monitors (competing mo) — conflict to qualify · no verified domain.</t>
        </is>
      </c>
      <c r="M71" s="121" t="inlineStr">
        <is>
          <t>TFDA registry · Registry (TFDA) — verify</t>
        </is>
      </c>
      <c r="N71" s="145" t="inlineStr">
        <is>
          <t>General-imaging ultrasound alongside your current line: CHISON for 宏昱儀器有限公司</t>
        </is>
      </c>
      <c r="O71" s="108" t="inlineStr">
        <is>
          <t>Dear 宏昱儀器有限公司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Edan Instruments (CN) fetal/patient monitors.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EBit 50: the value laptop that opens price-sensitive clinic accounts
• SonoEye: pocket handheld for bedside point-of-care scanning
None of it competes with what you already represent. It simply allows you to quote a second system into an account you have already won, with two portable formats at two very different budgets.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1" s="146" t="n"/>
      <c r="Q71" s="146" t="n"/>
      <c r="R71" s="146" t="n"/>
      <c r="S71" s="146" t="n"/>
    </row>
    <row r="72" hidden="1" ht="39.75" customHeight="1" s="104">
      <c r="A72" s="121" t="n">
        <v>67</v>
      </c>
      <c r="B72" s="143" t="inlineStr">
        <is>
          <t>富噠生醫股份有限公司</t>
        </is>
      </c>
      <c r="C72" s="123" t="inlineStr">
        <is>
          <t>Not started</t>
        </is>
      </c>
      <c r="D72" s="121" t="inlineStr">
        <is>
          <t>Distributor for VINNO Technology (CN) full ultrasound systems</t>
        </is>
      </c>
      <c r="E72" s="121" t="inlineStr">
        <is>
          <t>VINNO (China) — full cart/portable ultrasound line</t>
        </is>
      </c>
      <c r="F72" s="124" t="inlineStr">
        <is>
          <t>高雄市前鎮區復興四路10號4樓之6</t>
        </is>
      </c>
      <c r="G72" s="121" t="inlineStr">
        <is>
          <t>No website found — verify</t>
        </is>
      </c>
      <c r="H72" s="121" t="inlineStr">
        <is>
          <t>Not verified — see registered address</t>
        </is>
      </c>
      <c r="I72" s="121" t="inlineStr">
        <is>
          <t>South-Taiwan (Kaohsiung) based distributor of a comparable Chinese full-line brand — qualify for switch or dual-line potential.</t>
        </is>
      </c>
      <c r="J72" s="121" t="inlineStr">
        <is>
          <t>SonoMax 7, SonoPort</t>
        </is>
      </c>
      <c r="K72" s="147" t="inlineStr">
        <is>
          <t>2</t>
        </is>
      </c>
      <c r="L72" s="121" t="inlineStr">
        <is>
          <t>Tier 2 — carries a line (VINNO (China) — full cart/portable ultrasound ) — conflict to qualify · no verified domain.</t>
        </is>
      </c>
      <c r="M72" s="121" t="inlineStr">
        <is>
          <t>TFDA registry · Registry (TFDA) — verify</t>
        </is>
      </c>
      <c r="N72" s="145" t="inlineStr">
        <is>
          <t>A value tier beneath your VINNO line: CHISON SonoMax 7 and SonoPort</t>
        </is>
      </c>
      <c r="O72" s="108" t="inlineStr">
        <is>
          <t>Dear 富噠生醫股份有限公司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VINNO Technology (CN) full ultrasound systems. You will therefore assess a new line faster than most, and on the criteria that actually matter: image quality, probe life and service turnaround.
Where CHISON fits your portfolio: CHISON is not positioned against VINNO. It sits beneath it. The accounts you lose on price today are the accounts this line was built for:
• SonoMax 7: the flagship cart, carrying a full radiology, obstetric and cardiac workload
• SonoPort: our new-generation intelligent cart, launched April 2026
That gives you a focused cart offer, so you can hold VINNO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2" s="146" t="n"/>
      <c r="Q72" s="146" t="n"/>
      <c r="R72" s="146" t="n"/>
      <c r="S72" s="146" t="n"/>
    </row>
    <row r="73" hidden="1" ht="39.75" customHeight="1" s="104">
      <c r="A73" s="121" t="n">
        <v>68</v>
      </c>
      <c r="B73" s="143" t="inlineStr">
        <is>
          <t>寬譜醫學科技股份有限公司</t>
        </is>
      </c>
      <c r="C73" s="123" t="inlineStr">
        <is>
          <t>Not started</t>
        </is>
      </c>
      <c r="D73" s="121" t="inlineStr">
        <is>
          <t>Distributor for UNEX Corporation (JP) vascular/carotid ultrasound</t>
        </is>
      </c>
      <c r="E73" s="121" t="inlineStr">
        <is>
          <t>UNEX (Japan) — niche vascular (carotid IMT) ultrasound</t>
        </is>
      </c>
      <c r="F73" s="124" t="inlineStr">
        <is>
          <t>新北市新店區民權路130巷4號2樓</t>
        </is>
      </c>
      <c r="G73" s="121" t="inlineStr">
        <is>
          <t>No website found — verify</t>
        </is>
      </c>
      <c r="H73" s="121" t="inlineStr">
        <is>
          <t>Not verified — see registered address</t>
        </is>
      </c>
      <c r="I73" s="121" t="inlineStr">
        <is>
          <t>Specialist vascular-lab ultrasound channel; narrower fit but worth noting for CHISON's cardiology/vascular positioning.</t>
        </is>
      </c>
      <c r="J73" s="121" t="inlineStr">
        <is>
          <t>CBit 4/6</t>
        </is>
      </c>
      <c r="K73" s="147" t="inlineStr">
        <is>
          <t>2</t>
        </is>
      </c>
      <c r="L73" s="121" t="inlineStr">
        <is>
          <t>Tier 2 — carries a line (UNEX (Japan) — niche vascular (carotid IMT) ul) — conflict to qualify · no verified domain.</t>
        </is>
      </c>
      <c r="M73" s="121" t="inlineStr">
        <is>
          <t>TFDA registry · Registry (TFDA) — verify</t>
        </is>
      </c>
      <c r="N73" s="145" t="inlineStr">
        <is>
          <t>General-imaging ultrasound alongside your current line: CHISON for 寬譜醫學科技股份有限公司</t>
        </is>
      </c>
      <c r="O73" s="108" t="inlineStr">
        <is>
          <t>Dear 寬譜醫學科技股份有限公司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UNEX Corporation (JP) vascular/carotid ultrasound.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CBit 4: mid-range cart for cardiology, women's health and general radiology
• SonoEye P3: pocket handheld for emergency, intensive care and bedside point-of-care scanning
None of it competes with what you already represent. It simply allows you to quote a second system into an account you have already won, with both ends of the range, from bedside handheld to hospital cart.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3" s="146" t="n"/>
      <c r="Q73" s="146" t="n"/>
      <c r="R73" s="146" t="n"/>
      <c r="S73" s="146" t="n"/>
    </row>
    <row r="74" hidden="1" ht="39.75" customHeight="1" s="104">
      <c r="A74" s="121" t="n">
        <v>69</v>
      </c>
      <c r="B74" s="143" t="inlineStr">
        <is>
          <t>尚理儀器股份有限公司</t>
        </is>
      </c>
      <c r="C74" s="123" t="inlineStr">
        <is>
          <t>Not started</t>
        </is>
      </c>
      <c r="D74" s="121" t="inlineStr">
        <is>
          <t>Distributor for Bionet (KR) fetal monitors + Honda Electronics (JP) human ultrasound</t>
        </is>
      </c>
      <c r="E74" s="121" t="inlineStr">
        <is>
          <t>Bionet + Honda Electronics — OB fetal monitoring &amp; general ultrasound</t>
        </is>
      </c>
      <c r="F74" s="124" t="inlineStr">
        <is>
          <t>臺北市南港區忠孝東路6段38號5樓</t>
        </is>
      </c>
      <c r="G74" s="121" t="inlineStr">
        <is>
          <t>No website found — verify</t>
        </is>
      </c>
      <c r="H74" s="121" t="inlineStr">
        <is>
          <t>Not verified — see registered address</t>
        </is>
      </c>
      <c r="I74" s="121" t="inlineStr">
        <is>
          <t>Established OB/GYN-adjacent equipment distributor; good potential fit for CHISON's women's-health-focused cart line.</t>
        </is>
      </c>
      <c r="J74" s="121" t="inlineStr">
        <is>
          <t>SonoMax 7 (4D OB)</t>
        </is>
      </c>
      <c r="K74" s="147" t="inlineStr">
        <is>
          <t>2</t>
        </is>
      </c>
      <c r="L74" s="121" t="inlineStr">
        <is>
          <t>Tier 2 — carries a line (Bionet + Honda Electronics — OB fetal monitori) — conflict to qualify · no verified domain.</t>
        </is>
      </c>
      <c r="M74" s="121" t="inlineStr">
        <is>
          <t>TFDA registry · Registry (TFDA) — verify</t>
        </is>
      </c>
      <c r="N74" s="145" t="inlineStr">
        <is>
          <t>General-imaging ultrasound alongside your current line: CHISON for 尚理儀器股份有限公司</t>
        </is>
      </c>
      <c r="O74" s="108" t="inlineStr">
        <is>
          <t>Dear 尚理儀器股份有限公司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Bionet (KR) fetal monitors and Honda Electronics (JP) human ultrasound.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SonoMax 7: the flagship cart, carrying a full radiology, obstetric and cardiac workload
• SonoEye P3: pocket handheld for emergency, intensive care and bedside point-of-care scanning
None of it competes with what you already represent. It simply allows you to quote a second system into an account you have already won, with both ends of the range, from bedside handheld to hospital cart.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4" s="146" t="n"/>
      <c r="Q74" s="146" t="inlineStr">
        <is>
          <t>Not published: medway.com.tw could not be opened from this session</t>
        </is>
      </c>
      <c r="R74" s="146" t="n"/>
      <c r="S74" s="146" t="n"/>
    </row>
    <row r="75" hidden="1" ht="39.75" customHeight="1" s="104">
      <c r="A75" s="121" t="n">
        <v>70</v>
      </c>
      <c r="B75" s="143" t="inlineStr">
        <is>
          <t>愛樺企業股份有限公司 (Best Digital)</t>
        </is>
      </c>
      <c r="C75" s="123" t="inlineStr">
        <is>
          <t>Contacted</t>
        </is>
      </c>
      <c r="D75" s="121" t="inlineStr">
        <is>
          <t>Distributor for Siemens ultrasound (independent of Siemens' own TW legal entity) — also handles veterinary equipment</t>
        </is>
      </c>
      <c r="E75" s="121" t="inlineStr">
        <is>
          <t>Siemens Healthineers (via KR/SK/US mfg entities) — full cart ultrasound</t>
        </is>
      </c>
      <c r="F75" s="124" t="inlineStr">
        <is>
          <t>臺中市南屯區惠文路285號1樓</t>
        </is>
      </c>
      <c r="G75" s="121" t="inlineStr">
        <is>
          <t>bestdigital.com.tw</t>
        </is>
      </c>
      <c r="H75" s="121" t="inlineStr">
        <is>
          <t>via website</t>
        </is>
      </c>
      <c r="I75" s="121" t="inlineStr">
        <is>
          <t>Established Siemens ultrasound channel and separately active in the veterinary equipment space — the vet side is the more realistic entry point given Siemens brand loyalty on the human side. | 6 Oct 2026 check: TCMICA directory lists 愛樺 with site bestimage.com.tw and business line X ray equipment.</t>
        </is>
      </c>
      <c r="J75" s="121" t="inlineStr">
        <is>
          <t>VET line (SonoEye Vet, EBit 50 Vet)</t>
        </is>
      </c>
      <c r="K75" s="147" t="inlineStr">
        <is>
          <t>2</t>
        </is>
      </c>
      <c r="L75" s="121" t="inlineStr">
        <is>
          <t>Tier 2 — carries a line (Siemens Healthineers (via KR/SK/US mfg entitie) — conflict to qualify · verified domain.</t>
        </is>
      </c>
      <c r="M75" s="121" t="inlineStr">
        <is>
          <t>TFDA registry · Verified site</t>
        </is>
      </c>
      <c r="N75" s="145" t="inlineStr">
        <is>
          <t>Best Image: CHISON portable and veterinary ultrasound</t>
        </is>
      </c>
      <c r="O75" s="108" t="inlineStr">
        <is>
          <t>Dear 愛樺企業 Best Image team,
I am Casper Tan, Senior Regional Sales Manager at AstraMed Healthcare, a subsidiary of CHISON Medical Technologies, and I look after Taiwan. Best Image is active in X ray, cart ultrasound and veterinary equipment from Taichung, which gives you both the imaging know how and the vet customer base CHISON is looking for.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As you already carry a premium cart ultrasound line, I would focus on the space it does not cover:
• SonoEye P3: a pocket handheld for emergency, ICU and bedside work; SonoEye was rated the top handheld in an independent comparison of nine handheld devices published in Diagnostics (MDPI)
• SonoAir 70: a 2.1 kg laptop with four active probe ports and SonoAI tools such as automatic bladder volume and thyroid and breast nodule measurement
Both are also available in veterinary versions with vet presets and probes.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75" s="146" t="inlineStr">
        <is>
          <t>amy@bestimage.com.tw</t>
        </is>
      </c>
      <c r="Q75" s="146" t="inlineStr">
        <is>
          <t>DIR: TCMICA member directory (site bestimage.com.tw)</t>
        </is>
      </c>
      <c r="R75" s="146" t="inlineStr">
        <is>
          <t>Sent 6 Oct 2026 from Winmail with Corporate Brochure 2027</t>
        </is>
      </c>
      <c r="S75" s="146" t="n"/>
    </row>
    <row r="76" hidden="1" ht="39.75" customHeight="1" s="104">
      <c r="A76" s="121" t="n">
        <v>71</v>
      </c>
      <c r="B76" s="143" t="inlineStr">
        <is>
          <t>捷元生技有限公司</t>
        </is>
      </c>
      <c r="C76" s="123" t="inlineStr">
        <is>
          <t>Not started</t>
        </is>
      </c>
      <c r="D76" s="121" t="inlineStr">
        <is>
          <t>Distributor for Exact Imaging / Sonele (CA) micro-ultrasound for prostate biopsy</t>
        </is>
      </c>
      <c r="E76" s="121" t="inlineStr">
        <is>
          <t>Exact Imaging (Canada) — niche urology micro-ultrasound</t>
        </is>
      </c>
      <c r="F76" s="124" t="inlineStr">
        <is>
          <t>新北市汐止區大同路1段126號9樓</t>
        </is>
      </c>
      <c r="G76" s="121" t="inlineStr">
        <is>
          <t>No website found — verify</t>
        </is>
      </c>
      <c r="H76" s="121" t="inlineStr">
        <is>
          <t>Not verified — see registered address</t>
        </is>
      </c>
      <c r="I76" s="121" t="inlineStr">
        <is>
          <t>Specialist urology micro-ultrasound niche; narrow overlap with CHISON's general-purpose line but worth awareness.</t>
        </is>
      </c>
      <c r="J76" s="121" t="inlineStr">
        <is>
          <t>SonoMax 7 (urology preset)</t>
        </is>
      </c>
      <c r="K76" s="147" t="inlineStr">
        <is>
          <t>2</t>
        </is>
      </c>
      <c r="L76" s="121" t="inlineStr">
        <is>
          <t>Tier 2 — carries a line (Exact Imaging (Canada) — niche urology micro-u) — conflict to qualify · no verified domain.</t>
        </is>
      </c>
      <c r="M76" s="121" t="inlineStr">
        <is>
          <t>TFDA registry · Registry (TFDA) — verify</t>
        </is>
      </c>
      <c r="N76" s="145" t="inlineStr">
        <is>
          <t>General-imaging ultrasound alongside your current line: CHISON for 捷元生技有限公司</t>
        </is>
      </c>
      <c r="O76" s="108" t="inlineStr">
        <is>
          <t>Dear 捷元生技有限公司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Exact Imaging / Sonele (CA) micro-ultrasound for prostate biopsy.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SonoMax 7: the flagship cart, carrying a full radiology, obstetric and cardiac workload
• SonoEye P3: pocket handheld for emergency, intensive care and bedside point-of-care scanning
None of it competes with what you already represent. It simply allows you to quote a second system into an account you have already won, with both ends of the range, from bedside handheld to hospital cart.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6" s="146" t="n"/>
      <c r="Q76" s="146" t="n"/>
      <c r="R76" s="146" t="n"/>
      <c r="S76" s="146" t="n"/>
    </row>
    <row r="77" hidden="1" ht="39.75" customHeight="1" s="104">
      <c r="A77" s="121" t="n">
        <v>72</v>
      </c>
      <c r="B77" s="143" t="inlineStr">
        <is>
          <t>汎英股份有限公司</t>
        </is>
      </c>
      <c r="C77" s="123" t="inlineStr">
        <is>
          <t>Not started</t>
        </is>
      </c>
      <c r="D77" s="121" t="inlineStr">
        <is>
          <t>Distributor; imports SonoScape (CN) full ultrasound line, plus Biobot Surgical (SG) and UAB Vitacon (LT)</t>
        </is>
      </c>
      <c r="E77" s="121" t="inlineStr">
        <is>
          <t>SonoScape (China) — full cart/portable ultrasound + endoscopy</t>
        </is>
      </c>
      <c r="F77" s="124" t="inlineStr">
        <is>
          <t>臺北市中山區松江路301號9樓之1</t>
        </is>
      </c>
      <c r="G77" s="121" t="inlineStr">
        <is>
          <t>No website found — verify</t>
        </is>
      </c>
      <c r="H77" s="121" t="inlineStr">
        <is>
          <t>Not verified — see registered address</t>
        </is>
      </c>
      <c r="I77" s="121" t="inlineStr">
        <is>
          <t>Established Chinese-brand generalist distributor already selling a comparable price-tier line; qualify to see if there's room for a secondary CHISON SKU (e.g., handheld) alongside SonoScape.</t>
        </is>
      </c>
      <c r="J77" s="121" t="inlineStr">
        <is>
          <t>SonoEye P3/P5</t>
        </is>
      </c>
      <c r="K77" s="147" t="inlineStr">
        <is>
          <t>2</t>
        </is>
      </c>
      <c r="L77" s="121" t="inlineStr">
        <is>
          <t>Tier 2 — carries a line (SonoScape (China) — full cart/portable ultraso) — conflict to qualify · no verified domain.</t>
        </is>
      </c>
      <c r="M77" s="121" t="inlineStr">
        <is>
          <t>TFDA registry · Registry (TFDA) — verify</t>
        </is>
      </c>
      <c r="N77" s="145" t="inlineStr">
        <is>
          <t>A value tier beneath your SonoScape line: CHISON SonoEye P3 and SonoAir 30</t>
        </is>
      </c>
      <c r="O77" s="108" t="inlineStr">
        <is>
          <t>Dear 汎英股份有限公司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imports SonoScape (CN) full ultrasound line, plus Biobot Surgical (SG) and UAB Vitacon (LT). You will therefore assess a new line faster than most, and on the criteria that actually matter: image quality, probe life and service turnaround.
Where CHISON fits your portfolio: CHISON is not positioned against SonoScape. It sits beneath it. The accounts you lose on price today are the accounts this line was built for:
• SonoEye P3: pocket handheld for emergency, intensive care and bedside point-of-care scanning
• SonoAir 30: lightweight laptop for mobile and multi-site work
That gives you two portable formats at two very different budgets, so you can hold SonoScape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7" s="146" t="n"/>
      <c r="Q77" s="146" t="n"/>
      <c r="R77" s="146" t="n"/>
      <c r="S77" s="146" t="n"/>
    </row>
    <row r="78" hidden="1" ht="39.75" customHeight="1" s="104">
      <c r="A78" s="121" t="n">
        <v>73</v>
      </c>
      <c r="B78" s="143" t="inlineStr">
        <is>
          <t>沃醫學股份有限公司 (Woh Medical)</t>
        </is>
      </c>
      <c r="C78" s="123" t="inlineStr">
        <is>
          <t>Not started</t>
        </is>
      </c>
      <c r="D78" s="121" t="inlineStr">
        <is>
          <t>Established distributor; active trade-show presence for Alpinion</t>
        </is>
      </c>
      <c r="E78" s="121" t="inlineStr">
        <is>
          <t>Alpinion Medical Systems (KR) — full cart/portable ultrasound line</t>
        </is>
      </c>
      <c r="F78" s="124" t="inlineStr">
        <is>
          <t>臺北市內湖區堤頂大道1段33號3樓</t>
        </is>
      </c>
      <c r="G78" s="121" t="inlineStr">
        <is>
          <t>wohmedical.com</t>
        </is>
      </c>
      <c r="H78" s="121" t="inlineStr">
        <is>
          <t>facebook.com/AlpinionTW</t>
        </is>
      </c>
      <c r="I78" s="121" t="inlineStr">
        <is>
          <t>Active, visible Korean-brand ultrasound distributor with exhibition presence — good service capability; qualify for a secondary/VET line alongside Alpinion.</t>
        </is>
      </c>
      <c r="J78" s="121" t="inlineStr">
        <is>
          <t>XBit 90, VET line</t>
        </is>
      </c>
      <c r="K78" s="147" t="inlineStr">
        <is>
          <t>2</t>
        </is>
      </c>
      <c r="L78" s="121" t="inlineStr">
        <is>
          <t>Tier 2 — carries a line (Alpinion Medical Systems (KR) — full cart/port) — conflict to qualify · verified domain + direct phone.</t>
        </is>
      </c>
      <c r="M78" s="121" t="inlineStr">
        <is>
          <t>TFDA registry · Verified site</t>
        </is>
      </c>
      <c r="N78" s="145" t="inlineStr">
        <is>
          <t>A value tier beneath your Alpinion line: CHISON XBit 90 and SonoEye P3</t>
        </is>
      </c>
      <c r="O78" s="108" t="inlineStr">
        <is>
          <t>Dear 沃醫學股份有限公司 (Woh Medical)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Established distributor, active trade-show presence for Alpinion. You will therefore assess a new line faster than most, and on the criteria that actually matter: image quality, probe life and service turnaround.
Where CHISON fits your portfolio: CHISON is not positioned against Alpinion. It sits beneath it. The accounts you lose on price today are the accounts this line was built for:
• XBit 90: premium cart for departments that want high-end imaging without a high-end budget
• SonoEye P3: pocket handheld for emergency, intensive care and bedside point-of-care scanning
That gives you both ends of the range, from bedside handheld to hospital cart, so you can hold Alpinion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8" s="146" t="n"/>
      <c r="Q78" s="146" t="inlineStr">
        <is>
          <t>Not published: form at wohmedical.com/en/contact_us.php</t>
        </is>
      </c>
      <c r="R78" s="146" t="n"/>
      <c r="S78" s="146" t="n"/>
    </row>
    <row r="79" hidden="1" ht="39.75" customHeight="1" s="104">
      <c r="A79" s="121" t="n">
        <v>74</v>
      </c>
      <c r="B79" s="143" t="inlineStr">
        <is>
          <t>理工科技顧問股份有限公司</t>
        </is>
      </c>
      <c r="C79" s="123" t="inlineStr">
        <is>
          <t>Not started</t>
        </is>
      </c>
      <c r="D79" s="121" t="inlineStr">
        <is>
          <t>Distributor for Konica Minolta (JP) ultrasound + Tomey (JP) ophthalmic ultrasound</t>
        </is>
      </c>
      <c r="E79" s="121" t="inlineStr">
        <is>
          <t>Konica Minolta (Japan) — portable/point-of-care ultrasound</t>
        </is>
      </c>
      <c r="F79" s="124" t="inlineStr">
        <is>
          <t>臺北市大安區新生南路1段103巷13號</t>
        </is>
      </c>
      <c r="G79" s="121" t="inlineStr">
        <is>
          <t>No website found — verify</t>
        </is>
      </c>
      <c r="H79" s="121" t="inlineStr">
        <is>
          <t>Not verified — see registered address</t>
        </is>
      </c>
      <c r="I79" s="121" t="inlineStr">
        <is>
          <t>Established Japanese-brand consultancy/distributor; Konica Minolta plays mainly in portable/bedside — qualify for a differentiated CHISON cart or VET line.</t>
        </is>
      </c>
      <c r="J79" s="121" t="inlineStr">
        <is>
          <t>SonoPort, VET line</t>
        </is>
      </c>
      <c r="K79" s="147" t="inlineStr">
        <is>
          <t>2</t>
        </is>
      </c>
      <c r="L79" s="121" t="inlineStr">
        <is>
          <t>Tier 2 — carries a line (Konica Minolta (Japan) — portable/point-of-car) — conflict to qualify · no verified domain.</t>
        </is>
      </c>
      <c r="M79" s="121" t="inlineStr">
        <is>
          <t>TFDA registry · Registry (TFDA) — verify</t>
        </is>
      </c>
      <c r="N79" s="145" t="inlineStr">
        <is>
          <t>A value tier beneath your Konica Minolta line: CHISON SonoPort and SonoEye P3</t>
        </is>
      </c>
      <c r="O79" s="108" t="inlineStr">
        <is>
          <t>Dear 理工科技顧問股份有限公司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Konica Minolta (JP) ultrasound and Tomey (JP) ophthalmic ultrasound. You will therefore assess a new line faster than most, and on the criteria that actually matter: image quality, probe life and service turnaround.
Where CHISON fits your portfolio: CHISON is not positioned against Konica Minolta. It sits beneath it. The accounts you lose on price today are the accounts this line was built for:
• SonoPort: our new-generation intelligent cart, launched April 2026
• SonoEye P3: pocket handheld for emergency, intensive care and bedside point-of-care scanning
That gives you both ends of the range, from bedside handheld to hospital cart, so you can hold Konica Minolta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9" s="146" t="n"/>
      <c r="Q79" s="146" t="n"/>
      <c r="R79" s="146" t="n"/>
      <c r="S79" s="146" t="n"/>
    </row>
    <row r="80" hidden="1" ht="39.75" customHeight="1" s="104">
      <c r="A80" s="121" t="n">
        <v>75</v>
      </c>
      <c r="B80" s="143" t="inlineStr">
        <is>
          <t>禾嵩股份有限公司</t>
        </is>
      </c>
      <c r="C80" s="123" t="inlineStr">
        <is>
          <t>Not started</t>
        </is>
      </c>
      <c r="D80" s="121" t="inlineStr">
        <is>
          <t>Distributor for Mcube Technology (KR) — interventional/OB ultrasound accessories</t>
        </is>
      </c>
      <c r="E80" s="121" t="inlineStr">
        <is>
          <t>Mcube Technology (Korea) — niche interventional/OB line</t>
        </is>
      </c>
      <c r="F80" s="124" t="inlineStr">
        <is>
          <t>臺南市永康區正新街五十八號二樓</t>
        </is>
      </c>
      <c r="G80" s="121" t="inlineStr">
        <is>
          <t>No website found — verify</t>
        </is>
      </c>
      <c r="H80" s="121" t="inlineStr">
        <is>
          <t>Not verified — see registered address</t>
        </is>
      </c>
      <c r="I80" s="121" t="inlineStr">
        <is>
          <t>Smaller South-Taiwan (Tainan) channel with a single Korean niche brand; moderate fit, worth a qualifying call.</t>
        </is>
      </c>
      <c r="J80" s="121" t="inlineStr">
        <is>
          <t>SonoMax 7, SonoEye P3</t>
        </is>
      </c>
      <c r="K80" s="147" t="inlineStr">
        <is>
          <t>2</t>
        </is>
      </c>
      <c r="L80" s="121" t="inlineStr">
        <is>
          <t>Tier 2 — carries a line (Mcube Technology (Korea) — niche interventiona) — conflict to qualify · no verified domain.</t>
        </is>
      </c>
      <c r="M80" s="121" t="inlineStr">
        <is>
          <t>TFDA registry · Registry (TFDA) — verify</t>
        </is>
      </c>
      <c r="N80" s="145" t="inlineStr">
        <is>
          <t>A range to quote around your Mcube line: CHISON SonoMax 7 and SonoEye P3</t>
        </is>
      </c>
      <c r="O80" s="108" t="inlineStr">
        <is>
          <t>Dear 禾嵩股份有限公司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Mcube Technology (KR), interventional/OB ultrasound accessories. You will therefore assess a new line faster than most, and on the criteria that actually matter: image quality, probe life and service turnaround.
Where CHISON fits your portfolio: Mcube gives you one product at one price point. CHISON gives you a range to quote around it, using the same customers and the same service team:
• SonoMax 7: the flagship cart, carrying a full radiology, obstetric and cardiac workload
• SonoEye P3: pocket handheld for emergency, intensive care and bedside point-of-care scanning
That is both ends of the range, from bedside handheld to hospital cart. When an account asks for something Mcube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80" s="146" t="n"/>
      <c r="Q80" s="146" t="n"/>
      <c r="R80" s="146" t="n"/>
      <c r="S80" s="146" t="n"/>
    </row>
    <row r="81" hidden="1" ht="39.75" customHeight="1" s="104">
      <c r="A81" s="121" t="n">
        <v>76</v>
      </c>
      <c r="B81" s="143" t="inlineStr">
        <is>
          <t>科舉顧問股份有限公司</t>
        </is>
      </c>
      <c r="C81" s="123" t="inlineStr">
        <is>
          <t>Not started</t>
        </is>
      </c>
      <c r="D81" s="121" t="inlineStr">
        <is>
          <t>Distributor for Insight Lifetech (CN) intravascular ultrasound (IVUS)</t>
        </is>
      </c>
      <c r="E81" s="121" t="inlineStr">
        <is>
          <t>Insight Lifetech (China) — interventional cardiology IVUS, not general imaging</t>
        </is>
      </c>
      <c r="F81" s="124" t="inlineStr">
        <is>
          <t>新北市新店區北新路三段221號10樓</t>
        </is>
      </c>
      <c r="G81" s="121" t="inlineStr">
        <is>
          <t>No website found — verify</t>
        </is>
      </c>
      <c r="H81" s="121" t="inlineStr">
        <is>
          <t>Not verified — see registered address</t>
        </is>
      </c>
      <c r="I81" s="121" t="inlineStr">
        <is>
          <t>Niche interventional-cardiology IVUS channel; different workflow from general diagnostic ultrasound but worth a conversation on cardiology-focused CBit line.</t>
        </is>
      </c>
      <c r="J81" s="121" t="inlineStr">
        <is>
          <t>CBit 4/6 (cardiology)</t>
        </is>
      </c>
      <c r="K81" s="147" t="inlineStr">
        <is>
          <t>2</t>
        </is>
      </c>
      <c r="L81" s="121" t="inlineStr">
        <is>
          <t>Tier 2 — carries a line (Insight Lifetech (China) — interventional card) — conflict to qualify · no verified domain.</t>
        </is>
      </c>
      <c r="M81" s="121" t="inlineStr">
        <is>
          <t>TFDA registry · Registry (TFDA) — verify</t>
        </is>
      </c>
      <c r="N81" s="145" t="inlineStr">
        <is>
          <t>A value tier beneath your GE line: CHISON CBit 4 and SonoEye P3</t>
        </is>
      </c>
      <c r="O81" s="108" t="inlineStr">
        <is>
          <t>Dear 科舉顧問股份有限公司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Insight Lifetech (CN) intravascular ultrasound (IVUS). You will therefore assess a new line faster than most, and on the criteria that actually matter: image quality, probe life and service turnaround.
Where CHISON fits your portfolio: CHISON is not positioned against GE. It sits beneath it. The accounts you lose on price today are the accounts this line was built for:
• CBit 4: mid-range cart for cardiology, women's health and general radiology
• SonoEye P3: pocket handheld for emergency, intensive care and bedside point-of-care scanning
That gives you both ends of the range, from bedside handheld to hospital cart, so you can hold GE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81" s="146" t="n"/>
      <c r="Q81" s="146" t="n"/>
      <c r="R81" s="146" t="n"/>
      <c r="S81" s="146" t="n"/>
    </row>
    <row r="82" hidden="1" ht="39.75" customHeight="1" s="104">
      <c r="A82" s="121" t="n">
        <v>77</v>
      </c>
      <c r="B82" s="143" t="inlineStr">
        <is>
          <t>老達利貿易股份有限公司</t>
        </is>
      </c>
      <c r="C82" s="123" t="inlineStr">
        <is>
          <t>Not started</t>
        </is>
      </c>
      <c r="D82" s="121" t="inlineStr">
        <is>
          <t>Rotary — Taiwan's exclusive Canon Medical Systems distributor (MRI/CT/X-ray/ultrasound), hospital-network reach since decades</t>
        </is>
      </c>
      <c r="E82" s="121" t="inlineStr">
        <is>
          <t>Canon Medical Systems (JP) — full cart-based ultrasound line</t>
        </is>
      </c>
      <c r="F82" s="124" t="inlineStr">
        <is>
          <t>臺北市南港區重陽路223號5樓</t>
        </is>
      </c>
      <c r="G82" s="121" t="inlineStr">
        <is>
          <t>rotarytc.com.tw</t>
        </is>
      </c>
      <c r="H82" s="121" t="inlineStr">
        <is>
          <t>via website</t>
        </is>
      </c>
      <c r="I82" s="121" t="inlineStr">
        <is>
          <t>Established, well-capitalized full-modality imaging distributor with deep hospital relationships; entrenched with Canon but scale makes them worth a qualifying conversation for a complementary/portable CHISON line they don't carry.</t>
        </is>
      </c>
      <c r="J82" s="121" t="inlineStr">
        <is>
          <t>SonoPort, SonoGO, SonoEye P3 (complementary to Canon carts)</t>
        </is>
      </c>
      <c r="K82" s="147" t="inlineStr">
        <is>
          <t>2</t>
        </is>
      </c>
      <c r="L82" s="121" t="inlineStr">
        <is>
          <t>Tier 2 — carries a line (Canon Medical Systems (JP) — full cart-based u) — conflict to qualify · verified domain.</t>
        </is>
      </c>
      <c r="M82" s="121" t="inlineStr">
        <is>
          <t>TFDA registry · Verified site</t>
        </is>
      </c>
      <c r="N82" s="145" t="inlineStr">
        <is>
          <t>A value tier beneath your Canon line: CHISON SonoPort and SonoGO</t>
        </is>
      </c>
      <c r="O82" s="108" t="inlineStr">
        <is>
          <t>Dear 老達利貿易股份有限公司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Rotary, Taiwan's exclusive Canon Medical Systems distributor (MRI/CT/X-ray/ultrasound), hospital-network reach since decades. You will therefore assess a new line faster than most, and on the criteria that actually matter: image quality, probe life and service turnaround.
Where CHISON fits your portfolio: CHISON is not positioned against Canon. It sits beneath it. The accounts you lose on price today are the accounts this line was built for:
• SonoPort: our new-generation intelligent cart, launched April 2026
• SonoGO: launched July 2026, the first 3-in-1 platform, working as tablet, laptop and trolley in one system with SonoAI on board
• SonoEye P3: pocket handheld for emergency, intensive care and bedside point-of-care scanning
That gives you a complete handheld to cart ladder under one supplier agreement, so you can hold Canon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82" s="146" t="n"/>
      <c r="Q82" s="146" t="inlineStr">
        <is>
          <t>Not published: form at rotarytc.com.tw/contact-us · +886-2-26521030. Canon Medical master distributor</t>
        </is>
      </c>
      <c r="R82" s="146" t="n"/>
      <c r="S82" s="146" t="n"/>
    </row>
    <row r="83" hidden="1" ht="39.75" customHeight="1" s="104">
      <c r="A83" s="121" t="n">
        <v>78</v>
      </c>
      <c r="B83" s="143" t="inlineStr">
        <is>
          <t>達勝有限公司</t>
        </is>
      </c>
      <c r="C83" s="123" t="inlineStr">
        <is>
          <t>Not started</t>
        </is>
      </c>
      <c r="D83" s="121" t="inlineStr">
        <is>
          <t>Distributor for SIUI — Shantou Institute of Ultrasonic Instruments (CN), a major established Chinese manufacturer of B/W, color Doppler, 4D imaging AND veterinary ultrasound ("China's biggest ultrasound manufacturing base")</t>
        </is>
      </c>
      <c r="E83" s="121" t="inlineStr">
        <is>
          <t>SIUI (China) — full general-purpose cart/portable + veterinary ultrasound line</t>
        </is>
      </c>
      <c r="F83" s="124" t="inlineStr">
        <is>
          <t>臺北市中正區金門街24巷16之1號1樓</t>
        </is>
      </c>
      <c r="G83" s="121" t="inlineStr">
        <is>
          <t>No website found — verify</t>
        </is>
      </c>
      <c r="H83" s="121" t="inlineStr">
        <is>
          <t>Not verified — see registered address</t>
        </is>
      </c>
      <c r="I83" s="121" t="inlineStr">
        <is>
          <t>CORRECTED on re-verification: SIUI/Shantou Institute is a serious, long-established full-line Chinese ultrasound manufacturer (not a small/basic legacy brand as first assumed) with a genuine veterinary line — a real competing brand worth a proper qualifying conversation, especially on the VET side.</t>
        </is>
      </c>
      <c r="J83" s="121" t="inlineStr">
        <is>
          <t>VET line (SonoEye Vet, EBit 50 Vet), SonoMax 7</t>
        </is>
      </c>
      <c r="K83" s="147" t="inlineStr">
        <is>
          <t>2</t>
        </is>
      </c>
      <c r="L83" s="121" t="inlineStr">
        <is>
          <t>Tier 2 — carries a line (SIUI (China) — full general-purpose cart/porta) — conflict to qualify · no verified domain.</t>
        </is>
      </c>
      <c r="M83" s="121" t="inlineStr">
        <is>
          <t>TFDA registry · Registry (TFDA) + web-verified manufacturer product line (corrected)</t>
        </is>
      </c>
      <c r="N83" s="145" t="inlineStr">
        <is>
          <t>A value tier beneath your GE line: CHISON SonoEye and EBit 50</t>
        </is>
      </c>
      <c r="O83" s="108" t="inlineStr">
        <is>
          <t>Dear 達勝有限公司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SIUI, Shantou Institute of Ultrasonic Instruments (CN), a major established Chinese manufacturer of B/W, color Doppler, 4D imaging AND veterinary ultrasound ("China's biggest ultrasound manufacturing base"). You will therefore assess a new line faster than most, and on the criteria that actually matter: image quality, probe life and service turnaround.
Where CHISON fits your portfolio: CHISON is not positioned against GE. It sits beneath it. The accounts you lose on price today are the accounts this line was built for:
• SonoEye: pocket handheld for bedside point-of-care scanning
• EBit 50: the value laptop that opens price-sensitive clinic accounts
• SonoMax 7: the flagship cart, carrying a full radiology, obstetric and cardiac workload
That gives you a complete handheld to cart ladder under one supplier agreement, so you can hold GE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83" s="146" t="n"/>
      <c r="Q83" s="146" t="n"/>
      <c r="R83" s="146" t="n"/>
      <c r="S83" s="146" t="n"/>
    </row>
    <row r="84" hidden="1" ht="39.75" customHeight="1" s="104">
      <c r="A84" s="121" t="n">
        <v>79</v>
      </c>
      <c r="B84" s="143" t="inlineStr">
        <is>
          <t>錫寶貿易有限公司</t>
        </is>
      </c>
      <c r="C84" s="123" t="inlineStr">
        <is>
          <t>Not started</t>
        </is>
      </c>
      <c r="D84" s="121" t="inlineStr">
        <is>
          <t>Distributor for Sonoscanner (FR) handheld ultrasound</t>
        </is>
      </c>
      <c r="E84" s="121" t="inlineStr">
        <is>
          <t>Sonoscanner (France) — niche handheld brand</t>
        </is>
      </c>
      <c r="F84" s="124" t="inlineStr">
        <is>
          <t>新北市三重區中正北路508巷5號</t>
        </is>
      </c>
      <c r="G84" s="121" t="inlineStr">
        <is>
          <t>No website found — verify</t>
        </is>
      </c>
      <c r="H84" s="121" t="inlineStr">
        <is>
          <t>Not verified — see registered address</t>
        </is>
      </c>
      <c r="I84" s="121" t="inlineStr">
        <is>
          <t>Established niche French handheld-brand importer; smaller scale, worth a qualifying call for a secondary line.</t>
        </is>
      </c>
      <c r="J84" s="121" t="inlineStr">
        <is>
          <t>SonoEye P3/P5</t>
        </is>
      </c>
      <c r="K84" s="147" t="inlineStr">
        <is>
          <t>2</t>
        </is>
      </c>
      <c r="L84" s="121" t="inlineStr">
        <is>
          <t>Tier 2 — carries a line (Sonoscanner (France) — niche handheld brand) — conflict to qualify · no verified domain.</t>
        </is>
      </c>
      <c r="M84" s="121" t="inlineStr">
        <is>
          <t>TFDA registry · Registry (TFDA) — verify</t>
        </is>
      </c>
      <c r="N84" s="145" t="inlineStr">
        <is>
          <t>A range to quote around your Sonoscanner line: CHISON SonoEye P3 and SonoAir 30</t>
        </is>
      </c>
      <c r="O84" s="108" t="inlineStr">
        <is>
          <t>Dear 錫寶貿易有限公司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Sonoscanner (FR) handheld ultrasound. You will therefore assess a new line faster than most, and on the criteria that actually matter: image quality, probe life and service turnaround.
Where CHISON fits your portfolio: Sonoscanner gives you one product at one price point. CHISON gives you a range to quote around it, using the same customers and the same service team:
• SonoEye P3: pocket handheld for emergency, intensive care and bedside point-of-care scanning
• SonoAir 30: lightweight laptop for mobile and multi-site work
That is two portable formats at two very different budgets. When an account asks for something Sonoscanner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84" s="146" t="n"/>
      <c r="Q84" s="146" t="n"/>
      <c r="R84" s="146" t="n"/>
      <c r="S84" s="146" t="n"/>
    </row>
    <row r="85" hidden="1" ht="39.75" customHeight="1" s="104">
      <c r="A85" s="121" t="n">
        <v>80</v>
      </c>
      <c r="B85" s="143" t="inlineStr">
        <is>
          <t>上岳科技股份有限公司</t>
        </is>
      </c>
      <c r="C85" s="123" t="inlineStr">
        <is>
          <t>Not started</t>
        </is>
      </c>
      <c r="D85" s="121" t="inlineStr">
        <is>
          <t>Small trading co.; imports Shenzhen Luckcome Technology (CN) fetal ultrasound monitor</t>
        </is>
      </c>
      <c r="E85" s="121" t="inlineStr">
        <is>
          <t>Luckcome (China) — single small OB fetal-monitor brand</t>
        </is>
      </c>
      <c r="F85" s="124" t="inlineStr">
        <is>
          <t>臺中市南屯區精科五路3號5樓</t>
        </is>
      </c>
      <c r="G85" s="121" t="inlineStr">
        <is>
          <t>No website found — verify</t>
        </is>
      </c>
      <c r="H85" s="121" t="inlineStr">
        <is>
          <t>Not verified — see registered address</t>
        </is>
      </c>
      <c r="I85" s="121" t="inlineStr">
        <is>
          <t>CORRECTED on re-verification: could not independently confirm Shenzhen Luckcome Technology's product line or scale despite several search attempts. Its Taiwan registration is specifically for a fetal ultrasound monitor (OB niche), not a confirmed general imaging system. Moved out of Tier 1 pending verification rather than treated as a confident prime recruit.</t>
        </is>
      </c>
      <c r="J85" s="121" t="inlineStr">
        <is>
          <t>Verify first</t>
        </is>
      </c>
      <c r="K85" s="148" t="inlineStr">
        <is>
          <t>3</t>
        </is>
      </c>
      <c r="L85" s="121" t="inlineStr">
        <is>
          <t>Tier 3 — carries a line (Luckcome (China) — single small OB fetal-monit) — conflict to qualify · no verified domain.</t>
        </is>
      </c>
      <c r="M85" s="121" t="inlineStr">
        <is>
          <t>TFDA registry · Registry (TFDA) — manufacturer product line could not be independently verified</t>
        </is>
      </c>
      <c r="N85" s="145" t="inlineStr">
        <is>
          <t>A range to quote around your Luckcome line: CHISON SonoEye P3 and SonoBook 9</t>
        </is>
      </c>
      <c r="O85" s="108" t="inlineStr">
        <is>
          <t>Dear 上岳科技股份有限公司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Small trading co., imports Shenzhen Luckcome Technology (CN) fetal ultrasound monitor. You will therefore assess a new line faster than most, and on the criteria that actually matter: image quality, probe life and service turnaround.
Where CHISON fits your portfolio: Luckcome gives you one product at one price point. CHISON gives you a range to quote around it, using the same customers and the same service team:
• SonoEye P3: pocket handheld for emergency, intensive care and bedside point-of-care scanning
• SonoBook 9: the workhorse laptop and our volume seller across Asia
• CBit 4: mid-range cart for cardiology, women's health and general radiology
That is a complete handheld to cart ladder under one supplier agreement. When an account asks for something Luckcome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85" s="146" t="n"/>
      <c r="Q85" s="146" t="n"/>
      <c r="R85" s="146" t="n"/>
      <c r="S85" s="146" t="n"/>
    </row>
    <row r="86" hidden="1" ht="39.75" customHeight="1" s="104">
      <c r="A86" s="121" t="n">
        <v>81</v>
      </c>
      <c r="B86" s="143" t="inlineStr">
        <is>
          <t>上準科技股份有限公司</t>
        </is>
      </c>
      <c r="C86" s="123" t="inlineStr">
        <is>
          <t>Not started</t>
        </is>
      </c>
      <c r="D86" s="121" t="inlineStr">
        <is>
          <t>Imports JingFang Precision Medical Device (Shenzhen) — reusable/disposable ultrasound-guided BIOPSY NEEDLE GUIDES (InnoFine brand) compatible with GE/Siemens/Samsung/Fujifilm transducers, NOT a full ultrasound system</t>
        </is>
      </c>
      <c r="E86" s="121" t="inlineStr">
        <is>
          <t>JingFang / InnoFine (China) — accessory (needle guide) manufacturer only, no imaging-system brand</t>
        </is>
      </c>
      <c r="F86" s="124" t="inlineStr">
        <is>
          <t>臺北市中山區民權西路11號9樓</t>
        </is>
      </c>
      <c r="G86" s="121" t="inlineStr">
        <is>
          <t>No website found — verify</t>
        </is>
      </c>
      <c r="H86" s="121" t="inlineStr">
        <is>
          <t>Not verified — see registered address</t>
        </is>
      </c>
      <c r="I86" s="121" t="inlineStr">
        <is>
          <t>CORRECTED on re-verification: JingFang Precision makes needle-guide accessories for other brands' transducers, not ultrasound imaging systems. This importer is an accessories house, not a systems dealer — demoted from Tier 1 to the accessories/long-tail bucket.</t>
        </is>
      </c>
      <c r="J86" s="121" t="inlineStr">
        <is>
          <t>N/A (accessory importer, not a systems dealer)</t>
        </is>
      </c>
      <c r="K86" s="148" t="inlineStr">
        <is>
          <t>3</t>
        </is>
      </c>
      <c r="L86" s="121" t="inlineStr">
        <is>
          <t>Tier 3 — carries a line (JingFang / InnoFine (China) — accessory (needl) — conflict to qualify · no verified domain.</t>
        </is>
      </c>
      <c r="M86" s="121" t="inlineStr">
        <is>
          <t>TFDA registry · Registry (TFDA) + web-verified manufacturer product line (corrected)</t>
        </is>
      </c>
      <c r="N86" s="145" t="inlineStr">
        <is>
          <t>From ultrasound accessories to the systems themselves: CHISON for 上準科技股份有限公司</t>
        </is>
      </c>
      <c r="O86" s="108" t="inlineStr">
        <is>
          <t>Dear 上準科技股份有限公司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 are already inside the ultrasound room: Imports JingFang Precision Medical Device (Shenzhen), reusable/disposable ultrasound-guided BIOPSY NEEDLE GUIDES (InnoFine brand) compatible with GE/Siemens/Samsung/Fujifilm transducers, NOT a full ultrasound system. That is the position most suppliers spend years trying to reach.
Where CHISON fits your portfolio: you already supply into ultrasound rooms, so the systems themselves are the natural step up in order value. The same buyers, a considerably larger ticket:
• SonoEye P3: pocket handheld for emergency, intensive care and bedside point-of-care scanning
• SonoBook 9: the workhorse laptop and our volume seller across Asia
• CBit 4: mid-range cart for cardiology, women's health and general radiology
Your consumables business is unaffected. If anything, a placed system pulls gel, covers and probe sales along behind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86" s="146" t="n"/>
      <c r="Q86" s="146" t="n"/>
      <c r="R86" s="146" t="n"/>
      <c r="S86" s="146" t="n"/>
    </row>
    <row r="87" hidden="1" ht="39.75" customHeight="1" s="104">
      <c r="A87" s="121" t="n">
        <v>82</v>
      </c>
      <c r="B87" s="143" t="inlineStr">
        <is>
          <t>世新儀器有限公司</t>
        </is>
      </c>
      <c r="C87" s="123" t="inlineStr">
        <is>
          <t>Not started</t>
        </is>
      </c>
      <c r="D87" s="121" t="inlineStr">
        <is>
          <t>Distributor for Parker Laboratories (US) — ultrasound gel/consumables, not systems</t>
        </is>
      </c>
      <c r="E87" s="121" t="inlineStr">
        <is>
          <t>Parker Labs (US) — accessories only, no imaging system brand</t>
        </is>
      </c>
      <c r="F87" s="124" t="inlineStr">
        <is>
          <t>臺北市中山區松江路２２１巷１９號</t>
        </is>
      </c>
      <c r="G87" s="121" t="inlineStr">
        <is>
          <t>No website found — verify</t>
        </is>
      </c>
      <c r="H87" s="121" t="inlineStr">
        <is>
          <t>Not verified — see registered address</t>
        </is>
      </c>
      <c r="I87" s="121" t="inlineStr">
        <is>
          <t>Consumables-only channel (gel), not a systems dealer — low direct fit but a possible bundling/consumables partner.</t>
        </is>
      </c>
      <c r="J87" s="121" t="inlineStr">
        <is>
          <t>N/A (accessory partner)</t>
        </is>
      </c>
      <c r="K87" s="148" t="inlineStr">
        <is>
          <t>3</t>
        </is>
      </c>
      <c r="L87" s="121" t="inlineStr">
        <is>
          <t>Tier 3 — carries a line (Parker Labs (US) — accessories only, no imagin) — conflict to qualify · no verified domain.</t>
        </is>
      </c>
      <c r="M87" s="121" t="inlineStr">
        <is>
          <t>TFDA registry · Registry (TFDA) — verify</t>
        </is>
      </c>
      <c r="N87" s="145" t="inlineStr">
        <is>
          <t>From ultrasound accessories to the systems themselves: CHISON for 世新儀器有限公司</t>
        </is>
      </c>
      <c r="O87" s="108" t="inlineStr">
        <is>
          <t>Dear 世新儀器有限公司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 are already inside the ultrasound room: Distributor for Parker Laboratories (US), ultrasound gel/consumables, not systems. That is the position most suppliers spend years trying to reach.
Where CHISON fits your portfolio: you already supply into ultrasound rooms, so the systems themselves are the natural step up in order value. The same buyers, a considerably larger ticket:
• SonoEye P3: pocket handheld for emergency, intensive care and bedside point-of-care scanning
• SonoBook 9: the workhorse laptop and our volume seller across Asia
• CBit 4: mid-range cart for cardiology, women's health and general radiology
Your consumables business is unaffected. If anything, a placed system pulls gel, covers and probe sales along behind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87" s="146" t="n"/>
      <c r="Q87" s="146" t="n"/>
      <c r="R87" s="146" t="n"/>
      <c r="S87" s="146" t="n"/>
    </row>
    <row r="88" hidden="1" ht="39.75" customHeight="1" s="104">
      <c r="A88" s="121" t="n">
        <v>83</v>
      </c>
      <c r="B88" s="143" t="inlineStr">
        <is>
          <t>中訊企業有限公司</t>
        </is>
      </c>
      <c r="C88" s="123" t="inlineStr">
        <is>
          <t>Not started</t>
        </is>
      </c>
      <c r="D88" s="121" t="inlineStr">
        <is>
          <t>Distributor for Viasonix (IL) — vascular lab diagnostic devices</t>
        </is>
      </c>
      <c r="E88" s="121" t="inlineStr">
        <is>
          <t>Viasonix (Israel) — niche vascular-lab, not general imaging</t>
        </is>
      </c>
      <c r="F88" s="124" t="inlineStr">
        <is>
          <t>新北市汐止區康寧街169巷31號4樓之2</t>
        </is>
      </c>
      <c r="G88" s="121" t="inlineStr">
        <is>
          <t>No website found — verify</t>
        </is>
      </c>
      <c r="H88" s="121" t="inlineStr">
        <is>
          <t>Not verified — see registered address</t>
        </is>
      </c>
      <c r="I88" s="121" t="inlineStr">
        <is>
          <t>Specialist vascular-diagnostics niche, limited overlap with CHISON's general imaging line.</t>
        </is>
      </c>
      <c r="J88" s="121" t="inlineStr">
        <is>
          <t>CBit 4/6 (vascular)</t>
        </is>
      </c>
      <c r="K88" s="148" t="inlineStr">
        <is>
          <t>3</t>
        </is>
      </c>
      <c r="L88" s="121" t="inlineStr">
        <is>
          <t>Tier 3 — carries a line (Viasonix (Israel) — niche vascular-lab, not ge) — conflict to qualify · no verified domain.</t>
        </is>
      </c>
      <c r="M88" s="121" t="inlineStr">
        <is>
          <t>TFDA registry · Registry (TFDA) — verify</t>
        </is>
      </c>
      <c r="N88" s="145" t="inlineStr">
        <is>
          <t>General-imaging ultrasound alongside your current line: CHISON for 中訊企業有限公司</t>
        </is>
      </c>
      <c r="O88" s="108" t="inlineStr">
        <is>
          <t>Dear 中訊企業有限公司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Viasonix (IL), vascular lab diagnostic devices.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CBit 4: mid-range cart for cardiology, women's health and general radiology
• SonoEye P3: pocket handheld for emergency, intensive care and bedside point-of-care scanning
None of it competes with what you already represent. It simply allows you to quote a second system into an account you have already won, with both ends of the range, from bedside handheld to hospital cart.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88" s="146" t="n"/>
      <c r="Q88" s="146" t="n"/>
      <c r="R88" s="146" t="n"/>
      <c r="S88" s="146" t="n"/>
    </row>
    <row r="89" hidden="1" ht="39.75" customHeight="1" s="104">
      <c r="A89" s="121" t="n">
        <v>84</v>
      </c>
      <c r="B89" s="143" t="inlineStr">
        <is>
          <t>九和科技股份有限公司</t>
        </is>
      </c>
      <c r="C89" s="123" t="inlineStr">
        <is>
          <t>Not started</t>
        </is>
      </c>
      <c r="D89" s="121" t="inlineStr">
        <is>
          <t>Distributor for Quantel Medical (FR) / Ellex (AU) — ophthalmic ultrasound biometry</t>
        </is>
      </c>
      <c r="E89" s="121" t="inlineStr">
        <is>
          <t>Quantel/Ellex — ophthalmology-only ultrasound</t>
        </is>
      </c>
      <c r="F89" s="124" t="inlineStr">
        <is>
          <t>臺北市內湖區行愛路88號6樓</t>
        </is>
      </c>
      <c r="G89" s="121" t="inlineStr">
        <is>
          <t>No website found — verify</t>
        </is>
      </c>
      <c r="H89" s="121" t="inlineStr">
        <is>
          <t>Not verified — see registered address</t>
        </is>
      </c>
      <c r="I89" s="121" t="inlineStr">
        <is>
          <t>Ophthalmology-only channel; different clinical workflow from CHISON's general imaging line — awareness only.</t>
        </is>
      </c>
      <c r="J89" s="121" t="inlineStr">
        <is>
          <t>N/A (different specialty)</t>
        </is>
      </c>
      <c r="K89" s="148" t="inlineStr">
        <is>
          <t>3</t>
        </is>
      </c>
      <c r="L89" s="121" t="inlineStr">
        <is>
          <t>Tier 3 — carries a line (Quantel/Ellex — ophthalmology-only ultrasound) — conflict to qualify · no verified domain.</t>
        </is>
      </c>
      <c r="M89" s="121" t="inlineStr">
        <is>
          <t>TFDA registry · Registry (TFDA) — verify</t>
        </is>
      </c>
      <c r="N89" s="145" t="inlineStr">
        <is>
          <t>General-imaging ultrasound alongside your current line: CHISON for 九和科技股份有限公司</t>
        </is>
      </c>
      <c r="O89" s="108" t="inlineStr">
        <is>
          <t>Dear 九和科技股份有限公司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Quantel Medical (FR) / Ellex (AU), ophthalmic ultrasound biometry.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89" s="146" t="n"/>
      <c r="Q89" s="146" t="n"/>
      <c r="R89" s="146" t="n"/>
      <c r="S89" s="146" t="n"/>
    </row>
    <row r="90" hidden="1" ht="39.75" customHeight="1" s="104">
      <c r="A90" s="121" t="n">
        <v>85</v>
      </c>
      <c r="B90" s="143" t="inlineStr">
        <is>
          <t>企建科技股份有限公司</t>
        </is>
      </c>
      <c r="C90" s="123" t="inlineStr">
        <is>
          <t>Not started</t>
        </is>
      </c>
      <c r="D90" s="121" t="inlineStr">
        <is>
          <t>Distributor for Compumedics Germany — sleep diagnostics / TCD ultrasound</t>
        </is>
      </c>
      <c r="E90" s="121" t="inlineStr">
        <is>
          <t>Compumedics — niche neuro/sleep diagnostics</t>
        </is>
      </c>
      <c r="F90" s="124" t="inlineStr">
        <is>
          <t>臺北市中山區新生北路2段41巷14號1樓</t>
        </is>
      </c>
      <c r="G90" s="121" t="inlineStr">
        <is>
          <t>No website found — verify</t>
        </is>
      </c>
      <c r="H90" s="121" t="inlineStr">
        <is>
          <t>Not verified — see registered address</t>
        </is>
      </c>
      <c r="I90" s="121" t="inlineStr">
        <is>
          <t>Neurology/sleep-lab niche; limited overlap with general diagnostic ultrasound.</t>
        </is>
      </c>
      <c r="J90" s="121" t="inlineStr">
        <is>
          <t>N/A (different specialty)</t>
        </is>
      </c>
      <c r="K90" s="148" t="inlineStr">
        <is>
          <t>3</t>
        </is>
      </c>
      <c r="L90" s="121" t="inlineStr">
        <is>
          <t>Tier 3 — carries a line (Compumedics — niche neuro/sleep diagnostics) — conflict to qualify · no verified domain.</t>
        </is>
      </c>
      <c r="M90" s="121" t="inlineStr">
        <is>
          <t>TFDA registry · Registry (TFDA) — verify</t>
        </is>
      </c>
      <c r="N90" s="145" t="inlineStr">
        <is>
          <t>General-imaging ultrasound alongside your current line: CHISON for 企建科技股份有限公司</t>
        </is>
      </c>
      <c r="O90" s="108" t="inlineStr">
        <is>
          <t>Dear 企建科技股份有限公司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Compumedics Germany, sleep diagnostics / TCD ultrasound.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0" s="146" t="n"/>
      <c r="Q90" s="146" t="n"/>
      <c r="R90" s="146" t="n"/>
      <c r="S90" s="146" t="n"/>
    </row>
    <row r="91" hidden="1" ht="39.75" customHeight="1" s="104">
      <c r="A91" s="121" t="n">
        <v>86</v>
      </c>
      <c r="B91" s="143" t="inlineStr">
        <is>
          <t>傳承儀器有限公司</t>
        </is>
      </c>
      <c r="C91" s="123" t="inlineStr">
        <is>
          <t>Not started</t>
        </is>
      </c>
      <c r="D91" s="121" t="inlineStr">
        <is>
          <t>Distributor for DJO (US/FR/MX) — orthopedic bracing &amp; bone-growth ultrasound stimulators</t>
        </is>
      </c>
      <c r="E91" s="121" t="inlineStr">
        <is>
          <t>DJO — orthopedic rehab, not diagnostic imaging</t>
        </is>
      </c>
      <c r="F91" s="124" t="inlineStr">
        <is>
          <t>高雄市鳳山區文湖街７號６樓</t>
        </is>
      </c>
      <c r="G91" s="121" t="inlineStr">
        <is>
          <t>No website found — verify</t>
        </is>
      </c>
      <c r="H91" s="121" t="inlineStr">
        <is>
          <t>Not verified — see registered address</t>
        </is>
      </c>
      <c r="I91" s="121" t="inlineStr">
        <is>
          <t>Orthopedic rehab equipment channel, not diagnostic imaging — low direct fit.</t>
        </is>
      </c>
      <c r="J91" s="121" t="inlineStr">
        <is>
          <t>N/A (different specialty)</t>
        </is>
      </c>
      <c r="K91" s="148" t="inlineStr">
        <is>
          <t>3</t>
        </is>
      </c>
      <c r="L91" s="121" t="inlineStr">
        <is>
          <t>Tier 3 — carries a line (DJO — orthopedic rehab, not diagnostic imaging) — conflict to qualify · no verified domain.</t>
        </is>
      </c>
      <c r="M91" s="121" t="inlineStr">
        <is>
          <t>TFDA registry · Registry (TFDA) — verify</t>
        </is>
      </c>
      <c r="N91" s="145" t="inlineStr">
        <is>
          <t>General-imaging ultrasound alongside your current line: CHISON for 傳承儀器有限公司</t>
        </is>
      </c>
      <c r="O91" s="108" t="inlineStr">
        <is>
          <t>Dear 傳承儀器有限公司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DJO (ultrasound/FR/MX), orthopedic bracing &amp; bone-growth ultrasound stimulators.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1" s="146" t="n"/>
      <c r="Q91" s="146" t="n"/>
      <c r="R91" s="146" t="n"/>
      <c r="S91" s="146" t="n"/>
    </row>
    <row r="92" hidden="1" ht="39.75" customHeight="1" s="104">
      <c r="A92" s="121" t="n">
        <v>87</v>
      </c>
      <c r="B92" s="143" t="inlineStr">
        <is>
          <t>六霖企業有限公司</t>
        </is>
      </c>
      <c r="C92" s="123" t="inlineStr">
        <is>
          <t>Not started</t>
        </is>
      </c>
      <c r="D92" s="121" t="inlineStr">
        <is>
          <t>Distributor for Volcano/Philips (US/Costa Rica) intravascular ultrasound (IVUS) catheters</t>
        </is>
      </c>
      <c r="E92" s="121" t="inlineStr">
        <is>
          <t>Volcano (now Philips) — interventional cardiology IVUS, not general imaging</t>
        </is>
      </c>
      <c r="F92" s="124" t="inlineStr">
        <is>
          <t>臺北市中正區杭州南路1段19號10樓</t>
        </is>
      </c>
      <c r="G92" s="121" t="inlineStr">
        <is>
          <t>No website found — verify</t>
        </is>
      </c>
      <c r="H92" s="121" t="inlineStr">
        <is>
          <t>Not verified — see registered address</t>
        </is>
      </c>
      <c r="I92" s="121" t="inlineStr">
        <is>
          <t>Niche interventional-cardiology IVUS channel now tied to Philips ownership of Volcano — different clinical workflow from CHISON's general/cart imaging line; low direct fit.</t>
        </is>
      </c>
      <c r="J92" s="121" t="inlineStr">
        <is>
          <t>N/A (different specialty, Philips-owned brand)</t>
        </is>
      </c>
      <c r="K92" s="148" t="inlineStr">
        <is>
          <t>3</t>
        </is>
      </c>
      <c r="L92" s="121" t="inlineStr">
        <is>
          <t>Tier 3 — carries a line (Volcano (now Philips) — interventional cardiol) — conflict to qualify · no verified domain.</t>
        </is>
      </c>
      <c r="M92" s="121" t="inlineStr">
        <is>
          <t>TFDA registry · Registry (TFDA) — verify</t>
        </is>
      </c>
      <c r="N92" s="145" t="inlineStr">
        <is>
          <t>A value tier beneath your GE line: CHISON SonoEye P3 and SonoBook 9</t>
        </is>
      </c>
      <c r="O92" s="108" t="inlineStr">
        <is>
          <t>Dear 六霖企業有限公司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Volcano/Philips (ultrasound/Costa Rica) intravascular ultrasound (IVUS) catheters. You will therefore assess a new line faster than most, and on the criteria that actually matter: image quality, probe life and service turnaround.
Where CHISON fits your portfolio: CHISON is not positioned against GE. It sits beneath it. The accounts you lose on price today are the accounts this line was built for:
• SonoEye P3: pocket handheld for emergency, intensive care and bedside point-of-care scanning
• SonoBook 9: the workhorse laptop and our volume seller across Asia
• CBit 4: mid-range cart for cardiology, women's health and general radiology
That gives you a complete handheld to cart ladder under one supplier agreement, so you can hold GE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2" s="146" t="n"/>
      <c r="Q92" s="146" t="n"/>
      <c r="R92" s="146" t="n"/>
      <c r="S92" s="146" t="n"/>
    </row>
    <row r="93" hidden="1" ht="39.75" customHeight="1" s="104">
      <c r="A93" s="121" t="n">
        <v>88</v>
      </c>
      <c r="B93" s="143" t="inlineStr">
        <is>
          <t>台灣展鑫醫療器材有限公司</t>
        </is>
      </c>
      <c r="C93" s="123" t="inlineStr">
        <is>
          <t>Not started</t>
        </is>
      </c>
      <c r="D93" s="121" t="inlineStr">
        <is>
          <t>Distributor for NIDEK (JP) — ophthalmic ultrasound biometry</t>
        </is>
      </c>
      <c r="E93" s="121" t="inlineStr">
        <is>
          <t>NIDEK — ophthalmology-only</t>
        </is>
      </c>
      <c r="F93" s="124" t="inlineStr">
        <is>
          <t>臺北市內湖區陽光街321巷18號5樓之1</t>
        </is>
      </c>
      <c r="G93" s="121" t="inlineStr">
        <is>
          <t>No website found — verify</t>
        </is>
      </c>
      <c r="H93" s="121" t="inlineStr">
        <is>
          <t>Not verified — see registered address</t>
        </is>
      </c>
      <c r="I93" s="121" t="inlineStr">
        <is>
          <t>Ophthalmology-only niche; different specialty from CHISON's general imaging line.</t>
        </is>
      </c>
      <c r="J93" s="121" t="inlineStr">
        <is>
          <t>N/A (different specialty)</t>
        </is>
      </c>
      <c r="K93" s="148" t="inlineStr">
        <is>
          <t>3</t>
        </is>
      </c>
      <c r="L93" s="121" t="inlineStr">
        <is>
          <t>Tier 3 — carries a line (NIDEK — ophthalmology-only) — conflict to qualify · no verified domain.</t>
        </is>
      </c>
      <c r="M93" s="121" t="inlineStr">
        <is>
          <t>TFDA registry · Registry (TFDA) — verify</t>
        </is>
      </c>
      <c r="N93" s="145" t="inlineStr">
        <is>
          <t>General-imaging ultrasound alongside your current line: CHISON for 台灣展鑫醫療器材有限公司</t>
        </is>
      </c>
      <c r="O93" s="108" t="inlineStr">
        <is>
          <t>Dear 台灣展鑫醫療器材有限公司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NIDEK (JP), ophthalmic ultrasound biometry.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3" s="146" t="n"/>
      <c r="Q93" s="146" t="n"/>
      <c r="R93" s="146" t="n"/>
      <c r="S93" s="146" t="n"/>
    </row>
    <row r="94" hidden="1" ht="39.75" customHeight="1" s="104">
      <c r="A94" s="121" t="n">
        <v>89</v>
      </c>
      <c r="B94" s="143" t="inlineStr">
        <is>
          <t>嘉文國際事業有限公司</t>
        </is>
      </c>
      <c r="C94" s="123" t="inlineStr">
        <is>
          <t>Not started</t>
        </is>
      </c>
      <c r="D94" s="121" t="inlineStr">
        <is>
          <t>Distributor for Chengdu Mediate Technology (CN) — maker of the BVS-Pro bladder-volume scanner, a niche point-of-care device, not a general OB/imaging cart line</t>
        </is>
      </c>
      <c r="E94" s="121" t="inlineStr">
        <is>
          <t>Chengdu Mediate (China) — bladder-scan niche, not general imaging</t>
        </is>
      </c>
      <c r="F94" s="124" t="inlineStr">
        <is>
          <t>高雄市鼓山區明華路251號10樓</t>
        </is>
      </c>
      <c r="G94" s="121" t="inlineStr">
        <is>
          <t>No website found — verify</t>
        </is>
      </c>
      <c r="H94" s="121" t="inlineStr">
        <is>
          <t>Not verified — see registered address</t>
        </is>
      </c>
      <c r="I94" s="121" t="inlineStr">
        <is>
          <t>CORRECTED on re-verification: Chengdu Mediate's flagship (and apparently primary) product is a bladder-volume scanner, not a general-purpose OB/imaging system as first assumed from the P.1560 category alone. Same niche as Verathon/EchoNous bladder-scan players — demoted from Tier 1.</t>
        </is>
      </c>
      <c r="J94" s="121" t="inlineStr">
        <is>
          <t>N/A (bladder-scan niche)</t>
        </is>
      </c>
      <c r="K94" s="148" t="inlineStr">
        <is>
          <t>3</t>
        </is>
      </c>
      <c r="L94" s="121" t="inlineStr">
        <is>
          <t>Tier 3 — carries a line (Chengdu Mediate (China) — bladder-scan niche, ) — conflict to qualify · no verified domain.</t>
        </is>
      </c>
      <c r="M94" s="121" t="inlineStr">
        <is>
          <t>TFDA registry · Registry (TFDA) + web-verified manufacturer product line (corrected)</t>
        </is>
      </c>
      <c r="N94" s="145" t="inlineStr">
        <is>
          <t>General-imaging ultrasound alongside your current line: CHISON for 嘉文國際事業有限公司</t>
        </is>
      </c>
      <c r="O94" s="108" t="inlineStr">
        <is>
          <t>Dear 嘉文國際事業有限公司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Chengdu Mediate Technology (CN), maker of the BVS-Pro bladder-volume scanner, a niche point-of-care device, not a general OB/imaging cart line.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4" s="146" t="n"/>
      <c r="Q94" s="146" t="n"/>
      <c r="R94" s="146" t="n"/>
      <c r="S94" s="146" t="n"/>
    </row>
    <row r="95" hidden="1" ht="39.75" customHeight="1" s="104">
      <c r="A95" s="121" t="n">
        <v>90</v>
      </c>
      <c r="B95" s="143" t="inlineStr">
        <is>
          <t>嘉杏股份有限公司</t>
        </is>
      </c>
      <c r="C95" s="123" t="inlineStr">
        <is>
          <t>Not started</t>
        </is>
      </c>
      <c r="D95" s="121" t="inlineStr">
        <is>
          <t>Distributor for Happersberger Otopront (DE) — ENT/audiology diagnostic ultrasound</t>
        </is>
      </c>
      <c r="E95" s="121" t="inlineStr">
        <is>
          <t>Happersberger — ENT niche</t>
        </is>
      </c>
      <c r="F95" s="124" t="inlineStr">
        <is>
          <t>臺北市中山區松江路42號4樓</t>
        </is>
      </c>
      <c r="G95" s="121" t="inlineStr">
        <is>
          <t>No website found — verify</t>
        </is>
      </c>
      <c r="H95" s="121" t="inlineStr">
        <is>
          <t>Not verified — see registered address</t>
        </is>
      </c>
      <c r="I95" s="121" t="inlineStr">
        <is>
          <t>ENT/audiology niche, different specialty from general imaging.</t>
        </is>
      </c>
      <c r="J95" s="121" t="inlineStr">
        <is>
          <t>N/A (different specialty)</t>
        </is>
      </c>
      <c r="K95" s="148" t="inlineStr">
        <is>
          <t>3</t>
        </is>
      </c>
      <c r="L95" s="121" t="inlineStr">
        <is>
          <t>Tier 3 — carries a line (Happersberger — ENT niche) — conflict to qualify · no verified domain.</t>
        </is>
      </c>
      <c r="M95" s="121" t="inlineStr">
        <is>
          <t>TFDA registry · Registry (TFDA) — verify</t>
        </is>
      </c>
      <c r="N95" s="145" t="inlineStr">
        <is>
          <t>A value tier beneath your GE line: CHISON SonoEye P3 and SonoBook 9</t>
        </is>
      </c>
      <c r="O95" s="108" t="inlineStr">
        <is>
          <t>Dear 嘉杏股份有限公司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Happersberger Otopront (DE), ENT/audiology diagnostic ultrasound. You will therefore assess a new line faster than most, and on the criteria that actually matter: image quality, probe life and service turnaround.
Where CHISON fits your portfolio: CHISON is not positioned against GE. It sits beneath it. The accounts you lose on price today are the accounts this line was built for:
• SonoEye P3: pocket handheld for emergency, intensive care and bedside point-of-care scanning
• SonoBook 9: the workhorse laptop and our volume seller across Asia
• CBit 4: mid-range cart for cardiology, women's health and general radiology
That gives you a complete handheld to cart ladder under one supplier agreement, so you can hold GE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5" s="146" t="n"/>
      <c r="Q95" s="146" t="n"/>
      <c r="R95" s="146" t="n"/>
      <c r="S95" s="146" t="n"/>
    </row>
    <row r="96" hidden="1" ht="39.75" customHeight="1" s="104">
      <c r="A96" s="121" t="n">
        <v>91</v>
      </c>
      <c r="B96" s="143" t="inlineStr">
        <is>
          <t>太平洋醫材股份有限公司</t>
        </is>
      </c>
      <c r="C96" s="123" t="inlineStr">
        <is>
          <t>Not started</t>
        </is>
      </c>
      <c r="D96" s="121" t="inlineStr">
        <is>
          <t>Distributor for a Turkish probe-cover/accessory manufacturer</t>
        </is>
      </c>
      <c r="E96" s="121" t="inlineStr">
        <is>
          <t>Accessory only, no imaging brand</t>
        </is>
      </c>
      <c r="F96" s="124" t="inlineStr">
        <is>
          <t>苗栗縣銅鑼鄉銅科二路8號</t>
        </is>
      </c>
      <c r="G96" s="121" t="inlineStr">
        <is>
          <t>No website found — verify</t>
        </is>
      </c>
      <c r="H96" s="121" t="inlineStr">
        <is>
          <t>Not verified — see registered address</t>
        </is>
      </c>
      <c r="I96" s="121" t="inlineStr">
        <is>
          <t>Accessory-only importer, not a systems dealer.</t>
        </is>
      </c>
      <c r="J96" s="121" t="inlineStr">
        <is>
          <t>N/A (accessory partner)</t>
        </is>
      </c>
      <c r="K96" s="148" t="inlineStr">
        <is>
          <t>3</t>
        </is>
      </c>
      <c r="L96" s="121" t="inlineStr">
        <is>
          <t>Tier 3 — carries a line (Accessory only, no imaging brand) — conflict to qualify · no verified domain.</t>
        </is>
      </c>
      <c r="M96" s="121" t="inlineStr">
        <is>
          <t>TFDA registry · Registry (TFDA) — verify</t>
        </is>
      </c>
      <c r="N96" s="145" t="inlineStr">
        <is>
          <t>From ultrasound accessories to the systems themselves: CHISON for 太平洋醫材股份有限公司</t>
        </is>
      </c>
      <c r="O96" s="108" t="inlineStr">
        <is>
          <t>Dear 太平洋醫材股份有限公司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 are already inside the ultrasound room: Distributor for a Turkish probe-cover/accessory manufacturer. That is the position most suppliers spend years trying to reach.
Where CHISON fits your portfolio: you already supply into ultrasound rooms, so the systems themselves are the natural step up in order value. The same buyers, a considerably larger ticket:
• SonoEye P3: pocket handheld for emergency, intensive care and bedside point-of-care scanning
• SonoBook 9: the workhorse laptop and our volume seller across Asia
• CBit 4: mid-range cart for cardiology, women's health and general radiology
Your consumables business is unaffected. If anything, a placed system pulls gel, covers and probe sales along behind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6" s="146" t="n"/>
      <c r="Q96" s="146" t="n"/>
      <c r="R96" s="146" t="n"/>
      <c r="S96" s="146" t="n"/>
    </row>
    <row r="97" hidden="1" ht="39.75" customHeight="1" s="104">
      <c r="A97" s="121" t="n">
        <v>92</v>
      </c>
      <c r="B97" s="143" t="inlineStr">
        <is>
          <t>宇康生科股份有限公司</t>
        </is>
      </c>
      <c r="C97" s="123" t="inlineStr">
        <is>
          <t>Not started</t>
        </is>
      </c>
      <c r="D97" s="121" t="inlineStr">
        <is>
          <t>Distributor for A.M.I. Agency for Medical Innovations (AT) — GI motility/diagnostic devices</t>
        </is>
      </c>
      <c r="E97" s="121" t="inlineStr">
        <is>
          <t>A.M.I. — GI motility niche, limited ultrasound-imaging overlap</t>
        </is>
      </c>
      <c r="F97" s="124" t="inlineStr">
        <is>
          <t>臺北市士林區中山北路5段520號7樓</t>
        </is>
      </c>
      <c r="G97" s="121" t="inlineStr">
        <is>
          <t>No website found — verify</t>
        </is>
      </c>
      <c r="H97" s="121" t="inlineStr">
        <is>
          <t>Not verified — see registered address</t>
        </is>
      </c>
      <c r="I97" s="121" t="inlineStr">
        <is>
          <t>GI motility diagnostics niche; verify actual ultrasound-imaging overlap before outreach.</t>
        </is>
      </c>
      <c r="J97" s="121" t="inlineStr">
        <is>
          <t>N/A (verify specialty)</t>
        </is>
      </c>
      <c r="K97" s="148" t="inlineStr">
        <is>
          <t>3</t>
        </is>
      </c>
      <c r="L97" s="121" t="inlineStr">
        <is>
          <t>Tier 3 — carries a line (A.M.I. — GI motility niche, limited ultrasound) — conflict to qualify · no verified domain.</t>
        </is>
      </c>
      <c r="M97" s="121" t="inlineStr">
        <is>
          <t>TFDA registry · Registry (TFDA) — verify</t>
        </is>
      </c>
      <c r="N97" s="145" t="inlineStr">
        <is>
          <t>A range to quote around your A.M.I. line: CHISON SonoEye P3 and SonoBook 9</t>
        </is>
      </c>
      <c r="O97" s="108" t="inlineStr">
        <is>
          <t>Dear 宇康生科股份有限公司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A.M.I. Agency for Medical Innovations (AT), GI motility/diagnostic devices. You will therefore assess a new line faster than most, and on the criteria that actually matter: image quality, probe life and service turnaround.
Where CHISON fits your portfolio: A.M.I. gives you one product at one price point. CHISON gives you a range to quote around it, using the same customers and the same service team:
• SonoEye P3: pocket handheld for emergency, intensive care and bedside point-of-care scanning
• SonoBook 9: the workhorse laptop and our volume seller across Asia
• CBit 4: mid-range cart for cardiology, women's health and general radiology
That is a complete handheld to cart ladder under one supplier agreement. When an account asks for something A.M.I.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7" s="146" t="n"/>
      <c r="Q97" s="146" t="n"/>
      <c r="R97" s="146" t="n"/>
      <c r="S97" s="146" t="n"/>
    </row>
    <row r="98" hidden="1" ht="39.75" customHeight="1" s="104">
      <c r="A98" s="121" t="n">
        <v>93</v>
      </c>
      <c r="B98" s="143" t="inlineStr">
        <is>
          <t>巴德股份有限公司</t>
        </is>
      </c>
      <c r="C98" s="123" t="inlineStr">
        <is>
          <t>Not started</t>
        </is>
      </c>
      <c r="D98" s="121" t="inlineStr">
        <is>
          <t>Bard/BD Taiwan entity — vascular-access ultrasound probes (captive-style MNC subsidiary)</t>
        </is>
      </c>
      <c r="E98" s="121" t="inlineStr">
        <is>
          <t>Bard (US, part of BD) — vascular access, not general imaging</t>
        </is>
      </c>
      <c r="F98" s="124" t="inlineStr">
        <is>
          <t>臺北市信義區忠孝東路4段560號3樓</t>
        </is>
      </c>
      <c r="G98" s="121" t="inlineStr">
        <is>
          <t>No website found — verify</t>
        </is>
      </c>
      <c r="H98" s="121" t="inlineStr">
        <is>
          <t>Not verified — see registered address</t>
        </is>
      </c>
      <c r="I98" s="121" t="inlineStr">
        <is>
          <t>Appears to be Bard's own Taiwan legal entity for vascular-access products, not an independent dealer, and a different clinical niche (vascular access, not diagnostic imaging).</t>
        </is>
      </c>
      <c r="J98" s="121" t="inlineStr">
        <is>
          <t>N/A (captive/different niche)</t>
        </is>
      </c>
      <c r="K98" s="148" t="inlineStr">
        <is>
          <t>3</t>
        </is>
      </c>
      <c r="L98" s="121" t="inlineStr">
        <is>
          <t>Tier 3 — carries a line (Bard (US, part of BD) — vascular access, not g) — conflict to qualify · no verified domain.</t>
        </is>
      </c>
      <c r="M98" s="121" t="inlineStr">
        <is>
          <t>TFDA registry · Registry (TFDA) — verify</t>
        </is>
      </c>
      <c r="N98" s="145" t="inlineStr">
        <is>
          <t>General-imaging ultrasound alongside your current line: CHISON for 巴德股份有限公司</t>
        </is>
      </c>
      <c r="O98" s="108" t="inlineStr">
        <is>
          <t>Dear 巴德股份有限公司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Bard/BD Taiwan entity, vascular-access ultrasound probes (captive-style MNC subsidiary).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8" s="146" t="n"/>
      <c r="Q98" s="146" t="n"/>
      <c r="R98" s="146" t="n"/>
      <c r="S98" s="146" t="n"/>
    </row>
    <row r="99" hidden="1" ht="39.75" customHeight="1" s="104">
      <c r="A99" s="121" t="n">
        <v>94</v>
      </c>
      <c r="B99" s="143" t="inlineStr">
        <is>
          <t>年泰醫療儀器有限公司</t>
        </is>
      </c>
      <c r="C99" s="123" t="inlineStr">
        <is>
          <t>Not started</t>
        </is>
      </c>
      <c r="D99" s="121" t="inlineStr">
        <is>
          <t>Distributor for CooperSurgical (US) — OB/GYN fetal monitoring accessories</t>
        </is>
      </c>
      <c r="E99" s="121" t="inlineStr">
        <is>
          <t>CooperSurgical — OB/GYN niche</t>
        </is>
      </c>
      <c r="F99" s="124" t="inlineStr">
        <is>
          <t>臺北市信義區光復南路425號12樓</t>
        </is>
      </c>
      <c r="G99" s="121" t="inlineStr">
        <is>
          <t>No website found — verify</t>
        </is>
      </c>
      <c r="H99" s="121" t="inlineStr">
        <is>
          <t>Not verified — see registered address</t>
        </is>
      </c>
      <c r="I99" s="121" t="inlineStr">
        <is>
          <t>OB/GYN accessories niche; limited direct overlap with CHISON's imaging line.</t>
        </is>
      </c>
      <c r="J99" s="121" t="inlineStr">
        <is>
          <t>N/A (different specialty)</t>
        </is>
      </c>
      <c r="K99" s="148" t="inlineStr">
        <is>
          <t>3</t>
        </is>
      </c>
      <c r="L99" s="121" t="inlineStr">
        <is>
          <t>Tier 3 — carries a line (CooperSurgical — OB/GYN niche) — conflict to qualify · no verified domain.</t>
        </is>
      </c>
      <c r="M99" s="121" t="inlineStr">
        <is>
          <t>TFDA registry · Registry (TFDA) — verify</t>
        </is>
      </c>
      <c r="N99" s="145" t="inlineStr">
        <is>
          <t>A range to quote around your CooperSurgical line: CHISON SonoEye P3 and SonoBook 9</t>
        </is>
      </c>
      <c r="O99" s="108" t="inlineStr">
        <is>
          <t>Dear 年泰醫療儀器有限公司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CooperSurgical (US), OB/GYN fetal monitoring accessories. You will therefore assess a new line faster than most, and on the criteria that actually matter: image quality, probe life and service turnaround.
Where CHISON fits your portfolio: CooperSurgical gives you one product at one price point. CHISON gives you a range to quote around it, using the same customers and the same service team:
• SonoEye P3: pocket handheld for emergency, intensive care and bedside point-of-care scanning
• SonoBook 9: the workhorse laptop and our volume seller across Asia
• CBit 4: mid-range cart for cardiology, women's health and general radiology
That is a complete handheld to cart ladder under one supplier agreement. When an account asks for something CooperSurgical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99" s="146" t="n"/>
      <c r="Q99" s="146" t="n"/>
      <c r="R99" s="146" t="n"/>
      <c r="S99" s="146" t="n"/>
    </row>
    <row r="100" hidden="1" ht="39.75" customHeight="1" s="104">
      <c r="A100" s="121" t="n">
        <v>95</v>
      </c>
      <c r="B100" s="143" t="inlineStr">
        <is>
          <t>德瑪凱股份有限公司</t>
        </is>
      </c>
      <c r="C100" s="123" t="inlineStr">
        <is>
          <t>Not started</t>
        </is>
      </c>
      <c r="D100" s="121" t="inlineStr">
        <is>
          <t>Distributor for Caresono Technology (CN) — primarily a bladder-scanner (PadScan series) and ODM manufacturer; general diagnostic-imaging capability unconfirmed</t>
        </is>
      </c>
      <c r="E100" s="121" t="inlineStr">
        <is>
          <t>Caresono (China) — bladder-scan focus; also veterinary bladder scanners</t>
        </is>
      </c>
      <c r="F100" s="124" t="inlineStr">
        <is>
          <t>新北市新店區民權路108-2號6樓</t>
        </is>
      </c>
      <c r="G100" s="121" t="inlineStr">
        <is>
          <t>dmedcare.com / facebook.com/Dmedcare</t>
        </is>
      </c>
      <c r="H100" s="121" t="inlineStr">
        <is>
          <t>via website</t>
        </is>
      </c>
      <c r="I100" s="121" t="inlineStr">
        <is>
          <t>CORRECTED on re-verification: Caresono's public product catalog is dominated by PadScan bladder scanners (an ODM business), not general cart/portable ultrasound. Demoted from Tier 1 pending confirmation that 德瑪凱 sells a broader Caresono imaging line in Taiwan; still an active, diversifying device distributor worth a lower-priority call.</t>
        </is>
      </c>
      <c r="J100" s="121" t="inlineStr">
        <is>
          <t>Verify — possible VET/bladder-scan angle only</t>
        </is>
      </c>
      <c r="K100" s="148" t="inlineStr">
        <is>
          <t>3</t>
        </is>
      </c>
      <c r="L100" s="121" t="inlineStr">
        <is>
          <t>Tier 3 — carries a line (Caresono (China) — bladder-scan focus; also ve) — conflict to qualify · verified domain.</t>
        </is>
      </c>
      <c r="M100" s="121" t="inlineStr">
        <is>
          <t>TFDA registry · Registry (TFDA) + web-verified manufacturer product line (corrected)</t>
        </is>
      </c>
      <c r="N100" s="145" t="inlineStr">
        <is>
          <t>General-imaging ultrasound alongside your current line: CHISON for 德瑪凱股份有限公司</t>
        </is>
      </c>
      <c r="O100" s="108" t="inlineStr">
        <is>
          <t>Dear 德瑪凱股份有限公司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Caresono Technology (CN), primarily a bladder-scanner (PadScan series) and ODM manufacturer, general diagnostic-imaging capability unconfirmed.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0" s="146" t="n"/>
      <c r="Q100" s="146" t="n"/>
      <c r="R100" s="146" t="n"/>
      <c r="S100" s="146" t="n"/>
    </row>
    <row r="101" hidden="1" ht="39.75" customHeight="1" s="104">
      <c r="A101" s="121" t="n">
        <v>96</v>
      </c>
      <c r="B101" s="143" t="inlineStr">
        <is>
          <t>態能企業有限公司</t>
        </is>
      </c>
      <c r="C101" s="123" t="inlineStr">
        <is>
          <t>Not started</t>
        </is>
      </c>
      <c r="D101" s="121" t="inlineStr">
        <is>
          <t>Distributor for Verathon (US) — bladder scanner / airway management</t>
        </is>
      </c>
      <c r="E101" s="121" t="inlineStr">
        <is>
          <t>Verathon — bladder-scan niche, not general imaging</t>
        </is>
      </c>
      <c r="F101" s="124" t="inlineStr">
        <is>
          <t>臺北市中山區新生北路3段7號8樓之1</t>
        </is>
      </c>
      <c r="G101" s="121" t="inlineStr">
        <is>
          <t>No website found — verify</t>
        </is>
      </c>
      <c r="H101" s="121" t="inlineStr">
        <is>
          <t>Not verified — see registered address</t>
        </is>
      </c>
      <c r="I101" s="121" t="inlineStr">
        <is>
          <t>Bladder-scan niche (point-of-care but single-application); limited overlap with general imaging line.</t>
        </is>
      </c>
      <c r="J101" s="121" t="inlineStr">
        <is>
          <t>N/A (different specialty)</t>
        </is>
      </c>
      <c r="K101" s="148" t="inlineStr">
        <is>
          <t>3</t>
        </is>
      </c>
      <c r="L101" s="121" t="inlineStr">
        <is>
          <t>Tier 3 — carries a line (Verathon — bladder-scan niche, not general ima) — conflict to qualify · no verified domain.</t>
        </is>
      </c>
      <c r="M101" s="121" t="inlineStr">
        <is>
          <t>TFDA registry · Registry (TFDA) — verify</t>
        </is>
      </c>
      <c r="N101" s="145" t="inlineStr">
        <is>
          <t>General-imaging ultrasound alongside your current line: CHISON for 態能企業有限公司</t>
        </is>
      </c>
      <c r="O101" s="108" t="inlineStr">
        <is>
          <t>Dear 態能企業有限公司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Verathon (US), bladder scanner / airway management.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1" s="146" t="n"/>
      <c r="Q101" s="146" t="n"/>
      <c r="R101" s="146" t="n"/>
      <c r="S101" s="146" t="n"/>
    </row>
    <row r="102" hidden="1" ht="39.75" customHeight="1" s="104">
      <c r="A102" s="121" t="n">
        <v>97</v>
      </c>
      <c r="B102" s="143" t="inlineStr">
        <is>
          <t>春菖貿易有限公司</t>
        </is>
      </c>
      <c r="C102" s="123" t="inlineStr">
        <is>
          <t>Contacted</t>
        </is>
      </c>
      <c r="D102" s="121" t="inlineStr">
        <is>
          <t>Distributor for CIVCO (US) — ultrasound probe covers/biopsy guides (accessory)</t>
        </is>
      </c>
      <c r="E102" s="121" t="inlineStr">
        <is>
          <t>CIVCO — accessories only, no imaging system brand</t>
        </is>
      </c>
      <c r="F102" s="124" t="inlineStr">
        <is>
          <t>臺中市西屯區河南路二段327號3樓之1</t>
        </is>
      </c>
      <c r="G102" s="121" t="inlineStr">
        <is>
          <t>No website found — verify</t>
        </is>
      </c>
      <c r="H102" s="121" t="inlineStr">
        <is>
          <t>Not verified — see registered address</t>
        </is>
      </c>
      <c r="I102" s="121" t="inlineStr">
        <is>
          <t>Accessory-only importer (probe covers, biopsy guides); no imaging-system brand conflict, but not a systems dealer either.</t>
        </is>
      </c>
      <c r="J102" s="121" t="inlineStr">
        <is>
          <t>N/A (accessory partner)</t>
        </is>
      </c>
      <c r="K102" s="148" t="inlineStr">
        <is>
          <t>3</t>
        </is>
      </c>
      <c r="L102" s="121" t="inlineStr">
        <is>
          <t>Tier 3 — carries a line (CIVCO — accessories only, no imaging system br) — conflict to qualify · no verified domain.</t>
        </is>
      </c>
      <c r="M102" s="121" t="inlineStr">
        <is>
          <t>TFDA registry · Registry (TFDA) — verify</t>
        </is>
      </c>
      <c r="N102" s="145" t="inlineStr">
        <is>
          <t>From ultrasound accessories to the systems themselves: CHISON for 春菖貿易有限公司</t>
        </is>
      </c>
      <c r="O102" s="108" t="inlineStr">
        <is>
          <t>Dear 春菖貿易有限公司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 are already inside the ultrasound room: Distributor for CIVCO (US), ultrasound probe covers/biopsy guides (accessory). That is the position most suppliers spend years trying to reach.
Where CHISON fits your portfolio: you already supply into ultrasound rooms, so the systems themselves are the natural step up in order value. The same buyers, a considerably larger ticket:
• SonoEye P3: pocket handheld for emergency, intensive care and bedside point-of-care scanning
• SonoBook 9: the workhorse laptop and our volume seller across Asia
• CBit 4: mid-range cart for cardiology, women's health and general radiology
Your consumables business is unaffected. If anything, a placed system pulls gel, covers and probe sales along behind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2" s="146" t="inlineStr">
        <is>
          <t>ellie@chinaspring.com.tw</t>
        </is>
      </c>
      <c r="Q102" s="146" t="inlineStr">
        <is>
          <t>DIR: TCMICA member directory</t>
        </is>
      </c>
      <c r="R102" s="146" t="inlineStr">
        <is>
          <t>Batch draft 1 of 3 (Send separately) sent 6 Oct 2026</t>
        </is>
      </c>
      <c r="S102" s="146" t="n"/>
    </row>
    <row r="103" hidden="1" ht="39.75" customHeight="1" s="104">
      <c r="A103" s="121" t="n">
        <v>98</v>
      </c>
      <c r="B103" s="143" t="inlineStr">
        <is>
          <t>楨寶有限公司</t>
        </is>
      </c>
      <c r="C103" s="123" t="inlineStr">
        <is>
          <t>Not started</t>
        </is>
      </c>
      <c r="D103" s="121" t="inlineStr">
        <is>
          <t>Small trading co.; imports Guangzhou Sonostar (CN) handheld ultrasound</t>
        </is>
      </c>
      <c r="E103" s="121" t="inlineStr">
        <is>
          <t>Sonostar (China) — single small handheld brand</t>
        </is>
      </c>
      <c r="F103" s="124" t="inlineStr">
        <is>
          <t>新北市新店區中央五街77號1樓</t>
        </is>
      </c>
      <c r="G103" s="121" t="inlineStr">
        <is>
          <t>No website found — verify</t>
        </is>
      </c>
      <c r="H103" s="121" t="inlineStr">
        <is>
          <t>Not verified — see registered address</t>
        </is>
      </c>
      <c r="I103" s="121" t="inlineStr">
        <is>
          <t>Small single-brand Chinese handheld importer, low switching cost.</t>
        </is>
      </c>
      <c r="J103" s="121" t="inlineStr">
        <is>
          <t>SonoEye P3/P5</t>
        </is>
      </c>
      <c r="K103" s="148" t="inlineStr">
        <is>
          <t>3</t>
        </is>
      </c>
      <c r="L103" s="121" t="inlineStr">
        <is>
          <t>No web presence of any kind found. Single brand is Guangzhou Sonostar — an Alibaba/made-in-china-tier handheld maker. Fails v2's own Tier-1 rule that every Tier 1 has a working domain, and no scale or service capability is evidenced. Long tail until someone reaches them at the registry address.</t>
        </is>
      </c>
      <c r="M103" s="121" t="inlineStr">
        <is>
          <t>TFDA registry · Registry (TFDA) — verify</t>
        </is>
      </c>
      <c r="N103" s="145" t="inlineStr">
        <is>
          <t>A range to quote around your Sonostar line: CHISON SonoEye P3 and SonoAir 30</t>
        </is>
      </c>
      <c r="O103" s="108" t="inlineStr">
        <is>
          <t>Dear 楨寶有限公司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Small trading co., imports Guangzhou Sonostar (CN) handheld ultrasound. You will therefore assess a new line faster than most, and on the criteria that actually matter: image quality, probe life and service turnaround.
Where CHISON fits your portfolio: Sonostar gives you one product at one price point. CHISON gives you a range to quote around it, using the same customers and the same service team:
• SonoEye P3: pocket handheld for emergency, intensive care and bedside point-of-care scanning
• SonoAir 30: lightweight laptop for mobile and multi-site work
That is two portable formats at two very different budgets. When an account asks for something Sonostar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3" s="146" t="n"/>
      <c r="Q103" s="146" t="n"/>
      <c r="R103" s="146" t="n"/>
      <c r="S103" s="146" t="n"/>
    </row>
    <row r="104" hidden="1" ht="39.75" customHeight="1" s="104">
      <c r="A104" s="121" t="n">
        <v>99</v>
      </c>
      <c r="B104" s="143" t="inlineStr">
        <is>
          <t>樺瑩企業股份有限公司</t>
        </is>
      </c>
      <c r="C104" s="123" t="inlineStr">
        <is>
          <t>Not started</t>
        </is>
      </c>
      <c r="D104" s="121" t="inlineStr">
        <is>
          <t>Distributor for Reichert / Sonomed (US) — ophthalmic ultrasound biometry</t>
        </is>
      </c>
      <c r="E104" s="121" t="inlineStr">
        <is>
          <t>Reichert/Sonomed — ophthalmology-only</t>
        </is>
      </c>
      <c r="F104" s="124" t="inlineStr">
        <is>
          <t>臺北市松山區民生東路5段162號4樓之5</t>
        </is>
      </c>
      <c r="G104" s="121" t="inlineStr">
        <is>
          <t>No website found — verify</t>
        </is>
      </c>
      <c r="H104" s="121" t="inlineStr">
        <is>
          <t>Not verified — see registered address</t>
        </is>
      </c>
      <c r="I104" s="121" t="inlineStr">
        <is>
          <t>Ophthalmology-only channel; different specialty from CHISON's general imaging line.</t>
        </is>
      </c>
      <c r="J104" s="121" t="inlineStr">
        <is>
          <t>N/A (different specialty)</t>
        </is>
      </c>
      <c r="K104" s="148" t="inlineStr">
        <is>
          <t>3</t>
        </is>
      </c>
      <c r="L104" s="121" t="inlineStr">
        <is>
          <t>Tier 3 — carries a line (Reichert/Sonomed — ophthalmology-only) — conflict to qualify · no verified domain.</t>
        </is>
      </c>
      <c r="M104" s="121" t="inlineStr">
        <is>
          <t>TFDA registry · Registry (TFDA) — verify</t>
        </is>
      </c>
      <c r="N104" s="145" t="inlineStr">
        <is>
          <t>General-imaging ultrasound alongside your current line: CHISON for 樺瑩企業股份有限公司</t>
        </is>
      </c>
      <c r="O104" s="108" t="inlineStr">
        <is>
          <t>Dear 樺瑩企業股份有限公司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Reichert / Sonomed (US), ophthalmic ultrasound biometry.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4" s="146" t="n"/>
      <c r="Q104" s="146" t="n"/>
      <c r="R104" s="146" t="n"/>
      <c r="S104" s="146" t="n"/>
    </row>
    <row r="105" hidden="1" ht="39.75" customHeight="1" s="104">
      <c r="A105" s="121" t="n">
        <v>100</v>
      </c>
      <c r="B105" s="143" t="inlineStr">
        <is>
          <t>永欣儀器有限公司</t>
        </is>
      </c>
      <c r="C105" s="123" t="inlineStr">
        <is>
          <t>Not started</t>
        </is>
      </c>
      <c r="D105" s="121" t="inlineStr">
        <is>
          <t>Distributor for Accutome (US) — ophthalmic ultrasound</t>
        </is>
      </c>
      <c r="E105" s="121" t="inlineStr">
        <is>
          <t>Accutome — ophthalmology-only</t>
        </is>
      </c>
      <c r="F105" s="124" t="inlineStr">
        <is>
          <t>臺南市東區林森路一段395號7樓之2</t>
        </is>
      </c>
      <c r="G105" s="121" t="inlineStr">
        <is>
          <t>No website found — verify</t>
        </is>
      </c>
      <c r="H105" s="121" t="inlineStr">
        <is>
          <t>Not verified — see registered address</t>
        </is>
      </c>
      <c r="I105" s="121" t="inlineStr">
        <is>
          <t>Ophthalmology-only niche; different specialty.</t>
        </is>
      </c>
      <c r="J105" s="121" t="inlineStr">
        <is>
          <t>N/A (different specialty)</t>
        </is>
      </c>
      <c r="K105" s="148" t="inlineStr">
        <is>
          <t>3</t>
        </is>
      </c>
      <c r="L105" s="121" t="inlineStr">
        <is>
          <t>Tier 3 — carries a line (Accutome — ophthalmology-only) — conflict to qualify · no verified domain.</t>
        </is>
      </c>
      <c r="M105" s="121" t="inlineStr">
        <is>
          <t>TFDA registry · Registry (TFDA) — verify</t>
        </is>
      </c>
      <c r="N105" s="145" t="inlineStr">
        <is>
          <t>General-imaging ultrasound alongside your current line: CHISON for 永欣儀器有限公司</t>
        </is>
      </c>
      <c r="O105" s="108" t="inlineStr">
        <is>
          <t>Dear 永欣儀器有限公司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Accutome (US), ophthalmic ultrasound.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5" s="146" t="n"/>
      <c r="Q105" s="146" t="n"/>
      <c r="R105" s="146" t="n"/>
      <c r="S105" s="146" t="n"/>
    </row>
    <row r="106" hidden="1" ht="39.75" customHeight="1" s="104">
      <c r="A106" s="121" t="n">
        <v>101</v>
      </c>
      <c r="B106" s="143" t="inlineStr">
        <is>
          <t>泳鈦國際有限公司</t>
        </is>
      </c>
      <c r="C106" s="123" t="inlineStr">
        <is>
          <t>Not started</t>
        </is>
      </c>
      <c r="D106" s="121" t="inlineStr">
        <is>
          <t>Small trading co.; imports Sonostar Technologies (CN) — separate importer from 楨寶</t>
        </is>
      </c>
      <c r="E106" s="121" t="inlineStr">
        <is>
          <t>Sonostar (China) — single small handheld brand</t>
        </is>
      </c>
      <c r="F106" s="124" t="inlineStr">
        <is>
          <t>臺南市新市區永就里光華街5之56號</t>
        </is>
      </c>
      <c r="G106" s="121" t="inlineStr">
        <is>
          <t>No website found — verify</t>
        </is>
      </c>
      <c r="H106" s="121" t="inlineStr">
        <is>
          <t>Not verified — see registered address</t>
        </is>
      </c>
      <c r="I106" s="121" t="inlineStr">
        <is>
          <t>South-Taiwan-based, single small-brand handheld importer — open channel, low conflict.</t>
        </is>
      </c>
      <c r="J106" s="121" t="inlineStr">
        <is>
          <t>SonoEye P3/P5</t>
        </is>
      </c>
      <c r="K106" s="148" t="inlineStr">
        <is>
          <t>3</t>
        </is>
      </c>
      <c r="L106" s="121" t="inlineStr">
        <is>
          <t>Same as 楨寶 — no web presence, single Sonostar (Guangzhou) handheld brand, Tainan-based. No verifiable scale, service team or domain.</t>
        </is>
      </c>
      <c r="M106" s="121" t="inlineStr">
        <is>
          <t>TFDA registry · Registry (TFDA) — verify</t>
        </is>
      </c>
      <c r="N106" s="145" t="inlineStr">
        <is>
          <t>A range to quote around your Sonostar line: CHISON SonoEye P3 and SonoAir 30</t>
        </is>
      </c>
      <c r="O106" s="108" t="inlineStr">
        <is>
          <t>Dear 泳鈦國際有限公司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Small trading co., imports Sonostar Technologies (CN), separate importer from 楨寶. You will therefore assess a new line faster than most, and on the criteria that actually matter: image quality, probe life and service turnaround.
Where CHISON fits your portfolio: Sonostar gives you one product at one price point. CHISON gives you a range to quote around it, using the same customers and the same service team:
• SonoEye P3: pocket handheld for emergency, intensive care and bedside point-of-care scanning
• SonoAir 30: lightweight laptop for mobile and multi-site work
That is two portable formats at two very different budgets. When an account asks for something Sonostar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6" s="146" t="n"/>
      <c r="Q106" s="146" t="n"/>
      <c r="R106" s="146" t="n"/>
      <c r="S106" s="146" t="n"/>
    </row>
    <row r="107" hidden="1" ht="39.75" customHeight="1" s="104">
      <c r="A107" s="121" t="n">
        <v>102</v>
      </c>
      <c r="B107" s="143" t="inlineStr">
        <is>
          <t>浩宇生醫股份有限公司</t>
        </is>
      </c>
      <c r="C107" s="123" t="inlineStr">
        <is>
          <t>Not started</t>
        </is>
      </c>
      <c r="D107" s="121" t="inlineStr">
        <is>
          <t>Applicant sources from 英濟股份有限公司 (TW) — may be a private-label/OEM arrangement rather than a pure dealer</t>
        </is>
      </c>
      <c r="E107" s="124" t="inlineStr">
        <is>
          <t>英濟股份有限公司 (Taiwan) — domestic OEM, business model unclear</t>
        </is>
      </c>
      <c r="F107" s="124" t="inlineStr">
        <is>
          <t>臺北市南港區忠孝東路7段508號16樓</t>
        </is>
      </c>
      <c r="G107" s="121" t="inlineStr">
        <is>
          <t>No website found — verify</t>
        </is>
      </c>
      <c r="H107" s="121" t="inlineStr">
        <is>
          <t>Not verified — see registered address</t>
        </is>
      </c>
      <c r="I107" s="121" t="inlineStr">
        <is>
          <t>Possible domestic OEM/private-label arrangement — verify whether this is an independent dealer or a Taiwan own-brand company before outreach.</t>
        </is>
      </c>
      <c r="J107" s="121" t="inlineStr">
        <is>
          <t>Verify first</t>
        </is>
      </c>
      <c r="K107" s="148" t="inlineStr">
        <is>
          <t>3</t>
        </is>
      </c>
      <c r="L107" s="121" t="inlineStr">
        <is>
          <t>Tier 3 — carries a line (英濟股份有限公司 (Taiwan) — domestic OEM, business mod) — conflict to qualify · no verified domain.</t>
        </is>
      </c>
      <c r="M107" s="121" t="inlineStr">
        <is>
          <t>TFDA registry · Registry (TFDA) — verify business model</t>
        </is>
      </c>
      <c r="N107" s="145" t="inlineStr">
        <is>
          <t>CHISON ultrasound for 浩宇生醫股份有限公司: a line-card addition, with TFDA handled by us</t>
        </is>
      </c>
      <c r="O107" s="108" t="inlineStr">
        <is>
          <t>Dear 浩宇生醫股份有限公司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profile, as I understand it from the outside: Applicant sources from 英濟股份有限公司 (TW), may be a private-label/OEM arrangement rather than a pure dealer.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CBit 4: mid-range cart for cardiology, women's health and general radiology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7" s="146" t="n"/>
      <c r="Q107" s="146" t="n"/>
      <c r="R107" s="146" t="n"/>
      <c r="S107" s="146" t="n"/>
    </row>
    <row r="108" hidden="1" ht="39.75" customHeight="1" s="104">
      <c r="A108" s="121" t="n">
        <v>103</v>
      </c>
      <c r="B108" s="143" t="inlineStr">
        <is>
          <t>營廣股份有限公司</t>
        </is>
      </c>
      <c r="C108" s="123" t="inlineStr">
        <is>
          <t>Not started</t>
        </is>
      </c>
      <c r="D108" s="121" t="inlineStr">
        <is>
          <t>Small distributor; imports Medisono LLC (US) ultrasound</t>
        </is>
      </c>
      <c r="E108" s="121" t="inlineStr">
        <is>
          <t>Medisono (US) — single small brand</t>
        </is>
      </c>
      <c r="F108" s="124" t="inlineStr">
        <is>
          <t>臺北市內湖區新湖三路128號4樓</t>
        </is>
      </c>
      <c r="G108" s="121" t="inlineStr">
        <is>
          <t>No website found — verify</t>
        </is>
      </c>
      <c r="H108" s="121" t="inlineStr">
        <is>
          <t>Not verified — see registered address</t>
        </is>
      </c>
      <c r="I108" s="121" t="inlineStr">
        <is>
          <t>Small single-brand US OEM import; low entrenchment, worth a qualifying call.</t>
        </is>
      </c>
      <c r="J108" s="121" t="inlineStr">
        <is>
          <t>SonoAir 30/70, SonoBook 5/9</t>
        </is>
      </c>
      <c r="K108" s="148" t="inlineStr">
        <is>
          <t>3</t>
        </is>
      </c>
      <c r="L108" s="121" t="inlineStr">
        <is>
          <t>No web presence found. Single small US OEM brand (Medisono). Note Medisono is already carried by 品約 Pinyork (row 1, Tier 1) which DOES have a service team and a domain — so this row adds little.</t>
        </is>
      </c>
      <c r="M108" s="121" t="inlineStr">
        <is>
          <t>TFDA registry · Registry (TFDA) — verify</t>
        </is>
      </c>
      <c r="N108" s="145" t="inlineStr">
        <is>
          <t>A range to quote around your Medisono line: CHISON SonoAir 70 and SonoBook 5</t>
        </is>
      </c>
      <c r="O108" s="108" t="inlineStr">
        <is>
          <t>Dear 營廣股份有限公司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Small distributor, imports Medisono LLC (US) ultrasound. You will therefore assess a new line faster than most, and on the criteria that actually matter: image quality, probe life and service turnaround.
Where CHISON fits your portfolio: Medisono gives you one product at one price point. CHISON gives you a range to quote around it, using the same customers and the same service team:
• SonoAir 70: the lightest laptop scanner in its class
• SonoBook 5: compact workhorse laptop
That is a focused portable offer. When an account asks for something Medisono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8" s="146" t="n"/>
      <c r="Q108" s="146" t="n"/>
      <c r="R108" s="146" t="n"/>
      <c r="S108" s="146" t="n"/>
    </row>
    <row r="109" hidden="1" ht="39.75" customHeight="1" s="104">
      <c r="A109" s="121" t="n">
        <v>104</v>
      </c>
      <c r="B109" s="143" t="inlineStr">
        <is>
          <t>百笠企業有限公司</t>
        </is>
      </c>
      <c r="C109" s="123" t="inlineStr">
        <is>
          <t>Not started</t>
        </is>
      </c>
      <c r="D109" s="121" t="inlineStr">
        <is>
          <t>Imports Ceracarta SPA (IT) — likely ceramic/piezoelectric transducer components rather than finished systems</t>
        </is>
      </c>
      <c r="E109" s="121" t="inlineStr">
        <is>
          <t>Ceracarta (Italy) — components/materials, not a finished-system brand</t>
        </is>
      </c>
      <c r="F109" s="124" t="inlineStr">
        <is>
          <t>高雄市前鎮區德昌街8巷26號</t>
        </is>
      </c>
      <c r="G109" s="121" t="inlineStr">
        <is>
          <t>No website found — verify</t>
        </is>
      </c>
      <c r="H109" s="121" t="inlineStr">
        <is>
          <t>Not verified — see registered address</t>
        </is>
      </c>
      <c r="I109" s="121" t="inlineStr">
        <is>
          <t>Appears to be a components/materials trading company (transducer ceramics) rather than a finished-system sales channel — different business type; low relevance as a sales dealer, note for awareness only.</t>
        </is>
      </c>
      <c r="J109" s="121" t="inlineStr">
        <is>
          <t>N/A (components supplier, not a sales channel)</t>
        </is>
      </c>
      <c r="K109" s="148" t="inlineStr">
        <is>
          <t>3</t>
        </is>
      </c>
      <c r="L109" s="121" t="inlineStr">
        <is>
          <t>Tier 3 — carries a line (Ceracarta (Italy) — components/materials, not ) — conflict to qualify · no verified domain.</t>
        </is>
      </c>
      <c r="M109" s="121" t="inlineStr">
        <is>
          <t>TFDA registry · Registry (TFDA) — verify</t>
        </is>
      </c>
      <c r="N109" s="145" t="inlineStr">
        <is>
          <t>From ultrasound accessories to the systems themselves: CHISON for 百笠企業有限公司</t>
        </is>
      </c>
      <c r="O109" s="108" t="inlineStr">
        <is>
          <t>Dear 百笠企業有限公司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 are already inside the ultrasound room: Imports Ceracarta SPA (IT), likely ceramic/piezoelectric transducer components rather than finished systems. That is the position most suppliers spend years trying to reach.
Where CHISON fits your portfolio: you already supply into ultrasound rooms, so the systems themselves are the natural step up in order value. The same buyers, a considerably larger ticket:
• SonoEye P3: pocket handheld for emergency, intensive care and bedside point-of-care scanning
• SonoBook 9: the workhorse laptop and our volume seller across Asia
• CBit 4: mid-range cart for cardiology, women's health and general radiology
Your consumables business is unaffected. If anything, a placed system pulls gel, covers and probe sales along behind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09" s="146" t="n"/>
      <c r="Q109" s="146" t="n"/>
      <c r="R109" s="146" t="n"/>
      <c r="S109" s="146" t="n"/>
    </row>
    <row r="110" hidden="1" ht="39.75" customHeight="1" s="104">
      <c r="A110" s="121" t="n">
        <v>105</v>
      </c>
      <c r="B110" s="143" t="inlineStr">
        <is>
          <t>米飛生醫股份有限公司</t>
        </is>
      </c>
      <c r="C110" s="123" t="inlineStr">
        <is>
          <t>Not started</t>
        </is>
      </c>
      <c r="D110" s="121" t="inlineStr">
        <is>
          <t>Imports UAB Telemed (LT) OEM ultrasound engine and also uses a TW contract factory (互貴興業) — business model (dealer vs. own-brand) needs verification</t>
        </is>
      </c>
      <c r="E110" s="121" t="inlineStr">
        <is>
          <t>Telemed (Lithuania) OEM engine — ambiguous dealer vs. own-brand status</t>
        </is>
      </c>
      <c r="F110" s="124" t="inlineStr">
        <is>
          <t>臺北市中山區八德路2段298號3樓</t>
        </is>
      </c>
      <c r="G110" s="121" t="inlineStr">
        <is>
          <t>No website found — verify</t>
        </is>
      </c>
      <c r="H110" s="121" t="inlineStr">
        <is>
          <t>Not verified — see registered address</t>
        </is>
      </c>
      <c r="I110" s="121" t="inlineStr">
        <is>
          <t>Mixed foreign-OEM-engine + domestic-factory profile suggests this may be a private-label brand owner rather than a pure dealer — verify business model before outreach.</t>
        </is>
      </c>
      <c r="J110" s="121" t="inlineStr">
        <is>
          <t>Verify first</t>
        </is>
      </c>
      <c r="K110" s="148" t="inlineStr">
        <is>
          <t>3</t>
        </is>
      </c>
      <c r="L110" s="121" t="inlineStr">
        <is>
          <t>Tier 3 — carries a line (Telemed (Lithuania) OEM engine — ambiguous dea) — conflict to qualify · no verified domain.</t>
        </is>
      </c>
      <c r="M110" s="121" t="inlineStr">
        <is>
          <t>TFDA registry · Registry (TFDA) — verify business model</t>
        </is>
      </c>
      <c r="N110" s="145" t="inlineStr">
        <is>
          <t>A range to quote around your Telemed line: CHISON SonoEye P3 and SonoBook 9</t>
        </is>
      </c>
      <c r="O110" s="108" t="inlineStr">
        <is>
          <t>Dear 米飛生醫股份有限公司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Imports UAB Telemed (LT) OEM ultrasound engine and also uses a TW contract factory (互貴興業), business model (dealer vs. own-brand) needs verification. You will therefore assess a new line faster than most, and on the criteria that actually matter: image quality, probe life and service turnaround.
Where CHISON fits your portfolio: Telemed gives you one product at one price point. CHISON gives you a range to quote around it, using the same customers and the same service team:
• SonoEye P3: pocket handheld for emergency, intensive care and bedside point-of-care scanning
• SonoBook 9: the workhorse laptop and our volume seller across Asia
• CBit 4: mid-range cart for cardiology, women's health and general radiology
That is a complete handheld to cart ladder under one supplier agreement. When an account asks for something Telemed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10" s="146" t="n"/>
      <c r="Q110" s="146" t="n"/>
      <c r="R110" s="146" t="n"/>
      <c r="S110" s="146" t="n"/>
    </row>
    <row r="111" hidden="1" ht="39.75" customHeight="1" s="104">
      <c r="A111" s="121" t="n">
        <v>106</v>
      </c>
      <c r="B111" s="143" t="inlineStr">
        <is>
          <t>華僖股份有限公司</t>
        </is>
      </c>
      <c r="C111" s="123" t="inlineStr">
        <is>
          <t>Not started</t>
        </is>
      </c>
      <c r="D111" s="121" t="inlineStr">
        <is>
          <t>Trading co.; imports Xuzhou Kaixin Electronic Instrument (CN) ultrasound</t>
        </is>
      </c>
      <c r="E111" s="121" t="inlineStr">
        <is>
          <t>Xuzhou Kaixin (China) — small/basic Chinese brand</t>
        </is>
      </c>
      <c r="F111" s="124" t="inlineStr">
        <is>
          <t>高雄市鼓山區明誠三路681號16樓</t>
        </is>
      </c>
      <c r="G111" s="121" t="inlineStr">
        <is>
          <t>No website found — verify</t>
        </is>
      </c>
      <c r="H111" s="121" t="inlineStr">
        <is>
          <t>Not verified — see registered address</t>
        </is>
      </c>
      <c r="I111" s="121" t="inlineStr">
        <is>
          <t>Kaohsiung-based, single small/basic Chinese brand — realistic upgrade-and-switch conversation for a stronger CHISON line.</t>
        </is>
      </c>
      <c r="J111" s="121" t="inlineStr">
        <is>
          <t>SonoMax 7, XBit 90</t>
        </is>
      </c>
      <c r="K111" s="148" t="inlineStr">
        <is>
          <t>3</t>
        </is>
      </c>
      <c r="L111" s="121" t="inlineStr">
        <is>
          <t>No web presence found. Single basic Chinese brand (Xuzhou Kaixin). Kaohsiung-based. No verifiable scale, service capability or domain.</t>
        </is>
      </c>
      <c r="M111" s="121" t="inlineStr">
        <is>
          <t>TFDA registry · Registry (TFDA) — verify</t>
        </is>
      </c>
      <c r="N111" s="145" t="inlineStr">
        <is>
          <t>A range to quote around your Xuzhou Kaixin line: CHISON SonoMax 7 and XBit 90</t>
        </is>
      </c>
      <c r="O111" s="108" t="inlineStr">
        <is>
          <t>Dear 華僖股份有限公司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Trading co., imports Xuzhou Kaixin Electronic Instrument (CN) ultrasound. You will therefore assess a new line faster than most, and on the criteria that actually matter: image quality, probe life and service turnaround.
Where CHISON fits your portfolio: Xuzhou Kaixin gives you one product at one price point. CHISON gives you a range to quote around it, using the same customers and the same service team:
• SonoMax 7: the flagship cart, carrying a full radiology, obstetric and cardiac workload
• XBit 90: premium cart for departments that want high-end imaging without a high-end budget
That is a focused cart offer. When an account asks for something Xuzhou Kaixin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11" s="146" t="n"/>
      <c r="Q111" s="146" t="n"/>
      <c r="R111" s="146" t="n"/>
      <c r="S111" s="146" t="n"/>
    </row>
    <row r="112" hidden="1" ht="39.75" customHeight="1" s="104">
      <c r="A112" s="121" t="n">
        <v>107</v>
      </c>
      <c r="B112" s="143" t="inlineStr">
        <is>
          <t>薩摩亞商品皓國際開發有限公司台灣分公司</t>
        </is>
      </c>
      <c r="C112" s="123" t="inlineStr">
        <is>
          <t>Not started</t>
        </is>
      </c>
      <c r="D112" s="121" t="inlineStr">
        <is>
          <t>Taiwan branch of a Samoa-registered holding co.; imports Wuxi Hisky Medical (CN)</t>
        </is>
      </c>
      <c r="E112" s="121" t="inlineStr">
        <is>
          <t>Wuxi Hisky (China) — single small brand via offshore holding structure</t>
        </is>
      </c>
      <c r="F112" s="124" t="inlineStr">
        <is>
          <t>臺北市信義區信義路5段7號37樓</t>
        </is>
      </c>
      <c r="G112" s="121" t="inlineStr">
        <is>
          <t>No website found — verify</t>
        </is>
      </c>
      <c r="H112" s="121" t="inlineStr">
        <is>
          <t>Not verified — see registered address</t>
        </is>
      </c>
      <c r="I112" s="121" t="inlineStr">
        <is>
          <t>Opaque offshore holding-company structure and single small Chinese brand — verify true operating business before outreach.</t>
        </is>
      </c>
      <c r="J112" s="121" t="inlineStr">
        <is>
          <t>Verify first</t>
        </is>
      </c>
      <c r="K112" s="148" t="inlineStr">
        <is>
          <t>3</t>
        </is>
      </c>
      <c r="L112" s="121" t="inlineStr">
        <is>
          <t>Tier 3 — carries a line (Wuxi Hisky (China) — single small brand via of) — conflict to qualify · no verified domain.</t>
        </is>
      </c>
      <c r="M112" s="121" t="inlineStr">
        <is>
          <t>TFDA registry · Registry (TFDA) — verify structure</t>
        </is>
      </c>
      <c r="N112" s="145" t="inlineStr">
        <is>
          <t>A range to quote around your Wuxi Hisky line: CHISON SonoEye P3 and SonoBook 9</t>
        </is>
      </c>
      <c r="O112" s="108" t="inlineStr">
        <is>
          <t>Dear 薩摩亞商品皓國際開發有限公司台灣分公司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Taiwan branch of a Samoa-registered holding co., imports Wuxi Hisky Medical (CN). You will therefore assess a new line faster than most, and on the criteria that actually matter: image quality, probe life and service turnaround.
Where CHISON fits your portfolio: Wuxi Hisky gives you one product at one price point. CHISON gives you a range to quote around it, using the same customers and the same service team:
• SonoEye P3: pocket handheld for emergency, intensive care and bedside point-of-care scanning
• SonoBook 9: the workhorse laptop and our volume seller across Asia
• CBit 4: mid-range cart for cardiology, women's health and general radiology
That is a complete handheld to cart ladder under one supplier agreement. When an account asks for something Wuxi Hisky does not cover, you have an answer rather than a referral.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12" s="146" t="n"/>
      <c r="Q112" s="146" t="n"/>
      <c r="R112" s="146" t="n"/>
      <c r="S112" s="146" t="n"/>
    </row>
    <row r="113" hidden="1" ht="39.75" customHeight="1" s="104">
      <c r="A113" s="121" t="n">
        <v>108</v>
      </c>
      <c r="B113" s="143" t="inlineStr">
        <is>
          <t>貫華藥品有限公司</t>
        </is>
      </c>
      <c r="C113" s="123" t="inlineStr">
        <is>
          <t>Not started</t>
        </is>
      </c>
      <c r="D113" s="121" t="inlineStr">
        <is>
          <t>Distributor for Carbon (Shenzhen) Medical Device — image-fusion ultrasound surgical-navigation platform for urology/hepatobiliary interventional procedures, NOT general diagnostic imaging</t>
        </is>
      </c>
      <c r="E113" s="121" t="inlineStr">
        <is>
          <t>Carbon Medtech (China) — interventional surgical-navigation niche, not a general imaging system</t>
        </is>
      </c>
      <c r="F113" s="124" t="inlineStr">
        <is>
          <t>台南市北區西門路四段572巷3號</t>
        </is>
      </c>
      <c r="G113" s="121" t="inlineStr">
        <is>
          <t>No website found — verify</t>
        </is>
      </c>
      <c r="H113" s="121" t="inlineStr">
        <is>
          <t>Not verified — see registered address</t>
        </is>
      </c>
      <c r="I113" s="121" t="inlineStr">
        <is>
          <t>CORRECTED on re-verification: Carbon Medtech makes an interventional image-fusion navigation platform for surgery, not a general diagnostic scanner. Different specialty and sales channel (surgical/interventional, not radiology/OB/cardiology) — demoted from Tier 1.</t>
        </is>
      </c>
      <c r="J113" s="121" t="inlineStr">
        <is>
          <t>N/A (different product category)</t>
        </is>
      </c>
      <c r="K113" s="148" t="inlineStr">
        <is>
          <t>3</t>
        </is>
      </c>
      <c r="L113" s="121" t="inlineStr">
        <is>
          <t>Tier 3 — carries a line (Carbon Medtech (China) — interventional surgic) — conflict to qualify · no verified domain.</t>
        </is>
      </c>
      <c r="M113" s="121" t="inlineStr">
        <is>
          <t>TFDA registry · Registry (TFDA) + web-verified manufacturer product line (corrected)</t>
        </is>
      </c>
      <c r="N113" s="145" t="inlineStr">
        <is>
          <t>A value tier beneath your GE line: CHISON SonoEye P3 and SonoBook 9</t>
        </is>
      </c>
      <c r="O113" s="108" t="inlineStr">
        <is>
          <t>Dear 貫華藥品有限公司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Carbon (Shenzhen) Medical Device, image-fusion ultrasound surgical-navigation platform for urology/hepatobiliary interventional procedures, NOT general diagnostic imaging. You will therefore assess a new line faster than most, and on the criteria that actually matter: image quality, probe life and service turnaround.
Where CHISON fits your portfolio: CHISON is not positioned against GE. It sits beneath it. The accounts you lose on price today are the accounts this line was built for:
• SonoEye P3: pocket handheld for emergency, intensive care and bedside point-of-care scanning
• SonoBook 9: the workhorse laptop and our volume seller across Asia
• CBit 4: mid-range cart for cardiology, women's health and general radiology
That gives you a complete handheld to cart ladder under one supplier agreement, so you can hold GE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13" s="146" t="n"/>
      <c r="Q113" s="146" t="n"/>
      <c r="R113" s="146" t="n"/>
      <c r="S113" s="146" t="n"/>
    </row>
    <row r="114" hidden="1" ht="39.75" customHeight="1" s="104">
      <c r="A114" s="121" t="n">
        <v>109</v>
      </c>
      <c r="B114" s="143" t="inlineStr">
        <is>
          <t>醫技實業有限公司</t>
        </is>
      </c>
      <c r="C114" s="123" t="inlineStr">
        <is>
          <t>Not started</t>
        </is>
      </c>
      <c r="D114" s="121" t="inlineStr">
        <is>
          <t>Distributor for ISD Meditech (MY) — probe/accessory only</t>
        </is>
      </c>
      <c r="E114" s="121" t="inlineStr">
        <is>
          <t>ISD Meditech (Malaysia) — accessory only</t>
        </is>
      </c>
      <c r="F114" s="124" t="inlineStr">
        <is>
          <t>臺中市西屯區工業區33路12之5號1樓</t>
        </is>
      </c>
      <c r="G114" s="121" t="inlineStr">
        <is>
          <t>No website found — verify</t>
        </is>
      </c>
      <c r="H114" s="121" t="inlineStr">
        <is>
          <t>Not verified — see registered address</t>
        </is>
      </c>
      <c r="I114" s="121" t="inlineStr">
        <is>
          <t>Accessory-only importer, not a systems dealer.</t>
        </is>
      </c>
      <c r="J114" s="121" t="inlineStr">
        <is>
          <t>N/A (accessory partner)</t>
        </is>
      </c>
      <c r="K114" s="148" t="inlineStr">
        <is>
          <t>3</t>
        </is>
      </c>
      <c r="L114" s="121" t="inlineStr">
        <is>
          <t>Tier 3 — carries a line (ISD Meditech (Malaysia) — accessory only) — conflict to qualify · no verified domain.</t>
        </is>
      </c>
      <c r="M114" s="121" t="inlineStr">
        <is>
          <t>TFDA registry · Registry (TFDA) — verify</t>
        </is>
      </c>
      <c r="N114" s="145" t="inlineStr">
        <is>
          <t>From ultrasound accessories to the systems themselves: CHISON for 醫技實業有限公司</t>
        </is>
      </c>
      <c r="O114" s="108" t="inlineStr">
        <is>
          <t>Dear 醫技實業有限公司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 are already inside the ultrasound room: Distributor for ISD Meditech (MY), probe/accessory only. That is the position most suppliers spend years trying to reach.
Where CHISON fits your portfolio: you already supply into ultrasound rooms, so the systems themselves are the natural step up in order value. The same buyers, a considerably larger ticket:
• SonoEye P3: pocket handheld for emergency, intensive care and bedside point-of-care scanning
• SonoBook 9: the workhorse laptop and our volume seller across Asia
• CBit 4: mid-range cart for cardiology, women's health and general radiology
Your consumables business is unaffected. If anything, a placed system pulls gel, covers and probe sales along behind it.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14" s="146" t="inlineStr">
        <is>
          <t>medtec88@pchome.com.tw</t>
        </is>
      </c>
      <c r="Q114" s="146" t="inlineStr">
        <is>
          <t>BOUNCED 6 Oct 2026</t>
        </is>
      </c>
      <c r="R114" s="146" t="inlineStr">
        <is>
          <t>Sent 6 Oct 2026, BOUNCED: No such user. Find a working email or call.</t>
        </is>
      </c>
      <c r="S114" s="146" t="n"/>
    </row>
    <row r="115" hidden="1" ht="39.75" customHeight="1" s="104">
      <c r="A115" s="121" t="n">
        <v>110</v>
      </c>
      <c r="B115" s="143" t="inlineStr">
        <is>
          <t>鈞豊光學有限公司</t>
        </is>
      </c>
      <c r="C115" s="123" t="inlineStr">
        <is>
          <t>Contacted</t>
        </is>
      </c>
      <c r="D115" s="121" t="inlineStr">
        <is>
          <t>Distributor for MEDA Co., Ltd (Tianjin, CN) — China's #1 ophthalmic ultrasound (A/B-scan, biometer, pachymeter, UBM) manufacturer, ophthalmology-only</t>
        </is>
      </c>
      <c r="E115" s="121" t="inlineStr">
        <is>
          <t>MEDA (China) — ophthalmology-only ultrasound, ~70% share of China's ophthalmic ultrasound market</t>
        </is>
      </c>
      <c r="F115" s="124" t="inlineStr">
        <is>
          <t>臺中市西屯區至善路82巷58號1樓</t>
        </is>
      </c>
      <c r="G115" s="121" t="inlineStr">
        <is>
          <t>No website found — verify</t>
        </is>
      </c>
      <c r="H115" s="121" t="inlineStr">
        <is>
          <t>Not verified — see registered address</t>
        </is>
      </c>
      <c r="I115" s="121" t="inlineStr">
        <is>
          <t>CORRECTED on re-verification: MEDA is a pure ophthalmic-ultrasound specialist (eye-length biometry, not B-mode body imaging) — completely different clinical workflow/customer (ophthalmologists) from CHISON's general imaging line. Demoted from Tier 2; same low-relevance bucket as the other ophthalmic-biometry distributors on this list.</t>
        </is>
      </c>
      <c r="J115" s="121" t="inlineStr">
        <is>
          <t>N/A (different specialty — ophthalmology)</t>
        </is>
      </c>
      <c r="K115" s="148" t="inlineStr">
        <is>
          <t>3</t>
        </is>
      </c>
      <c r="L115" s="121" t="inlineStr">
        <is>
          <t>Tier 3 — carries a line (MEDA (China) — ophthalmology-only ultrasound, ) — conflict to qualify · no verified domain.</t>
        </is>
      </c>
      <c r="M115" s="121" t="inlineStr">
        <is>
          <t>TFDA registry · Registry (TFDA) + web-verified manufacturer product line (corrected)</t>
        </is>
      </c>
      <c r="N115" s="145" t="inlineStr">
        <is>
          <t>General-imaging ultrasound alongside your current line: CHISON for 鈞豊光學有限公司</t>
        </is>
      </c>
      <c r="O115" s="108" t="inlineStr">
        <is>
          <t>Dear 鈞豊光學有限公司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MEDA Co., Ltd (Tianjin, CN), China's #1 ophthalmic ultrasound (A/B-scan, biometer, pachymeter, UBM) manufacturer, ophthalmology-only.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15" s="146" t="inlineStr">
        <is>
          <t>junfengop@xuite.net</t>
        </is>
      </c>
      <c r="Q115" s="146" t="inlineStr">
        <is>
          <t>DIR: TCMICA member directory</t>
        </is>
      </c>
      <c r="R115" s="146" t="inlineStr">
        <is>
          <t>Batch draft 1 of 3 (Send separately) sent 6 Oct 2026</t>
        </is>
      </c>
      <c r="S115" s="146" t="n"/>
    </row>
    <row r="116" hidden="1" ht="39.75" customHeight="1" s="104">
      <c r="A116" s="121" t="n">
        <v>111</v>
      </c>
      <c r="B116" s="143" t="inlineStr">
        <is>
          <t>長振儀器股份有限公司</t>
        </is>
      </c>
      <c r="C116" s="123" t="inlineStr">
        <is>
          <t>Not started</t>
        </is>
      </c>
      <c r="D116" s="121" t="inlineStr">
        <is>
          <t>Distributor for Toitu Co. (JP) — fetal monitors</t>
        </is>
      </c>
      <c r="E116" s="121" t="inlineStr">
        <is>
          <t>Toitu (Japan) — OB fetal-monitor niche, not general imaging</t>
        </is>
      </c>
      <c r="F116" s="124" t="inlineStr">
        <is>
          <t>臺北市內湖區陽光街345巷5號2樓</t>
        </is>
      </c>
      <c r="G116" s="121" t="inlineStr">
        <is>
          <t>No website found — verify</t>
        </is>
      </c>
      <c r="H116" s="121" t="inlineStr">
        <is>
          <t>Not verified — see registered address</t>
        </is>
      </c>
      <c r="I116" s="121" t="inlineStr">
        <is>
          <t>OB fetal-monitor niche; limited direct overlap with CHISON's general imaging line.</t>
        </is>
      </c>
      <c r="J116" s="121" t="inlineStr">
        <is>
          <t>N/A (different specialty)</t>
        </is>
      </c>
      <c r="K116" s="148" t="inlineStr">
        <is>
          <t>3</t>
        </is>
      </c>
      <c r="L116" s="121" t="inlineStr">
        <is>
          <t>Tier 3 — carries a line (Toitu (Japan) — OB fetal-monitor niche, not ge) — conflict to qualify · no verified domain.</t>
        </is>
      </c>
      <c r="M116" s="121" t="inlineStr">
        <is>
          <t>TFDA registry · Registry (TFDA) — verify</t>
        </is>
      </c>
      <c r="N116" s="145" t="inlineStr">
        <is>
          <t>A value tier beneath your GE line: CHISON SonoEye P3 and SonoBook 9</t>
        </is>
      </c>
      <c r="O116" s="108" t="inlineStr">
        <is>
          <t>Dear 長振儀器股份有限公司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 position in this category is already established: Distributor for Toitu Co. (JP), fetal monitors. You will therefore assess a new line faster than most, and on the criteria that actually matter: image quality, probe life and service turnaround.
Where CHISON fits your portfolio: CHISON is not positioned against GE. It sits beneath it. The accounts you lose on price today are the accounts this line was built for:
• SonoEye P3: pocket handheld for emergency, intensive care and bedside point-of-care scanning
• SonoBook 9: the workhorse laptop and our volume seller across Asia
• CBit 4: mid-range cart for cardiology, women's health and general radiology
That gives you a complete handheld to cart ladder under one supplier agreement, so you can hold GE at the top of your card and still quote competitively at the lower end of the market.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16" s="146" t="n"/>
      <c r="Q116" s="146" t="n"/>
      <c r="R116" s="146" t="n"/>
      <c r="S116" s="146" t="n"/>
    </row>
    <row r="117" hidden="1" ht="39.75" customHeight="1" s="104">
      <c r="A117" s="121" t="n">
        <v>112</v>
      </c>
      <c r="B117" s="143" t="inlineStr">
        <is>
          <t>驊晟有限公司</t>
        </is>
      </c>
      <c r="C117" s="123" t="inlineStr">
        <is>
          <t>Not started</t>
        </is>
      </c>
      <c r="D117" s="121" t="inlineStr">
        <is>
          <t>Distributor for Edgecare Inc. (KR) — wearable patch-type ultrasound for bladder/hemodynamic monitoring (EdgeFlow UH10), NOT general diagnostic imaging</t>
        </is>
      </c>
      <c r="E117" s="121" t="inlineStr">
        <is>
          <t>Edgecare (Korea) — niche wearable point-of-care monitoring device, not a general imaging system</t>
        </is>
      </c>
      <c r="F117" s="124" t="inlineStr">
        <is>
          <t>新北市三重區中正北路18號(1樓)</t>
        </is>
      </c>
      <c r="G117" s="121" t="inlineStr">
        <is>
          <t>No website found — verify</t>
        </is>
      </c>
      <c r="H117" s="121" t="inlineStr">
        <is>
          <t>Not verified — see registered address</t>
        </is>
      </c>
      <c r="I117" s="121" t="inlineStr">
        <is>
          <t>CORRECTED on re-verification: Edgecare's product is a specialized wearable bladder/hemodynamic-monitoring patch, not a general cart/portable/handheld imaging system. Different clinical workflow and buyer from CHISON's line — low relevance, demoted from Tier 1.</t>
        </is>
      </c>
      <c r="J117" s="121" t="inlineStr">
        <is>
          <t>N/A (different product category)</t>
        </is>
      </c>
      <c r="K117" s="148" t="inlineStr">
        <is>
          <t>3</t>
        </is>
      </c>
      <c r="L117" s="121" t="inlineStr">
        <is>
          <t>Tier 3 — carries a line (Edgecare (Korea) — niche wearable point-of-car) — conflict to qualify · no verified domain.</t>
        </is>
      </c>
      <c r="M117" s="121" t="inlineStr">
        <is>
          <t>TFDA registry · Registry (TFDA) + web-verified manufacturer product line (corrected)</t>
        </is>
      </c>
      <c r="N117" s="145" t="inlineStr">
        <is>
          <t>General-imaging ultrasound alongside your current line: CHISON for 驊晟有限公司</t>
        </is>
      </c>
      <c r="O117" s="108" t="inlineStr">
        <is>
          <t>Dear 驊晟有限公司 team,
I am Casper Tan, Senior Regional Sales Manager at AstraMed Healthcare, the CHISON Medical Technologies subsidiary responsible for this region. I am building the Taiwan channel this year. CHISON has manufactured diagnostic ultrasound in Wuxi, China since 1996, sells into more than 100 countries and is the only ultrasound manufacturer listed on China's STAR Market (688358). The platform carries CE and US FDA clearance. As AstraMed is the manufacturer's own subsidiary rather than an importer, you would be dealing with the factory directly, with no intermediary margin between us.
Yours is a specialised line: Distributor for Edgecare Inc. (KR), wearable patch-type ultrasound for bladder/hemodynamic monitoring (EdgeFlow UH10), NOT general diagnostic imaging. Specialists sell with real credibility, though a single-application system does cap what you are able to quote into an account once you have won it.
Where CHISON fits your portfolio: general diagnostic imaging is the open gap beside your current line. The same clinicians, a considerably broader indication set:
• SonoEye P3: pocket handheld for emergency, intensive care and bedside point-of-care scanning
• SonoBook 9: the workhorse laptop and our volume seller across Asia
• CBit 4: mid-range cart for cardiology, women's health and general radiology
None of it competes with what you already represent. It simply allows you to quote a second system into an account you have already won, with a complete handheld to cart ladder under one supplier agreement.
On the commercial side we carry what usually slows a new line down. TFDA Class II registration and QSD/UDI support are handled by us, together with application training for your sales team, a demonstration unit for your first accounts, and spare parts and probe stock held regionally so that your service engineers are never waiting on the factory.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117" s="146" t="n"/>
      <c r="Q117" s="146" t="n"/>
      <c r="R117" s="146" t="n"/>
      <c r="S117" s="146" t="n"/>
    </row>
    <row r="118" ht="287.25" customHeight="1" s="104">
      <c r="A118" s="121" t="n">
        <v>113</v>
      </c>
      <c r="B118" s="143" t="inlineStr">
        <is>
          <t>康豪醫療器材有限公司</t>
        </is>
      </c>
      <c r="C118" s="121" t="inlineStr">
        <is>
          <t>Contacted</t>
        </is>
      </c>
      <c r="D118" s="124" t="inlineStr">
        <is>
          <t>醫療器材</t>
        </is>
      </c>
      <c r="E118" s="121" t="inlineStr">
        <is>
          <t>Not identified (directory listing only)</t>
        </is>
      </c>
      <c r="F118" s="124" t="inlineStr">
        <is>
          <t>Taichung · 臺中市中區平等街1</t>
        </is>
      </c>
      <c r="G118" s="121" t="inlineStr">
        <is>
          <t>Not published</t>
        </is>
      </c>
      <c r="H118" s="121" t="inlineStr">
        <is>
          <t>04-2223-0233</t>
        </is>
      </c>
      <c r="I118" s="121" t="inlineStr">
        <is>
          <t>Directory listing only: general medical device trader or retailer in Taichung; capital equipment capability unconfirmed.</t>
        </is>
      </c>
      <c r="J118" s="121" t="inlineStr">
        <is>
          <t>SonoAir 70 + SonoEye P3 (confirm line card first)</t>
        </is>
      </c>
      <c r="K118" s="151" t="inlineStr">
        <is>
          <t>3</t>
        </is>
      </c>
      <c r="L118" s="121" t="inlineStr">
        <is>
          <t>Tier 3: long tail from the TCMICA member directory; reached by the bilingual batch email, qualify only if they reply.</t>
        </is>
      </c>
      <c r="M118" s="121" t="inlineStr">
        <is>
          <t>TCMICA directory 台中市醫療器材商業同業公會 (tcmica.org.tw), read 6 Oct 2026</t>
        </is>
      </c>
      <c r="N118" s="152" t="inlineStr">
        <is>
          <t>誠徵台灣超音波經銷夥伴 | CHISON ultrasound distribution partners in Taiwan</t>
        </is>
      </c>
      <c r="O11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18" s="108" t="inlineStr">
        <is>
          <t>ho1223g@yahoo.com.tw</t>
        </is>
      </c>
      <c r="Q118" s="108" t="inlineStr">
        <is>
          <t>DIR: association member directory, not the company site</t>
        </is>
      </c>
      <c r="R118" s="108" t="inlineStr">
        <is>
          <t>Batch draft 1 of 3 (Send separately) sent 6 Oct 2026</t>
        </is>
      </c>
      <c r="S118" s="108" t="n"/>
    </row>
    <row r="119" ht="287.25" customHeight="1" s="104">
      <c r="A119" s="121" t="n">
        <v>114</v>
      </c>
      <c r="B119" s="143" t="inlineStr">
        <is>
          <t>國教儀器企業有限公司</t>
        </is>
      </c>
      <c r="C119" s="121" t="inlineStr">
        <is>
          <t>Contacted</t>
        </is>
      </c>
      <c r="D119" s="124" t="inlineStr">
        <is>
          <t>保健醫療器材</t>
        </is>
      </c>
      <c r="E119" s="121" t="inlineStr">
        <is>
          <t>Not identified (directory listing only)</t>
        </is>
      </c>
      <c r="F119" s="124" t="inlineStr">
        <is>
          <t>Taichung · 台中市東區進化路7</t>
        </is>
      </c>
      <c r="G119" s="154" t="inlineStr">
        <is>
          <t>http://www.koujuaw.com.tw/</t>
        </is>
      </c>
      <c r="H119" s="121" t="inlineStr">
        <is>
          <t>04-2212-1335</t>
        </is>
      </c>
      <c r="I119" s="121" t="inlineStr">
        <is>
          <t>Directory listing only: general medical device trader or retailer in Taichung; capital equipment capability unconfirmed.</t>
        </is>
      </c>
      <c r="J119" s="121" t="inlineStr">
        <is>
          <t>SonoAir 70 + SonoEye P3 (confirm line card first)</t>
        </is>
      </c>
      <c r="K119" s="151" t="inlineStr">
        <is>
          <t>3</t>
        </is>
      </c>
      <c r="L119" s="121" t="inlineStr">
        <is>
          <t>Tier 3: long tail from the TCMICA member directory; reached by the bilingual batch email, qualify only if they reply.</t>
        </is>
      </c>
      <c r="M119" s="121" t="inlineStr">
        <is>
          <t>TCMICA directory 台中市醫療器材商業同業公會 (tcmica.org.tw), read 6 Oct 2026</t>
        </is>
      </c>
      <c r="N119" s="152" t="inlineStr">
        <is>
          <t>誠徵台灣超音波經銷夥伴 | CHISON ultrasound distribution partners in Taiwan</t>
        </is>
      </c>
      <c r="O11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19" s="108" t="inlineStr">
        <is>
          <t>kou.juaw@msa.hinet.net</t>
        </is>
      </c>
      <c r="Q119" s="108" t="inlineStr">
        <is>
          <t>DIR: association member directory, not the company site</t>
        </is>
      </c>
      <c r="R119" s="108" t="inlineStr">
        <is>
          <t>Batch draft 1 of 3 (Send separately) sent 6 Oct 2026</t>
        </is>
      </c>
      <c r="S119" s="108" t="n"/>
    </row>
    <row r="120" ht="287.25" customHeight="1" s="104">
      <c r="A120" s="121" t="n">
        <v>115</v>
      </c>
      <c r="B120" s="143" t="inlineStr">
        <is>
          <t>久駿企業有限公司</t>
        </is>
      </c>
      <c r="C120" s="121" t="inlineStr">
        <is>
          <t>Not started</t>
        </is>
      </c>
      <c r="D120" s="124" t="inlineStr">
        <is>
          <t>醫療器材</t>
        </is>
      </c>
      <c r="E120" s="121" t="inlineStr">
        <is>
          <t>Not identified (directory listing only)</t>
        </is>
      </c>
      <c r="F120" s="124" t="inlineStr">
        <is>
          <t>Taichung · 台中市東區光園路1</t>
        </is>
      </c>
      <c r="G120" s="121" t="inlineStr">
        <is>
          <t>Not published</t>
        </is>
      </c>
      <c r="H120" s="121" t="inlineStr">
        <is>
          <t>04-2280-2139</t>
        </is>
      </c>
      <c r="I120" s="121" t="inlineStr">
        <is>
          <t>Directory listing only: general medical device trader or retailer in Taichung; capital equipment capability unconfirmed.</t>
        </is>
      </c>
      <c r="J120" s="121" t="inlineStr">
        <is>
          <t>SonoAir 70 + SonoEye P3 (confirm line card first)</t>
        </is>
      </c>
      <c r="K120" s="151" t="inlineStr">
        <is>
          <t>3</t>
        </is>
      </c>
      <c r="L120" s="121" t="inlineStr">
        <is>
          <t>Tier 3: long tail from the TCMICA member directory; reached by the bilingual batch email, qualify only if they reply.</t>
        </is>
      </c>
      <c r="M120" s="121" t="inlineStr">
        <is>
          <t>TCMICA directory 台中市醫療器材商業同業公會 (tcmica.org.tw), read 6 Oct 2026</t>
        </is>
      </c>
      <c r="N120" s="152" t="inlineStr">
        <is>
          <t>誠徵台灣超音波經銷夥伴 | CHISON ultrasound distribution partners in Taiwan</t>
        </is>
      </c>
      <c r="O12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0" s="108" t="inlineStr">
        <is>
          <t>jiujun@pchome.com.tw</t>
        </is>
      </c>
      <c r="Q120" s="108" t="inlineStr">
        <is>
          <t>BOUNCED 6 Oct 2026</t>
        </is>
      </c>
      <c r="R120" s="108" t="inlineStr">
        <is>
          <t>Sent 6 Oct 2026, BOUNCED: No such user. Find a working email or call.</t>
        </is>
      </c>
      <c r="S120" s="108" t="n"/>
    </row>
    <row r="121" ht="287.25" customHeight="1" s="104">
      <c r="A121" s="121" t="n">
        <v>116</v>
      </c>
      <c r="B121" s="143" t="inlineStr">
        <is>
          <t>正育生化技有限公司</t>
        </is>
      </c>
      <c r="C121" s="121" t="inlineStr">
        <is>
          <t>Contacted</t>
        </is>
      </c>
      <c r="D121" s="124" t="inlineStr">
        <is>
          <t>醫療器材批發零售、乙類成藥零售</t>
        </is>
      </c>
      <c r="E121" s="121" t="inlineStr">
        <is>
          <t>Not identified (directory listing only)</t>
        </is>
      </c>
      <c r="F121" s="124" t="inlineStr">
        <is>
          <t>Taichung · 台中市東區練武路2</t>
        </is>
      </c>
      <c r="G121" s="121" t="inlineStr">
        <is>
          <t>Not published</t>
        </is>
      </c>
      <c r="H121" s="121" t="inlineStr">
        <is>
          <t>04-2212-3107</t>
        </is>
      </c>
      <c r="I121" s="121" t="inlineStr">
        <is>
          <t>Directory listing only: general medical device trader or retailer in Taichung; capital equipment capability unconfirmed.</t>
        </is>
      </c>
      <c r="J121" s="121" t="inlineStr">
        <is>
          <t>SonoAir 70 + SonoEye P3 (confirm line card first)</t>
        </is>
      </c>
      <c r="K121" s="151" t="inlineStr">
        <is>
          <t>3</t>
        </is>
      </c>
      <c r="L121" s="121" t="inlineStr">
        <is>
          <t>Tier 3: long tail from the TCMICA member directory; reached by the bilingual batch email, qualify only if they reply.</t>
        </is>
      </c>
      <c r="M121" s="121" t="inlineStr">
        <is>
          <t>TCMICA directory 台中市醫療器材商業同業公會 (tcmica.org.tw), read 6 Oct 2026</t>
        </is>
      </c>
      <c r="N121" s="152" t="inlineStr">
        <is>
          <t>誠徵台灣超音波經銷夥伴 | CHISON ultrasound distribution partners in Taiwan</t>
        </is>
      </c>
      <c r="O12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1" s="108" t="inlineStr">
        <is>
          <t>bittle911@hotmail.com</t>
        </is>
      </c>
      <c r="Q121" s="108" t="inlineStr">
        <is>
          <t>DIR: association member directory, not the company site</t>
        </is>
      </c>
      <c r="R121" s="108" t="inlineStr">
        <is>
          <t>Batch draft 1 of 3 (Send separately) sent 6 Oct 2026</t>
        </is>
      </c>
      <c r="S121" s="108" t="n"/>
    </row>
    <row r="122" ht="287.25" customHeight="1" s="104">
      <c r="A122" s="121" t="n">
        <v>117</v>
      </c>
      <c r="B122" s="143" t="inlineStr">
        <is>
          <t>家好健康醫療器材有限公司</t>
        </is>
      </c>
      <c r="C122" s="121" t="inlineStr">
        <is>
          <t>Contacted</t>
        </is>
      </c>
      <c r="D122" s="124" t="inlineStr">
        <is>
          <t>復健器材醫療器材</t>
        </is>
      </c>
      <c r="E122" s="121" t="inlineStr">
        <is>
          <t>Not identified (directory listing only)</t>
        </is>
      </c>
      <c r="F122" s="124" t="inlineStr">
        <is>
          <t>Taichung · 臺中市東區福智街5</t>
        </is>
      </c>
      <c r="G122" s="121" t="inlineStr">
        <is>
          <t>Not published</t>
        </is>
      </c>
      <c r="H122" s="121" t="inlineStr">
        <is>
          <t>04-2215-3657</t>
        </is>
      </c>
      <c r="I122" s="121" t="inlineStr">
        <is>
          <t>Directory listing only: general medical device trader or retailer in Taichung; capital equipment capability unconfirmed.</t>
        </is>
      </c>
      <c r="J122" s="121" t="inlineStr">
        <is>
          <t>SonoAir 70 + SonoEye P3 (confirm line card first)</t>
        </is>
      </c>
      <c r="K122" s="151" t="inlineStr">
        <is>
          <t>3</t>
        </is>
      </c>
      <c r="L122" s="121" t="inlineStr">
        <is>
          <t>Tier 3: long tail from the TCMICA member directory; reached by the bilingual batch email, qualify only if they reply.</t>
        </is>
      </c>
      <c r="M122" s="121" t="inlineStr">
        <is>
          <t>TCMICA directory 台中市醫療器材商業同業公會 (tcmica.org.tw), read 6 Oct 2026</t>
        </is>
      </c>
      <c r="N122" s="152" t="inlineStr">
        <is>
          <t>誠徵台灣超音波經銷夥伴 | CHISON ultrasound distribution partners in Taiwan</t>
        </is>
      </c>
      <c r="O12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2" s="108" t="inlineStr">
        <is>
          <t>c641556@gmail.com</t>
        </is>
      </c>
      <c r="Q122" s="108" t="inlineStr">
        <is>
          <t>DIR: association member directory, not the company site</t>
        </is>
      </c>
      <c r="R122" s="108" t="inlineStr">
        <is>
          <t>Batch draft 1 of 3 (Send separately) sent 6 Oct 2026</t>
        </is>
      </c>
      <c r="S122" s="108" t="n"/>
    </row>
    <row r="123" ht="287.25" customHeight="1" s="104">
      <c r="A123" s="121" t="n">
        <v>118</v>
      </c>
      <c r="B123" s="143" t="inlineStr">
        <is>
          <t>仁豪醫療器材有限公司</t>
        </is>
      </c>
      <c r="C123" s="121" t="inlineStr">
        <is>
          <t>Contacted</t>
        </is>
      </c>
      <c r="D123" s="124" t="inlineStr">
        <is>
          <t>醫療器材</t>
        </is>
      </c>
      <c r="E123" s="121" t="inlineStr">
        <is>
          <t>Not identified (directory listing only)</t>
        </is>
      </c>
      <c r="F123" s="124" t="inlineStr">
        <is>
          <t>Taichung · 台中市南區大慶街2</t>
        </is>
      </c>
      <c r="G123" s="121" t="inlineStr">
        <is>
          <t>Not published</t>
        </is>
      </c>
      <c r="H123" s="121" t="inlineStr">
        <is>
          <t>04-2265-2556</t>
        </is>
      </c>
      <c r="I123" s="121" t="inlineStr">
        <is>
          <t>Directory listing only: general medical device trader or retailer in Taichung; capital equipment capability unconfirmed.</t>
        </is>
      </c>
      <c r="J123" s="121" t="inlineStr">
        <is>
          <t>SonoAir 70 + SonoEye P3 (confirm line card first)</t>
        </is>
      </c>
      <c r="K123" s="151" t="inlineStr">
        <is>
          <t>3</t>
        </is>
      </c>
      <c r="L123" s="121" t="inlineStr">
        <is>
          <t>Tier 3: long tail from the TCMICA member directory; reached by the bilingual batch email, qualify only if they reply.</t>
        </is>
      </c>
      <c r="M123" s="121" t="inlineStr">
        <is>
          <t>TCMICA directory 台中市醫療器材商業同業公會 (tcmica.org.tw), read 6 Oct 2026</t>
        </is>
      </c>
      <c r="N123" s="152" t="inlineStr">
        <is>
          <t>誠徵台灣超音波經銷夥伴 | CHISON ultrasound distribution partners in Taiwan</t>
        </is>
      </c>
      <c r="O12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3" s="108" t="inlineStr">
        <is>
          <t>renrenhao.med@gmail.com</t>
        </is>
      </c>
      <c r="Q123" s="108" t="inlineStr">
        <is>
          <t>DIR: association member directory, not the company site</t>
        </is>
      </c>
      <c r="R123" s="108" t="inlineStr">
        <is>
          <t>Batch draft 1 of 3 (Send separately) sent 6 Oct 2026</t>
        </is>
      </c>
      <c r="S123" s="108" t="n"/>
    </row>
    <row r="124" ht="287.25" customHeight="1" s="104">
      <c r="A124" s="121" t="n">
        <v>119</v>
      </c>
      <c r="B124" s="143" t="inlineStr">
        <is>
          <t>弘康醫療儀器行</t>
        </is>
      </c>
      <c r="C124" s="121" t="inlineStr">
        <is>
          <t>Contacted</t>
        </is>
      </c>
      <c r="D124" s="124" t="inlineStr">
        <is>
          <t>復健醫療儀器設備、中醫器材運動傷害居家保健用品</t>
        </is>
      </c>
      <c r="E124" s="121" t="inlineStr">
        <is>
          <t>Not identified (directory listing only)</t>
        </is>
      </c>
      <c r="F124" s="124" t="inlineStr">
        <is>
          <t>Taichung · 台中市南區建國北路</t>
        </is>
      </c>
      <c r="G124" s="154" t="inlineStr">
        <is>
          <t>http://www.hk3.com.tw</t>
        </is>
      </c>
      <c r="H124" s="121" t="inlineStr">
        <is>
          <t>04-2473-3551</t>
        </is>
      </c>
      <c r="I124" s="121" t="inlineStr">
        <is>
          <t>Directory listing only: general medical device trader or retailer in Taichung; capital equipment capability unconfirmed.</t>
        </is>
      </c>
      <c r="J124" s="121" t="inlineStr">
        <is>
          <t>SonoAir 70 + SonoEye P3 (confirm line card first)</t>
        </is>
      </c>
      <c r="K124" s="151" t="inlineStr">
        <is>
          <t>3</t>
        </is>
      </c>
      <c r="L124" s="121" t="inlineStr">
        <is>
          <t>Tier 3: long tail from the TCMICA member directory; reached by the bilingual batch email, qualify only if they reply.</t>
        </is>
      </c>
      <c r="M124" s="121" t="inlineStr">
        <is>
          <t>TCMICA directory 台中市醫療器材商業同業公會 (tcmica.org.tw), read 6 Oct 2026</t>
        </is>
      </c>
      <c r="N124" s="152" t="inlineStr">
        <is>
          <t>誠徵台灣超音波經銷夥伴 | CHISON ultrasound distribution partners in Taiwan</t>
        </is>
      </c>
      <c r="O12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4" s="108" t="inlineStr">
        <is>
          <t>hongkang@ms57.hinet.net</t>
        </is>
      </c>
      <c r="Q124" s="108" t="inlineStr">
        <is>
          <t>DIR: association member directory, not the company site</t>
        </is>
      </c>
      <c r="R124" s="108" t="inlineStr">
        <is>
          <t>Batch draft 1 of 3 (Send separately) sent 6 Oct 2026</t>
        </is>
      </c>
      <c r="S124" s="108" t="n"/>
    </row>
    <row r="125" ht="287.25" customHeight="1" s="104">
      <c r="A125" s="121" t="n">
        <v>120</v>
      </c>
      <c r="B125" s="143" t="inlineStr">
        <is>
          <t>伸球企業有限公司</t>
        </is>
      </c>
      <c r="C125" s="121" t="inlineStr">
        <is>
          <t>Contacted</t>
        </is>
      </c>
      <c r="D125" s="124" t="inlineStr">
        <is>
          <t>醫療儀器、一般儀器</t>
        </is>
      </c>
      <c r="E125" s="121" t="inlineStr">
        <is>
          <t>Not identified (directory listing only)</t>
        </is>
      </c>
      <c r="F125" s="124" t="inlineStr">
        <is>
          <t>Taichung · 台中市南區永東街7</t>
        </is>
      </c>
      <c r="G125" s="121" t="inlineStr">
        <is>
          <t>Not published</t>
        </is>
      </c>
      <c r="H125" s="121" t="inlineStr">
        <is>
          <t>04-2281-3045</t>
        </is>
      </c>
      <c r="I125" s="121" t="inlineStr">
        <is>
          <t>Directory listing only: general medical device trader or retailer in Taichung; capital equipment capability unconfirmed.</t>
        </is>
      </c>
      <c r="J125" s="121" t="inlineStr">
        <is>
          <t>SonoAir 70 + SonoEye P3 (confirm line card first)</t>
        </is>
      </c>
      <c r="K125" s="151" t="inlineStr">
        <is>
          <t>3</t>
        </is>
      </c>
      <c r="L125" s="121" t="inlineStr">
        <is>
          <t>Tier 3: long tail from the TCMICA member directory; reached by the bilingual batch email, qualify only if they reply.</t>
        </is>
      </c>
      <c r="M125" s="121" t="inlineStr">
        <is>
          <t>TCMICA directory 台中市醫療器材商業同業公會 (tcmica.org.tw), read 6 Oct 2026</t>
        </is>
      </c>
      <c r="N125" s="152" t="inlineStr">
        <is>
          <t>誠徵台灣超音波經銷夥伴 | CHISON ultrasound distribution partners in Taiwan</t>
        </is>
      </c>
      <c r="O12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5" s="108" t="inlineStr">
        <is>
          <t>shan.chiou@gmail.com</t>
        </is>
      </c>
      <c r="Q125" s="108" t="inlineStr">
        <is>
          <t>DIR: association member directory, not the company site</t>
        </is>
      </c>
      <c r="R125" s="108" t="inlineStr">
        <is>
          <t>Batch draft 1 of 3 (Send separately) sent 6 Oct 2026</t>
        </is>
      </c>
      <c r="S125" s="108" t="n"/>
    </row>
    <row r="126" ht="287.25" customHeight="1" s="104">
      <c r="A126" s="121" t="n">
        <v>121</v>
      </c>
      <c r="B126" s="143" t="inlineStr">
        <is>
          <t>睿康生醫股份有限公司</t>
        </is>
      </c>
      <c r="C126" s="121" t="inlineStr">
        <is>
          <t>Contacted</t>
        </is>
      </c>
      <c r="D126" s="124" t="inlineStr">
        <is>
          <t>各式醫療器材批發零售、醫美器材</t>
        </is>
      </c>
      <c r="E126" s="121" t="inlineStr">
        <is>
          <t>Not identified (directory listing only)</t>
        </is>
      </c>
      <c r="F126" s="124" t="inlineStr">
        <is>
          <t>Taichung · 臺中市南區樹義路8</t>
        </is>
      </c>
      <c r="G126" s="121" t="inlineStr">
        <is>
          <t>Not published</t>
        </is>
      </c>
      <c r="H126" s="121" t="inlineStr">
        <is>
          <t>04-2260-1991</t>
        </is>
      </c>
      <c r="I126" s="121" t="inlineStr">
        <is>
          <t>Directory listing only: general medical device trader or retailer in Taichung; capital equipment capability unconfirmed.</t>
        </is>
      </c>
      <c r="J126" s="121" t="inlineStr">
        <is>
          <t>SonoAir 70 + SonoEye P3 (confirm line card first)</t>
        </is>
      </c>
      <c r="K126" s="151" t="inlineStr">
        <is>
          <t>3</t>
        </is>
      </c>
      <c r="L126" s="121" t="inlineStr">
        <is>
          <t>Tier 3: long tail from the TCMICA member directory; reached by the bilingual batch email, qualify only if they reply.</t>
        </is>
      </c>
      <c r="M126" s="121" t="inlineStr">
        <is>
          <t>TCMICA directory 台中市醫療器材商業同業公會 (tcmica.org.tw), read 6 Oct 2026</t>
        </is>
      </c>
      <c r="N126" s="152" t="inlineStr">
        <is>
          <t>誠徵台灣超音波經銷夥伴 | CHISON ultrasound distribution partners in Taiwan</t>
        </is>
      </c>
      <c r="O12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6" s="108" t="inlineStr">
        <is>
          <t>william.Chen@medifun.com.tw</t>
        </is>
      </c>
      <c r="Q126" s="108" t="inlineStr">
        <is>
          <t>DIR: association member directory, not the company site</t>
        </is>
      </c>
      <c r="R126" s="108" t="inlineStr">
        <is>
          <t>Batch draft 1 of 3 (Send separately) sent 6 Oct 2026</t>
        </is>
      </c>
      <c r="S126" s="108" t="n"/>
    </row>
    <row r="127" ht="287.25" customHeight="1" s="104">
      <c r="A127" s="121" t="n">
        <v>122</v>
      </c>
      <c r="B127" s="143" t="inlineStr">
        <is>
          <t>美加醫療器材行</t>
        </is>
      </c>
      <c r="C127" s="121" t="inlineStr">
        <is>
          <t>Contacted</t>
        </is>
      </c>
      <c r="D127" s="124" t="inlineStr">
        <is>
          <t>各式醫療器材批發零售、醫美器材</t>
        </is>
      </c>
      <c r="E127" s="121" t="inlineStr">
        <is>
          <t>Not identified (directory listing only)</t>
        </is>
      </c>
      <c r="F127" s="124" t="inlineStr">
        <is>
          <t>Taichung · 臺中市南區福田三街</t>
        </is>
      </c>
      <c r="G127" s="121" t="inlineStr">
        <is>
          <t>Not published</t>
        </is>
      </c>
      <c r="H127" s="121" t="inlineStr">
        <is>
          <t>04-2261-3037</t>
        </is>
      </c>
      <c r="I127" s="121" t="inlineStr">
        <is>
          <t>Directory listing only: general medical device trader or retailer in Taichung; capital equipment capability unconfirmed.</t>
        </is>
      </c>
      <c r="J127" s="121" t="inlineStr">
        <is>
          <t>SonoAir 70 + SonoEye P3 (confirm line card first)</t>
        </is>
      </c>
      <c r="K127" s="151" t="inlineStr">
        <is>
          <t>3</t>
        </is>
      </c>
      <c r="L127" s="121" t="inlineStr">
        <is>
          <t>Tier 3: long tail from the TCMICA member directory; reached by the bilingual batch email, qualify only if they reply.</t>
        </is>
      </c>
      <c r="M127" s="121" t="inlineStr">
        <is>
          <t>TCMICA directory 台中市醫療器材商業同業公會 (tcmica.org.tw), read 6 Oct 2026</t>
        </is>
      </c>
      <c r="N127" s="152" t="inlineStr">
        <is>
          <t>誠徵台灣超音波經銷夥伴 | CHISON ultrasound distribution partners in Taiwan</t>
        </is>
      </c>
      <c r="O12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7" s="108" t="inlineStr">
        <is>
          <t>egaodafiction@gmail.com</t>
        </is>
      </c>
      <c r="Q127" s="108" t="inlineStr">
        <is>
          <t>DIR: association member directory, not the company site</t>
        </is>
      </c>
      <c r="R127" s="108" t="inlineStr">
        <is>
          <t>Batch draft 1 of 3 (Send separately) sent 6 Oct 2026</t>
        </is>
      </c>
      <c r="S127" s="108" t="n"/>
    </row>
    <row r="128" ht="287.25" customHeight="1" s="104">
      <c r="A128" s="121" t="n">
        <v>123</v>
      </c>
      <c r="B128" s="143" t="inlineStr">
        <is>
          <t>艾茵艾學府健康企業有限公司</t>
        </is>
      </c>
      <c r="C128" s="121" t="inlineStr">
        <is>
          <t>Not started</t>
        </is>
      </c>
      <c r="D128" s="124" t="inlineStr">
        <is>
          <t>醫療器材批發業</t>
        </is>
      </c>
      <c r="E128" s="121" t="inlineStr">
        <is>
          <t>Not identified (directory listing only)</t>
        </is>
      </c>
      <c r="F128" s="124" t="inlineStr">
        <is>
          <t>Taichung · 台中市南區學府路1</t>
        </is>
      </c>
      <c r="G128" s="121" t="inlineStr">
        <is>
          <t>Not published</t>
        </is>
      </c>
      <c r="H128" s="121" t="inlineStr">
        <is>
          <t>04-2633-7183</t>
        </is>
      </c>
      <c r="I128" s="121" t="inlineStr">
        <is>
          <t>Directory listing only: general medical device trader or retailer in Taichung; capital equipment capability unconfirmed.</t>
        </is>
      </c>
      <c r="J128" s="121" t="inlineStr">
        <is>
          <t>SonoAir 70 + SonoEye P3 (confirm line card first)</t>
        </is>
      </c>
      <c r="K128" s="151" t="inlineStr">
        <is>
          <t>3</t>
        </is>
      </c>
      <c r="L128" s="121" t="inlineStr">
        <is>
          <t>Tier 3: long tail from the TCMICA member directory; reached by the bilingual batch email, qualify only if they reply.</t>
        </is>
      </c>
      <c r="M128" s="121" t="inlineStr">
        <is>
          <t>TCMICA directory 台中市醫療器材商業同業公會 (tcmica.org.tw), read 6 Oct 2026</t>
        </is>
      </c>
      <c r="N128" s="152" t="inlineStr">
        <is>
          <t>誠徵台灣超音波經銷夥伴 | CHISON ultrasound distribution partners in Taiwan</t>
        </is>
      </c>
      <c r="O12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8" s="108" t="inlineStr">
        <is>
          <t>afarjce@gmail.com</t>
        </is>
      </c>
      <c r="Q128" s="108" t="inlineStr">
        <is>
          <t>BOUNCED 6 Oct 2026</t>
        </is>
      </c>
      <c r="R128" s="108" t="inlineStr">
        <is>
          <t>Sent 6 Oct 2026, BOUNCED: Gmail account does not exist. Find a working email or call.</t>
        </is>
      </c>
      <c r="S128" s="108" t="n"/>
    </row>
    <row r="129" ht="287.25" customHeight="1" s="104">
      <c r="A129" s="121" t="n">
        <v>124</v>
      </c>
      <c r="B129" s="143" t="inlineStr">
        <is>
          <t>源創醫療設備科技有限公司</t>
        </is>
      </c>
      <c r="C129" s="121" t="inlineStr">
        <is>
          <t>Contacted</t>
        </is>
      </c>
      <c r="D129" s="124" t="inlineStr">
        <is>
          <t>醫療器材</t>
        </is>
      </c>
      <c r="E129" s="121" t="inlineStr">
        <is>
          <t>Not identified (directory listing only)</t>
        </is>
      </c>
      <c r="F129" s="124" t="inlineStr">
        <is>
          <t>Taichung · 臺中市南區樹義路8</t>
        </is>
      </c>
      <c r="G129" s="121" t="inlineStr">
        <is>
          <t>Not published</t>
        </is>
      </c>
      <c r="H129" s="121" t="inlineStr">
        <is>
          <t>Not published in directory</t>
        </is>
      </c>
      <c r="I129" s="121" t="inlineStr">
        <is>
          <t>Directory listing only: general medical device trader or retailer in Taichung; capital equipment capability unconfirmed.</t>
        </is>
      </c>
      <c r="J129" s="121" t="inlineStr">
        <is>
          <t>SonoAir 70 + SonoEye P3 (confirm line card first)</t>
        </is>
      </c>
      <c r="K129" s="151" t="inlineStr">
        <is>
          <t>3</t>
        </is>
      </c>
      <c r="L129" s="121" t="inlineStr">
        <is>
          <t>Tier 3: long tail from the TCMICA member directory; reached by the bilingual batch email, qualify only if they reply.</t>
        </is>
      </c>
      <c r="M129" s="121" t="inlineStr">
        <is>
          <t>TCMICA directory 台中市醫療器材商業同業公會 (tcmica.org.tw), read 6 Oct 2026</t>
        </is>
      </c>
      <c r="N129" s="152" t="inlineStr">
        <is>
          <t>誠徵台灣超音波經銷夥伴 | CHISON ultrasound distribution partners in Taiwan</t>
        </is>
      </c>
      <c r="O12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29" s="108" t="inlineStr">
        <is>
          <t>maxlinyf@gmail.com</t>
        </is>
      </c>
      <c r="Q129" s="108" t="inlineStr">
        <is>
          <t>DIR: association member directory, not the company site</t>
        </is>
      </c>
      <c r="R129" s="108" t="inlineStr">
        <is>
          <t>Batch draft 1 of 3 (Send separately) sent 6 Oct 2026</t>
        </is>
      </c>
      <c r="S129" s="108" t="n"/>
    </row>
    <row r="130" ht="287.25" customHeight="1" s="104">
      <c r="A130" s="121" t="n">
        <v>125</v>
      </c>
      <c r="B130" s="143" t="inlineStr">
        <is>
          <t>裕苑企業有限公司</t>
        </is>
      </c>
      <c r="C130" s="121" t="inlineStr">
        <is>
          <t>Contacted</t>
        </is>
      </c>
      <c r="D130" s="124" t="inlineStr">
        <is>
          <t>醫療器材、獸醫儀器、畜牧儀器、動物藥品</t>
        </is>
      </c>
      <c r="E130" s="121" t="inlineStr">
        <is>
          <t>Not identified (directory listing only)</t>
        </is>
      </c>
      <c r="F130" s="124" t="inlineStr">
        <is>
          <t>Taichung · 台中市西區五權路2</t>
        </is>
      </c>
      <c r="G130" s="121" t="inlineStr">
        <is>
          <t>Not published</t>
        </is>
      </c>
      <c r="H130" s="121" t="inlineStr">
        <is>
          <t>04-2371-7741</t>
        </is>
      </c>
      <c r="I130" s="121" t="inlineStr">
        <is>
          <t>Directory listing only: general medical device trader or retailer in Taichung; capital equipment capability unconfirmed.</t>
        </is>
      </c>
      <c r="J130" s="121" t="inlineStr">
        <is>
          <t>SonoAir 70 + SonoEye P3 (confirm line card first)</t>
        </is>
      </c>
      <c r="K130" s="151" t="inlineStr">
        <is>
          <t>3</t>
        </is>
      </c>
      <c r="L130" s="121" t="inlineStr">
        <is>
          <t>Tier 3: long tail from the TCMICA member directory; reached by the bilingual batch email, qualify only if they reply.</t>
        </is>
      </c>
      <c r="M130" s="121" t="inlineStr">
        <is>
          <t>TCMICA directory 台中市醫療器材商業同業公會 (tcmica.org.tw), read 6 Oct 2026</t>
        </is>
      </c>
      <c r="N130" s="152" t="inlineStr">
        <is>
          <t>誠徵台灣超音波經銷夥伴 | CHISON ultrasound distribution partners in Taiwan</t>
        </is>
      </c>
      <c r="O13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30" s="108" t="inlineStr">
        <is>
          <t>kent3821@yahoo.com.tw</t>
        </is>
      </c>
      <c r="Q130" s="108" t="inlineStr">
        <is>
          <t>DIR: association member directory, not the company site</t>
        </is>
      </c>
      <c r="R130" s="108" t="inlineStr">
        <is>
          <t>Batch draft 1 of 3 (Send separately) sent 6 Oct 2026</t>
        </is>
      </c>
      <c r="S130" s="108" t="n"/>
    </row>
    <row r="131" ht="287.25" customHeight="1" s="104">
      <c r="A131" s="121" t="n">
        <v>126</v>
      </c>
      <c r="B131" s="143" t="inlineStr">
        <is>
          <t>惠堤醫療器材行</t>
        </is>
      </c>
      <c r="C131" s="121" t="inlineStr">
        <is>
          <t>Contacted</t>
        </is>
      </c>
      <c r="D131" s="124" t="inlineStr">
        <is>
          <t>各式醫療器材、針炙用品、保健器材</t>
        </is>
      </c>
      <c r="E131" s="121" t="inlineStr">
        <is>
          <t>Not identified (directory listing only)</t>
        </is>
      </c>
      <c r="F131" s="124" t="inlineStr">
        <is>
          <t>Taichung · 台中市西區柳川西路</t>
        </is>
      </c>
      <c r="G131" s="121" t="inlineStr">
        <is>
          <t>Not published</t>
        </is>
      </c>
      <c r="H131" s="121" t="inlineStr">
        <is>
          <t>04-2228-3566</t>
        </is>
      </c>
      <c r="I131" s="121" t="inlineStr">
        <is>
          <t>Directory listing only: general medical device trader or retailer in Taichung; capital equipment capability unconfirmed.</t>
        </is>
      </c>
      <c r="J131" s="121" t="inlineStr">
        <is>
          <t>SonoAir 70 + SonoEye P3 (confirm line card first)</t>
        </is>
      </c>
      <c r="K131" s="151" t="inlineStr">
        <is>
          <t>3</t>
        </is>
      </c>
      <c r="L131" s="121" t="inlineStr">
        <is>
          <t>Tier 3: long tail from the TCMICA member directory; reached by the bilingual batch email, qualify only if they reply.</t>
        </is>
      </c>
      <c r="M131" s="121" t="inlineStr">
        <is>
          <t>TCMICA directory 台中市醫療器材商業同業公會 (tcmica.org.tw), read 6 Oct 2026</t>
        </is>
      </c>
      <c r="N131" s="152" t="inlineStr">
        <is>
          <t>誠徵台灣超音波經銷夥伴 | CHISON ultrasound distribution partners in Taiwan</t>
        </is>
      </c>
      <c r="O13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31" s="108" t="inlineStr">
        <is>
          <t>rayohealth@yahoo.com.tw</t>
        </is>
      </c>
      <c r="Q131" s="108" t="inlineStr">
        <is>
          <t>DIR: association member directory, not the company site</t>
        </is>
      </c>
      <c r="R131" s="108" t="inlineStr">
        <is>
          <t>Batch draft 1 of 3 (Send separately) sent 6 Oct 2026</t>
        </is>
      </c>
      <c r="S131" s="108" t="n"/>
    </row>
    <row r="132" ht="287.25" customHeight="1" s="104">
      <c r="A132" s="121" t="n">
        <v>127</v>
      </c>
      <c r="B132" s="143" t="inlineStr">
        <is>
          <t>長洲醫療儀器有限公司</t>
        </is>
      </c>
      <c r="C132" s="121" t="inlineStr">
        <is>
          <t>Contacted</t>
        </is>
      </c>
      <c r="D132" s="124" t="inlineStr">
        <is>
          <t>各式醫療器材、不銹鋼製品</t>
        </is>
      </c>
      <c r="E132" s="121" t="inlineStr">
        <is>
          <t>Not identified (directory listing only)</t>
        </is>
      </c>
      <c r="F132" s="124" t="inlineStr">
        <is>
          <t>Taichung · 台中市西區台中港路</t>
        </is>
      </c>
      <c r="G132" s="121" t="inlineStr">
        <is>
          <t>Not published</t>
        </is>
      </c>
      <c r="H132" s="121" t="inlineStr">
        <is>
          <t>04-2202-5808</t>
        </is>
      </c>
      <c r="I132" s="121" t="inlineStr">
        <is>
          <t>Directory listing only: general medical device trader or retailer in Taichung; capital equipment capability unconfirmed.</t>
        </is>
      </c>
      <c r="J132" s="121" t="inlineStr">
        <is>
          <t>SonoAir 70 + SonoEye P3 (confirm line card first)</t>
        </is>
      </c>
      <c r="K132" s="151" t="inlineStr">
        <is>
          <t>3</t>
        </is>
      </c>
      <c r="L132" s="121" t="inlineStr">
        <is>
          <t>Tier 3: long tail from the TCMICA member directory; reached by the bilingual batch email, qualify only if they reply.</t>
        </is>
      </c>
      <c r="M132" s="121" t="inlineStr">
        <is>
          <t>TCMICA directory 台中市醫療器材商業同業公會 (tcmica.org.tw), read 6 Oct 2026</t>
        </is>
      </c>
      <c r="N132" s="152" t="inlineStr">
        <is>
          <t>誠徵台灣超音波經銷夥伴 | CHISON ultrasound distribution partners in Taiwan</t>
        </is>
      </c>
      <c r="O13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32" s="108" t="inlineStr">
        <is>
          <t>spark338@yahoo.com.tw</t>
        </is>
      </c>
      <c r="Q132" s="108" t="inlineStr">
        <is>
          <t>DIR: association member directory, not the company site</t>
        </is>
      </c>
      <c r="R132" s="108" t="inlineStr">
        <is>
          <t>Batch draft 1 of 3 (Send separately) sent 6 Oct 2026</t>
        </is>
      </c>
      <c r="S132" s="108" t="n"/>
    </row>
    <row r="133" ht="300" customHeight="1" s="104">
      <c r="A133" s="121" t="n">
        <v>128</v>
      </c>
      <c r="B133" s="143" t="inlineStr">
        <is>
          <t>忠杏股份有限公司</t>
        </is>
      </c>
      <c r="C133" s="121" t="inlineStr">
        <is>
          <t>Contacted</t>
        </is>
      </c>
      <c r="D133" s="124" t="inlineStr">
        <is>
          <t>呼吸系統、醫療器材</t>
        </is>
      </c>
      <c r="E133" s="121" t="inlineStr">
        <is>
          <t>Not identified (directory listing only)</t>
        </is>
      </c>
      <c r="F133" s="124" t="inlineStr">
        <is>
          <t>Taichung · 台中市西區台中港路</t>
        </is>
      </c>
      <c r="G133" s="121" t="inlineStr">
        <is>
          <t>Not published</t>
        </is>
      </c>
      <c r="H133" s="121" t="inlineStr">
        <is>
          <t>04-2329-2709</t>
        </is>
      </c>
      <c r="I133" s="121" t="inlineStr">
        <is>
          <t>Taichung association member with a business line adjacent to ultrasound; line card and existing ultrasound brand to confirm on first call.</t>
        </is>
      </c>
      <c r="J133" s="121" t="inlineStr">
        <is>
          <t>SonoAir 70 + SonoEye P3</t>
        </is>
      </c>
      <c r="K133" s="155" t="inlineStr">
        <is>
          <t>2</t>
        </is>
      </c>
      <c r="L133" s="121" t="inlineStr">
        <is>
          <t>Tier 2: adjacent segment from the TCMICA directory (equipment, OR, emergency, imaging or import), individual email sent; qualify scale and service team.</t>
        </is>
      </c>
      <c r="M133" s="121" t="inlineStr">
        <is>
          <t>TCMICA directory 台中市醫療器材商業同業公會 (tcmica.org.tw), read 6 Oct 2026</t>
        </is>
      </c>
      <c r="N133" s="152" t="inlineStr">
        <is>
          <t>忠杏: CHISON ultrasound for respiratory teams</t>
        </is>
      </c>
      <c r="O133" s="108" t="inlineStr">
        <is>
          <t>Dear 忠杏 team,
I am Casper Tan, Senior Regional Sales Manager at AstraMed Healthcare, a subsidiary of CHISON Medical Technologies, and I look after Taiwan. Your respiratory care customers increasingly use lung and diaphragm ultrasound at the bedside.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respiratory and ICU teams, these are the models I would suggest: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33" s="108" t="inlineStr">
        <is>
          <t>tcrtsyst@ms47.hinet.net</t>
        </is>
      </c>
      <c r="Q133" s="108" t="inlineStr">
        <is>
          <t>DIR: association member directory, not the company site</t>
        </is>
      </c>
      <c r="R133" s="108" t="inlineStr">
        <is>
          <t>Sent 6 Oct 2026 from Winmail with Corporate Brochure 2027</t>
        </is>
      </c>
      <c r="S133" s="108" t="n"/>
    </row>
    <row r="134" ht="287.25" customHeight="1" s="104">
      <c r="A134" s="121" t="n">
        <v>129</v>
      </c>
      <c r="B134" s="143" t="inlineStr">
        <is>
          <t>長春生活事業股份有限公司</t>
        </is>
      </c>
      <c r="C134" s="121" t="inlineStr">
        <is>
          <t>Contacted</t>
        </is>
      </c>
      <c r="D134" s="124" t="inlineStr">
        <is>
          <t>醫療用電子儀器</t>
        </is>
      </c>
      <c r="E134" s="121" t="inlineStr">
        <is>
          <t>Not identified (directory listing only)</t>
        </is>
      </c>
      <c r="F134" s="124" t="inlineStr">
        <is>
          <t>Taichung · 台中市西區台中港路</t>
        </is>
      </c>
      <c r="G134" s="121" t="inlineStr">
        <is>
          <t>Not published</t>
        </is>
      </c>
      <c r="H134" s="121" t="inlineStr">
        <is>
          <t>04-2328-6916</t>
        </is>
      </c>
      <c r="I134" s="121" t="inlineStr">
        <is>
          <t>Directory listing only: general medical device trader or retailer in Taichung; capital equipment capability unconfirmed.</t>
        </is>
      </c>
      <c r="J134" s="121" t="inlineStr">
        <is>
          <t>SonoAir 70 + SonoEye P3 (confirm line card first)</t>
        </is>
      </c>
      <c r="K134" s="151" t="inlineStr">
        <is>
          <t>3</t>
        </is>
      </c>
      <c r="L134" s="121" t="inlineStr">
        <is>
          <t>Tier 3: long tail from the TCMICA member directory; reached by the bilingual batch email, qualify only if they reply.</t>
        </is>
      </c>
      <c r="M134" s="121" t="inlineStr">
        <is>
          <t>TCMICA directory 台中市醫療器材商業同業公會 (tcmica.org.tw), read 6 Oct 2026</t>
        </is>
      </c>
      <c r="N134" s="152" t="inlineStr">
        <is>
          <t>誠徵台灣超音波經銷夥伴 | CHISON ultrasound distribution partners in Taiwan</t>
        </is>
      </c>
      <c r="O13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34" s="108" t="inlineStr">
        <is>
          <t>life168@ms7.hinet.net</t>
        </is>
      </c>
      <c r="Q134" s="108" t="inlineStr">
        <is>
          <t>DIR: association member directory, not the company site</t>
        </is>
      </c>
      <c r="R134" s="108" t="inlineStr">
        <is>
          <t>Batch draft 1 of 3 (Send separately) sent 6 Oct 2026</t>
        </is>
      </c>
      <c r="S134" s="108" t="n"/>
    </row>
    <row r="135" ht="287.25" customHeight="1" s="104">
      <c r="A135" s="121" t="n">
        <v>130</v>
      </c>
      <c r="B135" s="143" t="inlineStr">
        <is>
          <t>皇奇醫療器材有限公司</t>
        </is>
      </c>
      <c r="C135" s="121" t="inlineStr">
        <is>
          <t>Contacted</t>
        </is>
      </c>
      <c r="D135" s="124" t="inlineStr">
        <is>
          <t>醫療器材</t>
        </is>
      </c>
      <c r="E135" s="121" t="inlineStr">
        <is>
          <t>Not identified (directory listing only)</t>
        </is>
      </c>
      <c r="F135" s="124" t="inlineStr">
        <is>
          <t>Taichung · 台中市西區民生北路</t>
        </is>
      </c>
      <c r="G135" s="121" t="inlineStr">
        <is>
          <t>Not published</t>
        </is>
      </c>
      <c r="H135" s="121" t="inlineStr">
        <is>
          <t>04-2230-9085</t>
        </is>
      </c>
      <c r="I135" s="121" t="inlineStr">
        <is>
          <t>Directory listing only: general medical device trader or retailer in Taichung; capital equipment capability unconfirmed.</t>
        </is>
      </c>
      <c r="J135" s="121" t="inlineStr">
        <is>
          <t>SonoAir 70 + SonoEye P3 (confirm line card first)</t>
        </is>
      </c>
      <c r="K135" s="151" t="inlineStr">
        <is>
          <t>3</t>
        </is>
      </c>
      <c r="L135" s="121" t="inlineStr">
        <is>
          <t>Tier 3: long tail from the TCMICA member directory; reached by the bilingual batch email, qualify only if they reply.</t>
        </is>
      </c>
      <c r="M135" s="121" t="inlineStr">
        <is>
          <t>TCMICA directory 台中市醫療器材商業同業公會 (tcmica.org.tw), read 6 Oct 2026</t>
        </is>
      </c>
      <c r="N135" s="152" t="inlineStr">
        <is>
          <t>誠徵台灣超音波經銷夥伴 | CHISON ultrasound distribution partners in Taiwan</t>
        </is>
      </c>
      <c r="O13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35" s="108" t="inlineStr">
        <is>
          <t>virkon3612@yahoo.com.tw</t>
        </is>
      </c>
      <c r="Q135" s="108" t="inlineStr">
        <is>
          <t>DIR: association member directory, not the company site</t>
        </is>
      </c>
      <c r="R135" s="108" t="inlineStr">
        <is>
          <t>Batch draft 1 of 3 (Send separately) sent 6 Oct 2026</t>
        </is>
      </c>
      <c r="S135" s="108" t="n"/>
    </row>
    <row r="136" ht="287.25" customHeight="1" s="104">
      <c r="A136" s="121" t="n">
        <v>131</v>
      </c>
      <c r="B136" s="143" t="inlineStr">
        <is>
          <t>普營股份有限公司</t>
        </is>
      </c>
      <c r="C136" s="121" t="inlineStr">
        <is>
          <t>Contacted</t>
        </is>
      </c>
      <c r="D136" s="124" t="inlineStr">
        <is>
          <t>醫療器材</t>
        </is>
      </c>
      <c r="E136" s="121" t="inlineStr">
        <is>
          <t>Not identified (directory listing only)</t>
        </is>
      </c>
      <c r="F136" s="124" t="inlineStr">
        <is>
          <t>Taichung · 台中市西區五權路2</t>
        </is>
      </c>
      <c r="G136" s="121" t="inlineStr">
        <is>
          <t>Not published</t>
        </is>
      </c>
      <c r="H136" s="121" t="inlineStr">
        <is>
          <t>04-2371-2731</t>
        </is>
      </c>
      <c r="I136" s="121" t="inlineStr">
        <is>
          <t>Directory listing only: general medical device trader or retailer in Taichung; capital equipment capability unconfirmed.</t>
        </is>
      </c>
      <c r="J136" s="121" t="inlineStr">
        <is>
          <t>SonoAir 70 + SonoEye P3 (confirm line card first)</t>
        </is>
      </c>
      <c r="K136" s="151" t="inlineStr">
        <is>
          <t>3</t>
        </is>
      </c>
      <c r="L136" s="121" t="inlineStr">
        <is>
          <t>Tier 3: long tail from the TCMICA member directory; reached by the bilingual batch email, qualify only if they reply.</t>
        </is>
      </c>
      <c r="M136" s="121" t="inlineStr">
        <is>
          <t>TCMICA directory 台中市醫療器材商業同業公會 (tcmica.org.tw), read 6 Oct 2026</t>
        </is>
      </c>
      <c r="N136" s="152" t="inlineStr">
        <is>
          <t>誠徵台灣超音波經銷夥伴 | CHISON ultrasound distribution partners in Taiwan</t>
        </is>
      </c>
      <c r="O13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36" s="108" t="inlineStr">
        <is>
          <t>upwind@upwind.com.tw</t>
        </is>
      </c>
      <c r="Q136" s="108" t="inlineStr">
        <is>
          <t>DIR: association member directory, not the company site</t>
        </is>
      </c>
      <c r="R136" s="108" t="inlineStr">
        <is>
          <t>Batch draft 1 of 3 (Send separately) sent 6 Oct 2026</t>
        </is>
      </c>
      <c r="S136" s="108" t="n"/>
    </row>
    <row r="137" ht="310.5" customHeight="1" s="104">
      <c r="A137" s="121" t="n">
        <v>132</v>
      </c>
      <c r="B137" s="143" t="inlineStr">
        <is>
          <t>保信貿易有限公司</t>
        </is>
      </c>
      <c r="C137" s="121" t="inlineStr">
        <is>
          <t>Not started</t>
        </is>
      </c>
      <c r="D137" s="124" t="inlineStr">
        <is>
          <t>醫療儀器</t>
        </is>
      </c>
      <c r="E137" s="121" t="inlineStr">
        <is>
          <t>Not identified (directory listing only)</t>
        </is>
      </c>
      <c r="F137" s="124" t="inlineStr">
        <is>
          <t>Taichung · 臺中市西區福人街3</t>
        </is>
      </c>
      <c r="G137" s="121" t="inlineStr">
        <is>
          <t>Not published</t>
        </is>
      </c>
      <c r="H137" s="121" t="inlineStr">
        <is>
          <t>04-2302-4070</t>
        </is>
      </c>
      <c r="I137" s="121" t="inlineStr">
        <is>
          <t>Taichung association member with a business line adjacent to ultrasound; line card and existing ultrasound brand to confirm on first call.</t>
        </is>
      </c>
      <c r="J137" s="121" t="inlineStr">
        <is>
          <t>SonoAir 70 + SonoEye P3</t>
        </is>
      </c>
      <c r="K137" s="155" t="inlineStr">
        <is>
          <t>2</t>
        </is>
      </c>
      <c r="L137" s="121" t="inlineStr">
        <is>
          <t>Tier 2: adjacent segment from the TCMICA directory (equipment, OR, emergency, imaging or import), individual email sent; qualify scale and service team.</t>
        </is>
      </c>
      <c r="M137" s="121" t="inlineStr">
        <is>
          <t>TCMICA directory 台中市醫療器材商業同業公會 (tcmica.org.tw), read 6 Oct 2026</t>
        </is>
      </c>
      <c r="N137" s="152" t="inlineStr">
        <is>
          <t>保信貿易: adding CHISON ultrasound to your instrument line</t>
        </is>
      </c>
      <c r="O137" s="108" t="inlineStr">
        <is>
          <t>Dear 保信貿易 team,
I am Casper Tan, Senior Regional Sales Manager at AstraMed Healthcare, a subsidiary of CHISON Medical Technologies, and I look after Taiwan. Your medical instrument business in Taichung reaches exactly the clinics that are adding ultrasound today.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These are the models I would start with: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Could you tell me which ultrasound brands, if any, you carry today?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37" s="108" t="inlineStr">
        <is>
          <t>wessontc@wessontw.com</t>
        </is>
      </c>
      <c r="Q137" s="108" t="inlineStr">
        <is>
          <t>BOUNCED 6 Oct 2026</t>
        </is>
      </c>
      <c r="R137" s="108" t="inlineStr">
        <is>
          <t>Sent 6 Oct 2026, BOUNCED: Domain wessontw.com not found. Find a working email or call.</t>
        </is>
      </c>
      <c r="S137" s="108" t="n"/>
    </row>
    <row r="138" ht="287.25" customHeight="1" s="104">
      <c r="A138" s="121" t="n">
        <v>133</v>
      </c>
      <c r="B138" s="143" t="inlineStr">
        <is>
          <t>億代富國際股份有限公司</t>
        </is>
      </c>
      <c r="C138" s="121" t="inlineStr">
        <is>
          <t>Contacted</t>
        </is>
      </c>
      <c r="D138" s="124" t="inlineStr">
        <is>
          <t>醫療器材批發零售、精密儀器批發零售</t>
        </is>
      </c>
      <c r="E138" s="121" t="inlineStr">
        <is>
          <t>Not identified (directory listing only)</t>
        </is>
      </c>
      <c r="F138" s="124" t="inlineStr">
        <is>
          <t>Taichung · 臺中市西區臺灣大道</t>
        </is>
      </c>
      <c r="G138" s="121" t="inlineStr">
        <is>
          <t>Not published</t>
        </is>
      </c>
      <c r="H138" s="121" t="inlineStr">
        <is>
          <t>04-2328-7388</t>
        </is>
      </c>
      <c r="I138" s="121" t="inlineStr">
        <is>
          <t>Directory listing only: general medical device trader or retailer in Taichung; capital equipment capability unconfirmed.</t>
        </is>
      </c>
      <c r="J138" s="121" t="inlineStr">
        <is>
          <t>SonoAir 70 + SonoEye P3 (confirm line card first)</t>
        </is>
      </c>
      <c r="K138" s="151" t="inlineStr">
        <is>
          <t>3</t>
        </is>
      </c>
      <c r="L138" s="121" t="inlineStr">
        <is>
          <t>Tier 3: long tail from the TCMICA member directory; reached by the bilingual batch email, qualify only if they reply.</t>
        </is>
      </c>
      <c r="M138" s="121" t="inlineStr">
        <is>
          <t>TCMICA directory 台中市醫療器材商業同業公會 (tcmica.org.tw), read 6 Oct 2026</t>
        </is>
      </c>
      <c r="N138" s="152" t="inlineStr">
        <is>
          <t>誠徵台灣超音波經銷夥伴 | CHISON ultrasound distribution partners in Taiwan</t>
        </is>
      </c>
      <c r="O13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38" s="108" t="inlineStr">
        <is>
          <t>order@medifly.com.tw</t>
        </is>
      </c>
      <c r="Q138" s="108" t="inlineStr">
        <is>
          <t>DIR: association member directory, not the company site</t>
        </is>
      </c>
      <c r="R138" s="108" t="inlineStr">
        <is>
          <t>Batch draft 1 of 3 (Send separately) sent 6 Oct 2026</t>
        </is>
      </c>
      <c r="S138" s="108" t="n"/>
    </row>
    <row r="139" ht="287.25" customHeight="1" s="104">
      <c r="A139" s="121" t="n">
        <v>134</v>
      </c>
      <c r="B139" s="143" t="inlineStr">
        <is>
          <t>達雅企業股份有限公司</t>
        </is>
      </c>
      <c r="C139" s="121" t="inlineStr">
        <is>
          <t>Contacted</t>
        </is>
      </c>
      <c r="D139" s="124" t="inlineStr">
        <is>
          <t>醫材類</t>
        </is>
      </c>
      <c r="E139" s="121" t="inlineStr">
        <is>
          <t>Not identified (directory listing only)</t>
        </is>
      </c>
      <c r="F139" s="124" t="inlineStr">
        <is>
          <t>Taichung · 台中市西區五廊街6</t>
        </is>
      </c>
      <c r="G139" s="154" t="inlineStr">
        <is>
          <t>http://www.diarex.com.tw</t>
        </is>
      </c>
      <c r="H139" s="121" t="inlineStr">
        <is>
          <t>04-2493-6899</t>
        </is>
      </c>
      <c r="I139" s="121" t="inlineStr">
        <is>
          <t>Directory listing only: general medical device trader or retailer in Taichung; capital equipment capability unconfirmed.</t>
        </is>
      </c>
      <c r="J139" s="121" t="inlineStr">
        <is>
          <t>SonoAir 70 + SonoEye P3 (confirm line card first)</t>
        </is>
      </c>
      <c r="K139" s="151" t="inlineStr">
        <is>
          <t>3</t>
        </is>
      </c>
      <c r="L139" s="121" t="inlineStr">
        <is>
          <t>Tier 3: long tail from the TCMICA member directory; reached by the bilingual batch email, qualify only if they reply.</t>
        </is>
      </c>
      <c r="M139" s="121" t="inlineStr">
        <is>
          <t>TCMICA directory 台中市醫療器材商業同業公會 (tcmica.org.tw), read 6 Oct 2026</t>
        </is>
      </c>
      <c r="N139" s="152" t="inlineStr">
        <is>
          <t>誠徵台灣超音波經銷夥伴 | CHISON ultrasound distribution partners in Taiwan</t>
        </is>
      </c>
      <c r="O13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39" s="108" t="inlineStr">
        <is>
          <t>hr@diarex.com.tw</t>
        </is>
      </c>
      <c r="Q139" s="108" t="inlineStr">
        <is>
          <t>DIR: association member directory, not the company site</t>
        </is>
      </c>
      <c r="R139" s="108" t="inlineStr">
        <is>
          <t>Batch draft 1 of 3 (Send separately) sent 6 Oct 2026</t>
        </is>
      </c>
      <c r="S139" s="108" t="n"/>
    </row>
    <row r="140" ht="287.25" customHeight="1" s="104">
      <c r="A140" s="121" t="n">
        <v>135</v>
      </c>
      <c r="B140" s="143" t="inlineStr">
        <is>
          <t>義杏股份有限公司</t>
        </is>
      </c>
      <c r="C140" s="121" t="inlineStr">
        <is>
          <t>Contacted</t>
        </is>
      </c>
      <c r="D140" s="124" t="inlineStr">
        <is>
          <t>醫療器材、呼吸治療器、復健輔具、血氧濃度測量儀</t>
        </is>
      </c>
      <c r="E140" s="121" t="inlineStr">
        <is>
          <t>Not identified (directory listing only)</t>
        </is>
      </c>
      <c r="F140" s="124" t="inlineStr">
        <is>
          <t>Taichung · 臺中市西區臺灣大道</t>
        </is>
      </c>
      <c r="G140" s="121" t="inlineStr">
        <is>
          <t>Not published</t>
        </is>
      </c>
      <c r="H140" s="121" t="inlineStr">
        <is>
          <t>04-2328-6072</t>
        </is>
      </c>
      <c r="I140" s="121" t="inlineStr">
        <is>
          <t>Directory listing only: general medical device trader or retailer in Taichung; capital equipment capability unconfirmed.</t>
        </is>
      </c>
      <c r="J140" s="121" t="inlineStr">
        <is>
          <t>SonoAir 70 + SonoEye P3 (confirm line card first)</t>
        </is>
      </c>
      <c r="K140" s="151" t="inlineStr">
        <is>
          <t>3</t>
        </is>
      </c>
      <c r="L140" s="121" t="inlineStr">
        <is>
          <t>Tier 3: long tail from the TCMICA member directory; reached by the bilingual batch email, qualify only if they reply.</t>
        </is>
      </c>
      <c r="M140" s="121" t="inlineStr">
        <is>
          <t>TCMICA directory 台中市醫療器材商業同業公會 (tcmica.org.tw), read 6 Oct 2026</t>
        </is>
      </c>
      <c r="N140" s="152" t="inlineStr">
        <is>
          <t>誠徵台灣超音波經銷夥伴 | CHISON ultrasound distribution partners in Taiwan</t>
        </is>
      </c>
      <c r="O14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40" s="108" t="inlineStr">
        <is>
          <t>labstm.tc@gmail.com</t>
        </is>
      </c>
      <c r="Q140" s="108" t="inlineStr">
        <is>
          <t>DIR: association member directory, not the company site</t>
        </is>
      </c>
      <c r="R140" s="108" t="inlineStr">
        <is>
          <t>Batch draft 1 of 3 (Send separately) sent 6 Oct 2026</t>
        </is>
      </c>
      <c r="S140" s="108" t="n"/>
    </row>
    <row r="141" ht="287.25" customHeight="1" s="104">
      <c r="A141" s="121" t="n">
        <v>136</v>
      </c>
      <c r="B141" s="143" t="inlineStr">
        <is>
          <t>捷騰股份有限公司</t>
        </is>
      </c>
      <c r="C141" s="121" t="inlineStr">
        <is>
          <t>Contacted</t>
        </is>
      </c>
      <c r="D141" s="124" t="inlineStr">
        <is>
          <t>醫療器材販賣</t>
        </is>
      </c>
      <c r="E141" s="121" t="inlineStr">
        <is>
          <t>Not identified (directory listing only)</t>
        </is>
      </c>
      <c r="F141" s="124" t="inlineStr">
        <is>
          <t>Taichung · 臺中市西屯區西苑一</t>
        </is>
      </c>
      <c r="G141" s="121" t="inlineStr">
        <is>
          <t>Not published</t>
        </is>
      </c>
      <c r="H141" s="121" t="inlineStr">
        <is>
          <t>04-2371-3950</t>
        </is>
      </c>
      <c r="I141" s="121" t="inlineStr">
        <is>
          <t>Directory listing only: general medical device trader or retailer in Taichung; capital equipment capability unconfirmed.</t>
        </is>
      </c>
      <c r="J141" s="121" t="inlineStr">
        <is>
          <t>SonoAir 70 + SonoEye P3 (confirm line card first)</t>
        </is>
      </c>
      <c r="K141" s="151" t="inlineStr">
        <is>
          <t>3</t>
        </is>
      </c>
      <c r="L141" s="121" t="inlineStr">
        <is>
          <t>Tier 3: long tail from the TCMICA member directory; reached by the bilingual batch email, qualify only if they reply.</t>
        </is>
      </c>
      <c r="M141" s="121" t="inlineStr">
        <is>
          <t>TCMICA directory 台中市醫療器材商業同業公會 (tcmica.org.tw), read 6 Oct 2026</t>
        </is>
      </c>
      <c r="N141" s="152" t="inlineStr">
        <is>
          <t>誠徵台灣超音波經銷夥伴 | CHISON ultrasound distribution partners in Taiwan</t>
        </is>
      </c>
      <c r="O14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41" s="108" t="inlineStr">
        <is>
          <t>can11888@ms18.hinet.net</t>
        </is>
      </c>
      <c r="Q141" s="108" t="inlineStr">
        <is>
          <t>DIR: association member directory, not the company site</t>
        </is>
      </c>
      <c r="R141" s="108" t="inlineStr">
        <is>
          <t>Batch draft 1 of 3 (Send separately) sent 6 Oct 2026</t>
        </is>
      </c>
      <c r="S141" s="108" t="n"/>
    </row>
    <row r="142" ht="290.25" customHeight="1" s="104">
      <c r="A142" s="121" t="n">
        <v>137</v>
      </c>
      <c r="B142" s="143" t="inlineStr">
        <is>
          <t>勗曜生技醫材有限公司</t>
        </is>
      </c>
      <c r="C142" s="121" t="inlineStr">
        <is>
          <t>Contacted</t>
        </is>
      </c>
      <c r="D142" s="124" t="inlineStr">
        <is>
          <t>開刀房醫療器材</t>
        </is>
      </c>
      <c r="E142" s="121" t="inlineStr">
        <is>
          <t>Not identified (directory listing only)</t>
        </is>
      </c>
      <c r="F142" s="124" t="inlineStr">
        <is>
          <t>Taichung · 台中市西區五權五街</t>
        </is>
      </c>
      <c r="G142" s="121" t="inlineStr">
        <is>
          <t>Not published</t>
        </is>
      </c>
      <c r="H142" s="121" t="inlineStr">
        <is>
          <t>04-2375-5757</t>
        </is>
      </c>
      <c r="I142" s="121" t="inlineStr">
        <is>
          <t>Taichung association member with a business line adjacent to ultrasound; line card and existing ultrasound brand to confirm on first call.</t>
        </is>
      </c>
      <c r="J142" s="121" t="inlineStr">
        <is>
          <t>SonoEye P3 + SonoGo</t>
        </is>
      </c>
      <c r="K142" s="155" t="inlineStr">
        <is>
          <t>2</t>
        </is>
      </c>
      <c r="L142" s="121" t="inlineStr">
        <is>
          <t>Tier 2: adjacent segment from the TCMICA directory (equipment, OR, emergency, imaging or import), individual email sent; qualify scale and service team.</t>
        </is>
      </c>
      <c r="M142" s="121" t="inlineStr">
        <is>
          <t>TCMICA directory 台中市醫療器材商業同業公會 (tcmica.org.tw), read 6 Oct 2026</t>
        </is>
      </c>
      <c r="N142" s="152" t="inlineStr">
        <is>
          <t>勗曜生技醫材: CHISON ultrasound for your operating room customers</t>
        </is>
      </c>
      <c r="O142" s="108" t="inlineStr">
        <is>
          <t>Dear 勗曜生技醫材 team,
I am Casper Tan, Senior Regional Sales Manager at AstraMed Healthcare, a subsidiary of CHISON Medical Technologies, and I look after Taiwan. You supply operating room devices, and ultrasound guided nerve blocks and line placement are now everyday OR work.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the OR and anaesthesia, these are the models I would suggest:
• SonoEye P3: a pocket handheld for emergency, ICU and bedside work; SonoEye was rated the top handheld in an independent comparison of nine handheld devices published in Diagnostics (MDPI)
• SonoGo: a 3 in 1 system with a 15.6 inch full touchscreen, laptop portability at 4.8 kg and a trolley for cart level work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42" s="108" t="inlineStr">
        <is>
          <t>p1200.p2200@msa.hinet.net</t>
        </is>
      </c>
      <c r="Q142" s="108" t="inlineStr">
        <is>
          <t>DIR: association member directory, not the company site</t>
        </is>
      </c>
      <c r="R142" s="108" t="inlineStr">
        <is>
          <t>Sent 6 Oct 2026 from Winmail with Corporate Brochure 2027</t>
        </is>
      </c>
      <c r="S142" s="108" t="n"/>
    </row>
    <row r="143" ht="287.25" customHeight="1" s="104">
      <c r="A143" s="121" t="n">
        <v>138</v>
      </c>
      <c r="B143" s="143" t="inlineStr">
        <is>
          <t>聯準生技國際有限公司</t>
        </is>
      </c>
      <c r="C143" s="121" t="inlineStr">
        <is>
          <t>Contacted</t>
        </is>
      </c>
      <c r="D143" s="124" t="inlineStr">
        <is>
          <t>醫療器材</t>
        </is>
      </c>
      <c r="E143" s="121" t="inlineStr">
        <is>
          <t>Not identified (directory listing only)</t>
        </is>
      </c>
      <c r="F143" s="124" t="inlineStr">
        <is>
          <t>Taichung · 台中市西區台中港路</t>
        </is>
      </c>
      <c r="G143" s="121" t="inlineStr">
        <is>
          <t>Not published</t>
        </is>
      </c>
      <c r="H143" s="121" t="inlineStr">
        <is>
          <t>04-2326-6366</t>
        </is>
      </c>
      <c r="I143" s="121" t="inlineStr">
        <is>
          <t>Directory listing only: general medical device trader or retailer in Taichung; capital equipment capability unconfirmed.</t>
        </is>
      </c>
      <c r="J143" s="121" t="inlineStr">
        <is>
          <t>SonoAir 70 + SonoEye P3 (confirm line card first)</t>
        </is>
      </c>
      <c r="K143" s="151" t="inlineStr">
        <is>
          <t>3</t>
        </is>
      </c>
      <c r="L143" s="121" t="inlineStr">
        <is>
          <t>Tier 3: long tail from the TCMICA member directory; reached by the bilingual batch email, qualify only if they reply.</t>
        </is>
      </c>
      <c r="M143" s="121" t="inlineStr">
        <is>
          <t>TCMICA directory 台中市醫療器材商業同業公會 (tcmica.org.tw), read 6 Oct 2026</t>
        </is>
      </c>
      <c r="N143" s="152" t="inlineStr">
        <is>
          <t>誠徵台灣超音波經銷夥伴 | CHISON ultrasound distribution partners in Taiwan</t>
        </is>
      </c>
      <c r="O14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43" s="108" t="inlineStr">
        <is>
          <t>legend@legendbio.com.tw</t>
        </is>
      </c>
      <c r="Q143" s="108" t="inlineStr">
        <is>
          <t>DIR: association member directory, not the company site</t>
        </is>
      </c>
      <c r="R143" s="108" t="inlineStr">
        <is>
          <t>Batch draft 1 of 3 (Send separately) sent 6 Oct 2026</t>
        </is>
      </c>
      <c r="S143" s="108" t="n"/>
    </row>
    <row r="144" ht="287.25" customHeight="1" s="104">
      <c r="A144" s="121" t="n">
        <v>139</v>
      </c>
      <c r="B144" s="143" t="inlineStr">
        <is>
          <t>善維健康股份有限公司</t>
        </is>
      </c>
      <c r="C144" s="121" t="inlineStr">
        <is>
          <t>Contacted</t>
        </is>
      </c>
      <c r="D144" s="124" t="inlineStr">
        <is>
          <t>醫療器材批發</t>
        </is>
      </c>
      <c r="E144" s="121" t="inlineStr">
        <is>
          <t>Not identified (directory listing only)</t>
        </is>
      </c>
      <c r="F144" s="124" t="inlineStr">
        <is>
          <t>Taichung · 台中市西區美村路1</t>
        </is>
      </c>
      <c r="G144" s="121" t="inlineStr">
        <is>
          <t>Not published</t>
        </is>
      </c>
      <c r="H144" s="121" t="inlineStr">
        <is>
          <t>04-2302-0029</t>
        </is>
      </c>
      <c r="I144" s="121" t="inlineStr">
        <is>
          <t>Directory listing only: general medical device trader or retailer in Taichung; capital equipment capability unconfirmed.</t>
        </is>
      </c>
      <c r="J144" s="121" t="inlineStr">
        <is>
          <t>SonoAir 70 + SonoEye P3 (confirm line card first)</t>
        </is>
      </c>
      <c r="K144" s="151" t="inlineStr">
        <is>
          <t>3</t>
        </is>
      </c>
      <c r="L144" s="121" t="inlineStr">
        <is>
          <t>Tier 3: long tail from the TCMICA member directory; reached by the bilingual batch email, qualify only if they reply.</t>
        </is>
      </c>
      <c r="M144" s="121" t="inlineStr">
        <is>
          <t>TCMICA directory 台中市醫療器材商業同業公會 (tcmica.org.tw), read 6 Oct 2026</t>
        </is>
      </c>
      <c r="N144" s="152" t="inlineStr">
        <is>
          <t>誠徵台灣超音波經銷夥伴 | CHISON ultrasound distribution partners in Taiwan</t>
        </is>
      </c>
      <c r="O14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44" s="108" t="inlineStr">
        <is>
          <t>sale@sanvic.com</t>
        </is>
      </c>
      <c r="Q144" s="108" t="inlineStr">
        <is>
          <t>DIR: association member directory, not the company site</t>
        </is>
      </c>
      <c r="R144" s="108" t="inlineStr">
        <is>
          <t>Batch draft 1 of 3 (Send separately) sent 6 Oct 2026</t>
        </is>
      </c>
      <c r="S144" s="108" t="n"/>
    </row>
    <row r="145" ht="287.25" customHeight="1" s="104">
      <c r="A145" s="121" t="n">
        <v>140</v>
      </c>
      <c r="B145" s="143" t="inlineStr">
        <is>
          <t>博先有限公司</t>
        </is>
      </c>
      <c r="C145" s="121" t="inlineStr">
        <is>
          <t>Contacted</t>
        </is>
      </c>
      <c r="D145" s="124" t="inlineStr">
        <is>
          <t>醫療器材批發零售</t>
        </is>
      </c>
      <c r="E145" s="121" t="inlineStr">
        <is>
          <t>Not identified (directory listing only)</t>
        </is>
      </c>
      <c r="F145" s="124" t="inlineStr">
        <is>
          <t>Taichung · 台中市西區三民路1</t>
        </is>
      </c>
      <c r="G145" s="121" t="inlineStr">
        <is>
          <t>Not published</t>
        </is>
      </c>
      <c r="H145" s="121" t="inlineStr">
        <is>
          <t>04-2378-3218</t>
        </is>
      </c>
      <c r="I145" s="121" t="inlineStr">
        <is>
          <t>Directory listing only: general medical device trader or retailer in Taichung; capital equipment capability unconfirmed.</t>
        </is>
      </c>
      <c r="J145" s="121" t="inlineStr">
        <is>
          <t>SonoAir 70 + SonoEye P3 (confirm line card first)</t>
        </is>
      </c>
      <c r="K145" s="151" t="inlineStr">
        <is>
          <t>3</t>
        </is>
      </c>
      <c r="L145" s="121" t="inlineStr">
        <is>
          <t>Tier 3: long tail from the TCMICA member directory; reached by the bilingual batch email, qualify only if they reply.</t>
        </is>
      </c>
      <c r="M145" s="121" t="inlineStr">
        <is>
          <t>TCMICA directory 台中市醫療器材商業同業公會 (tcmica.org.tw), read 6 Oct 2026</t>
        </is>
      </c>
      <c r="N145" s="152" t="inlineStr">
        <is>
          <t>誠徵台灣超音波經銷夥伴 | CHISON ultrasound distribution partners in Taiwan</t>
        </is>
      </c>
      <c r="O14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45" s="108" t="inlineStr">
        <is>
          <t>broad.saint@hinet.net</t>
        </is>
      </c>
      <c r="Q145" s="108" t="inlineStr">
        <is>
          <t>DIR: association member directory, not the company site</t>
        </is>
      </c>
      <c r="R145" s="108" t="inlineStr">
        <is>
          <t>Batch draft 1 of 3 (Send separately) sent 6 Oct 2026</t>
        </is>
      </c>
      <c r="S145" s="108" t="n"/>
    </row>
    <row r="146" ht="287.25" customHeight="1" s="104">
      <c r="A146" s="121" t="n">
        <v>141</v>
      </c>
      <c r="B146" s="143" t="inlineStr">
        <is>
          <t>盈俞股份有限公司</t>
        </is>
      </c>
      <c r="C146" s="121" t="inlineStr">
        <is>
          <t>Contacted</t>
        </is>
      </c>
      <c r="D146" s="124" t="inlineStr">
        <is>
          <t>醫療器材批發</t>
        </is>
      </c>
      <c r="E146" s="121" t="inlineStr">
        <is>
          <t>Not identified (directory listing only)</t>
        </is>
      </c>
      <c r="F146" s="124" t="inlineStr">
        <is>
          <t>Taichung · 台中市西區向上路1</t>
        </is>
      </c>
      <c r="G146" s="121" t="inlineStr">
        <is>
          <t>Not published</t>
        </is>
      </c>
      <c r="H146" s="121" t="inlineStr">
        <is>
          <t>04-2301-0980</t>
        </is>
      </c>
      <c r="I146" s="121" t="inlineStr">
        <is>
          <t>Directory listing only: general medical device trader or retailer in Taichung; capital equipment capability unconfirmed.</t>
        </is>
      </c>
      <c r="J146" s="121" t="inlineStr">
        <is>
          <t>SonoAir 70 + SonoEye P3 (confirm line card first)</t>
        </is>
      </c>
      <c r="K146" s="151" t="inlineStr">
        <is>
          <t>3</t>
        </is>
      </c>
      <c r="L146" s="121" t="inlineStr">
        <is>
          <t>Tier 3: long tail from the TCMICA member directory; reached by the bilingual batch email, qualify only if they reply.</t>
        </is>
      </c>
      <c r="M146" s="121" t="inlineStr">
        <is>
          <t>TCMICA directory 台中市醫療器材商業同業公會 (tcmica.org.tw), read 6 Oct 2026</t>
        </is>
      </c>
      <c r="N146" s="152" t="inlineStr">
        <is>
          <t>誠徵台灣超音波經銷夥伴 | CHISON ultrasound distribution partners in Taiwan</t>
        </is>
      </c>
      <c r="O14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46" s="108" t="inlineStr">
        <is>
          <t>vincent@inwin.tw</t>
        </is>
      </c>
      <c r="Q146" s="108" t="inlineStr">
        <is>
          <t>DIR: association member directory, not the company site</t>
        </is>
      </c>
      <c r="R146" s="108" t="inlineStr">
        <is>
          <t>Batch draft 1 of 3 (Send separately) sent 6 Oct 2026</t>
        </is>
      </c>
      <c r="S146" s="108" t="n"/>
    </row>
    <row r="147" ht="287.25" customHeight="1" s="104">
      <c r="A147" s="121" t="n">
        <v>142</v>
      </c>
      <c r="B147" s="143" t="inlineStr">
        <is>
          <t>柏榮生醫有限公司</t>
        </is>
      </c>
      <c r="C147" s="121" t="inlineStr">
        <is>
          <t>Not started</t>
        </is>
      </c>
      <c r="D147" s="124" t="inlineStr">
        <is>
          <t>醫療器材批發業</t>
        </is>
      </c>
      <c r="E147" s="121" t="inlineStr">
        <is>
          <t>Not identified (directory listing only)</t>
        </is>
      </c>
      <c r="F147" s="124" t="inlineStr">
        <is>
          <t>Taichung · 臺中市西區臺灣大道</t>
        </is>
      </c>
      <c r="G147" s="121" t="inlineStr">
        <is>
          <t>Not published</t>
        </is>
      </c>
      <c r="H147" s="121" t="inlineStr">
        <is>
          <t>04-2328-6287</t>
        </is>
      </c>
      <c r="I147" s="121" t="inlineStr">
        <is>
          <t>Directory listing only: general medical device trader or retailer in Taichung; capital equipment capability unconfirmed.</t>
        </is>
      </c>
      <c r="J147" s="121" t="inlineStr">
        <is>
          <t>SonoAir 70 + SonoEye P3 (confirm line card first)</t>
        </is>
      </c>
      <c r="K147" s="151" t="inlineStr">
        <is>
          <t>3</t>
        </is>
      </c>
      <c r="L147" s="121" t="inlineStr">
        <is>
          <t>Tier 3: long tail from the TCMICA member directory; reached by the bilingual batch email, qualify only if they reply.</t>
        </is>
      </c>
      <c r="M147" s="121" t="inlineStr">
        <is>
          <t>TCMICA directory 台中市醫療器材商業同業公會 (tcmica.org.tw), read 6 Oct 2026</t>
        </is>
      </c>
      <c r="N147" s="152" t="inlineStr">
        <is>
          <t>誠徵台灣超音波經銷夥伴 | CHISON ultrasound distribution partners in Taiwan</t>
        </is>
      </c>
      <c r="O14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47" s="108" t="inlineStr">
        <is>
          <t>bio-zon@yahoo.com.tw</t>
        </is>
      </c>
      <c r="Q147" s="108" t="inlineStr">
        <is>
          <t>BOUNCED 6 Oct 2026</t>
        </is>
      </c>
      <c r="R147" s="108" t="inlineStr">
        <is>
          <t>Sent 6 Oct 2026, BOUNCED: Mailbox not found (Yahoo 552); directory address contains a stray character. Find a working email or call.</t>
        </is>
      </c>
      <c r="S147" s="108" t="n"/>
    </row>
    <row r="148" ht="287.25" customHeight="1" s="104">
      <c r="A148" s="121" t="n">
        <v>143</v>
      </c>
      <c r="B148" s="143" t="inlineStr">
        <is>
          <t>坤茂貿易有限公司</t>
        </is>
      </c>
      <c r="C148" s="121" t="inlineStr">
        <is>
          <t>Contacted</t>
        </is>
      </c>
      <c r="D148" s="124" t="inlineStr">
        <is>
          <t>醫療器材</t>
        </is>
      </c>
      <c r="E148" s="121" t="inlineStr">
        <is>
          <t>Not identified (directory listing only)</t>
        </is>
      </c>
      <c r="F148" s="124" t="inlineStr">
        <is>
          <t>Taichung · 臺中市西區自由路1</t>
        </is>
      </c>
      <c r="G148" s="121" t="inlineStr">
        <is>
          <t>Not published</t>
        </is>
      </c>
      <c r="H148" s="121" t="inlineStr">
        <is>
          <t>04-2225-2768</t>
        </is>
      </c>
      <c r="I148" s="121" t="inlineStr">
        <is>
          <t>Directory listing only: general medical device trader or retailer in Taichung; capital equipment capability unconfirmed.</t>
        </is>
      </c>
      <c r="J148" s="121" t="inlineStr">
        <is>
          <t>SonoAir 70 + SonoEye P3 (confirm line card first)</t>
        </is>
      </c>
      <c r="K148" s="151" t="inlineStr">
        <is>
          <t>3</t>
        </is>
      </c>
      <c r="L148" s="121" t="inlineStr">
        <is>
          <t>Tier 3: long tail from the TCMICA member directory; reached by the bilingual batch email, qualify only if they reply.</t>
        </is>
      </c>
      <c r="M148" s="121" t="inlineStr">
        <is>
          <t>TCMICA directory 台中市醫療器材商業同業公會 (tcmica.org.tw), read 6 Oct 2026</t>
        </is>
      </c>
      <c r="N148" s="152" t="inlineStr">
        <is>
          <t>誠徵台灣超音波經銷夥伴 | CHISON ultrasound distribution partners in Taiwan</t>
        </is>
      </c>
      <c r="O14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48" s="108" t="inlineStr">
        <is>
          <t>service@longtermsupplies.com</t>
        </is>
      </c>
      <c r="Q148" s="108" t="inlineStr">
        <is>
          <t>DIR: association member directory, not the company site</t>
        </is>
      </c>
      <c r="R148" s="108" t="inlineStr">
        <is>
          <t>Batch draft 1 of 3 (Send separately) sent 6 Oct 2026</t>
        </is>
      </c>
      <c r="S148" s="108" t="n"/>
    </row>
    <row r="149" ht="331.5" customHeight="1" s="104">
      <c r="A149" s="121" t="n">
        <v>144</v>
      </c>
      <c r="B149" s="143" t="inlineStr">
        <is>
          <t>瑋杏儀器有限公司</t>
        </is>
      </c>
      <c r="C149" s="121" t="inlineStr">
        <is>
          <t>Contacted</t>
        </is>
      </c>
      <c r="D149" s="124" t="inlineStr">
        <is>
          <t>醫療器材</t>
        </is>
      </c>
      <c r="E149" s="121" t="inlineStr">
        <is>
          <t>Not identified (directory listing only)</t>
        </is>
      </c>
      <c r="F149" s="124" t="inlineStr">
        <is>
          <t>Taichung · 臺中市西區大同街20</t>
        </is>
      </c>
      <c r="G149" s="121" t="inlineStr">
        <is>
          <t>Not published</t>
        </is>
      </c>
      <c r="H149" s="121" t="inlineStr">
        <is>
          <t>04-2473-3441</t>
        </is>
      </c>
      <c r="I149" s="121" t="inlineStr">
        <is>
          <t>Taichung association member with a business line adjacent to ultrasound; line card and existing ultrasound brand to confirm on first call.</t>
        </is>
      </c>
      <c r="J149" s="121" t="inlineStr">
        <is>
          <t>SonoAir 70 + SonoEye P3 + SonoPort</t>
        </is>
      </c>
      <c r="K149" s="155" t="inlineStr">
        <is>
          <t>2</t>
        </is>
      </c>
      <c r="L149" s="121" t="inlineStr">
        <is>
          <t>Tier 2: adjacent segment from the TCMICA directory (equipment, OR, emergency, imaging or import), individual email sent; qualify scale and service team.</t>
        </is>
      </c>
      <c r="M149" s="121" t="inlineStr">
        <is>
          <t>TCMICA directory 台中市醫療器材商業同業公會 (tcmica.org.tw), read 6 Oct 2026</t>
        </is>
      </c>
      <c r="N149" s="152" t="inlineStr">
        <is>
          <t>瑋杏儀器: CHISON ultrasound for your Taichung customers</t>
        </is>
      </c>
      <c r="O149" s="108" t="inlineStr">
        <is>
          <t>Dear 瑋杏儀器 team,
I am Casper Tan, Senior Regional Sales Manager at AstraMed Healthcare, a subsidiary of CHISON Medical Technologies, and I look after Taiwan. As an established medical instrument supplier in Taichung, you already call on the hospitals and clinics that buy ultrasound.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These are the models I would start with: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 SonoPort: a cart that folds to 1 m high and weighs about 53 kg, with a 23.8 inch monitor, a 15.6 inch touchscreen and about 3 hours of scanning on battery
Could you tell me which ultrasound brands, if any, you carry today?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49" s="108" t="inlineStr">
        <is>
          <t>taichung@goodline.com.tw</t>
        </is>
      </c>
      <c r="Q149" s="108" t="inlineStr">
        <is>
          <t>DIR: association member directory, not the company site</t>
        </is>
      </c>
      <c r="R149" s="108" t="inlineStr">
        <is>
          <t>Sent 6 Oct 2026 from Winmail with Corporate Brochure 2027</t>
        </is>
      </c>
      <c r="S149" s="108" t="n"/>
    </row>
    <row r="150" ht="287.25" customHeight="1" s="104">
      <c r="A150" s="121" t="n">
        <v>145</v>
      </c>
      <c r="B150" s="143" t="inlineStr">
        <is>
          <t>傑達實業有限公司</t>
        </is>
      </c>
      <c r="C150" s="121" t="inlineStr">
        <is>
          <t>Not started</t>
        </is>
      </c>
      <c r="D150" s="124" t="inlineStr">
        <is>
          <t>醫療器材</t>
        </is>
      </c>
      <c r="E150" s="121" t="inlineStr">
        <is>
          <t>Not identified (directory listing only)</t>
        </is>
      </c>
      <c r="F150" s="124" t="inlineStr">
        <is>
          <t>Taichung · 臺中市西區臺灣大道</t>
        </is>
      </c>
      <c r="G150" s="121" t="inlineStr">
        <is>
          <t>Not published</t>
        </is>
      </c>
      <c r="H150" s="121" t="inlineStr">
        <is>
          <t>04-2534-8466</t>
        </is>
      </c>
      <c r="I150" s="121" t="inlineStr">
        <is>
          <t>Directory listing only: general medical device trader or retailer in Taichung; capital equipment capability unconfirmed.</t>
        </is>
      </c>
      <c r="J150" s="121" t="inlineStr">
        <is>
          <t>SonoAir 70 + SonoEye P3 (confirm line card first)</t>
        </is>
      </c>
      <c r="K150" s="151" t="inlineStr">
        <is>
          <t>3</t>
        </is>
      </c>
      <c r="L150" s="121" t="inlineStr">
        <is>
          <t>Tier 3: long tail from the TCMICA member directory; reached by the bilingual batch email, qualify only if they reply.</t>
        </is>
      </c>
      <c r="M150" s="121" t="inlineStr">
        <is>
          <t>TCMICA directory 台中市醫療器材商業同業公會 (tcmica.org.tw), read 6 Oct 2026</t>
        </is>
      </c>
      <c r="N150" s="152" t="inlineStr">
        <is>
          <t>誠徵台灣超音波經銷夥伴 | CHISON ultrasound distribution partners in Taiwan</t>
        </is>
      </c>
      <c r="O15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0" s="108" t="inlineStr">
        <is>
          <t>adam@jetstar-tw.com</t>
        </is>
      </c>
      <c r="Q150" s="108" t="inlineStr">
        <is>
          <t>BOUNCED 6 Oct 2026</t>
        </is>
      </c>
      <c r="R150" s="108" t="inlineStr">
        <is>
          <t>Sent 6 Oct 2026, BOUNCED: Domain jetstar-tw.com not found. Find a working email or call.</t>
        </is>
      </c>
      <c r="S150" s="108" t="n"/>
    </row>
    <row r="151" ht="287.25" customHeight="1" s="104">
      <c r="A151" s="121" t="n">
        <v>146</v>
      </c>
      <c r="B151" s="143" t="inlineStr">
        <is>
          <t>瑞謙儀器有限公司</t>
        </is>
      </c>
      <c r="C151" s="121" t="inlineStr">
        <is>
          <t>Not started</t>
        </is>
      </c>
      <c r="D151" s="124" t="inlineStr">
        <is>
          <t>醫療器材</t>
        </is>
      </c>
      <c r="E151" s="121" t="inlineStr">
        <is>
          <t>Not identified (directory listing only)</t>
        </is>
      </c>
      <c r="F151" s="124" t="inlineStr">
        <is>
          <t>Taichung · 臺中市西區正福街2</t>
        </is>
      </c>
      <c r="G151" s="121" t="inlineStr">
        <is>
          <t>Not published</t>
        </is>
      </c>
      <c r="H151" s="121" t="inlineStr">
        <is>
          <t>Not published in directory</t>
        </is>
      </c>
      <c r="I151" s="121" t="inlineStr">
        <is>
          <t>Directory listing only: general medical device trader or retailer in Taichung; capital equipment capability unconfirmed.</t>
        </is>
      </c>
      <c r="J151" s="121" t="inlineStr">
        <is>
          <t>SonoAir 70 + SonoEye P3 (confirm line card first)</t>
        </is>
      </c>
      <c r="K151" s="151" t="inlineStr">
        <is>
          <t>3</t>
        </is>
      </c>
      <c r="L151" s="121" t="inlineStr">
        <is>
          <t>Tier 3: long tail from the TCMICA member directory; reached by the bilingual batch email, qualify only if they reply.</t>
        </is>
      </c>
      <c r="M151" s="121" t="inlineStr">
        <is>
          <t>TCMICA directory 台中市醫療器材商業同業公會 (tcmica.org.tw), read 6 Oct 2026</t>
        </is>
      </c>
      <c r="N151" s="152" t="inlineStr">
        <is>
          <t>誠徵台灣超音波經銷夥伴 | CHISON ultrasound distribution partners in Taiwan</t>
        </is>
      </c>
      <c r="O15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1" s="108" t="inlineStr">
        <is>
          <t>YC.Huang@rcinst.com.tw</t>
        </is>
      </c>
      <c r="Q151" s="108" t="inlineStr">
        <is>
          <t>BOUNCED 6 Oct 2026</t>
        </is>
      </c>
      <c r="R151" s="108" t="inlineStr">
        <is>
          <t>Sent 6 Oct 2026, BOUNCED: Domain rcinst.com.tw not found. Find a working email or call.</t>
        </is>
      </c>
      <c r="S151" s="108" t="n"/>
    </row>
    <row r="152" ht="287.25" customHeight="1" s="104">
      <c r="A152" s="121" t="n">
        <v>147</v>
      </c>
      <c r="B152" s="143" t="inlineStr">
        <is>
          <t>享原實業股份有限公司</t>
        </is>
      </c>
      <c r="C152" s="121" t="inlineStr">
        <is>
          <t>Contacted</t>
        </is>
      </c>
      <c r="D152" s="124" t="inlineStr">
        <is>
          <t>醫療器材</t>
        </is>
      </c>
      <c r="E152" s="121" t="inlineStr">
        <is>
          <t>Not identified (directory listing only)</t>
        </is>
      </c>
      <c r="F152" s="124" t="inlineStr">
        <is>
          <t>Taichung · 臺中市西區臺灣大道</t>
        </is>
      </c>
      <c r="G152" s="121" t="inlineStr">
        <is>
          <t>Not published</t>
        </is>
      </c>
      <c r="H152" s="121" t="inlineStr">
        <is>
          <t>04-2481-9977</t>
        </is>
      </c>
      <c r="I152" s="121" t="inlineStr">
        <is>
          <t>Directory listing only: general medical device trader or retailer in Taichung; capital equipment capability unconfirmed.</t>
        </is>
      </c>
      <c r="J152" s="121" t="inlineStr">
        <is>
          <t>SonoAir 70 + SonoEye P3 (confirm line card first)</t>
        </is>
      </c>
      <c r="K152" s="151" t="inlineStr">
        <is>
          <t>3</t>
        </is>
      </c>
      <c r="L152" s="121" t="inlineStr">
        <is>
          <t>Tier 3: long tail from the TCMICA member directory; reached by the bilingual batch email, qualify only if they reply.</t>
        </is>
      </c>
      <c r="M152" s="121" t="inlineStr">
        <is>
          <t>TCMICA directory 台中市醫療器材商業同業公會 (tcmica.org.tw), read 6 Oct 2026</t>
        </is>
      </c>
      <c r="N152" s="152" t="inlineStr">
        <is>
          <t>誠徵台灣超音波經銷夥伴 | CHISON ultrasound distribution partners in Taiwan</t>
        </is>
      </c>
      <c r="O15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2" s="108" t="inlineStr">
        <is>
          <t>billpower147@gmail.com</t>
        </is>
      </c>
      <c r="Q152" s="108" t="inlineStr">
        <is>
          <t>DIR: association member directory, not the company site</t>
        </is>
      </c>
      <c r="R152" s="108" t="inlineStr">
        <is>
          <t>Batch draft 1 of 3 (Send separately) sent 6 Oct 2026</t>
        </is>
      </c>
      <c r="S152" s="108" t="n"/>
    </row>
    <row r="153" ht="287.25" customHeight="1" s="104">
      <c r="A153" s="121" t="n">
        <v>148</v>
      </c>
      <c r="B153" s="143" t="inlineStr">
        <is>
          <t>永澄儀器有限公司</t>
        </is>
      </c>
      <c r="C153" s="121" t="inlineStr">
        <is>
          <t>Contacted</t>
        </is>
      </c>
      <c r="D153" s="124" t="inlineStr">
        <is>
          <t>復健醫療器材</t>
        </is>
      </c>
      <c r="E153" s="121" t="inlineStr">
        <is>
          <t>Not identified (directory listing only)</t>
        </is>
      </c>
      <c r="F153" s="124" t="inlineStr">
        <is>
          <t>Taichung · 臺中市西區中美街1</t>
        </is>
      </c>
      <c r="G153" s="121" t="inlineStr">
        <is>
          <t>Not published</t>
        </is>
      </c>
      <c r="H153" s="121" t="inlineStr">
        <is>
          <t>04-2301-0729</t>
        </is>
      </c>
      <c r="I153" s="121" t="inlineStr">
        <is>
          <t>Directory listing only: general medical device trader or retailer in Taichung; capital equipment capability unconfirmed.</t>
        </is>
      </c>
      <c r="J153" s="121" t="inlineStr">
        <is>
          <t>SonoAir 70 + SonoEye P3 (confirm line card first)</t>
        </is>
      </c>
      <c r="K153" s="151" t="inlineStr">
        <is>
          <t>3</t>
        </is>
      </c>
      <c r="L153" s="121" t="inlineStr">
        <is>
          <t>Tier 3: long tail from the TCMICA member directory; reached by the bilingual batch email, qualify only if they reply.</t>
        </is>
      </c>
      <c r="M153" s="121" t="inlineStr">
        <is>
          <t>TCMICA directory 台中市醫療器材商業同業公會 (tcmica.org.tw), read 6 Oct 2026</t>
        </is>
      </c>
      <c r="N153" s="152" t="inlineStr">
        <is>
          <t>誠徵台灣超音波經銷夥伴 | CHISON ultrasound distribution partners in Taiwan</t>
        </is>
      </c>
      <c r="O15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3" s="108" t="inlineStr">
        <is>
          <t>yongcheng83221388@gmail.com</t>
        </is>
      </c>
      <c r="Q153" s="108" t="inlineStr">
        <is>
          <t>DIR: association member directory, not the company site</t>
        </is>
      </c>
      <c r="R153" s="108" t="inlineStr">
        <is>
          <t>Batch draft 1 of 3 (Send separately) sent 6 Oct 2026</t>
        </is>
      </c>
      <c r="S153" s="108" t="n"/>
    </row>
    <row r="154" ht="287.25" customHeight="1" s="104">
      <c r="A154" s="121" t="n">
        <v>149</v>
      </c>
      <c r="B154" s="143" t="inlineStr">
        <is>
          <t>恭昌貿易有限公司</t>
        </is>
      </c>
      <c r="C154" s="121" t="inlineStr">
        <is>
          <t>Contacted</t>
        </is>
      </c>
      <c r="D154" s="124" t="inlineStr">
        <is>
          <t>醫療器材進出口業務</t>
        </is>
      </c>
      <c r="E154" s="121" t="inlineStr">
        <is>
          <t>Not identified (directory listing only)</t>
        </is>
      </c>
      <c r="F154" s="124" t="inlineStr">
        <is>
          <t>Taichung · 台中市北區崇德路1</t>
        </is>
      </c>
      <c r="G154" s="121" t="inlineStr">
        <is>
          <t>Not published</t>
        </is>
      </c>
      <c r="H154" s="121" t="inlineStr">
        <is>
          <t>04-2233-5691</t>
        </is>
      </c>
      <c r="I154" s="121" t="inlineStr">
        <is>
          <t>Directory listing only: general medical device trader or retailer in Taichung; capital equipment capability unconfirmed.</t>
        </is>
      </c>
      <c r="J154" s="121" t="inlineStr">
        <is>
          <t>SonoAir 70 + SonoEye P3 (confirm line card first)</t>
        </is>
      </c>
      <c r="K154" s="151" t="inlineStr">
        <is>
          <t>3</t>
        </is>
      </c>
      <c r="L154" s="121" t="inlineStr">
        <is>
          <t>Tier 3: long tail from the TCMICA member directory; reached by the bilingual batch email, qualify only if they reply.</t>
        </is>
      </c>
      <c r="M154" s="121" t="inlineStr">
        <is>
          <t>TCMICA directory 台中市醫療器材商業同業公會 (tcmica.org.tw), read 6 Oct 2026</t>
        </is>
      </c>
      <c r="N154" s="152" t="inlineStr">
        <is>
          <t>誠徵台灣超音波經銷夥伴 | CHISON ultrasound distribution partners in Taiwan</t>
        </is>
      </c>
      <c r="O15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4" s="108" t="inlineStr">
        <is>
          <t>hsiaokc@ms62.hinet.net</t>
        </is>
      </c>
      <c r="Q154" s="108" t="inlineStr">
        <is>
          <t>DIR: association member directory, not the company site</t>
        </is>
      </c>
      <c r="R154" s="108" t="inlineStr">
        <is>
          <t>Batch draft 1 of 3 (Send separately) sent 6 Oct 2026</t>
        </is>
      </c>
      <c r="S154" s="108" t="n"/>
    </row>
    <row r="155" ht="287.25" customHeight="1" s="104">
      <c r="A155" s="121" t="n">
        <v>150</v>
      </c>
      <c r="B155" s="143" t="inlineStr">
        <is>
          <t>錦源儀器有限公司</t>
        </is>
      </c>
      <c r="C155" s="121" t="inlineStr">
        <is>
          <t>Not started</t>
        </is>
      </c>
      <c r="D155" s="124" t="inlineStr">
        <is>
          <t>復健醫療儀器精神科生理迥饋儀</t>
        </is>
      </c>
      <c r="E155" s="121" t="inlineStr">
        <is>
          <t>Not identified (directory listing only)</t>
        </is>
      </c>
      <c r="F155" s="124" t="inlineStr">
        <is>
          <t>Taichung · 臺中市北區中清路1</t>
        </is>
      </c>
      <c r="G155" s="121" t="inlineStr">
        <is>
          <t>Not published</t>
        </is>
      </c>
      <c r="H155" s="121" t="inlineStr">
        <is>
          <t>04-2205-4172</t>
        </is>
      </c>
      <c r="I155" s="121" t="inlineStr">
        <is>
          <t>Directory listing only: general medical device trader or retailer in Taichung; capital equipment capability unconfirmed.</t>
        </is>
      </c>
      <c r="J155" s="121" t="inlineStr">
        <is>
          <t>SonoAir 70 + SonoEye P3 (confirm line card first)</t>
        </is>
      </c>
      <c r="K155" s="151" t="inlineStr">
        <is>
          <t>3</t>
        </is>
      </c>
      <c r="L155" s="121" t="inlineStr">
        <is>
          <t>Tier 3: long tail from the TCMICA member directory; reached by the bilingual batch email, qualify only if they reply.</t>
        </is>
      </c>
      <c r="M155" s="121" t="inlineStr">
        <is>
          <t>TCMICA directory 台中市醫療器材商業同業公會 (tcmica.org.tw), read 6 Oct 2026</t>
        </is>
      </c>
      <c r="N155" s="152" t="inlineStr">
        <is>
          <t>誠徵台灣超音波經銷夥伴 | CHISON ultrasound distribution partners in Taiwan</t>
        </is>
      </c>
      <c r="O15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5" s="108" t="inlineStr">
        <is>
          <t>jy0141@yahoo.com.tw</t>
        </is>
      </c>
      <c r="Q155" s="108" t="inlineStr">
        <is>
          <t>BOUNCED 6 Oct 2026</t>
        </is>
      </c>
      <c r="R155" s="108" t="inlineStr">
        <is>
          <t>Sent 6 Oct 2026, BOUNCED: Mailbox disabled (Yahoo 554). Find a working email or call.</t>
        </is>
      </c>
      <c r="S155" s="108" t="n"/>
    </row>
    <row r="156" ht="287.25" customHeight="1" s="104">
      <c r="A156" s="121" t="n">
        <v>151</v>
      </c>
      <c r="B156" s="143" t="inlineStr">
        <is>
          <t>寬達企業股份有限公司</t>
        </is>
      </c>
      <c r="C156" s="121" t="inlineStr">
        <is>
          <t>Contacted</t>
        </is>
      </c>
      <c r="D156" s="124" t="inlineStr">
        <is>
          <t>電子醫療器材</t>
        </is>
      </c>
      <c r="E156" s="121" t="inlineStr">
        <is>
          <t>Not identified (directory listing only)</t>
        </is>
      </c>
      <c r="F156" s="124" t="inlineStr">
        <is>
          <t>Taichung · 台中市北區中華路2</t>
        </is>
      </c>
      <c r="G156" s="121" t="inlineStr">
        <is>
          <t>Not published</t>
        </is>
      </c>
      <c r="H156" s="121" t="inlineStr">
        <is>
          <t>04-2201-0101</t>
        </is>
      </c>
      <c r="I156" s="121" t="inlineStr">
        <is>
          <t>Directory listing only: general medical device trader or retailer in Taichung; capital equipment capability unconfirmed.</t>
        </is>
      </c>
      <c r="J156" s="121" t="inlineStr">
        <is>
          <t>SonoAir 70 + SonoEye P3 (confirm line card first)</t>
        </is>
      </c>
      <c r="K156" s="151" t="inlineStr">
        <is>
          <t>3</t>
        </is>
      </c>
      <c r="L156" s="121" t="inlineStr">
        <is>
          <t>Tier 3: long tail from the TCMICA member directory; reached by the bilingual batch email, qualify only if they reply.</t>
        </is>
      </c>
      <c r="M156" s="121" t="inlineStr">
        <is>
          <t>TCMICA directory 台中市醫療器材商業同業公會 (tcmica.org.tw), read 6 Oct 2026</t>
        </is>
      </c>
      <c r="N156" s="152" t="inlineStr">
        <is>
          <t>誠徵台灣超音波經銷夥伴 | CHISON ultrasound distribution partners in Taiwan</t>
        </is>
      </c>
      <c r="O15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6" s="108" t="inlineStr">
        <is>
          <t>yus0101@kimo.com</t>
        </is>
      </c>
      <c r="Q156" s="108" t="inlineStr">
        <is>
          <t>DIR: association member directory, not the company site</t>
        </is>
      </c>
      <c r="R156" s="108" t="inlineStr">
        <is>
          <t>Batch draft 1 of 3 (Send separately) sent 6 Oct 2026</t>
        </is>
      </c>
      <c r="S156" s="108" t="n"/>
    </row>
    <row r="157" ht="287.25" customHeight="1" s="104">
      <c r="A157" s="121" t="n">
        <v>152</v>
      </c>
      <c r="B157" s="143" t="inlineStr">
        <is>
          <t>吉特醫療器材有限公司</t>
        </is>
      </c>
      <c r="C157" s="121" t="inlineStr">
        <is>
          <t>Contacted</t>
        </is>
      </c>
      <c r="D157" s="124" t="inlineStr">
        <is>
          <t>醫材類</t>
        </is>
      </c>
      <c r="E157" s="121" t="inlineStr">
        <is>
          <t>Not identified (directory listing only)</t>
        </is>
      </c>
      <c r="F157" s="124" t="inlineStr">
        <is>
          <t>Taichung · 台中市北區梅川東路</t>
        </is>
      </c>
      <c r="G157" s="121" t="inlineStr">
        <is>
          <t>Not published</t>
        </is>
      </c>
      <c r="H157" s="121" t="inlineStr">
        <is>
          <t>04-2531-3819</t>
        </is>
      </c>
      <c r="I157" s="121" t="inlineStr">
        <is>
          <t>Directory listing only: general medical device trader or retailer in Taichung; capital equipment capability unconfirmed.</t>
        </is>
      </c>
      <c r="J157" s="121" t="inlineStr">
        <is>
          <t>SonoAir 70 + SonoEye P3 (confirm line card first)</t>
        </is>
      </c>
      <c r="K157" s="151" t="inlineStr">
        <is>
          <t>3</t>
        </is>
      </c>
      <c r="L157" s="121" t="inlineStr">
        <is>
          <t>Tier 3: long tail from the TCMICA member directory; reached by the bilingual batch email, qualify only if they reply.</t>
        </is>
      </c>
      <c r="M157" s="121" t="inlineStr">
        <is>
          <t>TCMICA directory 台中市醫療器材商業同業公會 (tcmica.org.tw), read 6 Oct 2026</t>
        </is>
      </c>
      <c r="N157" s="152" t="inlineStr">
        <is>
          <t>誠徵台灣超音波經銷夥伴 | CHISON ultrasound distribution partners in Taiwan</t>
        </is>
      </c>
      <c r="O15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7" s="108" t="inlineStr">
        <is>
          <t>jet.medical@msa.hinet.net</t>
        </is>
      </c>
      <c r="Q157" s="108" t="inlineStr">
        <is>
          <t>DIR: association member directory, not the company site</t>
        </is>
      </c>
      <c r="R157" s="108" t="inlineStr">
        <is>
          <t>Batch draft 1 of 3 (Send separately) sent 6 Oct 2026</t>
        </is>
      </c>
      <c r="S157" s="108" t="n"/>
    </row>
    <row r="158" ht="287.25" customHeight="1" s="104">
      <c r="A158" s="121" t="n">
        <v>153</v>
      </c>
      <c r="B158" s="143" t="inlineStr">
        <is>
          <t>協展事業有限公司</t>
        </is>
      </c>
      <c r="C158" s="121" t="inlineStr">
        <is>
          <t>Contacted</t>
        </is>
      </c>
      <c r="D158" s="124" t="inlineStr">
        <is>
          <t>醫療器材批發</t>
        </is>
      </c>
      <c r="E158" s="121" t="inlineStr">
        <is>
          <t>Not identified (directory listing only)</t>
        </is>
      </c>
      <c r="F158" s="124" t="inlineStr">
        <is>
          <t>Taichung · 台中市北區陝西七街</t>
        </is>
      </c>
      <c r="G158" s="121" t="inlineStr">
        <is>
          <t>Not published</t>
        </is>
      </c>
      <c r="H158" s="121" t="inlineStr">
        <is>
          <t>04-2291-2167</t>
        </is>
      </c>
      <c r="I158" s="121" t="inlineStr">
        <is>
          <t>Directory listing only: general medical device trader or retailer in Taichung; capital equipment capability unconfirmed.</t>
        </is>
      </c>
      <c r="J158" s="121" t="inlineStr">
        <is>
          <t>SonoAir 70 + SonoEye P3 (confirm line card first)</t>
        </is>
      </c>
      <c r="K158" s="151" t="inlineStr">
        <is>
          <t>3</t>
        </is>
      </c>
      <c r="L158" s="121" t="inlineStr">
        <is>
          <t>Tier 3: long tail from the TCMICA member directory; reached by the bilingual batch email, qualify only if they reply.</t>
        </is>
      </c>
      <c r="M158" s="121" t="inlineStr">
        <is>
          <t>TCMICA directory 台中市醫療器材商業同業公會 (tcmica.org.tw), read 6 Oct 2026</t>
        </is>
      </c>
      <c r="N158" s="152" t="inlineStr">
        <is>
          <t>誠徵台灣超音波經銷夥伴 | CHISON ultrasound distribution partners in Taiwan</t>
        </is>
      </c>
      <c r="O15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8" s="108" t="inlineStr">
        <is>
          <t>b78905@ms18.hinet.net</t>
        </is>
      </c>
      <c r="Q158" s="108" t="inlineStr">
        <is>
          <t>DIR: association member directory, not the company site</t>
        </is>
      </c>
      <c r="R158" s="108" t="inlineStr">
        <is>
          <t>Batch draft 1 of 3 (Send separately) sent 6 Oct 2026</t>
        </is>
      </c>
      <c r="S158" s="108" t="n"/>
    </row>
    <row r="159" ht="287.25" customHeight="1" s="104">
      <c r="A159" s="121" t="n">
        <v>154</v>
      </c>
      <c r="B159" s="143" t="inlineStr">
        <is>
          <t>濟生醫療器材有限公司</t>
        </is>
      </c>
      <c r="C159" s="121" t="inlineStr">
        <is>
          <t>Contacted</t>
        </is>
      </c>
      <c r="D159" s="124" t="inlineStr">
        <is>
          <t>醫療器材儀器</t>
        </is>
      </c>
      <c r="E159" s="121" t="inlineStr">
        <is>
          <t>Not identified (directory listing only)</t>
        </is>
      </c>
      <c r="F159" s="124" t="inlineStr">
        <is>
          <t>Taichung · 台中市北區德化街3</t>
        </is>
      </c>
      <c r="G159" s="121" t="inlineStr">
        <is>
          <t>Not published</t>
        </is>
      </c>
      <c r="H159" s="121" t="inlineStr">
        <is>
          <t>04-2663-2187</t>
        </is>
      </c>
      <c r="I159" s="121" t="inlineStr">
        <is>
          <t>Directory listing only: general medical device trader or retailer in Taichung; capital equipment capability unconfirmed.</t>
        </is>
      </c>
      <c r="J159" s="121" t="inlineStr">
        <is>
          <t>SonoAir 70 + SonoEye P3 (confirm line card first)</t>
        </is>
      </c>
      <c r="K159" s="151" t="inlineStr">
        <is>
          <t>3</t>
        </is>
      </c>
      <c r="L159" s="121" t="inlineStr">
        <is>
          <t>Tier 3: long tail from the TCMICA member directory; reached by the bilingual batch email, qualify only if they reply.</t>
        </is>
      </c>
      <c r="M159" s="121" t="inlineStr">
        <is>
          <t>TCMICA directory 台中市醫療器材商業同業公會 (tcmica.org.tw), read 6 Oct 2026</t>
        </is>
      </c>
      <c r="N159" s="152" t="inlineStr">
        <is>
          <t>誠徵台灣超音波經銷夥伴 | CHISON ultrasound distribution partners in Taiwan</t>
        </is>
      </c>
      <c r="O15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59" s="108" t="inlineStr">
        <is>
          <t>ufau0383@ms36.hinet.net</t>
        </is>
      </c>
      <c r="Q159" s="108" t="inlineStr">
        <is>
          <t>DIR: association member directory, not the company site</t>
        </is>
      </c>
      <c r="R159" s="108" t="inlineStr">
        <is>
          <t>Batch draft 1 of 3 (Send separately) sent 6 Oct 2026</t>
        </is>
      </c>
      <c r="S159" s="108" t="n"/>
    </row>
    <row r="160" ht="300" customHeight="1" s="104">
      <c r="A160" s="121" t="n">
        <v>155</v>
      </c>
      <c r="B160" s="143" t="inlineStr">
        <is>
          <t>偉平貿易有限公司</t>
        </is>
      </c>
      <c r="C160" s="121" t="inlineStr">
        <is>
          <t>Contacted</t>
        </is>
      </c>
      <c r="D160" s="124" t="inlineStr">
        <is>
          <t>牙科診所開業用品(牙科治療台、X光機)、醫療軟體、診所裝璜規劃設計</t>
        </is>
      </c>
      <c r="E160" s="121" t="inlineStr">
        <is>
          <t>Not identified (directory listing only)</t>
        </is>
      </c>
      <c r="F160" s="124" t="inlineStr">
        <is>
          <t>Taichung · 台中市北區永興街8</t>
        </is>
      </c>
      <c r="G160" s="121" t="inlineStr">
        <is>
          <t>Not published</t>
        </is>
      </c>
      <c r="H160" s="121" t="inlineStr">
        <is>
          <t>04-2235-9181</t>
        </is>
      </c>
      <c r="I160" s="121" t="inlineStr">
        <is>
          <t>Taichung association member with a business line adjacent to ultrasound; line card and existing ultrasound brand to confirm on first call.</t>
        </is>
      </c>
      <c r="J160" s="121" t="inlineStr">
        <is>
          <t>SonoEye P3 + SonoAir 70</t>
        </is>
      </c>
      <c r="K160" s="155" t="inlineStr">
        <is>
          <t>2</t>
        </is>
      </c>
      <c r="L160" s="121" t="inlineStr">
        <is>
          <t>Tier 2: adjacent segment from the TCMICA directory (equipment, OR, emergency, imaging or import), individual email sent; qualify scale and service team.</t>
        </is>
      </c>
      <c r="M160" s="121" t="inlineStr">
        <is>
          <t>TCMICA directory 台中市醫療器材商業同業公會 (tcmica.org.tw), read 6 Oct 2026</t>
        </is>
      </c>
      <c r="N160" s="152" t="inlineStr">
        <is>
          <t>偉平貿易: CHISON ultrasound for the clinics you help open</t>
        </is>
      </c>
      <c r="O160" s="108" t="inlineStr">
        <is>
          <t>Dear 偉平貿易 team,
I am Casper Tan, Senior Regional Sales Manager at AstraMed Healthcare, a subsidiary of CHISON Medical Technologies, and I look after Taiwan. You plan, fit out and equip new clinics, including X ray, so ultrasound fits naturally into the packages you already put together.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new clinic packages, these are the models I would suggest:
• SonoEye P3: a pocket handheld for emergency, ICU and bedside work; SonoEye was rated the top handheld in an independent comparison of nine handheld devices published in Diagnostics (MDPI)
• SonoAir 70: a 2.1 kg laptop with four active probe ports and SonoAI tools such as automatic bladder volume and thyroid and breast nodule measurement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60" s="108" t="inlineStr">
        <is>
          <t>jane760311@yahoo.com.tw</t>
        </is>
      </c>
      <c r="Q160" s="108" t="inlineStr">
        <is>
          <t>DIR: association member directory, not the company site</t>
        </is>
      </c>
      <c r="R160" s="108" t="inlineStr">
        <is>
          <t>Sent 6 Oct 2026 from Winmail with Corporate Brochure 2027</t>
        </is>
      </c>
      <c r="S160" s="108" t="n"/>
    </row>
    <row r="161" ht="287.25" customHeight="1" s="104">
      <c r="A161" s="121" t="n">
        <v>156</v>
      </c>
      <c r="B161" s="143" t="inlineStr">
        <is>
          <t>金風國際有限公司</t>
        </is>
      </c>
      <c r="C161" s="121" t="inlineStr">
        <is>
          <t>Contacted</t>
        </is>
      </c>
      <c r="D161" s="124" t="inlineStr">
        <is>
          <t>醫療器材</t>
        </is>
      </c>
      <c r="E161" s="121" t="inlineStr">
        <is>
          <t>Not identified (directory listing only)</t>
        </is>
      </c>
      <c r="F161" s="124" t="inlineStr">
        <is>
          <t>Taichung · 台中市北區文心路4</t>
        </is>
      </c>
      <c r="G161" s="121" t="inlineStr">
        <is>
          <t>Not published</t>
        </is>
      </c>
      <c r="H161" s="121" t="inlineStr">
        <is>
          <t>04-2299-0031</t>
        </is>
      </c>
      <c r="I161" s="121" t="inlineStr">
        <is>
          <t>Directory listing only: general medical device trader or retailer in Taichung; capital equipment capability unconfirmed.</t>
        </is>
      </c>
      <c r="J161" s="121" t="inlineStr">
        <is>
          <t>SonoAir 70 + SonoEye P3 (confirm line card first)</t>
        </is>
      </c>
      <c r="K161" s="151" t="inlineStr">
        <is>
          <t>3</t>
        </is>
      </c>
      <c r="L161" s="121" t="inlineStr">
        <is>
          <t>Tier 3: long tail from the TCMICA member directory; reached by the bilingual batch email, qualify only if they reply.</t>
        </is>
      </c>
      <c r="M161" s="121" t="inlineStr">
        <is>
          <t>TCMICA directory 台中市醫療器材商業同業公會 (tcmica.org.tw), read 6 Oct 2026</t>
        </is>
      </c>
      <c r="N161" s="152" t="inlineStr">
        <is>
          <t>誠徵台灣超音波經銷夥伴 | CHISON ultrasound distribution partners in Taiwan</t>
        </is>
      </c>
      <c r="O16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61" s="108" t="inlineStr">
        <is>
          <t>tcgoldwind@gmail.com</t>
        </is>
      </c>
      <c r="Q161" s="108" t="inlineStr">
        <is>
          <t>DIR: association member directory, not the company site</t>
        </is>
      </c>
      <c r="R161" s="108" t="inlineStr">
        <is>
          <t>Batch draft 2 of 3 (Send separately) sent 6 Oct 2026</t>
        </is>
      </c>
      <c r="S161" s="108" t="n"/>
    </row>
    <row r="162" ht="287.25" customHeight="1" s="104">
      <c r="A162" s="121" t="n">
        <v>157</v>
      </c>
      <c r="B162" s="143" t="inlineStr">
        <is>
          <t>揚健生物科技有限公司</t>
        </is>
      </c>
      <c r="C162" s="121" t="inlineStr">
        <is>
          <t>Contacted</t>
        </is>
      </c>
      <c r="D162" s="124" t="inlineStr">
        <is>
          <t>生化免疫血液分析儀、檢驗試劑</t>
        </is>
      </c>
      <c r="E162" s="121" t="inlineStr">
        <is>
          <t>Not identified (directory listing only)</t>
        </is>
      </c>
      <c r="F162" s="124" t="inlineStr">
        <is>
          <t>Taichung · 台中市北區文心路4</t>
        </is>
      </c>
      <c r="G162" s="121" t="inlineStr">
        <is>
          <t>Not published</t>
        </is>
      </c>
      <c r="H162" s="121" t="inlineStr">
        <is>
          <t>04-2292-0400</t>
        </is>
      </c>
      <c r="I162" s="121" t="inlineStr">
        <is>
          <t>Directory listing only: general medical device trader or retailer in Taichung; capital equipment capability unconfirmed.</t>
        </is>
      </c>
      <c r="J162" s="121" t="inlineStr">
        <is>
          <t>SonoAir 70 + SonoEye P3 (confirm line card first)</t>
        </is>
      </c>
      <c r="K162" s="151" t="inlineStr">
        <is>
          <t>3</t>
        </is>
      </c>
      <c r="L162" s="121" t="inlineStr">
        <is>
          <t>Tier 3: long tail from the TCMICA member directory; reached by the bilingual batch email, qualify only if they reply.</t>
        </is>
      </c>
      <c r="M162" s="121" t="inlineStr">
        <is>
          <t>TCMICA directory 台中市醫療器材商業同業公會 (tcmica.org.tw), read 6 Oct 2026</t>
        </is>
      </c>
      <c r="N162" s="152" t="inlineStr">
        <is>
          <t>誠徵台灣超音波經銷夥伴 | CHISON ultrasound distribution partners in Taiwan</t>
        </is>
      </c>
      <c r="O16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62" s="108" t="inlineStr">
        <is>
          <t>young27622558@gmail.com</t>
        </is>
      </c>
      <c r="Q162" s="108" t="inlineStr">
        <is>
          <t>DIR: association member directory, not the company site</t>
        </is>
      </c>
      <c r="R162" s="108" t="inlineStr">
        <is>
          <t>Batch draft 2 of 3 (Send separately) sent 6 Oct 2026</t>
        </is>
      </c>
      <c r="S162" s="108" t="n"/>
    </row>
    <row r="163" ht="287.25" customHeight="1" s="104">
      <c r="A163" s="121" t="n">
        <v>158</v>
      </c>
      <c r="B163" s="143" t="inlineStr">
        <is>
          <t>華信醫療器材有限公司</t>
        </is>
      </c>
      <c r="C163" s="121" t="inlineStr">
        <is>
          <t>Contacted</t>
        </is>
      </c>
      <c r="D163" s="124" t="inlineStr">
        <is>
          <t>醫療器材批發零售</t>
        </is>
      </c>
      <c r="E163" s="121" t="inlineStr">
        <is>
          <t>Not identified (directory listing only)</t>
        </is>
      </c>
      <c r="F163" s="124" t="inlineStr">
        <is>
          <t>Taichung · 臺中市北區育德路1</t>
        </is>
      </c>
      <c r="G163" s="154" t="inlineStr">
        <is>
          <t>http://www.huaxing.com.tw/</t>
        </is>
      </c>
      <c r="H163" s="121" t="inlineStr">
        <is>
          <t>04-2206-5055</t>
        </is>
      </c>
      <c r="I163" s="121" t="inlineStr">
        <is>
          <t>Directory listing only: general medical device trader or retailer in Taichung; capital equipment capability unconfirmed.</t>
        </is>
      </c>
      <c r="J163" s="121" t="inlineStr">
        <is>
          <t>SonoAir 70 + SonoEye P3 (confirm line card first)</t>
        </is>
      </c>
      <c r="K163" s="151" t="inlineStr">
        <is>
          <t>3</t>
        </is>
      </c>
      <c r="L163" s="121" t="inlineStr">
        <is>
          <t>Tier 3: long tail from the TCMICA member directory; reached by the bilingual batch email, qualify only if they reply.</t>
        </is>
      </c>
      <c r="M163" s="121" t="inlineStr">
        <is>
          <t>TCMICA directory 台中市醫療器材商業同業公會 (tcmica.org.tw), read 6 Oct 2026</t>
        </is>
      </c>
      <c r="N163" s="152" t="inlineStr">
        <is>
          <t>誠徵台灣超音波經銷夥伴 | CHISON ultrasound distribution partners in Taiwan</t>
        </is>
      </c>
      <c r="O16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63" s="108" t="inlineStr">
        <is>
          <t>service@huaxing.com.tw</t>
        </is>
      </c>
      <c r="Q163" s="108" t="inlineStr">
        <is>
          <t>DIR: association member directory, not the company site</t>
        </is>
      </c>
      <c r="R163" s="108" t="inlineStr">
        <is>
          <t>Batch draft 2 of 3 (Send separately) sent 6 Oct 2026</t>
        </is>
      </c>
      <c r="S163" s="108" t="n"/>
    </row>
    <row r="164" ht="287.25" customHeight="1" s="104">
      <c r="A164" s="121" t="n">
        <v>159</v>
      </c>
      <c r="B164" s="143" t="inlineStr">
        <is>
          <t>合泰醫療器材有限公司</t>
        </is>
      </c>
      <c r="C164" s="121" t="inlineStr">
        <is>
          <t>Contacted</t>
        </is>
      </c>
      <c r="D164" s="124" t="inlineStr">
        <is>
          <t>醫療器材</t>
        </is>
      </c>
      <c r="E164" s="121" t="inlineStr">
        <is>
          <t>Not identified (directory listing only)</t>
        </is>
      </c>
      <c r="F164" s="124" t="inlineStr">
        <is>
          <t>Taichung · 臺中市北區文昌東二</t>
        </is>
      </c>
      <c r="G164" s="121" t="inlineStr">
        <is>
          <t>Not published</t>
        </is>
      </c>
      <c r="H164" s="121" t="inlineStr">
        <is>
          <t>04-2291-0299</t>
        </is>
      </c>
      <c r="I164" s="121" t="inlineStr">
        <is>
          <t>Directory listing only: general medical device trader or retailer in Taichung; capital equipment capability unconfirmed.</t>
        </is>
      </c>
      <c r="J164" s="121" t="inlineStr">
        <is>
          <t>SonoAir 70 + SonoEye P3 (confirm line card first)</t>
        </is>
      </c>
      <c r="K164" s="151" t="inlineStr">
        <is>
          <t>3</t>
        </is>
      </c>
      <c r="L164" s="121" t="inlineStr">
        <is>
          <t>Tier 3: long tail from the TCMICA member directory; reached by the bilingual batch email, qualify only if they reply.</t>
        </is>
      </c>
      <c r="M164" s="121" t="inlineStr">
        <is>
          <t>TCMICA directory 台中市醫療器材商業同業公會 (tcmica.org.tw), read 6 Oct 2026</t>
        </is>
      </c>
      <c r="N164" s="152" t="inlineStr">
        <is>
          <t>誠徵台灣超音波經銷夥伴 | CHISON ultrasound distribution partners in Taiwan</t>
        </is>
      </c>
      <c r="O16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64" s="108" t="inlineStr">
        <is>
          <t>hotai.med@gmail.com</t>
        </is>
      </c>
      <c r="Q164" s="108" t="inlineStr">
        <is>
          <t>DIR: association member directory, not the company site</t>
        </is>
      </c>
      <c r="R164" s="108" t="inlineStr">
        <is>
          <t>Batch draft 2 of 3 (Send separately) sent 6 Oct 2026</t>
        </is>
      </c>
      <c r="S164" s="108" t="n"/>
    </row>
    <row r="165" ht="287.25" customHeight="1" s="104">
      <c r="A165" s="121" t="n">
        <v>160</v>
      </c>
      <c r="B165" s="143" t="inlineStr">
        <is>
          <t>永益科儀有限公司</t>
        </is>
      </c>
      <c r="C165" s="121" t="inlineStr">
        <is>
          <t>Contacted</t>
        </is>
      </c>
      <c r="D165" s="124" t="inlineStr">
        <is>
          <t>醫療器材</t>
        </is>
      </c>
      <c r="E165" s="121" t="inlineStr">
        <is>
          <t>Not identified (directory listing only)</t>
        </is>
      </c>
      <c r="F165" s="124" t="inlineStr">
        <is>
          <t>Taichung · 臺中市北區德化街1</t>
        </is>
      </c>
      <c r="G165" s="121" t="inlineStr">
        <is>
          <t>Not published</t>
        </is>
      </c>
      <c r="H165" s="121" t="inlineStr">
        <is>
          <t>04-2291-1676</t>
        </is>
      </c>
      <c r="I165" s="121" t="inlineStr">
        <is>
          <t>Directory listing only: general medical device trader or retailer in Taichung; capital equipment capability unconfirmed.</t>
        </is>
      </c>
      <c r="J165" s="121" t="inlineStr">
        <is>
          <t>SonoAir 70 + SonoEye P3 (confirm line card first)</t>
        </is>
      </c>
      <c r="K165" s="151" t="inlineStr">
        <is>
          <t>3</t>
        </is>
      </c>
      <c r="L165" s="121" t="inlineStr">
        <is>
          <t>Tier 3: long tail from the TCMICA member directory; reached by the bilingual batch email, qualify only if they reply.</t>
        </is>
      </c>
      <c r="M165" s="121" t="inlineStr">
        <is>
          <t>TCMICA directory 台中市醫療器材商業同業公會 (tcmica.org.tw), read 6 Oct 2026</t>
        </is>
      </c>
      <c r="N165" s="152" t="inlineStr">
        <is>
          <t>誠徵台灣超音波經銷夥伴 | CHISON ultrasound distribution partners in Taiwan</t>
        </is>
      </c>
      <c r="O16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65" s="108" t="inlineStr">
        <is>
          <t>forevermede@gmail.com</t>
        </is>
      </c>
      <c r="Q165" s="108" t="inlineStr">
        <is>
          <t>DIR: association member directory, not the company site</t>
        </is>
      </c>
      <c r="R165" s="108" t="inlineStr">
        <is>
          <t>Batch draft 2 of 3 (Send separately) sent 6 Oct 2026</t>
        </is>
      </c>
      <c r="S165" s="108" t="n"/>
    </row>
    <row r="166" ht="287.25" customHeight="1" s="104">
      <c r="A166" s="121" t="n">
        <v>161</v>
      </c>
      <c r="B166" s="143" t="inlineStr">
        <is>
          <t>世康生技股份有限公司</t>
        </is>
      </c>
      <c r="C166" s="121" t="inlineStr">
        <is>
          <t>Contacted</t>
        </is>
      </c>
      <c r="D166" s="124" t="inlineStr">
        <is>
          <t>醫療器材</t>
        </is>
      </c>
      <c r="E166" s="121" t="inlineStr">
        <is>
          <t>Not identified (directory listing only)</t>
        </is>
      </c>
      <c r="F166" s="124" t="inlineStr">
        <is>
          <t>Taichung · 臺中市北區德化街1</t>
        </is>
      </c>
      <c r="G166" s="121" t="inlineStr">
        <is>
          <t>Not published</t>
        </is>
      </c>
      <c r="H166" s="121" t="inlineStr">
        <is>
          <t>04-2236-6718</t>
        </is>
      </c>
      <c r="I166" s="121" t="inlineStr">
        <is>
          <t>Directory listing only: general medical device trader or retailer in Taichung; capital equipment capability unconfirmed.</t>
        </is>
      </c>
      <c r="J166" s="121" t="inlineStr">
        <is>
          <t>SonoAir 70 + SonoEye P3 (confirm line card first)</t>
        </is>
      </c>
      <c r="K166" s="151" t="inlineStr">
        <is>
          <t>3</t>
        </is>
      </c>
      <c r="L166" s="121" t="inlineStr">
        <is>
          <t>Tier 3: long tail from the TCMICA member directory; reached by the bilingual batch email, qualify only if they reply.</t>
        </is>
      </c>
      <c r="M166" s="121" t="inlineStr">
        <is>
          <t>TCMICA directory 台中市醫療器材商業同業公會 (tcmica.org.tw), read 6 Oct 2026</t>
        </is>
      </c>
      <c r="N166" s="152" t="inlineStr">
        <is>
          <t>誠徵台灣超音波經銷夥伴 | CHISON ultrasound distribution partners in Taiwan</t>
        </is>
      </c>
      <c r="O16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66" s="108" t="inlineStr">
        <is>
          <t>getmed@gettw.com.tw</t>
        </is>
      </c>
      <c r="Q166" s="108" t="inlineStr">
        <is>
          <t>DIR: association member directory, not the company site</t>
        </is>
      </c>
      <c r="R166" s="108" t="inlineStr">
        <is>
          <t>Batch draft 2 of 3 (Send separately) sent 6 Oct 2026</t>
        </is>
      </c>
      <c r="S166" s="108" t="n"/>
    </row>
    <row r="167" ht="287.25" customHeight="1" s="104">
      <c r="A167" s="121" t="n">
        <v>162</v>
      </c>
      <c r="B167" s="143" t="inlineStr">
        <is>
          <t>明緯醫療器材有限公司</t>
        </is>
      </c>
      <c r="C167" s="121" t="inlineStr">
        <is>
          <t>Contacted</t>
        </is>
      </c>
      <c r="D167" s="124" t="inlineStr">
        <is>
          <t>醫療器材</t>
        </is>
      </c>
      <c r="E167" s="121" t="inlineStr">
        <is>
          <t>Not identified (directory listing only)</t>
        </is>
      </c>
      <c r="F167" s="124" t="inlineStr">
        <is>
          <t>Taichung · 臺中市北區青島西街</t>
        </is>
      </c>
      <c r="G167" s="121" t="inlineStr">
        <is>
          <t>Not published</t>
        </is>
      </c>
      <c r="H167" s="121" t="inlineStr">
        <is>
          <t>04-2293-7772</t>
        </is>
      </c>
      <c r="I167" s="121" t="inlineStr">
        <is>
          <t>Directory listing only: general medical device trader or retailer in Taichung; capital equipment capability unconfirmed.</t>
        </is>
      </c>
      <c r="J167" s="121" t="inlineStr">
        <is>
          <t>SonoAir 70 + SonoEye P3 (confirm line card first)</t>
        </is>
      </c>
      <c r="K167" s="151" t="inlineStr">
        <is>
          <t>3</t>
        </is>
      </c>
      <c r="L167" s="121" t="inlineStr">
        <is>
          <t>Tier 3: long tail from the TCMICA member directory; reached by the bilingual batch email, qualify only if they reply.</t>
        </is>
      </c>
      <c r="M167" s="121" t="inlineStr">
        <is>
          <t>TCMICA directory 台中市醫療器材商業同業公會 (tcmica.org.tw), read 6 Oct 2026</t>
        </is>
      </c>
      <c r="N167" s="152" t="inlineStr">
        <is>
          <t>誠徵台灣超音波經銷夥伴 | CHISON ultrasound distribution partners in Taiwan</t>
        </is>
      </c>
      <c r="O16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67" s="108" t="inlineStr">
        <is>
          <t>klauslin0301@gmail.com</t>
        </is>
      </c>
      <c r="Q167" s="108" t="inlineStr">
        <is>
          <t>DIR: association member directory, not the company site</t>
        </is>
      </c>
      <c r="R167" s="108" t="inlineStr">
        <is>
          <t>Batch draft 2 of 3 (Send separately) sent 6 Oct 2026</t>
        </is>
      </c>
      <c r="S167" s="108" t="n"/>
    </row>
    <row r="168" ht="287.25" customHeight="1" s="104">
      <c r="A168" s="121" t="n">
        <v>163</v>
      </c>
      <c r="B168" s="143" t="inlineStr">
        <is>
          <t>合豐實業有限公司</t>
        </is>
      </c>
      <c r="C168" s="121" t="inlineStr">
        <is>
          <t>Contacted</t>
        </is>
      </c>
      <c r="D168" s="124" t="inlineStr">
        <is>
          <t>醫療器材批發</t>
        </is>
      </c>
      <c r="E168" s="121" t="inlineStr">
        <is>
          <t>Not identified (directory listing only)</t>
        </is>
      </c>
      <c r="F168" s="124" t="inlineStr">
        <is>
          <t>Taichung · 臺中市北區文昌東二</t>
        </is>
      </c>
      <c r="G168" s="121" t="inlineStr">
        <is>
          <t>Not published</t>
        </is>
      </c>
      <c r="H168" s="121" t="inlineStr">
        <is>
          <t>04-2538-1363</t>
        </is>
      </c>
      <c r="I168" s="121" t="inlineStr">
        <is>
          <t>Directory listing only: general medical device trader or retailer in Taichung; capital equipment capability unconfirmed.</t>
        </is>
      </c>
      <c r="J168" s="121" t="inlineStr">
        <is>
          <t>SonoAir 70 + SonoEye P3 (confirm line card first)</t>
        </is>
      </c>
      <c r="K168" s="151" t="inlineStr">
        <is>
          <t>3</t>
        </is>
      </c>
      <c r="L168" s="121" t="inlineStr">
        <is>
          <t>Tier 3: long tail from the TCMICA member directory; reached by the bilingual batch email, qualify only if they reply.</t>
        </is>
      </c>
      <c r="M168" s="121" t="inlineStr">
        <is>
          <t>TCMICA directory 台中市醫療器材商業同業公會 (tcmica.org.tw), read 6 Oct 2026</t>
        </is>
      </c>
      <c r="N168" s="152" t="inlineStr">
        <is>
          <t>誠徵台灣超音波經銷夥伴 | CHISON ultrasound distribution partners in Taiwan</t>
        </is>
      </c>
      <c r="O16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68" s="108" t="inlineStr">
        <is>
          <t>hot.first@msa.hinet.net</t>
        </is>
      </c>
      <c r="Q168" s="108" t="inlineStr">
        <is>
          <t>DIR: association member directory, not the company site</t>
        </is>
      </c>
      <c r="R168" s="108" t="inlineStr">
        <is>
          <t>Batch draft 2 of 3 (Send separately) sent 6 Oct 2026</t>
        </is>
      </c>
      <c r="S168" s="108" t="n"/>
    </row>
    <row r="169" ht="287.25" customHeight="1" s="104">
      <c r="A169" s="121" t="n">
        <v>164</v>
      </c>
      <c r="B169" s="143" t="inlineStr">
        <is>
          <t>立謄科技有限公司</t>
        </is>
      </c>
      <c r="C169" s="121" t="inlineStr">
        <is>
          <t>Contacted</t>
        </is>
      </c>
      <c r="D169" s="124" t="inlineStr">
        <is>
          <t>醫療器材</t>
        </is>
      </c>
      <c r="E169" s="121" t="inlineStr">
        <is>
          <t>Not identified (directory listing only)</t>
        </is>
      </c>
      <c r="F169" s="124" t="inlineStr">
        <is>
          <t>Taichung · 臺中市北區民權路5</t>
        </is>
      </c>
      <c r="G169" s="121" t="inlineStr">
        <is>
          <t>Not published</t>
        </is>
      </c>
      <c r="H169" s="121" t="inlineStr">
        <is>
          <t>04-2335-1492</t>
        </is>
      </c>
      <c r="I169" s="121" t="inlineStr">
        <is>
          <t>Directory listing only: general medical device trader or retailer in Taichung; capital equipment capability unconfirmed.</t>
        </is>
      </c>
      <c r="J169" s="121" t="inlineStr">
        <is>
          <t>SonoAir 70 + SonoEye P3 (confirm line card first)</t>
        </is>
      </c>
      <c r="K169" s="151" t="inlineStr">
        <is>
          <t>3</t>
        </is>
      </c>
      <c r="L169" s="121" t="inlineStr">
        <is>
          <t>Tier 3: long tail from the TCMICA member directory; reached by the bilingual batch email, qualify only if they reply.</t>
        </is>
      </c>
      <c r="M169" s="121" t="inlineStr">
        <is>
          <t>TCMICA directory 台中市醫療器材商業同業公會 (tcmica.org.tw), read 6 Oct 2026</t>
        </is>
      </c>
      <c r="N169" s="152" t="inlineStr">
        <is>
          <t>誠徵台灣超音波經銷夥伴 | CHISON ultrasound distribution partners in Taiwan</t>
        </is>
      </c>
      <c r="O16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69" s="108" t="inlineStr">
        <is>
          <t>avalohuang@gmail.com</t>
        </is>
      </c>
      <c r="Q169" s="108" t="inlineStr">
        <is>
          <t>DIR: association member directory, not the company site</t>
        </is>
      </c>
      <c r="R169" s="108" t="inlineStr">
        <is>
          <t>Batch draft 2 of 3 (Send separately) sent 6 Oct 2026</t>
        </is>
      </c>
      <c r="S169" s="108" t="n"/>
    </row>
    <row r="170" ht="287.25" customHeight="1" s="104">
      <c r="A170" s="121" t="n">
        <v>165</v>
      </c>
      <c r="B170" s="143" t="inlineStr">
        <is>
          <t>瑞麗國際貿易股份有限公司</t>
        </is>
      </c>
      <c r="C170" s="121" t="inlineStr">
        <is>
          <t>Contacted</t>
        </is>
      </c>
      <c r="D170" s="124" t="inlineStr">
        <is>
          <t>醫療器材</t>
        </is>
      </c>
      <c r="E170" s="121" t="inlineStr">
        <is>
          <t>Not identified (directory listing only)</t>
        </is>
      </c>
      <c r="F170" s="124" t="inlineStr">
        <is>
          <t>Taichung · 臺中市北區永興街3</t>
        </is>
      </c>
      <c r="G170" s="121" t="inlineStr">
        <is>
          <t>Not published</t>
        </is>
      </c>
      <c r="H170" s="121" t="inlineStr">
        <is>
          <t>04-2235-6421</t>
        </is>
      </c>
      <c r="I170" s="121" t="inlineStr">
        <is>
          <t>Directory listing only: general medical device trader or retailer in Taichung; capital equipment capability unconfirmed.</t>
        </is>
      </c>
      <c r="J170" s="121" t="inlineStr">
        <is>
          <t>SonoAir 70 + SonoEye P3 (confirm line card first)</t>
        </is>
      </c>
      <c r="K170" s="151" t="inlineStr">
        <is>
          <t>3</t>
        </is>
      </c>
      <c r="L170" s="121" t="inlineStr">
        <is>
          <t>Tier 3: long tail from the TCMICA member directory; reached by the bilingual batch email, qualify only if they reply.</t>
        </is>
      </c>
      <c r="M170" s="121" t="inlineStr">
        <is>
          <t>TCMICA directory 台中市醫療器材商業同業公會 (tcmica.org.tw), read 6 Oct 2026</t>
        </is>
      </c>
      <c r="N170" s="152" t="inlineStr">
        <is>
          <t>誠徵台灣超音波經銷夥伴 | CHISON ultrasound distribution partners in Taiwan</t>
        </is>
      </c>
      <c r="O17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70" s="108" t="inlineStr">
        <is>
          <t>kiki@etechmis.com.tw</t>
        </is>
      </c>
      <c r="Q170" s="108" t="inlineStr">
        <is>
          <t>DIR: association member directory, not the company site</t>
        </is>
      </c>
      <c r="R170" s="108" t="inlineStr">
        <is>
          <t>Batch draft 2 of 3 (Send separately) sent 6 Oct 2026</t>
        </is>
      </c>
      <c r="S170" s="108" t="n"/>
    </row>
    <row r="171" ht="287.25" customHeight="1" s="104">
      <c r="A171" s="121" t="n">
        <v>166</v>
      </c>
      <c r="B171" s="143" t="inlineStr">
        <is>
          <t>博盛生醫股份有限公司</t>
        </is>
      </c>
      <c r="C171" s="121" t="inlineStr">
        <is>
          <t>Contacted</t>
        </is>
      </c>
      <c r="D171" s="124" t="inlineStr">
        <is>
          <t>醫療器材</t>
        </is>
      </c>
      <c r="E171" s="121" t="inlineStr">
        <is>
          <t>Not identified (directory listing only)</t>
        </is>
      </c>
      <c r="F171" s="124" t="inlineStr">
        <is>
          <t>Taichung · 臺中市西屯區市政路</t>
        </is>
      </c>
      <c r="G171" s="121" t="inlineStr">
        <is>
          <t>Not published</t>
        </is>
      </c>
      <c r="H171" s="121" t="inlineStr">
        <is>
          <t>04-2254-1985</t>
        </is>
      </c>
      <c r="I171" s="121" t="inlineStr">
        <is>
          <t>Directory listing only: general medical device trader or retailer in Taichung; capital equipment capability unconfirmed.</t>
        </is>
      </c>
      <c r="J171" s="121" t="inlineStr">
        <is>
          <t>SonoAir 70 + SonoEye P3 (confirm line card first)</t>
        </is>
      </c>
      <c r="K171" s="151" t="inlineStr">
        <is>
          <t>3</t>
        </is>
      </c>
      <c r="L171" s="121" t="inlineStr">
        <is>
          <t>Tier 3: long tail from the TCMICA member directory; reached by the bilingual batch email, qualify only if they reply.</t>
        </is>
      </c>
      <c r="M171" s="121" t="inlineStr">
        <is>
          <t>TCMICA directory 台中市醫療器材商業同業公會 (tcmica.org.tw), read 6 Oct 2026</t>
        </is>
      </c>
      <c r="N171" s="152" t="inlineStr">
        <is>
          <t>誠徵台灣超音波經銷夥伴 | CHISON ultrasound distribution partners in Taiwan</t>
        </is>
      </c>
      <c r="O17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71" s="108" t="inlineStr">
        <is>
          <t>powen_cheng@bmt.com.tw</t>
        </is>
      </c>
      <c r="Q171" s="108" t="inlineStr">
        <is>
          <t>DIR: association member directory, not the company site</t>
        </is>
      </c>
      <c r="R171" s="108" t="inlineStr">
        <is>
          <t>Batch draft 2 of 3 (Send separately) sent 6 Oct 2026</t>
        </is>
      </c>
      <c r="S171" s="108" t="n"/>
    </row>
    <row r="172" ht="287.25" customHeight="1" s="104">
      <c r="A172" s="121" t="n">
        <v>167</v>
      </c>
      <c r="B172" s="143" t="inlineStr">
        <is>
          <t>東泰儀器有限公司</t>
        </is>
      </c>
      <c r="C172" s="121" t="inlineStr">
        <is>
          <t>Contacted</t>
        </is>
      </c>
      <c r="D172" s="124" t="inlineStr">
        <is>
          <t>醫療器材</t>
        </is>
      </c>
      <c r="E172" s="121" t="inlineStr">
        <is>
          <t>Not identified (directory listing only)</t>
        </is>
      </c>
      <c r="F172" s="124" t="inlineStr">
        <is>
          <t>Taichung · 臺中市北區育德路2</t>
        </is>
      </c>
      <c r="G172" s="121" t="inlineStr">
        <is>
          <t>Not published</t>
        </is>
      </c>
      <c r="H172" s="121" t="inlineStr">
        <is>
          <t>04-2208-6662</t>
        </is>
      </c>
      <c r="I172" s="121" t="inlineStr">
        <is>
          <t>Directory listing only: general medical device trader or retailer in Taichung; capital equipment capability unconfirmed.</t>
        </is>
      </c>
      <c r="J172" s="121" t="inlineStr">
        <is>
          <t>SonoAir 70 + SonoEye P3 (confirm line card first)</t>
        </is>
      </c>
      <c r="K172" s="151" t="inlineStr">
        <is>
          <t>3</t>
        </is>
      </c>
      <c r="L172" s="121" t="inlineStr">
        <is>
          <t>Tier 3: long tail from the TCMICA member directory; reached by the bilingual batch email, qualify only if they reply.</t>
        </is>
      </c>
      <c r="M172" s="121" t="inlineStr">
        <is>
          <t>TCMICA directory 台中市醫療器材商業同業公會 (tcmica.org.tw), read 6 Oct 2026</t>
        </is>
      </c>
      <c r="N172" s="152" t="inlineStr">
        <is>
          <t>誠徵台灣超音波經銷夥伴 | CHISON ultrasound distribution partners in Taiwan</t>
        </is>
      </c>
      <c r="O17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72" s="108" t="inlineStr">
        <is>
          <t>a0931357871@gmail.com</t>
        </is>
      </c>
      <c r="Q172" s="108" t="inlineStr">
        <is>
          <t>DIR: association member directory, not the company site</t>
        </is>
      </c>
      <c r="R172" s="108" t="inlineStr">
        <is>
          <t>Batch draft 2 of 3 (Send separately) sent 6 Oct 2026</t>
        </is>
      </c>
      <c r="S172" s="108" t="n"/>
    </row>
    <row r="173" ht="287.25" customHeight="1" s="104">
      <c r="A173" s="121" t="n">
        <v>168</v>
      </c>
      <c r="B173" s="143" t="inlineStr">
        <is>
          <t>美爾富科技股份有限公司</t>
        </is>
      </c>
      <c r="C173" s="121" t="inlineStr">
        <is>
          <t>Contacted</t>
        </is>
      </c>
      <c r="D173" s="124" t="inlineStr">
        <is>
          <t>醫療器材</t>
        </is>
      </c>
      <c r="E173" s="121" t="inlineStr">
        <is>
          <t>Not identified (directory listing only)</t>
        </is>
      </c>
      <c r="F173" s="124" t="inlineStr">
        <is>
          <t>Taichung · 臺中市北區進化北路</t>
        </is>
      </c>
      <c r="G173" s="121" t="inlineStr">
        <is>
          <t>Not published</t>
        </is>
      </c>
      <c r="H173" s="121" t="inlineStr">
        <is>
          <t>04-2237-2561</t>
        </is>
      </c>
      <c r="I173" s="121" t="inlineStr">
        <is>
          <t>Directory listing only: general medical device trader or retailer in Taichung; capital equipment capability unconfirmed.</t>
        </is>
      </c>
      <c r="J173" s="121" t="inlineStr">
        <is>
          <t>SonoAir 70 + SonoEye P3 (confirm line card first)</t>
        </is>
      </c>
      <c r="K173" s="151" t="inlineStr">
        <is>
          <t>3</t>
        </is>
      </c>
      <c r="L173" s="121" t="inlineStr">
        <is>
          <t>Tier 3: long tail from the TCMICA member directory; reached by the bilingual batch email, qualify only if they reply.</t>
        </is>
      </c>
      <c r="M173" s="121" t="inlineStr">
        <is>
          <t>TCMICA directory 台中市醫療器材商業同業公會 (tcmica.org.tw), read 6 Oct 2026</t>
        </is>
      </c>
      <c r="N173" s="152" t="inlineStr">
        <is>
          <t>誠徵台灣超音波經銷夥伴 | CHISON ultrasound distribution partners in Taiwan</t>
        </is>
      </c>
      <c r="O17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73" s="108" t="inlineStr">
        <is>
          <t>hosp.cs@a-strong1987.com.tw</t>
        </is>
      </c>
      <c r="Q173" s="108" t="inlineStr">
        <is>
          <t>DIR: association member directory, not the company site</t>
        </is>
      </c>
      <c r="R173" s="108" t="inlineStr">
        <is>
          <t>Batch draft 2 of 3 (Send separately) sent 6 Oct 2026</t>
        </is>
      </c>
      <c r="S173" s="108" t="n"/>
    </row>
    <row r="174" ht="287.25" customHeight="1" s="104">
      <c r="A174" s="121" t="n">
        <v>169</v>
      </c>
      <c r="B174" s="143" t="inlineStr">
        <is>
          <t>凱上有限公司</t>
        </is>
      </c>
      <c r="C174" s="121" t="inlineStr">
        <is>
          <t>Not started</t>
        </is>
      </c>
      <c r="D174" s="124" t="inlineStr">
        <is>
          <t>醫療器材批發零售</t>
        </is>
      </c>
      <c r="E174" s="121" t="inlineStr">
        <is>
          <t>Not identified (directory listing only)</t>
        </is>
      </c>
      <c r="F174" s="124" t="inlineStr">
        <is>
          <t>Taichung · 臺中市北區大仁街7</t>
        </is>
      </c>
      <c r="G174" s="121" t="inlineStr">
        <is>
          <t>Not published</t>
        </is>
      </c>
      <c r="H174" s="121" t="inlineStr">
        <is>
          <t>04-2296-0022</t>
        </is>
      </c>
      <c r="I174" s="121" t="inlineStr">
        <is>
          <t>Directory listing only: general medical device trader or retailer in Taichung; capital equipment capability unconfirmed.</t>
        </is>
      </c>
      <c r="J174" s="121" t="inlineStr">
        <is>
          <t>SonoAir 70 + SonoEye P3 (confirm line card first)</t>
        </is>
      </c>
      <c r="K174" s="151" t="inlineStr">
        <is>
          <t>3</t>
        </is>
      </c>
      <c r="L174" s="121" t="inlineStr">
        <is>
          <t>Tier 3: long tail from the TCMICA member directory; reached by the bilingual batch email, qualify only if they reply.</t>
        </is>
      </c>
      <c r="M174" s="121" t="inlineStr">
        <is>
          <t>TCMICA directory 台中市醫療器材商業同業公會 (tcmica.org.tw), read 6 Oct 2026</t>
        </is>
      </c>
      <c r="N174" s="152" t="inlineStr">
        <is>
          <t>誠徵台灣超音波經銷夥伴 | CHISON ultrasound distribution partners in Taiwan</t>
        </is>
      </c>
      <c r="O17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74" s="108" t="inlineStr">
        <is>
          <t>casaioannechi@gmail.com</t>
        </is>
      </c>
      <c r="Q174" s="108" t="inlineStr">
        <is>
          <t>BOUNCED 6 Oct 2026</t>
        </is>
      </c>
      <c r="R174" s="108" t="inlineStr">
        <is>
          <t>Sent 6 Oct 2026, BOUNCED: Gmail account does not exist. Find a working email or call.</t>
        </is>
      </c>
      <c r="S174" s="108" t="n"/>
    </row>
    <row r="175" ht="300" customHeight="1" s="104">
      <c r="A175" s="121" t="n">
        <v>170</v>
      </c>
      <c r="B175" s="143" t="inlineStr">
        <is>
          <t>長立儀器有限公司</t>
        </is>
      </c>
      <c r="C175" s="121" t="inlineStr">
        <is>
          <t>Contacted</t>
        </is>
      </c>
      <c r="D175" s="124" t="inlineStr">
        <is>
          <t>醫療器材</t>
        </is>
      </c>
      <c r="E175" s="121" t="inlineStr">
        <is>
          <t>Not identified (directory listing only)</t>
        </is>
      </c>
      <c r="F175" s="124" t="inlineStr">
        <is>
          <t>Taichung · 臺中市北屯區豐樂路</t>
        </is>
      </c>
      <c r="G175" s="121" t="inlineStr">
        <is>
          <t>Not published</t>
        </is>
      </c>
      <c r="H175" s="121" t="inlineStr">
        <is>
          <t>04-2422-4832</t>
        </is>
      </c>
      <c r="I175" s="121" t="inlineStr">
        <is>
          <t>Taichung association member with a business line adjacent to ultrasound; line card and existing ultrasound brand to confirm on first call.</t>
        </is>
      </c>
      <c r="J175" s="121" t="inlineStr">
        <is>
          <t>SonoEye P3 + SonoGo</t>
        </is>
      </c>
      <c r="K175" s="155" t="inlineStr">
        <is>
          <t>2</t>
        </is>
      </c>
      <c r="L175" s="121" t="inlineStr">
        <is>
          <t>Tier 2: adjacent segment from the TCMICA directory (equipment, OR, emergency, imaging or import), individual email sent; qualify scale and service team.</t>
        </is>
      </c>
      <c r="M175" s="121" t="inlineStr">
        <is>
          <t>TCMICA directory 台中市醫療器材商業同業公會 (tcmica.org.tw), read 6 Oct 2026</t>
        </is>
      </c>
      <c r="N175" s="152" t="inlineStr">
        <is>
          <t>長立儀器: CHISON ultrasound for the operating room</t>
        </is>
      </c>
      <c r="O175" s="108" t="inlineStr">
        <is>
          <t>Dear 長立儀器 team,
I am Casper Tan, Senior Regional Sales Manager at AstraMed Healthcare, a subsidiary of CHISON Medical Technologies, and I look after Taiwan. Your operating room equipment business means you already sit with anaesthetists and surgeons, who now use ultrasound for nerve blocks and vascular access as routine.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the OR and anaesthesia, these are the models I would suggest:
• SonoEye P3: a pocket handheld for emergency, ICU and bedside work; SonoEye was rated the top handheld in an independent comparison of nine handheld devices published in Diagnostics (MDPI)
• SonoGo: a 3 in 1 system with a 15.6 inch full touchscreen, laptop portability at 4.8 kg and a trolley for cart level work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75" s="108" t="inlineStr">
        <is>
          <t>jimmy@amtai.com</t>
        </is>
      </c>
      <c r="Q175" s="108" t="inlineStr">
        <is>
          <t>DIR: association member directory, not the company site</t>
        </is>
      </c>
      <c r="R175" s="108" t="inlineStr">
        <is>
          <t>Sent 6 Oct 2026 from Winmail with Corporate Brochure 2027</t>
        </is>
      </c>
      <c r="S175" s="108" t="n"/>
    </row>
    <row r="176" ht="310.5" customHeight="1" s="104">
      <c r="A176" s="121" t="n">
        <v>171</v>
      </c>
      <c r="B176" s="143" t="inlineStr">
        <is>
          <t>健富儀器有限公司</t>
        </is>
      </c>
      <c r="C176" s="121" t="inlineStr">
        <is>
          <t>Not started</t>
        </is>
      </c>
      <c r="D176" s="124" t="inlineStr">
        <is>
          <t>醫療設備器材進出口、長照設備</t>
        </is>
      </c>
      <c r="E176" s="121" t="inlineStr">
        <is>
          <t>Not identified (directory listing only)</t>
        </is>
      </c>
      <c r="F176" s="124" t="inlineStr">
        <is>
          <t>Taichung · 台中市北屯區大連路</t>
        </is>
      </c>
      <c r="G176" s="121" t="inlineStr">
        <is>
          <t>Not published</t>
        </is>
      </c>
      <c r="H176" s="121" t="inlineStr">
        <is>
          <t>04-2247-0658</t>
        </is>
      </c>
      <c r="I176" s="121" t="inlineStr">
        <is>
          <t>Taichung association member with a business line adjacent to ultrasound; line card and existing ultrasound brand to confirm on first call.</t>
        </is>
      </c>
      <c r="J176" s="121" t="inlineStr">
        <is>
          <t>SonoEye P3 + SonoAir 70</t>
        </is>
      </c>
      <c r="K176" s="155" t="inlineStr">
        <is>
          <t>2</t>
        </is>
      </c>
      <c r="L176" s="121" t="inlineStr">
        <is>
          <t>Tier 2: adjacent segment from the TCMICA directory (equipment, OR, emergency, imaging or import), individual email sent; qualify scale and service team.</t>
        </is>
      </c>
      <c r="M176" s="121" t="inlineStr">
        <is>
          <t>TCMICA directory 台中市醫療器材商業同業公會 (tcmica.org.tw), read 6 Oct 2026</t>
        </is>
      </c>
      <c r="N176" s="152" t="inlineStr">
        <is>
          <t>健富儀器: CHISON ultrasound for long term care and home care</t>
        </is>
      </c>
      <c r="O176" s="108" t="inlineStr">
        <is>
          <t>Dear 健富儀器 team,
I am Casper Tan, Senior Regional Sales Manager at AstraMed Healthcare, a subsidiary of CHISON Medical Technologies, and I look after Taiwan. Your import business in medical and long term care equipment reaches nursing homes and home care teams, where a quick bladder or bedside scan saves a hospital trip.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long term care and home care, these are the models I would suggest:
• SonoEye P3: a pocket handheld for emergency, ICU and bedside work; SonoEye was rated the top handheld in an independent comparison of nine handheld devices published in Diagnostics (MDPI)
• SonoAir 70: a 2.1 kg laptop with four active probe ports and SonoAI tools such as automatic bladder volume and thyroid and breast nodule measurement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76" s="108" t="inlineStr">
        <is>
          <t>fortunmw@ms49.hinet.net</t>
        </is>
      </c>
      <c r="Q176" s="108" t="inlineStr">
        <is>
          <t>BOUNCED 6 Oct 2026</t>
        </is>
      </c>
      <c r="R176" s="108" t="inlineStr">
        <is>
          <t>Sent 6 Oct 2026, BOUNCED: Mailbox full (quota exceeded); retry later. Find a working email or call.</t>
        </is>
      </c>
      <c r="S176" s="108" t="n"/>
    </row>
    <row r="177" ht="287.25" customHeight="1" s="104">
      <c r="A177" s="121" t="n">
        <v>172</v>
      </c>
      <c r="B177" s="143" t="inlineStr">
        <is>
          <t>喜兒生企業有限公司</t>
        </is>
      </c>
      <c r="C177" s="121" t="inlineStr">
        <is>
          <t>Contacted</t>
        </is>
      </c>
      <c r="D177" s="124" t="inlineStr">
        <is>
          <t>婦幼醫療器材</t>
        </is>
      </c>
      <c r="E177" s="121" t="inlineStr">
        <is>
          <t>Not identified (directory listing only)</t>
        </is>
      </c>
      <c r="F177" s="124" t="inlineStr">
        <is>
          <t>Taichung · 台中市北屯區東山路</t>
        </is>
      </c>
      <c r="G177" s="121" t="inlineStr">
        <is>
          <t>Not published</t>
        </is>
      </c>
      <c r="H177" s="121" t="inlineStr">
        <is>
          <t>04-2278-7502</t>
        </is>
      </c>
      <c r="I177" s="121" t="inlineStr">
        <is>
          <t>Directory listing only: general medical device trader or retailer in Taichung; capital equipment capability unconfirmed.</t>
        </is>
      </c>
      <c r="J177" s="121" t="inlineStr">
        <is>
          <t>SonoAir 70 + SonoEye P3 (confirm line card first)</t>
        </is>
      </c>
      <c r="K177" s="151" t="inlineStr">
        <is>
          <t>3</t>
        </is>
      </c>
      <c r="L177" s="121" t="inlineStr">
        <is>
          <t>Tier 3: long tail from the TCMICA member directory; reached by the bilingual batch email, qualify only if they reply.</t>
        </is>
      </c>
      <c r="M177" s="121" t="inlineStr">
        <is>
          <t>TCMICA directory 台中市醫療器材商業同業公會 (tcmica.org.tw), read 6 Oct 2026</t>
        </is>
      </c>
      <c r="N177" s="152" t="inlineStr">
        <is>
          <t>誠徵台灣超音波經銷夥伴 | CHISON ultrasound distribution partners in Taiwan</t>
        </is>
      </c>
      <c r="O17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77" s="108" t="inlineStr">
        <is>
          <t>baby9march@yahoo.com.tw</t>
        </is>
      </c>
      <c r="Q177" s="108" t="inlineStr">
        <is>
          <t>DIR: association member directory, not the company site</t>
        </is>
      </c>
      <c r="R177" s="108" t="inlineStr">
        <is>
          <t>Batch draft 2 of 3 (Send separately) sent 6 Oct 2026</t>
        </is>
      </c>
      <c r="S177" s="108" t="n"/>
    </row>
    <row r="178" ht="287.25" customHeight="1" s="104">
      <c r="A178" s="121" t="n">
        <v>173</v>
      </c>
      <c r="B178" s="143" t="inlineStr">
        <is>
          <t>元佑實業有限公司台中分公司</t>
        </is>
      </c>
      <c r="C178" s="121" t="inlineStr">
        <is>
          <t>Contacted</t>
        </is>
      </c>
      <c r="D178" s="124" t="inlineStr">
        <is>
          <t>醫療器材</t>
        </is>
      </c>
      <c r="E178" s="121" t="inlineStr">
        <is>
          <t>Not identified (directory listing only)</t>
        </is>
      </c>
      <c r="F178" s="124" t="inlineStr">
        <is>
          <t>Taichung · 臺中市北屯區文心路</t>
        </is>
      </c>
      <c r="G178" s="121" t="inlineStr">
        <is>
          <t>Not published</t>
        </is>
      </c>
      <c r="H178" s="121" t="inlineStr">
        <is>
          <t>04-2297-8071</t>
        </is>
      </c>
      <c r="I178" s="121" t="inlineStr">
        <is>
          <t>Directory listing only: general medical device trader or retailer in Taichung; capital equipment capability unconfirmed.</t>
        </is>
      </c>
      <c r="J178" s="121" t="inlineStr">
        <is>
          <t>SonoAir 70 + SonoEye P3 (confirm line card first)</t>
        </is>
      </c>
      <c r="K178" s="151" t="inlineStr">
        <is>
          <t>3</t>
        </is>
      </c>
      <c r="L178" s="121" t="inlineStr">
        <is>
          <t>Tier 3: long tail from the TCMICA member directory; reached by the bilingual batch email, qualify only if they reply.</t>
        </is>
      </c>
      <c r="M178" s="121" t="inlineStr">
        <is>
          <t>TCMICA directory 台中市醫療器材商業同業公會 (tcmica.org.tw), read 6 Oct 2026</t>
        </is>
      </c>
      <c r="N178" s="152" t="inlineStr">
        <is>
          <t>誠徵台灣超音波經銷夥伴 | CHISON ultrasound distribution partners in Taiwan</t>
        </is>
      </c>
      <c r="O17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78" s="108" t="inlineStr">
        <is>
          <t>emily@yuanyu.tw</t>
        </is>
      </c>
      <c r="Q178" s="108" t="inlineStr">
        <is>
          <t>DIR: association member directory, not the company site</t>
        </is>
      </c>
      <c r="R178" s="108" t="inlineStr">
        <is>
          <t>Batch draft 2 of 3 (Send separately) sent 6 Oct 2026</t>
        </is>
      </c>
      <c r="S178" s="108" t="n"/>
    </row>
    <row r="179" ht="287.25" customHeight="1" s="104">
      <c r="A179" s="121" t="n">
        <v>174</v>
      </c>
      <c r="B179" s="143" t="inlineStr">
        <is>
          <t>兢威有限公司</t>
        </is>
      </c>
      <c r="C179" s="121" t="inlineStr">
        <is>
          <t>Contacted</t>
        </is>
      </c>
      <c r="D179" s="124" t="inlineStr">
        <is>
          <t>醫療器材、精密儀器</t>
        </is>
      </c>
      <c r="E179" s="121" t="inlineStr">
        <is>
          <t>Not identified (directory listing only)</t>
        </is>
      </c>
      <c r="F179" s="124" t="inlineStr">
        <is>
          <t>Taichung · 臺中市北屯區中清路</t>
        </is>
      </c>
      <c r="G179" s="121" t="inlineStr">
        <is>
          <t>Not published</t>
        </is>
      </c>
      <c r="H179" s="121" t="inlineStr">
        <is>
          <t>04-2291-7779</t>
        </is>
      </c>
      <c r="I179" s="121" t="inlineStr">
        <is>
          <t>Directory listing only: general medical device trader or retailer in Taichung; capital equipment capability unconfirmed.</t>
        </is>
      </c>
      <c r="J179" s="121" t="inlineStr">
        <is>
          <t>SonoAir 70 + SonoEye P3 (confirm line card first)</t>
        </is>
      </c>
      <c r="K179" s="151" t="inlineStr">
        <is>
          <t>3</t>
        </is>
      </c>
      <c r="L179" s="121" t="inlineStr">
        <is>
          <t>Tier 3: long tail from the TCMICA member directory; reached by the bilingual batch email, qualify only if they reply.</t>
        </is>
      </c>
      <c r="M179" s="121" t="inlineStr">
        <is>
          <t>TCMICA directory 台中市醫療器材商業同業公會 (tcmica.org.tw), read 6 Oct 2026</t>
        </is>
      </c>
      <c r="N179" s="152" t="inlineStr">
        <is>
          <t>誠徵台灣超音波經銷夥伴 | CHISON ultrasound distribution partners in Taiwan</t>
        </is>
      </c>
      <c r="O17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79" s="108" t="inlineStr">
        <is>
          <t>duke@geneway.com.tw</t>
        </is>
      </c>
      <c r="Q179" s="108" t="inlineStr">
        <is>
          <t>DIR: association member directory, not the company site</t>
        </is>
      </c>
      <c r="R179" s="108" t="inlineStr">
        <is>
          <t>Batch draft 2 of 3 (Send separately) sent 6 Oct 2026</t>
        </is>
      </c>
      <c r="S179" s="108" t="n"/>
    </row>
    <row r="180" ht="287.25" customHeight="1" s="104">
      <c r="A180" s="121" t="n">
        <v>175</v>
      </c>
      <c r="B180" s="143" t="inlineStr">
        <is>
          <t>植舜企業股份有限公司</t>
        </is>
      </c>
      <c r="C180" s="121" t="inlineStr">
        <is>
          <t>Contacted</t>
        </is>
      </c>
      <c r="D180" s="124" t="inlineStr">
        <is>
          <t>醫療器材</t>
        </is>
      </c>
      <c r="E180" s="121" t="inlineStr">
        <is>
          <t>Not identified (directory listing only)</t>
        </is>
      </c>
      <c r="F180" s="124" t="inlineStr">
        <is>
          <t>Taichung · 台中市北屯區崇德路</t>
        </is>
      </c>
      <c r="G180" s="121" t="inlineStr">
        <is>
          <t>Not published</t>
        </is>
      </c>
      <c r="H180" s="121" t="inlineStr">
        <is>
          <t>04-2230-5706</t>
        </is>
      </c>
      <c r="I180" s="121" t="inlineStr">
        <is>
          <t>Directory listing only: general medical device trader or retailer in Taichung; capital equipment capability unconfirmed.</t>
        </is>
      </c>
      <c r="J180" s="121" t="inlineStr">
        <is>
          <t>SonoAir 70 + SonoEye P3 (confirm line card first)</t>
        </is>
      </c>
      <c r="K180" s="151" t="inlineStr">
        <is>
          <t>3</t>
        </is>
      </c>
      <c r="L180" s="121" t="inlineStr">
        <is>
          <t>Tier 3: long tail from the TCMICA member directory; reached by the bilingual batch email, qualify only if they reply.</t>
        </is>
      </c>
      <c r="M180" s="121" t="inlineStr">
        <is>
          <t>TCMICA directory 台中市醫療器材商業同業公會 (tcmica.org.tw), read 6 Oct 2026</t>
        </is>
      </c>
      <c r="N180" s="152" t="inlineStr">
        <is>
          <t>誠徵台灣超音波經銷夥伴 | CHISON ultrasound distribution partners in Taiwan</t>
        </is>
      </c>
      <c r="O18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80" s="108" t="inlineStr">
        <is>
          <t>business@green-hope.com.tw</t>
        </is>
      </c>
      <c r="Q180" s="108" t="inlineStr">
        <is>
          <t>DIR: association member directory, not the company site</t>
        </is>
      </c>
      <c r="R180" s="108" t="inlineStr">
        <is>
          <t>Batch draft 2 of 3 (Send separately) sent 6 Oct 2026</t>
        </is>
      </c>
      <c r="S180" s="108" t="n"/>
    </row>
    <row r="181" ht="310.5" customHeight="1" s="104">
      <c r="A181" s="121" t="n">
        <v>176</v>
      </c>
      <c r="B181" s="143" t="inlineStr">
        <is>
          <t>億眾實業股份有限公司</t>
        </is>
      </c>
      <c r="C181" s="121" t="inlineStr">
        <is>
          <t>Not started</t>
        </is>
      </c>
      <c r="D181" s="124" t="inlineStr">
        <is>
          <t>救護車醫療器材</t>
        </is>
      </c>
      <c r="E181" s="121" t="inlineStr">
        <is>
          <t>Not identified (directory listing only)</t>
        </is>
      </c>
      <c r="F181" s="124" t="inlineStr">
        <is>
          <t>Taichung · 臺中市北屯區文心路</t>
        </is>
      </c>
      <c r="G181" s="121" t="inlineStr">
        <is>
          <t>Not published</t>
        </is>
      </c>
      <c r="H181" s="121" t="inlineStr">
        <is>
          <t>04-2243-9111</t>
        </is>
      </c>
      <c r="I181" s="121" t="inlineStr">
        <is>
          <t>Taichung association member with a business line adjacent to ultrasound; line card and existing ultrasound brand to confirm on first call.</t>
        </is>
      </c>
      <c r="J181" s="121" t="inlineStr">
        <is>
          <t>SonoEye P3 + SonoAir 70</t>
        </is>
      </c>
      <c r="K181" s="155" t="inlineStr">
        <is>
          <t>2</t>
        </is>
      </c>
      <c r="L181" s="121" t="inlineStr">
        <is>
          <t>Tier 2: adjacent segment from the TCMICA directory (equipment, OR, emergency, imaging or import), individual email sent; qualify scale and service team.</t>
        </is>
      </c>
      <c r="M181" s="121" t="inlineStr">
        <is>
          <t>TCMICA directory 台中市醫療器材商業同業公會 (tcmica.org.tw), read 6 Oct 2026</t>
        </is>
      </c>
      <c r="N181" s="152" t="inlineStr">
        <is>
          <t>億眾實業: CHISON handheld ultrasound for ambulances and emergency teams</t>
        </is>
      </c>
      <c r="O181" s="108" t="inlineStr">
        <is>
          <t>Dear 億眾實業 team,
I am Casper Tan, Senior Regional Sales Manager at AstraMed Healthcare, a subsidiary of CHISON Medical Technologies, and I look after Taiwan. Your ambulance equipment customers are where pocket ultrasound adds most, from FAST scans at the roadside to checks in the emergency room.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emergency and prehospital teams, these are the models I would suggest:
• SonoEye P3: a pocket handheld for emergency, ICU and bedside work; SonoEye was rated the top handheld in an independent comparison of nine handheld devices published in Diagnostics (MDPI)
• SonoAir 70: a 2.1 kg laptop with four active probe ports and SonoAI tools such as automatic bladder volume and thyroid and breast nodule measurement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81" s="108" t="inlineStr">
        <is>
          <t>jamie@mail.bio-drchip.com.tw</t>
        </is>
      </c>
      <c r="Q181" s="108" t="inlineStr">
        <is>
          <t>BOUNCED 6 Oct 2026</t>
        </is>
      </c>
      <c r="R181" s="108" t="inlineStr">
        <is>
          <t>Sent 6 Oct 2026, BOUNCED: Domain mail.bio-drchip.com.tw could not be resolved (DNS). Find a working email or call.</t>
        </is>
      </c>
      <c r="S181" s="108" t="n"/>
    </row>
    <row r="182" ht="287.25" customHeight="1" s="104">
      <c r="A182" s="121" t="n">
        <v>177</v>
      </c>
      <c r="B182" s="143" t="inlineStr">
        <is>
          <t>堡順企業有限公司</t>
        </is>
      </c>
      <c r="C182" s="121" t="inlineStr">
        <is>
          <t>Contacted</t>
        </is>
      </c>
      <c r="D182" s="124" t="inlineStr">
        <is>
          <t>醫療器材買賣</t>
        </is>
      </c>
      <c r="E182" s="121" t="inlineStr">
        <is>
          <t>Not identified (directory listing only)</t>
        </is>
      </c>
      <c r="F182" s="124" t="inlineStr">
        <is>
          <t>Taichung · 臺中市北屯區太和二街</t>
        </is>
      </c>
      <c r="G182" s="121" t="inlineStr">
        <is>
          <t>Not published</t>
        </is>
      </c>
      <c r="H182" s="121" t="inlineStr">
        <is>
          <t>04-2242-9128</t>
        </is>
      </c>
      <c r="I182" s="121" t="inlineStr">
        <is>
          <t>Directory listing only: general medical device trader or retailer in Taichung; capital equipment capability unconfirmed.</t>
        </is>
      </c>
      <c r="J182" s="121" t="inlineStr">
        <is>
          <t>SonoAir 70 + SonoEye P3 (confirm line card first)</t>
        </is>
      </c>
      <c r="K182" s="151" t="inlineStr">
        <is>
          <t>3</t>
        </is>
      </c>
      <c r="L182" s="121" t="inlineStr">
        <is>
          <t>Tier 3: long tail from the TCMICA member directory; reached by the bilingual batch email, qualify only if they reply.</t>
        </is>
      </c>
      <c r="M182" s="121" t="inlineStr">
        <is>
          <t>TCMICA directory 台中市醫療器材商業同業公會 (tcmica.org.tw), read 6 Oct 2026</t>
        </is>
      </c>
      <c r="N182" s="152" t="inlineStr">
        <is>
          <t>誠徵台灣超音波經銷夥伴 | CHISON ultrasound distribution partners in Taiwan</t>
        </is>
      </c>
      <c r="O18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82" s="108" t="inlineStr">
        <is>
          <t>boysun.com@gmail.com</t>
        </is>
      </c>
      <c r="Q182" s="108" t="inlineStr">
        <is>
          <t>DIR: association member directory, not the company site</t>
        </is>
      </c>
      <c r="R182" s="108" t="inlineStr">
        <is>
          <t>Batch draft 2 of 3 (Send separately) sent 6 Oct 2026</t>
        </is>
      </c>
      <c r="S182" s="108" t="n"/>
    </row>
    <row r="183" ht="287.25" customHeight="1" s="104">
      <c r="A183" s="121" t="n">
        <v>178</v>
      </c>
      <c r="B183" s="143" t="inlineStr">
        <is>
          <t>佳昇醫療器材有限公司</t>
        </is>
      </c>
      <c r="C183" s="121" t="inlineStr">
        <is>
          <t>Contacted</t>
        </is>
      </c>
      <c r="D183" s="124" t="inlineStr">
        <is>
          <t>醫療器材批發零售業</t>
        </is>
      </c>
      <c r="E183" s="121" t="inlineStr">
        <is>
          <t>Not identified (directory listing only)</t>
        </is>
      </c>
      <c r="F183" s="124" t="inlineStr">
        <is>
          <t>Taichung · 臺中市北屯區昌平路</t>
        </is>
      </c>
      <c r="G183" s="121" t="inlineStr">
        <is>
          <t>Not published</t>
        </is>
      </c>
      <c r="H183" s="121" t="inlineStr">
        <is>
          <t>04-2233-5028</t>
        </is>
      </c>
      <c r="I183" s="121" t="inlineStr">
        <is>
          <t>Directory listing only: general medical device trader or retailer in Taichung; capital equipment capability unconfirmed.</t>
        </is>
      </c>
      <c r="J183" s="121" t="inlineStr">
        <is>
          <t>SonoAir 70 + SonoEye P3 (confirm line card first)</t>
        </is>
      </c>
      <c r="K183" s="151" t="inlineStr">
        <is>
          <t>3</t>
        </is>
      </c>
      <c r="L183" s="121" t="inlineStr">
        <is>
          <t>Tier 3: long tail from the TCMICA member directory; reached by the bilingual batch email, qualify only if they reply.</t>
        </is>
      </c>
      <c r="M183" s="121" t="inlineStr">
        <is>
          <t>TCMICA directory 台中市醫療器材商業同業公會 (tcmica.org.tw), read 6 Oct 2026</t>
        </is>
      </c>
      <c r="N183" s="152" t="inlineStr">
        <is>
          <t>誠徵台灣超音波經銷夥伴 | CHISON ultrasound distribution partners in Taiwan</t>
        </is>
      </c>
      <c r="O18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83" s="108" t="inlineStr">
        <is>
          <t>betty910921@yahoo.com.tw</t>
        </is>
      </c>
      <c r="Q183" s="108" t="inlineStr">
        <is>
          <t>DIR: association member directory, not the company site</t>
        </is>
      </c>
      <c r="R183" s="108" t="inlineStr">
        <is>
          <t>Batch draft 2 of 3 (Send separately) sent 6 Oct 2026</t>
        </is>
      </c>
      <c r="S183" s="108" t="n"/>
    </row>
    <row r="184" ht="287.25" customHeight="1" s="104">
      <c r="A184" s="121" t="n">
        <v>179</v>
      </c>
      <c r="B184" s="143" t="inlineStr">
        <is>
          <t>博晟儀器有限公司</t>
        </is>
      </c>
      <c r="C184" s="121" t="inlineStr">
        <is>
          <t>Contacted</t>
        </is>
      </c>
      <c r="D184" s="124" t="inlineStr">
        <is>
          <t>醫療器材批發零售</t>
        </is>
      </c>
      <c r="E184" s="121" t="inlineStr">
        <is>
          <t>Not identified (directory listing only)</t>
        </is>
      </c>
      <c r="F184" s="124" t="inlineStr">
        <is>
          <t>Taichung · 臺中市北屯區崇德6</t>
        </is>
      </c>
      <c r="G184" s="121" t="inlineStr">
        <is>
          <t>Not published</t>
        </is>
      </c>
      <c r="H184" s="121" t="inlineStr">
        <is>
          <t>04-2246-3480</t>
        </is>
      </c>
      <c r="I184" s="121" t="inlineStr">
        <is>
          <t>Directory listing only: general medical device trader or retailer in Taichung; capital equipment capability unconfirmed.</t>
        </is>
      </c>
      <c r="J184" s="121" t="inlineStr">
        <is>
          <t>SonoAir 70 + SonoEye P3 (confirm line card first)</t>
        </is>
      </c>
      <c r="K184" s="151" t="inlineStr">
        <is>
          <t>3</t>
        </is>
      </c>
      <c r="L184" s="121" t="inlineStr">
        <is>
          <t>Tier 3: long tail from the TCMICA member directory; reached by the bilingual batch email, qualify only if they reply.</t>
        </is>
      </c>
      <c r="M184" s="121" t="inlineStr">
        <is>
          <t>TCMICA directory 台中市醫療器材商業同業公會 (tcmica.org.tw), read 6 Oct 2026</t>
        </is>
      </c>
      <c r="N184" s="152" t="inlineStr">
        <is>
          <t>誠徵台灣超音波經銷夥伴 | CHISON ultrasound distribution partners in Taiwan</t>
        </is>
      </c>
      <c r="O18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84" s="108" t="inlineStr">
        <is>
          <t>yao93353810@gmail.com</t>
        </is>
      </c>
      <c r="Q184" s="108" t="inlineStr">
        <is>
          <t>DIR: association member directory, not the company site</t>
        </is>
      </c>
      <c r="R184" s="108" t="inlineStr">
        <is>
          <t>Batch draft 2 of 3 (Send separately) sent 6 Oct 2026</t>
        </is>
      </c>
      <c r="S184" s="108" t="n"/>
    </row>
    <row r="185" ht="287.25" customHeight="1" s="104">
      <c r="A185" s="121" t="n">
        <v>180</v>
      </c>
      <c r="B185" s="143" t="inlineStr">
        <is>
          <t>鼎霖醫療器材股份有限公司</t>
        </is>
      </c>
      <c r="C185" s="121" t="inlineStr">
        <is>
          <t>Contacted</t>
        </is>
      </c>
      <c r="D185" s="124" t="inlineStr">
        <is>
          <t>醫療器材批發零售</t>
        </is>
      </c>
      <c r="E185" s="121" t="inlineStr">
        <is>
          <t>Not identified (directory listing only)</t>
        </is>
      </c>
      <c r="F185" s="124" t="inlineStr">
        <is>
          <t>Taichung · 臺中市北屯區文心路</t>
        </is>
      </c>
      <c r="G185" s="121" t="inlineStr">
        <is>
          <t>Not published</t>
        </is>
      </c>
      <c r="H185" s="121" t="inlineStr">
        <is>
          <t>04-2237-6616</t>
        </is>
      </c>
      <c r="I185" s="121" t="inlineStr">
        <is>
          <t>Directory listing only: general medical device trader or retailer in Taichung; capital equipment capability unconfirmed.</t>
        </is>
      </c>
      <c r="J185" s="121" t="inlineStr">
        <is>
          <t>SonoAir 70 + SonoEye P3 (confirm line card first)</t>
        </is>
      </c>
      <c r="K185" s="151" t="inlineStr">
        <is>
          <t>3</t>
        </is>
      </c>
      <c r="L185" s="121" t="inlineStr">
        <is>
          <t>Tier 3: long tail from the TCMICA member directory; reached by the bilingual batch email, qualify only if they reply.</t>
        </is>
      </c>
      <c r="M185" s="121" t="inlineStr">
        <is>
          <t>TCMICA directory 台中市醫療器材商業同業公會 (tcmica.org.tw), read 6 Oct 2026</t>
        </is>
      </c>
      <c r="N185" s="152" t="inlineStr">
        <is>
          <t>誠徵台灣超音波經銷夥伴 | CHISON ultrasound distribution partners in Taiwan</t>
        </is>
      </c>
      <c r="O18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85" s="108" t="inlineStr">
        <is>
          <t>lin@dlmedical.com.tw</t>
        </is>
      </c>
      <c r="Q185" s="108" t="inlineStr">
        <is>
          <t>DIR: association member directory, not the company site</t>
        </is>
      </c>
      <c r="R185" s="108" t="inlineStr">
        <is>
          <t>Batch draft 2 of 3 (Send separately) sent 6 Oct 2026</t>
        </is>
      </c>
      <c r="S185" s="108" t="n"/>
    </row>
    <row r="186" ht="287.25" customHeight="1" s="104">
      <c r="A186" s="121" t="n">
        <v>181</v>
      </c>
      <c r="B186" s="143" t="inlineStr">
        <is>
          <t>晟德科技工程有限公司</t>
        </is>
      </c>
      <c r="C186" s="121" t="inlineStr">
        <is>
          <t>Not started</t>
        </is>
      </c>
      <c r="D186" s="124" t="inlineStr">
        <is>
          <t>醫療器材</t>
        </is>
      </c>
      <c r="E186" s="121" t="inlineStr">
        <is>
          <t>Not identified (directory listing only)</t>
        </is>
      </c>
      <c r="F186" s="124" t="inlineStr">
        <is>
          <t>Taichung · 臺中市北屯區松竹五</t>
        </is>
      </c>
      <c r="G186" s="121" t="inlineStr">
        <is>
          <t>Not published</t>
        </is>
      </c>
      <c r="H186" s="121" t="inlineStr">
        <is>
          <t>04-2435-0288</t>
        </is>
      </c>
      <c r="I186" s="121" t="inlineStr">
        <is>
          <t>Directory listing only: general medical device trader or retailer in Taichung; capital equipment capability unconfirmed.</t>
        </is>
      </c>
      <c r="J186" s="121" t="inlineStr">
        <is>
          <t>SonoAir 70 + SonoEye P3 (confirm line card first)</t>
        </is>
      </c>
      <c r="K186" s="151" t="inlineStr">
        <is>
          <t>3</t>
        </is>
      </c>
      <c r="L186" s="121" t="inlineStr">
        <is>
          <t>Tier 3: long tail from the TCMICA member directory; reached by the bilingual batch email, qualify only if they reply.</t>
        </is>
      </c>
      <c r="M186" s="121" t="inlineStr">
        <is>
          <t>TCMICA directory 台中市醫療器材商業同業公會 (tcmica.org.tw), read 6 Oct 2026</t>
        </is>
      </c>
      <c r="N186" s="152" t="inlineStr">
        <is>
          <t>誠徵台灣超音波經銷夥伴 | CHISON ultrasound distribution partners in Taiwan</t>
        </is>
      </c>
      <c r="O18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86" s="108" t="inlineStr">
        <is>
          <t>patty988@samde.com.tw</t>
        </is>
      </c>
      <c r="Q186" s="108" t="inlineStr">
        <is>
          <t>BOUNCED 6 Oct 2026</t>
        </is>
      </c>
      <c r="R186" s="108" t="inlineStr">
        <is>
          <t>Sent 6 Oct 2026, BOUNCED: Domain samde.com.tw not found. Find a working email or call.</t>
        </is>
      </c>
      <c r="S186" s="108" t="n"/>
    </row>
    <row r="187" ht="287.25" customHeight="1" s="104">
      <c r="A187" s="121" t="n">
        <v>182</v>
      </c>
      <c r="B187" s="143" t="inlineStr">
        <is>
          <t>鴻霖生技股份有限公司</t>
        </is>
      </c>
      <c r="C187" s="121" t="inlineStr">
        <is>
          <t>Contacted</t>
        </is>
      </c>
      <c r="D187" s="124" t="inlineStr">
        <is>
          <t>醫療器材批發零售</t>
        </is>
      </c>
      <c r="E187" s="121" t="inlineStr">
        <is>
          <t>Not identified (directory listing only)</t>
        </is>
      </c>
      <c r="F187" s="124" t="inlineStr">
        <is>
          <t>Taichung · 臺中市北屯區文心路</t>
        </is>
      </c>
      <c r="G187" s="121" t="inlineStr">
        <is>
          <t>Not published</t>
        </is>
      </c>
      <c r="H187" s="121" t="inlineStr">
        <is>
          <t>04-2237-5191</t>
        </is>
      </c>
      <c r="I187" s="121" t="inlineStr">
        <is>
          <t>Directory listing only: general medical device trader or retailer in Taichung; capital equipment capability unconfirmed.</t>
        </is>
      </c>
      <c r="J187" s="121" t="inlineStr">
        <is>
          <t>SonoAir 70 + SonoEye P3 (confirm line card first)</t>
        </is>
      </c>
      <c r="K187" s="151" t="inlineStr">
        <is>
          <t>3</t>
        </is>
      </c>
      <c r="L187" s="121" t="inlineStr">
        <is>
          <t>Tier 3: long tail from the TCMICA member directory; reached by the bilingual batch email, qualify only if they reply.</t>
        </is>
      </c>
      <c r="M187" s="121" t="inlineStr">
        <is>
          <t>TCMICA directory 台中市醫療器材商業同業公會 (tcmica.org.tw), read 6 Oct 2026</t>
        </is>
      </c>
      <c r="N187" s="152" t="inlineStr">
        <is>
          <t>誠徵台灣超音波經銷夥伴 | CHISON ultrasound distribution partners in Taiwan</t>
        </is>
      </c>
      <c r="O18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87" s="108" t="inlineStr">
        <is>
          <t>honglinbiotech@gmail.com</t>
        </is>
      </c>
      <c r="Q187" s="108" t="inlineStr">
        <is>
          <t>DIR: association member directory, not the company site</t>
        </is>
      </c>
      <c r="R187" s="108" t="inlineStr">
        <is>
          <t>Batch draft 2 of 3 (Send separately) sent 6 Oct 2026</t>
        </is>
      </c>
      <c r="S187" s="108" t="n"/>
    </row>
    <row r="188" ht="287.25" customHeight="1" s="104">
      <c r="A188" s="121" t="n">
        <v>183</v>
      </c>
      <c r="B188" s="143" t="inlineStr">
        <is>
          <t>峻典股份有限公司</t>
        </is>
      </c>
      <c r="C188" s="121" t="inlineStr">
        <is>
          <t>Contacted</t>
        </is>
      </c>
      <c r="D188" s="124" t="inlineStr">
        <is>
          <t>醫療器材</t>
        </is>
      </c>
      <c r="E188" s="121" t="inlineStr">
        <is>
          <t>Not identified (directory listing only)</t>
        </is>
      </c>
      <c r="F188" s="124" t="inlineStr">
        <is>
          <t>Taichung · 臺中市北屯區昌平三</t>
        </is>
      </c>
      <c r="G188" s="121" t="inlineStr">
        <is>
          <t>Not published</t>
        </is>
      </c>
      <c r="H188" s="121" t="inlineStr">
        <is>
          <t>04-2422-8977</t>
        </is>
      </c>
      <c r="I188" s="121" t="inlineStr">
        <is>
          <t>Directory listing only: general medical device trader or retailer in Taichung; capital equipment capability unconfirmed.</t>
        </is>
      </c>
      <c r="J188" s="121" t="inlineStr">
        <is>
          <t>SonoAir 70 + SonoEye P3 (confirm line card first)</t>
        </is>
      </c>
      <c r="K188" s="151" t="inlineStr">
        <is>
          <t>3</t>
        </is>
      </c>
      <c r="L188" s="121" t="inlineStr">
        <is>
          <t>Tier 3: long tail from the TCMICA member directory; reached by the bilingual batch email, qualify only if they reply.</t>
        </is>
      </c>
      <c r="M188" s="121" t="inlineStr">
        <is>
          <t>TCMICA directory 台中市醫療器材商業同業公會 (tcmica.org.tw), read 6 Oct 2026</t>
        </is>
      </c>
      <c r="N188" s="152" t="inlineStr">
        <is>
          <t>誠徵台灣超音波經銷夥伴 | CHISON ultrasound distribution partners in Taiwan</t>
        </is>
      </c>
      <c r="O18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88" s="108" t="inlineStr">
        <is>
          <t>fuhan.wei@jiunndean.com</t>
        </is>
      </c>
      <c r="Q188" s="108" t="inlineStr">
        <is>
          <t>DIR: association member directory, not the company site</t>
        </is>
      </c>
      <c r="R188" s="108" t="inlineStr">
        <is>
          <t>Batch draft 2 of 3 (Send separately) sent 6 Oct 2026</t>
        </is>
      </c>
      <c r="S188" s="108" t="n"/>
    </row>
    <row r="189" ht="287.25" customHeight="1" s="104">
      <c r="A189" s="121" t="n">
        <v>184</v>
      </c>
      <c r="B189" s="143" t="inlineStr">
        <is>
          <t>采京貿易有限公司</t>
        </is>
      </c>
      <c r="C189" s="121" t="inlineStr">
        <is>
          <t>Contacted</t>
        </is>
      </c>
      <c r="D189" s="124" t="inlineStr">
        <is>
          <t>醫療器材</t>
        </is>
      </c>
      <c r="E189" s="121" t="inlineStr">
        <is>
          <t>Not identified (directory listing only)</t>
        </is>
      </c>
      <c r="F189" s="124" t="inlineStr">
        <is>
          <t>Taichung · 臺中市北屯區崇德路</t>
        </is>
      </c>
      <c r="G189" s="121" t="inlineStr">
        <is>
          <t>Not published</t>
        </is>
      </c>
      <c r="H189" s="121" t="inlineStr">
        <is>
          <t>04-2247-3252</t>
        </is>
      </c>
      <c r="I189" s="121" t="inlineStr">
        <is>
          <t>Directory listing only: general medical device trader or retailer in Taichung; capital equipment capability unconfirmed.</t>
        </is>
      </c>
      <c r="J189" s="121" t="inlineStr">
        <is>
          <t>SonoAir 70 + SonoEye P3 (confirm line card first)</t>
        </is>
      </c>
      <c r="K189" s="151" t="inlineStr">
        <is>
          <t>3</t>
        </is>
      </c>
      <c r="L189" s="121" t="inlineStr">
        <is>
          <t>Tier 3: long tail from the TCMICA member directory; reached by the bilingual batch email, qualify only if they reply.</t>
        </is>
      </c>
      <c r="M189" s="121" t="inlineStr">
        <is>
          <t>TCMICA directory 台中市醫療器材商業同業公會 (tcmica.org.tw), read 6 Oct 2026</t>
        </is>
      </c>
      <c r="N189" s="152" t="inlineStr">
        <is>
          <t>誠徵台灣超音波經銷夥伴 | CHISON ultrasound distribution partners in Taiwan</t>
        </is>
      </c>
      <c r="O18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89" s="108" t="inlineStr">
        <is>
          <t>caijing.tw@msa.hinet.net</t>
        </is>
      </c>
      <c r="Q189" s="108" t="inlineStr">
        <is>
          <t>DIR: association member directory, not the company site</t>
        </is>
      </c>
      <c r="R189" s="108" t="inlineStr">
        <is>
          <t>Batch draft 2 of 3 (Send separately) sent 6 Oct 2026</t>
        </is>
      </c>
      <c r="S189" s="108" t="n"/>
    </row>
    <row r="190" ht="287.25" customHeight="1" s="104">
      <c r="A190" s="121" t="n">
        <v>185</v>
      </c>
      <c r="B190" s="143" t="inlineStr">
        <is>
          <t>久洋醫療器械有限公司</t>
        </is>
      </c>
      <c r="C190" s="121" t="inlineStr">
        <is>
          <t>Contacted</t>
        </is>
      </c>
      <c r="D190" s="124" t="inlineStr">
        <is>
          <t>醫療器材批發零售、國際貿易</t>
        </is>
      </c>
      <c r="E190" s="121" t="inlineStr">
        <is>
          <t>Not identified (directory listing only)</t>
        </is>
      </c>
      <c r="F190" s="124" t="inlineStr">
        <is>
          <t>Taichung · 臺中市北屯區興安路</t>
        </is>
      </c>
      <c r="G190" s="121" t="inlineStr">
        <is>
          <t>Not published</t>
        </is>
      </c>
      <c r="H190" s="121" t="inlineStr">
        <is>
          <t>04-2358-3981</t>
        </is>
      </c>
      <c r="I190" s="121" t="inlineStr">
        <is>
          <t>Directory listing only: general medical device trader or retailer in Taichung; capital equipment capability unconfirmed.</t>
        </is>
      </c>
      <c r="J190" s="121" t="inlineStr">
        <is>
          <t>SonoAir 70 + SonoEye P3 (confirm line card first)</t>
        </is>
      </c>
      <c r="K190" s="151" t="inlineStr">
        <is>
          <t>3</t>
        </is>
      </c>
      <c r="L190" s="121" t="inlineStr">
        <is>
          <t>Tier 3: long tail from the TCMICA member directory; reached by the bilingual batch email, qualify only if they reply.</t>
        </is>
      </c>
      <c r="M190" s="121" t="inlineStr">
        <is>
          <t>TCMICA directory 台中市醫療器材商業同業公會 (tcmica.org.tw), read 6 Oct 2026</t>
        </is>
      </c>
      <c r="N190" s="152" t="inlineStr">
        <is>
          <t>誠徵台灣超音波經銷夥伴 | CHISON ultrasound distribution partners in Taiwan</t>
        </is>
      </c>
      <c r="O19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90" s="108" t="inlineStr">
        <is>
          <t>eocean547@gmail.com</t>
        </is>
      </c>
      <c r="Q190" s="108" t="inlineStr">
        <is>
          <t>DIR: association member directory, not the company site</t>
        </is>
      </c>
      <c r="R190" s="108" t="inlineStr">
        <is>
          <t>Batch draft 2 of 3 (Send separately) sent 6 Oct 2026</t>
        </is>
      </c>
      <c r="S190" s="108" t="n"/>
    </row>
    <row r="191" ht="287.25" customHeight="1" s="104">
      <c r="A191" s="121" t="n">
        <v>186</v>
      </c>
      <c r="B191" s="143" t="inlineStr">
        <is>
          <t>邦成國際貿易有限公司</t>
        </is>
      </c>
      <c r="C191" s="121" t="inlineStr">
        <is>
          <t>Contacted</t>
        </is>
      </c>
      <c r="D191" s="124" t="inlineStr">
        <is>
          <t>醫療器材(同組:凱宸、捷程)</t>
        </is>
      </c>
      <c r="E191" s="121" t="inlineStr">
        <is>
          <t>Not identified (directory listing only)</t>
        </is>
      </c>
      <c r="F191" s="124" t="inlineStr">
        <is>
          <t>Taichung · 臺中市北屯區祥順十</t>
        </is>
      </c>
      <c r="G191" s="121" t="inlineStr">
        <is>
          <t>Not published</t>
        </is>
      </c>
      <c r="H191" s="121" t="inlineStr">
        <is>
          <t>04-2439-2657</t>
        </is>
      </c>
      <c r="I191" s="121" t="inlineStr">
        <is>
          <t>Directory listing only: general medical device trader or retailer in Taichung; capital equipment capability unconfirmed.</t>
        </is>
      </c>
      <c r="J191" s="121" t="inlineStr">
        <is>
          <t>SonoAir 70 + SonoEye P3 (confirm line card first)</t>
        </is>
      </c>
      <c r="K191" s="151" t="inlineStr">
        <is>
          <t>3</t>
        </is>
      </c>
      <c r="L191" s="121" t="inlineStr">
        <is>
          <t>Tier 3: long tail from the TCMICA member directory; reached by the bilingual batch email, qualify only if they reply.</t>
        </is>
      </c>
      <c r="M191" s="121" t="inlineStr">
        <is>
          <t>TCMICA directory 台中市醫療器材商業同業公會 (tcmica.org.tw), read 6 Oct 2026</t>
        </is>
      </c>
      <c r="N191" s="152" t="inlineStr">
        <is>
          <t>誠徵台灣超音波經銷夥伴 | CHISON ultrasound distribution partners in Taiwan</t>
        </is>
      </c>
      <c r="O19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91" s="108" t="inlineStr">
        <is>
          <t>mesad0410@hotmail.com</t>
        </is>
      </c>
      <c r="Q191" s="108" t="inlineStr">
        <is>
          <t>DIR: association member directory, not the company site</t>
        </is>
      </c>
      <c r="R191" s="108" t="inlineStr">
        <is>
          <t>Batch draft 2 of 3 (Send separately) sent 6 Oct 2026</t>
        </is>
      </c>
      <c r="S191" s="108" t="n"/>
    </row>
    <row r="192" ht="287.25" customHeight="1" s="104">
      <c r="A192" s="121" t="n">
        <v>187</v>
      </c>
      <c r="B192" s="143" t="inlineStr">
        <is>
          <t>凱成商行</t>
        </is>
      </c>
      <c r="C192" s="121" t="inlineStr">
        <is>
          <t>Contacted</t>
        </is>
      </c>
      <c r="D192" s="124" t="inlineStr">
        <is>
          <t>醫療器材批發零售</t>
        </is>
      </c>
      <c r="E192" s="121" t="inlineStr">
        <is>
          <t>Not identified (directory listing only)</t>
        </is>
      </c>
      <c r="F192" s="124" t="inlineStr">
        <is>
          <t>Taichung · 臺中市北屯區四平路</t>
        </is>
      </c>
      <c r="G192" s="121" t="inlineStr">
        <is>
          <t>Not published</t>
        </is>
      </c>
      <c r="H192" s="121" t="inlineStr">
        <is>
          <t>04-2425-5988</t>
        </is>
      </c>
      <c r="I192" s="121" t="inlineStr">
        <is>
          <t>Directory listing only: general medical device trader or retailer in Taichung; capital equipment capability unconfirmed.</t>
        </is>
      </c>
      <c r="J192" s="121" t="inlineStr">
        <is>
          <t>SonoAir 70 + SonoEye P3 (confirm line card first)</t>
        </is>
      </c>
      <c r="K192" s="151" t="inlineStr">
        <is>
          <t>3</t>
        </is>
      </c>
      <c r="L192" s="121" t="inlineStr">
        <is>
          <t>Tier 3: long tail from the TCMICA member directory; reached by the bilingual batch email, qualify only if they reply.</t>
        </is>
      </c>
      <c r="M192" s="121" t="inlineStr">
        <is>
          <t>TCMICA directory 台中市醫療器材商業同業公會 (tcmica.org.tw), read 6 Oct 2026</t>
        </is>
      </c>
      <c r="N192" s="152" t="inlineStr">
        <is>
          <t>誠徵台灣超音波經銷夥伴 | CHISON ultrasound distribution partners in Taiwan</t>
        </is>
      </c>
      <c r="O19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92" s="108" t="inlineStr">
        <is>
          <t>alen.kevin@msa.hinet.net</t>
        </is>
      </c>
      <c r="Q192" s="108" t="inlineStr">
        <is>
          <t>DIR: association member directory, not the company site</t>
        </is>
      </c>
      <c r="R192" s="108" t="inlineStr">
        <is>
          <t>Batch draft 2 of 3 (Send separately) sent 6 Oct 2026</t>
        </is>
      </c>
      <c r="S192" s="108" t="n"/>
    </row>
    <row r="193" ht="287.25" customHeight="1" s="104">
      <c r="A193" s="121" t="n">
        <v>188</v>
      </c>
      <c r="B193" s="143" t="inlineStr">
        <is>
          <t>翔泰醫療器材企業有限公司</t>
        </is>
      </c>
      <c r="C193" s="121" t="inlineStr">
        <is>
          <t>Contacted</t>
        </is>
      </c>
      <c r="D193" s="124" t="inlineStr">
        <is>
          <t>醫療器材、檢驗用試藥、電子儀器等買賣</t>
        </is>
      </c>
      <c r="E193" s="121" t="inlineStr">
        <is>
          <t>Not identified (directory listing only)</t>
        </is>
      </c>
      <c r="F193" s="124" t="inlineStr">
        <is>
          <t>Taichung · 臺中市北屯區松竹路</t>
        </is>
      </c>
      <c r="G193" s="121" t="inlineStr">
        <is>
          <t>Not published</t>
        </is>
      </c>
      <c r="H193" s="121" t="inlineStr">
        <is>
          <t>04-2243-2497</t>
        </is>
      </c>
      <c r="I193" s="121" t="inlineStr">
        <is>
          <t>Directory listing only: general medical device trader or retailer in Taichung; capital equipment capability unconfirmed.</t>
        </is>
      </c>
      <c r="J193" s="121" t="inlineStr">
        <is>
          <t>SonoAir 70 + SonoEye P3 (confirm line card first)</t>
        </is>
      </c>
      <c r="K193" s="151" t="inlineStr">
        <is>
          <t>3</t>
        </is>
      </c>
      <c r="L193" s="121" t="inlineStr">
        <is>
          <t>Tier 3: long tail from the TCMICA member directory; reached by the bilingual batch email, qualify only if they reply.</t>
        </is>
      </c>
      <c r="M193" s="121" t="inlineStr">
        <is>
          <t>TCMICA directory 台中市醫療器材商業同業公會 (tcmica.org.tw), read 6 Oct 2026</t>
        </is>
      </c>
      <c r="N193" s="152" t="inlineStr">
        <is>
          <t>誠徵台灣超音波經銷夥伴 | CHISON ultrasound distribution partners in Taiwan</t>
        </is>
      </c>
      <c r="O19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93" s="108" t="inlineStr">
        <is>
          <t>shiningtop200@hotmail.com</t>
        </is>
      </c>
      <c r="Q193" s="108" t="inlineStr">
        <is>
          <t>DIR: association member directory, not the company site</t>
        </is>
      </c>
      <c r="R193" s="108" t="inlineStr">
        <is>
          <t>Batch draft 2 of 3 (Send separately) sent 6 Oct 2026</t>
        </is>
      </c>
      <c r="S193" s="108" t="n"/>
    </row>
    <row r="194" ht="287.25" customHeight="1" s="104">
      <c r="A194" s="121" t="n">
        <v>189</v>
      </c>
      <c r="B194" s="143" t="inlineStr">
        <is>
          <t>鐿慶國際有限公司</t>
        </is>
      </c>
      <c r="C194" s="121" t="inlineStr">
        <is>
          <t>Not started</t>
        </is>
      </c>
      <c r="D194" s="124" t="inlineStr">
        <is>
          <t>醫療器材</t>
        </is>
      </c>
      <c r="E194" s="121" t="inlineStr">
        <is>
          <t>Not identified (directory listing only)</t>
        </is>
      </c>
      <c r="F194" s="124" t="inlineStr">
        <is>
          <t>Taichung · 臺中市北屯區文心路</t>
        </is>
      </c>
      <c r="G194" s="121" t="inlineStr">
        <is>
          <t>Not published</t>
        </is>
      </c>
      <c r="H194" s="121" t="inlineStr">
        <is>
          <t>04-2531-9278</t>
        </is>
      </c>
      <c r="I194" s="121" t="inlineStr">
        <is>
          <t>Directory listing only: general medical device trader or retailer in Taichung; capital equipment capability unconfirmed.</t>
        </is>
      </c>
      <c r="J194" s="121" t="inlineStr">
        <is>
          <t>SonoAir 70 + SonoEye P3 (confirm line card first)</t>
        </is>
      </c>
      <c r="K194" s="151" t="inlineStr">
        <is>
          <t>3</t>
        </is>
      </c>
      <c r="L194" s="121" t="inlineStr">
        <is>
          <t>Tier 3: long tail from the TCMICA member directory; reached by the bilingual batch email, qualify only if they reply.</t>
        </is>
      </c>
      <c r="M194" s="121" t="inlineStr">
        <is>
          <t>TCMICA directory 台中市醫療器材商業同業公會 (tcmica.org.tw), read 6 Oct 2026</t>
        </is>
      </c>
      <c r="N194" s="152" t="inlineStr">
        <is>
          <t>誠徵台灣超音波經銷夥伴 | CHISON ultrasound distribution partners in Taiwan</t>
        </is>
      </c>
      <c r="O19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94" s="108" t="inlineStr">
        <is>
          <t>accoanting.tw@yichyi.com</t>
        </is>
      </c>
      <c r="Q194" s="108" t="inlineStr">
        <is>
          <t>BOUNCED 6 Oct 2026</t>
        </is>
      </c>
      <c r="R194" s="108" t="inlineStr">
        <is>
          <t>Sent 6 Oct 2026, BOUNCED: User unknown. Find a working email or call.</t>
        </is>
      </c>
      <c r="S194" s="108" t="n"/>
    </row>
    <row r="195" ht="300" customHeight="1" s="104">
      <c r="A195" s="121" t="n">
        <v>190</v>
      </c>
      <c r="B195" s="143" t="inlineStr">
        <is>
          <t>中籐實業有限公司</t>
        </is>
      </c>
      <c r="C195" s="121" t="inlineStr">
        <is>
          <t>Contacted</t>
        </is>
      </c>
      <c r="D195" s="124" t="inlineStr">
        <is>
          <t>醫療器材X光理化牙科(同組:通陽國際)</t>
        </is>
      </c>
      <c r="E195" s="121" t="inlineStr">
        <is>
          <t>Not identified (directory listing only)</t>
        </is>
      </c>
      <c r="F195" s="124" t="inlineStr">
        <is>
          <t>Taichung · 台中市西屯區西屯路</t>
        </is>
      </c>
      <c r="G195" s="121" t="inlineStr">
        <is>
          <t>Not published</t>
        </is>
      </c>
      <c r="H195" s="121" t="inlineStr">
        <is>
          <t>04-2311-2888</t>
        </is>
      </c>
      <c r="I195" s="121" t="inlineStr">
        <is>
          <t>Taichung association member with a business line adjacent to ultrasound; line card and existing ultrasound brand to confirm on first call.</t>
        </is>
      </c>
      <c r="J195" s="121" t="inlineStr">
        <is>
          <t>SonoPort + SonoAir 70</t>
        </is>
      </c>
      <c r="K195" s="155" t="inlineStr">
        <is>
          <t>2</t>
        </is>
      </c>
      <c r="L195" s="121" t="inlineStr">
        <is>
          <t>Tier 2: adjacent segment from the TCMICA directory (equipment, OR, emergency, imaging or import), individual email sent; qualify scale and service team.</t>
        </is>
      </c>
      <c r="M195" s="121" t="inlineStr">
        <is>
          <t>TCMICA directory 台中市醫療器材商業同業公會 (tcmica.org.tw), read 6 Oct 2026</t>
        </is>
      </c>
      <c r="N195" s="152" t="inlineStr">
        <is>
          <t>中籐實業: adding ultrasound to your X ray and laboratory line</t>
        </is>
      </c>
      <c r="O195" s="108" t="inlineStr">
        <is>
          <t>Dear 中籐實業 and 通陽國際 team,
I am Casper Tan, Senior Regional Sales Manager at AstraMed Healthcare, a subsidiary of CHISON Medical Technologies, and I look after Taiwan. You already supply X ray, laboratory and dental equipment, so ultrasound is the natural next imaging modality for the same customers.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These are the models I would start with:
• SonoPort: a cart that folds to 1 m high and weighs about 53 kg, with a 23.8 inch monitor, a 15.6 inch touchscreen and about 3 hours of scanning on battery
• SonoAir 70: a 2.1 kg laptop with four active probe ports and SonoAI tools such as automatic bladder volume and thyroid and breast nodule measurement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95" s="108" t="inlineStr">
        <is>
          <t>ctm.tw@msa.hinet.net</t>
        </is>
      </c>
      <c r="Q195" s="108" t="inlineStr">
        <is>
          <t>DIR: association member directory, not the company site</t>
        </is>
      </c>
      <c r="R195" s="108" t="inlineStr">
        <is>
          <t>Sent 6 Oct 2026 from Winmail with Corporate Brochure 2027</t>
        </is>
      </c>
      <c r="S195" s="108" t="n"/>
    </row>
    <row r="196" ht="287.25" customHeight="1" s="104">
      <c r="A196" s="121" t="n">
        <v>191</v>
      </c>
      <c r="B196" s="143" t="inlineStr">
        <is>
          <t>船井生醫股份有限公司</t>
        </is>
      </c>
      <c r="C196" s="121" t="inlineStr">
        <is>
          <t>Contacted</t>
        </is>
      </c>
      <c r="D196" s="124" t="inlineStr">
        <is>
          <t>醫療器材</t>
        </is>
      </c>
      <c r="E196" s="121" t="inlineStr">
        <is>
          <t>Not identified (directory listing only)</t>
        </is>
      </c>
      <c r="F196" s="124" t="inlineStr">
        <is>
          <t>Taichung · 台中市西屯區市政北</t>
        </is>
      </c>
      <c r="G196" s="121" t="inlineStr">
        <is>
          <t>Not published</t>
        </is>
      </c>
      <c r="H196" s="121" t="inlineStr">
        <is>
          <t>04-2252-6600</t>
        </is>
      </c>
      <c r="I196" s="121" t="inlineStr">
        <is>
          <t>Directory listing only: general medical device trader or retailer in Taichung; capital equipment capability unconfirmed.</t>
        </is>
      </c>
      <c r="J196" s="121" t="inlineStr">
        <is>
          <t>SonoAir 70 + SonoEye P3 (confirm line card first)</t>
        </is>
      </c>
      <c r="K196" s="151" t="inlineStr">
        <is>
          <t>3</t>
        </is>
      </c>
      <c r="L196" s="121" t="inlineStr">
        <is>
          <t>Tier 3: long tail from the TCMICA member directory; reached by the bilingual batch email, qualify only if they reply.</t>
        </is>
      </c>
      <c r="M196" s="121" t="inlineStr">
        <is>
          <t>TCMICA directory 台中市醫療器材商業同業公會 (tcmica.org.tw), read 6 Oct 2026</t>
        </is>
      </c>
      <c r="N196" s="152" t="inlineStr">
        <is>
          <t>誠徵台灣超音波經銷夥伴 | CHISON ultrasound distribution partners in Taiwan</t>
        </is>
      </c>
      <c r="O19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96" s="108" t="inlineStr">
        <is>
          <t>account@funcare.com</t>
        </is>
      </c>
      <c r="Q196" s="108" t="inlineStr">
        <is>
          <t>DIR: association member directory, not the company site</t>
        </is>
      </c>
      <c r="R196" s="108" t="inlineStr">
        <is>
          <t>Batch draft 2 of 3 (Send separately) sent 6 Oct 2026</t>
        </is>
      </c>
      <c r="S196" s="108" t="n"/>
    </row>
    <row r="197" ht="310.5" customHeight="1" s="104">
      <c r="A197" s="121" t="n">
        <v>192</v>
      </c>
      <c r="B197" s="143" t="inlineStr">
        <is>
          <t>衛康醫療儀器股份有限公司</t>
        </is>
      </c>
      <c r="C197" s="121" t="inlineStr">
        <is>
          <t>Contacted</t>
        </is>
      </c>
      <c r="D197" s="124" t="inlineStr">
        <is>
          <t>醫療儀器、消耗性衛材、西藥批發</t>
        </is>
      </c>
      <c r="E197" s="121" t="inlineStr">
        <is>
          <t>Not identified (directory listing only)</t>
        </is>
      </c>
      <c r="F197" s="124" t="inlineStr">
        <is>
          <t>Taichung · 臺中市西屯區福順路</t>
        </is>
      </c>
      <c r="G197" s="121" t="inlineStr">
        <is>
          <t>Not published</t>
        </is>
      </c>
      <c r="H197" s="121" t="inlineStr">
        <is>
          <t>04-2461-9659</t>
        </is>
      </c>
      <c r="I197" s="121" t="inlineStr">
        <is>
          <t>Taichung association member with a business line adjacent to ultrasound; line card and existing ultrasound brand to confirm on first call.</t>
        </is>
      </c>
      <c r="J197" s="121" t="inlineStr">
        <is>
          <t>SonoAir 70 + SonoEye P3</t>
        </is>
      </c>
      <c r="K197" s="155" t="inlineStr">
        <is>
          <t>2</t>
        </is>
      </c>
      <c r="L197" s="121" t="inlineStr">
        <is>
          <t>Tier 2: adjacent segment from the TCMICA directory (equipment, OR, emergency, imaging or import), individual email sent; qualify scale and service team.</t>
        </is>
      </c>
      <c r="M197" s="121" t="inlineStr">
        <is>
          <t>TCMICA directory 台中市醫療器材商業同業公會 (tcmica.org.tw), read 6 Oct 2026</t>
        </is>
      </c>
      <c r="N197" s="152" t="inlineStr">
        <is>
          <t>衛康醫療儀器: adding CHISON ultrasound to your line</t>
        </is>
      </c>
      <c r="O197" s="108" t="inlineStr">
        <is>
          <t>Dear 衛康醫療儀器 team,
I am Casper Tan, Senior Regional Sales Manager at AstraMed Healthcare, a subsidiary of CHISON Medical Technologies, and I look after Taiwan. Your medical instrument and consumables business already reaches the hospitals and clinics that buy ultrasound.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These are the models I would start with: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Could you tell me which ultrasound brands, if any, you carry today?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97" s="108" t="inlineStr">
        <is>
          <t>wecare.medical@msa.hinet.net</t>
        </is>
      </c>
      <c r="Q197" s="108" t="inlineStr">
        <is>
          <t>DIR: association member directory, not the company site</t>
        </is>
      </c>
      <c r="R197" s="108" t="inlineStr">
        <is>
          <t>Sent 6 Oct 2026 from Winmail with Corporate Brochure 2027</t>
        </is>
      </c>
      <c r="S197" s="108" t="n"/>
    </row>
    <row r="198" ht="287.25" customHeight="1" s="104">
      <c r="A198" s="121" t="n">
        <v>193</v>
      </c>
      <c r="B198" s="143" t="inlineStr">
        <is>
          <t>慶錩儀器有限公司</t>
        </is>
      </c>
      <c r="C198" s="121" t="inlineStr">
        <is>
          <t>Contacted</t>
        </is>
      </c>
      <c r="D198" s="124" t="inlineStr">
        <is>
          <t>醫療器材</t>
        </is>
      </c>
      <c r="E198" s="121" t="inlineStr">
        <is>
          <t>Not identified (directory listing only)</t>
        </is>
      </c>
      <c r="F198" s="124" t="inlineStr">
        <is>
          <t>Taichung · 台中市西屯區福科路</t>
        </is>
      </c>
      <c r="G198" s="121" t="inlineStr">
        <is>
          <t>Not published</t>
        </is>
      </c>
      <c r="H198" s="121" t="inlineStr">
        <is>
          <t>04-2568-7629</t>
        </is>
      </c>
      <c r="I198" s="121" t="inlineStr">
        <is>
          <t>Directory listing only: general medical device trader or retailer in Taichung; capital equipment capability unconfirmed.</t>
        </is>
      </c>
      <c r="J198" s="121" t="inlineStr">
        <is>
          <t>SonoAir 70 + SonoEye P3 (confirm line card first)</t>
        </is>
      </c>
      <c r="K198" s="151" t="inlineStr">
        <is>
          <t>3</t>
        </is>
      </c>
      <c r="L198" s="121" t="inlineStr">
        <is>
          <t>Tier 3: long tail from the TCMICA member directory; reached by the bilingual batch email, qualify only if they reply.</t>
        </is>
      </c>
      <c r="M198" s="121" t="inlineStr">
        <is>
          <t>TCMICA directory 台中市醫療器材商業同業公會 (tcmica.org.tw), read 6 Oct 2026</t>
        </is>
      </c>
      <c r="N198" s="152" t="inlineStr">
        <is>
          <t>誠徵台灣超音波經銷夥伴 | CHISON ultrasound distribution partners in Taiwan</t>
        </is>
      </c>
      <c r="O19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198" s="108" t="inlineStr">
        <is>
          <t>cci.medical@msa.hinet.net</t>
        </is>
      </c>
      <c r="Q198" s="108" t="inlineStr">
        <is>
          <t>DIR: association member directory, not the company site</t>
        </is>
      </c>
      <c r="R198" s="108" t="inlineStr">
        <is>
          <t>Batch draft 2 of 3 (Send separately) sent 6 Oct 2026</t>
        </is>
      </c>
      <c r="S198" s="108" t="n"/>
    </row>
    <row r="199" ht="310.5" customHeight="1" s="104">
      <c r="A199" s="121" t="n">
        <v>194</v>
      </c>
      <c r="B199" s="143" t="inlineStr">
        <is>
          <t>永英有限公司</t>
        </is>
      </c>
      <c r="C199" s="121" t="inlineStr">
        <is>
          <t>Contacted</t>
        </is>
      </c>
      <c r="D199" s="124" t="inlineStr">
        <is>
          <t>醫療器材進口及批發</t>
        </is>
      </c>
      <c r="E199" s="121" t="inlineStr">
        <is>
          <t>Not identified (directory listing only)</t>
        </is>
      </c>
      <c r="F199" s="124" t="inlineStr">
        <is>
          <t>Taichung · 台中市西屯區工業區</t>
        </is>
      </c>
      <c r="G199" s="154" t="inlineStr">
        <is>
          <t>http://www.winningmedical.com</t>
        </is>
      </c>
      <c r="H199" s="121" t="inlineStr">
        <is>
          <t>04-2359-9891</t>
        </is>
      </c>
      <c r="I199" s="121" t="inlineStr">
        <is>
          <t>Taichung association member with a business line adjacent to ultrasound; line card and existing ultrasound brand to confirm on first call.</t>
        </is>
      </c>
      <c r="J199" s="121" t="inlineStr">
        <is>
          <t>SonoAir 70 + SonoEye P3</t>
        </is>
      </c>
      <c r="K199" s="155" t="inlineStr">
        <is>
          <t>2</t>
        </is>
      </c>
      <c r="L199" s="121" t="inlineStr">
        <is>
          <t>Tier 2: adjacent segment from the TCMICA directory (equipment, OR, emergency, imaging or import), individual email sent; qualify scale and service team.</t>
        </is>
      </c>
      <c r="M199" s="121" t="inlineStr">
        <is>
          <t>TCMICA directory 台中市醫療器材商業同業公會 (tcmica.org.tw), read 6 Oct 2026</t>
        </is>
      </c>
      <c r="N199" s="152" t="inlineStr">
        <is>
          <t>永英: CHISON ultrasound for your import and wholesale line</t>
        </is>
      </c>
      <c r="O199" s="108" t="inlineStr">
        <is>
          <t>Dear 永英 Winning Medical team,
I am Casper Tan, Senior Regional Sales Manager at AstraMed Healthcare, a subsidiary of CHISON Medical Technologies, and I look after Taiwan. As an importer and wholesaler of medical devices in Taichung, you have the import set up and customer reach a new ultrasound line needs.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These are the models I would start with: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Could you tell me which ultrasound brands, if any, you carry today?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199" s="108" t="inlineStr">
        <is>
          <t>johnson@winningmedical.com</t>
        </is>
      </c>
      <c r="Q199" s="108" t="inlineStr">
        <is>
          <t>DIR: association member directory, not the company site</t>
        </is>
      </c>
      <c r="R199" s="108" t="inlineStr">
        <is>
          <t>Sent 6 Oct 2026 from Winmail with Corporate Brochure 2027</t>
        </is>
      </c>
      <c r="S199" s="108" t="n"/>
    </row>
    <row r="200" ht="287.25" customHeight="1" s="104">
      <c r="A200" s="121" t="n">
        <v>195</v>
      </c>
      <c r="B200" s="143" t="inlineStr">
        <is>
          <t>可大醫療儀器有限公司</t>
        </is>
      </c>
      <c r="C200" s="121" t="inlineStr">
        <is>
          <t>Contacted</t>
        </is>
      </c>
      <c r="D200" s="124" t="inlineStr">
        <is>
          <t>醫療器材</t>
        </is>
      </c>
      <c r="E200" s="121" t="inlineStr">
        <is>
          <t>Not identified (directory listing only)</t>
        </is>
      </c>
      <c r="F200" s="124" t="inlineStr">
        <is>
          <t>Taichung · 台中市西屯區四川一</t>
        </is>
      </c>
      <c r="G200" s="121" t="inlineStr">
        <is>
          <t>Not published</t>
        </is>
      </c>
      <c r="H200" s="121" t="inlineStr">
        <is>
          <t>04-2311-7332</t>
        </is>
      </c>
      <c r="I200" s="121" t="inlineStr">
        <is>
          <t>Directory listing only: general medical device trader or retailer in Taichung; capital equipment capability unconfirmed.</t>
        </is>
      </c>
      <c r="J200" s="121" t="inlineStr">
        <is>
          <t>SonoAir 70 + SonoEye P3 (confirm line card first)</t>
        </is>
      </c>
      <c r="K200" s="151" t="inlineStr">
        <is>
          <t>3</t>
        </is>
      </c>
      <c r="L200" s="121" t="inlineStr">
        <is>
          <t>Tier 3: long tail from the TCMICA member directory; reached by the bilingual batch email, qualify only if they reply.</t>
        </is>
      </c>
      <c r="M200" s="121" t="inlineStr">
        <is>
          <t>TCMICA directory 台中市醫療器材商業同業公會 (tcmica.org.tw), read 6 Oct 2026</t>
        </is>
      </c>
      <c r="N200" s="152" t="inlineStr">
        <is>
          <t>誠徵台灣超音波經銷夥伴 | CHISON ultrasound distribution partners in Taiwan</t>
        </is>
      </c>
      <c r="O20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00" s="108" t="inlineStr">
        <is>
          <t>icodamed@ms49.hinet.net</t>
        </is>
      </c>
      <c r="Q200" s="108" t="inlineStr">
        <is>
          <t>DIR: association member directory, not the company site</t>
        </is>
      </c>
      <c r="R200" s="108" t="inlineStr">
        <is>
          <t>Batch draft 2 of 3 (Send separately) sent 6 Oct 2026</t>
        </is>
      </c>
      <c r="S200" s="108" t="n"/>
    </row>
    <row r="201" ht="310.5" customHeight="1" s="104">
      <c r="A201" s="121" t="n">
        <v>196</v>
      </c>
      <c r="B201" s="143" t="inlineStr">
        <is>
          <t>展銳醫療儀器有限公司</t>
        </is>
      </c>
      <c r="C201" s="121" t="inlineStr">
        <is>
          <t>Contacted</t>
        </is>
      </c>
      <c r="D201" s="124" t="inlineStr">
        <is>
          <t>醫療器材、內視鏡及器械</t>
        </is>
      </c>
      <c r="E201" s="121" t="inlineStr">
        <is>
          <t>Not identified (directory listing only)</t>
        </is>
      </c>
      <c r="F201" s="124" t="inlineStr">
        <is>
          <t>Taichung · 臺中市西屯區大墩1</t>
        </is>
      </c>
      <c r="G201" s="121" t="inlineStr">
        <is>
          <t>Not published</t>
        </is>
      </c>
      <c r="H201" s="121" t="inlineStr">
        <is>
          <t>04-2328-0265</t>
        </is>
      </c>
      <c r="I201" s="121" t="inlineStr">
        <is>
          <t>Taichung association member with a business line adjacent to ultrasound; line card and existing ultrasound brand to confirm on first call.</t>
        </is>
      </c>
      <c r="J201" s="121" t="inlineStr">
        <is>
          <t>SonoAir 70 + SonoEye P3</t>
        </is>
      </c>
      <c r="K201" s="155" t="inlineStr">
        <is>
          <t>2</t>
        </is>
      </c>
      <c r="L201" s="121" t="inlineStr">
        <is>
          <t>Tier 2: adjacent segment from the TCMICA directory (equipment, OR, emergency, imaging or import), individual email sent; qualify scale and service team.</t>
        </is>
      </c>
      <c r="M201" s="121" t="inlineStr">
        <is>
          <t>TCMICA directory 台中市醫療器材商業同業公會 (tcmica.org.tw), read 6 Oct 2026</t>
        </is>
      </c>
      <c r="N201" s="152" t="inlineStr">
        <is>
          <t>展銳醫療儀器: CHISON ultrasound beside your endoscopy line</t>
        </is>
      </c>
      <c r="O201" s="108" t="inlineStr">
        <is>
          <t>Dear 展銳醫療儀器 and 宇瑞醫療器材 team,
I am Casper Tan, Senior Regional Sales Manager at AstraMed Healthcare, a subsidiary of CHISON Medical Technologies, and I look after Taiwan. You supply endoscopes and instruments to GI and surgical teams, and a transabdominal scan in the consult room completes the picture for the same doctors.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GI and surgical clinics, these are the models I would suggest: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201" s="108" t="inlineStr">
        <is>
          <t>smartech.judy@gmail.com</t>
        </is>
      </c>
      <c r="Q201" s="108" t="inlineStr">
        <is>
          <t>DIR: association member directory, not the company site</t>
        </is>
      </c>
      <c r="R201" s="108" t="inlineStr">
        <is>
          <t>Sent 6 Oct 2026 from Winmail with Corporate Brochure 2027</t>
        </is>
      </c>
      <c r="S201" s="108" t="n"/>
    </row>
    <row r="202" ht="287.25" customHeight="1" s="104">
      <c r="A202" s="121" t="n">
        <v>197</v>
      </c>
      <c r="B202" s="143" t="inlineStr">
        <is>
          <t>竹必佳股份有限公司</t>
        </is>
      </c>
      <c r="C202" s="121" t="inlineStr">
        <is>
          <t>Contacted</t>
        </is>
      </c>
      <c r="D202" s="124" t="inlineStr">
        <is>
          <t>醫療器材</t>
        </is>
      </c>
      <c r="E202" s="121" t="inlineStr">
        <is>
          <t>Not identified (directory listing only)</t>
        </is>
      </c>
      <c r="F202" s="124" t="inlineStr">
        <is>
          <t>Taichung · 台中市西屯區市政北</t>
        </is>
      </c>
      <c r="G202" s="121" t="inlineStr">
        <is>
          <t>Not published</t>
        </is>
      </c>
      <c r="H202" s="121" t="inlineStr">
        <is>
          <t>02-29995515</t>
        </is>
      </c>
      <c r="I202" s="121" t="inlineStr">
        <is>
          <t>Directory listing only: general medical device trader or retailer in Taichung; capital equipment capability unconfirmed.</t>
        </is>
      </c>
      <c r="J202" s="121" t="inlineStr">
        <is>
          <t>SonoAir 70 + SonoEye P3 (confirm line card first)</t>
        </is>
      </c>
      <c r="K202" s="151" t="inlineStr">
        <is>
          <t>3</t>
        </is>
      </c>
      <c r="L202" s="121" t="inlineStr">
        <is>
          <t>Tier 3: long tail from the TCMICA member directory; reached by the bilingual batch email, qualify only if they reply.</t>
        </is>
      </c>
      <c r="M202" s="121" t="inlineStr">
        <is>
          <t>TCMICA directory 台中市醫療器材商業同業公會 (tcmica.org.tw), read 6 Oct 2026</t>
        </is>
      </c>
      <c r="N202" s="152" t="inlineStr">
        <is>
          <t>誠徵台灣超音波經銷夥伴 | CHISON ultrasound distribution partners in Taiwan</t>
        </is>
      </c>
      <c r="O20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02" s="108" t="inlineStr">
        <is>
          <t>medenint@ms11.hinet.net</t>
        </is>
      </c>
      <c r="Q202" s="108" t="inlineStr">
        <is>
          <t>DIR: association member directory, not the company site</t>
        </is>
      </c>
      <c r="R202" s="108" t="inlineStr">
        <is>
          <t>Batch draft 2 of 3 (Send separately) sent 6 Oct 2026</t>
        </is>
      </c>
      <c r="S202" s="108" t="n"/>
    </row>
    <row r="203" ht="287.25" customHeight="1" s="104">
      <c r="A203" s="121" t="n">
        <v>198</v>
      </c>
      <c r="B203" s="143" t="inlineStr">
        <is>
          <t>強盛興企業股份有限公司</t>
        </is>
      </c>
      <c r="C203" s="121" t="inlineStr">
        <is>
          <t>Contacted</t>
        </is>
      </c>
      <c r="D203" s="124" t="inlineStr">
        <is>
          <t>醫療器材批發</t>
        </is>
      </c>
      <c r="E203" s="121" t="inlineStr">
        <is>
          <t>Not identified (directory listing only)</t>
        </is>
      </c>
      <c r="F203" s="124" t="inlineStr">
        <is>
          <t>Taichung · 台中市西屯區成都路</t>
        </is>
      </c>
      <c r="G203" s="121" t="inlineStr">
        <is>
          <t>Not published</t>
        </is>
      </c>
      <c r="H203" s="121" t="inlineStr">
        <is>
          <t>04-2316-0743</t>
        </is>
      </c>
      <c r="I203" s="121" t="inlineStr">
        <is>
          <t>Directory listing only: general medical device trader or retailer in Taichung; capital equipment capability unconfirmed.</t>
        </is>
      </c>
      <c r="J203" s="121" t="inlineStr">
        <is>
          <t>SonoAir 70 + SonoEye P3 (confirm line card first)</t>
        </is>
      </c>
      <c r="K203" s="151" t="inlineStr">
        <is>
          <t>3</t>
        </is>
      </c>
      <c r="L203" s="121" t="inlineStr">
        <is>
          <t>Tier 3: long tail from the TCMICA member directory; reached by the bilingual batch email, qualify only if they reply.</t>
        </is>
      </c>
      <c r="M203" s="121" t="inlineStr">
        <is>
          <t>TCMICA directory 台中市醫療器材商業同業公會 (tcmica.org.tw), read 6 Oct 2026</t>
        </is>
      </c>
      <c r="N203" s="152" t="inlineStr">
        <is>
          <t>誠徵台灣超音波經銷夥伴 | CHISON ultrasound distribution partners in Taiwan</t>
        </is>
      </c>
      <c r="O20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03" s="108" t="inlineStr">
        <is>
          <t>financial@joson-care.com.tw</t>
        </is>
      </c>
      <c r="Q203" s="108" t="inlineStr">
        <is>
          <t>DIR: association member directory, not the company site</t>
        </is>
      </c>
      <c r="R203" s="108" t="inlineStr">
        <is>
          <t>Batch draft 2 of 3 (Send separately) sent 6 Oct 2026</t>
        </is>
      </c>
      <c r="S203" s="108" t="n"/>
    </row>
    <row r="204" ht="287.25" customHeight="1" s="104">
      <c r="A204" s="121" t="n">
        <v>199</v>
      </c>
      <c r="B204" s="143" t="inlineStr">
        <is>
          <t>服杏企業有限公司</t>
        </is>
      </c>
      <c r="C204" s="121" t="inlineStr">
        <is>
          <t>Contacted</t>
        </is>
      </c>
      <c r="D204" s="124" t="inlineStr">
        <is>
          <t>醫療器材</t>
        </is>
      </c>
      <c r="E204" s="121" t="inlineStr">
        <is>
          <t>Not identified (directory listing only)</t>
        </is>
      </c>
      <c r="F204" s="124" t="inlineStr">
        <is>
          <t>Taichung · 台中市西屯區長安路</t>
        </is>
      </c>
      <c r="G204" s="121" t="inlineStr">
        <is>
          <t>Not published</t>
        </is>
      </c>
      <c r="H204" s="121" t="inlineStr">
        <is>
          <t>04-2378-7601</t>
        </is>
      </c>
      <c r="I204" s="121" t="inlineStr">
        <is>
          <t>Directory listing only: general medical device trader or retailer in Taichung; capital equipment capability unconfirmed.</t>
        </is>
      </c>
      <c r="J204" s="121" t="inlineStr">
        <is>
          <t>SonoAir 70 + SonoEye P3 (confirm line card first)</t>
        </is>
      </c>
      <c r="K204" s="151" t="inlineStr">
        <is>
          <t>3</t>
        </is>
      </c>
      <c r="L204" s="121" t="inlineStr">
        <is>
          <t>Tier 3: long tail from the TCMICA member directory; reached by the bilingual batch email, qualify only if they reply.</t>
        </is>
      </c>
      <c r="M204" s="121" t="inlineStr">
        <is>
          <t>TCMICA directory 台中市醫療器材商業同業公會 (tcmica.org.tw), read 6 Oct 2026</t>
        </is>
      </c>
      <c r="N204" s="152" t="inlineStr">
        <is>
          <t>誠徵台灣超音波經銷夥伴 | CHISON ultrasound distribution partners in Taiwan</t>
        </is>
      </c>
      <c r="O20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04" s="108" t="inlineStr">
        <is>
          <t>servicet@ms49.hinet.net</t>
        </is>
      </c>
      <c r="Q204" s="108" t="inlineStr">
        <is>
          <t>DIR: association member directory, not the company site</t>
        </is>
      </c>
      <c r="R204" s="108" t="inlineStr">
        <is>
          <t>Batch draft 2 of 3 (Send separately) sent 6 Oct 2026</t>
        </is>
      </c>
      <c r="S204" s="108" t="n"/>
    </row>
    <row r="205" ht="287.25" customHeight="1" s="104">
      <c r="A205" s="121" t="n">
        <v>200</v>
      </c>
      <c r="B205" s="143" t="inlineStr">
        <is>
          <t>宗育醫療器材有限公司</t>
        </is>
      </c>
      <c r="C205" s="121" t="inlineStr">
        <is>
          <t>Not started</t>
        </is>
      </c>
      <c r="D205" s="124" t="inlineStr">
        <is>
          <t>醫療器材批發零售</t>
        </is>
      </c>
      <c r="E205" s="121" t="inlineStr">
        <is>
          <t>Not identified (directory listing only)</t>
        </is>
      </c>
      <c r="F205" s="124" t="inlineStr">
        <is>
          <t>Taichung · 台中市西屯區西安街</t>
        </is>
      </c>
      <c r="G205" s="121" t="inlineStr">
        <is>
          <t>Not published</t>
        </is>
      </c>
      <c r="H205" s="121" t="inlineStr">
        <is>
          <t>04-2452-3245</t>
        </is>
      </c>
      <c r="I205" s="121" t="inlineStr">
        <is>
          <t>Directory listing only: general medical device trader or retailer in Taichung; capital equipment capability unconfirmed.</t>
        </is>
      </c>
      <c r="J205" s="121" t="inlineStr">
        <is>
          <t>SonoAir 70 + SonoEye P3 (confirm line card first)</t>
        </is>
      </c>
      <c r="K205" s="151" t="inlineStr">
        <is>
          <t>3</t>
        </is>
      </c>
      <c r="L205" s="121" t="inlineStr">
        <is>
          <t>Tier 3: long tail from the TCMICA member directory; reached by the bilingual batch email, qualify only if they reply.</t>
        </is>
      </c>
      <c r="M205" s="121" t="inlineStr">
        <is>
          <t>TCMICA directory 台中市醫療器材商業同業公會 (tcmica.org.tw), read 6 Oct 2026</t>
        </is>
      </c>
      <c r="N205" s="152" t="inlineStr">
        <is>
          <t>誠徵台灣超音波經銷夥伴 | CHISON ultrasound distribution partners in Taiwan</t>
        </is>
      </c>
      <c r="O20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05" s="108" t="inlineStr">
        <is>
          <t>a1213yy@yahoo.com.tw</t>
        </is>
      </c>
      <c r="Q205" s="108" t="inlineStr">
        <is>
          <t>BOUNCED 6 Oct 2026</t>
        </is>
      </c>
      <c r="R205" s="108" t="inlineStr">
        <is>
          <t>Sent 6 Oct 2026, BOUNCED: Mailbox disabled (Yahoo 554). Find a working email or call.</t>
        </is>
      </c>
      <c r="S205" s="108" t="n"/>
    </row>
    <row r="206" ht="310.5" customHeight="1" s="104">
      <c r="A206" s="121" t="n">
        <v>201</v>
      </c>
      <c r="B206" s="143" t="inlineStr">
        <is>
          <t>優醫有限公司</t>
        </is>
      </c>
      <c r="C206" s="121" t="inlineStr">
        <is>
          <t>Not started</t>
        </is>
      </c>
      <c r="D206" s="124" t="inlineStr">
        <is>
          <t>醫療器材進口及批發</t>
        </is>
      </c>
      <c r="E206" s="121" t="inlineStr">
        <is>
          <t>Not identified (directory listing only)</t>
        </is>
      </c>
      <c r="F206" s="124" t="inlineStr">
        <is>
          <t>Taichung · 台中市西屯區工業區</t>
        </is>
      </c>
      <c r="G206" s="121" t="inlineStr">
        <is>
          <t>Not published</t>
        </is>
      </c>
      <c r="H206" s="121" t="inlineStr">
        <is>
          <t>04-2350-4208</t>
        </is>
      </c>
      <c r="I206" s="121" t="inlineStr">
        <is>
          <t>Taichung association member with a business line adjacent to ultrasound; line card and existing ultrasound brand to confirm on first call.</t>
        </is>
      </c>
      <c r="J206" s="121" t="inlineStr">
        <is>
          <t>SonoAir 70 + SonoEye P3</t>
        </is>
      </c>
      <c r="K206" s="155" t="inlineStr">
        <is>
          <t>2</t>
        </is>
      </c>
      <c r="L206" s="121" t="inlineStr">
        <is>
          <t>Tier 2: adjacent segment from the TCMICA directory (equipment, OR, emergency, imaging or import), individual email sent; qualify scale and service team.</t>
        </is>
      </c>
      <c r="M206" s="121" t="inlineStr">
        <is>
          <t>TCMICA directory 台中市醫療器材商業同業公會 (tcmica.org.tw), read 6 Oct 2026</t>
        </is>
      </c>
      <c r="N206" s="152" t="inlineStr">
        <is>
          <t>優醫: CHISON ultrasound for your import and wholesale line</t>
        </is>
      </c>
      <c r="O206" s="108" t="inlineStr">
        <is>
          <t>Dear 優醫 team,
I am Casper Tan, Senior Regional Sales Manager at AstraMed Healthcare, a subsidiary of CHISON Medical Technologies, and I look after Taiwan. As an importer and wholesaler of medical devices in Taichung, you have the import set up and customer reach a new ultrasound line needs.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These are the models I would start with: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Could you tell me which ultrasound brands, if any, you carry today?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206" s="108" t="inlineStr">
        <is>
          <t>calvin@whc.com.tw</t>
        </is>
      </c>
      <c r="Q206" s="108" t="inlineStr">
        <is>
          <t>BOUNCED 6 Oct 2026</t>
        </is>
      </c>
      <c r="R206" s="108" t="inlineStr">
        <is>
          <t>Sent 6 Oct 2026, BOUNCED: Recipient rejected, access denied. Find a working email or call.</t>
        </is>
      </c>
      <c r="S206" s="108" t="n"/>
    </row>
    <row r="207" ht="287.25" customHeight="1" s="104">
      <c r="A207" s="121" t="n">
        <v>202</v>
      </c>
      <c r="B207" s="143" t="inlineStr">
        <is>
          <t>康威利實業有限公司</t>
        </is>
      </c>
      <c r="C207" s="121" t="inlineStr">
        <is>
          <t>Contacted</t>
        </is>
      </c>
      <c r="D207" s="124" t="inlineStr">
        <is>
          <t>醫療器材批發</t>
        </is>
      </c>
      <c r="E207" s="121" t="inlineStr">
        <is>
          <t>Not identified (directory listing only)</t>
        </is>
      </c>
      <c r="F207" s="124" t="inlineStr">
        <is>
          <t>Taichung · 台中市西屯區工業區</t>
        </is>
      </c>
      <c r="G207" s="154" t="inlineStr">
        <is>
          <t>http://www.conwellmedical.com</t>
        </is>
      </c>
      <c r="H207" s="121" t="inlineStr">
        <is>
          <t>04-2350-8158</t>
        </is>
      </c>
      <c r="I207" s="121" t="inlineStr">
        <is>
          <t>Directory listing only: general medical device trader or retailer in Taichung; capital equipment capability unconfirmed.</t>
        </is>
      </c>
      <c r="J207" s="121" t="inlineStr">
        <is>
          <t>SonoAir 70 + SonoEye P3 (confirm line card first)</t>
        </is>
      </c>
      <c r="K207" s="151" t="inlineStr">
        <is>
          <t>3</t>
        </is>
      </c>
      <c r="L207" s="121" t="inlineStr">
        <is>
          <t>Tier 3: long tail from the TCMICA member directory; reached by the bilingual batch email, qualify only if they reply.</t>
        </is>
      </c>
      <c r="M207" s="121" t="inlineStr">
        <is>
          <t>TCMICA directory 台中市醫療器材商業同業公會 (tcmica.org.tw), read 6 Oct 2026</t>
        </is>
      </c>
      <c r="N207" s="152" t="inlineStr">
        <is>
          <t>誠徵台灣超音波經銷夥伴 | CHISON ultrasound distribution partners in Taiwan</t>
        </is>
      </c>
      <c r="O20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07" s="108" t="inlineStr">
        <is>
          <t>jensen@conwellmedical.com</t>
        </is>
      </c>
      <c r="Q207" s="108" t="inlineStr">
        <is>
          <t>DIR: association member directory, not the company site</t>
        </is>
      </c>
      <c r="R207" s="108" t="inlineStr">
        <is>
          <t>Batch draft 2 of 3 (Send separately) sent 6 Oct 2026</t>
        </is>
      </c>
      <c r="S207" s="108" t="n"/>
    </row>
    <row r="208" ht="300" customHeight="1" s="104">
      <c r="A208" s="121" t="n">
        <v>203</v>
      </c>
      <c r="B208" s="143" t="inlineStr">
        <is>
          <t>信隆生技有限公司</t>
        </is>
      </c>
      <c r="C208" s="121" t="inlineStr">
        <is>
          <t>Contacted</t>
        </is>
      </c>
      <c r="D208" s="124" t="inlineStr">
        <is>
          <t>緊急救護設備、生理訊息檢測設備</t>
        </is>
      </c>
      <c r="E208" s="121" t="inlineStr">
        <is>
          <t>Not identified (directory listing only)</t>
        </is>
      </c>
      <c r="F208" s="124" t="inlineStr">
        <is>
          <t>Taichung · 臺中市西屯區上明一</t>
        </is>
      </c>
      <c r="G208" s="121" t="inlineStr">
        <is>
          <t>Not published</t>
        </is>
      </c>
      <c r="H208" s="121" t="inlineStr">
        <is>
          <t>04-2707-6838</t>
        </is>
      </c>
      <c r="I208" s="121" t="inlineStr">
        <is>
          <t>Taichung association member with a business line adjacent to ultrasound; line card and existing ultrasound brand to confirm on first call.</t>
        </is>
      </c>
      <c r="J208" s="121" t="inlineStr">
        <is>
          <t>SonoEye P3 + SonoAir 70</t>
        </is>
      </c>
      <c r="K208" s="155" t="inlineStr">
        <is>
          <t>2</t>
        </is>
      </c>
      <c r="L208" s="121" t="inlineStr">
        <is>
          <t>Tier 2: adjacent segment from the TCMICA directory (equipment, OR, emergency, imaging or import), individual email sent; qualify scale and service team.</t>
        </is>
      </c>
      <c r="M208" s="121" t="inlineStr">
        <is>
          <t>TCMICA directory 台中市醫療器材商業同業公會 (tcmica.org.tw), read 6 Oct 2026</t>
        </is>
      </c>
      <c r="N208" s="152" t="inlineStr">
        <is>
          <t>信隆生技: CHISON ultrasound for emergency and monitoring customers</t>
        </is>
      </c>
      <c r="O208" s="108" t="inlineStr">
        <is>
          <t>Dear 信隆生技 team,
I am Casper Tan, Senior Regional Sales Manager at AstraMed Healthcare, a subsidiary of CHISON Medical Technologies, and I look after Taiwan. Your emergency rescue and physiological monitoring line reaches the same ER and ICU teams that now scan at the bedside.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emergency and critical care, these are the models I would suggest:
• SonoEye P3: a pocket handheld for emergency, ICU and bedside work; SonoEye was rated the top handheld in an independent comparison of nine handheld devices published in Diagnostics (MDPI)
• SonoAir 70: a 2.1 kg laptop with four active probe ports and SonoAI tools such as automatic bladder volume and thyroid and breast nodule measurement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208" s="108" t="inlineStr">
        <is>
          <t>sin.lonn@msa.hinet.net</t>
        </is>
      </c>
      <c r="Q208" s="108" t="inlineStr">
        <is>
          <t>DIR: association member directory, not the company site</t>
        </is>
      </c>
      <c r="R208" s="108" t="inlineStr">
        <is>
          <t>Sent 6 Oct 2026 from Winmail with Corporate Brochure 2027</t>
        </is>
      </c>
      <c r="S208" s="108" t="n"/>
    </row>
    <row r="209" ht="287.25" customHeight="1" s="104">
      <c r="A209" s="121" t="n">
        <v>204</v>
      </c>
      <c r="B209" s="143" t="inlineStr">
        <is>
          <t>寶宸生化科技有限公司</t>
        </is>
      </c>
      <c r="C209" s="121" t="inlineStr">
        <is>
          <t>Contacted</t>
        </is>
      </c>
      <c r="D209" s="124" t="inlineStr">
        <is>
          <t>醫療器材批發</t>
        </is>
      </c>
      <c r="E209" s="121" t="inlineStr">
        <is>
          <t>Not identified (directory listing only)</t>
        </is>
      </c>
      <c r="F209" s="124" t="inlineStr">
        <is>
          <t>Taichung · 台中市西屯區文心路</t>
        </is>
      </c>
      <c r="G209" s="121" t="inlineStr">
        <is>
          <t>Not published</t>
        </is>
      </c>
      <c r="H209" s="121" t="inlineStr">
        <is>
          <t>04-2298-3500</t>
        </is>
      </c>
      <c r="I209" s="121" t="inlineStr">
        <is>
          <t>Directory listing only: general medical device trader or retailer in Taichung; capital equipment capability unconfirmed.</t>
        </is>
      </c>
      <c r="J209" s="121" t="inlineStr">
        <is>
          <t>SonoAir 70 + SonoEye P3 (confirm line card first)</t>
        </is>
      </c>
      <c r="K209" s="151" t="inlineStr">
        <is>
          <t>3</t>
        </is>
      </c>
      <c r="L209" s="121" t="inlineStr">
        <is>
          <t>Tier 3: long tail from the TCMICA member directory; reached by the bilingual batch email, qualify only if they reply.</t>
        </is>
      </c>
      <c r="M209" s="121" t="inlineStr">
        <is>
          <t>TCMICA directory 台中市醫療器材商業同業公會 (tcmica.org.tw), read 6 Oct 2026</t>
        </is>
      </c>
      <c r="N209" s="152" t="inlineStr">
        <is>
          <t>誠徵台灣超音波經銷夥伴 | CHISON ultrasound distribution partners in Taiwan</t>
        </is>
      </c>
      <c r="O20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09" s="108" t="inlineStr">
        <is>
          <t>ba.chcnn@msa.hinet.net</t>
        </is>
      </c>
      <c r="Q209" s="108" t="inlineStr">
        <is>
          <t>DIR: association member directory, not the company site</t>
        </is>
      </c>
      <c r="R209" s="108" t="inlineStr">
        <is>
          <t>Batch draft 2 of 3 (Send separately) sent 6 Oct 2026</t>
        </is>
      </c>
      <c r="S209" s="108" t="n"/>
    </row>
    <row r="210" ht="300" customHeight="1" s="104">
      <c r="A210" s="121" t="n">
        <v>205</v>
      </c>
      <c r="B210" s="143" t="inlineStr">
        <is>
          <t>亞帝昇生物科技有限公司</t>
        </is>
      </c>
      <c r="C210" s="121" t="inlineStr">
        <is>
          <t>Contacted</t>
        </is>
      </c>
      <c r="D210" s="124" t="inlineStr">
        <is>
          <t>電子影像喉頭鏡、骨髓腔輸液組、二氧化碳監測器</t>
        </is>
      </c>
      <c r="E210" s="121" t="inlineStr">
        <is>
          <t>Not identified (directory listing only)</t>
        </is>
      </c>
      <c r="F210" s="124" t="inlineStr">
        <is>
          <t>Taichung · 臺中市西屯區青海路</t>
        </is>
      </c>
      <c r="G210" s="121" t="inlineStr">
        <is>
          <t>Not published</t>
        </is>
      </c>
      <c r="H210" s="121" t="inlineStr">
        <is>
          <t>04-2315-1500</t>
        </is>
      </c>
      <c r="I210" s="121" t="inlineStr">
        <is>
          <t>Taichung association member with a business line adjacent to ultrasound; line card and existing ultrasound brand to confirm on first call.</t>
        </is>
      </c>
      <c r="J210" s="121" t="inlineStr">
        <is>
          <t>SonoEye P3 + SonoGo</t>
        </is>
      </c>
      <c r="K210" s="155" t="inlineStr">
        <is>
          <t>2</t>
        </is>
      </c>
      <c r="L210" s="121" t="inlineStr">
        <is>
          <t>Tier 2: adjacent segment from the TCMICA directory (equipment, OR, emergency, imaging or import), individual email sent; qualify scale and service team.</t>
        </is>
      </c>
      <c r="M210" s="121" t="inlineStr">
        <is>
          <t>TCMICA directory 台中市醫療器材商業同業公會 (tcmica.org.tw), read 6 Oct 2026</t>
        </is>
      </c>
      <c r="N210" s="152" t="inlineStr">
        <is>
          <t>亞帝昇: CHISON ultrasound for airway and emergency teams</t>
        </is>
      </c>
      <c r="O210" s="108" t="inlineStr">
        <is>
          <t>Dear 亞帝昇 team,
I am Casper Tan, Senior Regional Sales Manager at AstraMed Healthcare, a subsidiary of CHISON Medical Technologies, and I look after Taiwan. Video laryngoscopes, intraosseous access and capnography put you with anaesthesia and emergency teams, who now use ultrasound every day for nerve blocks and vascular access.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anaesthesia and emergency customers, these are the models I would suggest:
• SonoEye P3: a pocket handheld for emergency, ICU and bedside work; SonoEye was rated the top handheld in an independent comparison of nine handheld devices published in Diagnostics (MDPI)
• SonoGo: a 3 in 1 system with a 15.6 inch full touchscreen, laptop portability at 4.8 kg and a trolley for cart level work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210" s="108" t="inlineStr">
        <is>
          <t>jocdx@yahoo.com.tw</t>
        </is>
      </c>
      <c r="Q210" s="108" t="inlineStr">
        <is>
          <t>DIR: association member directory, not the company site</t>
        </is>
      </c>
      <c r="R210" s="108" t="inlineStr">
        <is>
          <t>Sent 6 Oct 2026 from Winmail with Corporate Brochure 2027</t>
        </is>
      </c>
      <c r="S210" s="108" t="n"/>
    </row>
    <row r="211" ht="287.25" customHeight="1" s="104">
      <c r="A211" s="121" t="n">
        <v>206</v>
      </c>
      <c r="B211" s="143" t="inlineStr">
        <is>
          <t>瑩芳有限公司</t>
        </is>
      </c>
      <c r="C211" s="121" t="inlineStr">
        <is>
          <t>Contacted</t>
        </is>
      </c>
      <c r="D211" s="124" t="inlineStr">
        <is>
          <t>醫療器材</t>
        </is>
      </c>
      <c r="E211" s="121" t="inlineStr">
        <is>
          <t>Not identified (directory listing only)</t>
        </is>
      </c>
      <c r="F211" s="124" t="inlineStr">
        <is>
          <t>Taichung · 臺中市西屯區工業區</t>
        </is>
      </c>
      <c r="G211" s="121" t="inlineStr">
        <is>
          <t>Not published</t>
        </is>
      </c>
      <c r="H211" s="121" t="inlineStr">
        <is>
          <t>04-2355-0886</t>
        </is>
      </c>
      <c r="I211" s="121" t="inlineStr">
        <is>
          <t>Directory listing only: general medical device trader or retailer in Taichung; capital equipment capability unconfirmed.</t>
        </is>
      </c>
      <c r="J211" s="121" t="inlineStr">
        <is>
          <t>SonoAir 70 + SonoEye P3 (confirm line card first)</t>
        </is>
      </c>
      <c r="K211" s="151" t="inlineStr">
        <is>
          <t>3</t>
        </is>
      </c>
      <c r="L211" s="121" t="inlineStr">
        <is>
          <t>Tier 3: long tail from the TCMICA member directory; reached by the bilingual batch email, qualify only if they reply.</t>
        </is>
      </c>
      <c r="M211" s="121" t="inlineStr">
        <is>
          <t>TCMICA directory 台中市醫療器材商業同業公會 (tcmica.org.tw), read 6 Oct 2026</t>
        </is>
      </c>
      <c r="N211" s="152" t="inlineStr">
        <is>
          <t>誠徵台灣超音波經銷夥伴 | CHISON ultrasound distribution partners in Taiwan</t>
        </is>
      </c>
      <c r="O21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11" s="108" t="inlineStr">
        <is>
          <t>paul@infung.com.tw</t>
        </is>
      </c>
      <c r="Q211" s="108" t="inlineStr">
        <is>
          <t>DIR: association member directory, not the company site</t>
        </is>
      </c>
      <c r="R211" s="108" t="inlineStr">
        <is>
          <t>Batch draft 2 of 3 (Send separately) sent 6 Oct 2026</t>
        </is>
      </c>
      <c r="S211" s="108" t="n"/>
    </row>
    <row r="212" ht="287.25" customHeight="1" s="104">
      <c r="A212" s="121" t="n">
        <v>207</v>
      </c>
      <c r="B212" s="143" t="inlineStr">
        <is>
          <t>健晟儀器有限公司</t>
        </is>
      </c>
      <c r="C212" s="121" t="inlineStr">
        <is>
          <t>Contacted</t>
        </is>
      </c>
      <c r="D212" s="124" t="inlineStr">
        <is>
          <t>醫療器材(同組:弼強儀器)</t>
        </is>
      </c>
      <c r="E212" s="121" t="inlineStr">
        <is>
          <t>Not identified (directory listing only)</t>
        </is>
      </c>
      <c r="F212" s="124" t="inlineStr">
        <is>
          <t>Taichung · 臺中市西屯區臺灣大</t>
        </is>
      </c>
      <c r="G212" s="121" t="inlineStr">
        <is>
          <t>Not published</t>
        </is>
      </c>
      <c r="H212" s="121" t="inlineStr">
        <is>
          <t>04-2463-1068</t>
        </is>
      </c>
      <c r="I212" s="121" t="inlineStr">
        <is>
          <t>Directory listing only: general medical device trader or retailer in Taichung; capital equipment capability unconfirmed.</t>
        </is>
      </c>
      <c r="J212" s="121" t="inlineStr">
        <is>
          <t>SonoAir 70 + SonoEye P3 (confirm line card first)</t>
        </is>
      </c>
      <c r="K212" s="151" t="inlineStr">
        <is>
          <t>3</t>
        </is>
      </c>
      <c r="L212" s="121" t="inlineStr">
        <is>
          <t>Tier 3: long tail from the TCMICA member directory; reached by the bilingual batch email, qualify only if they reply.</t>
        </is>
      </c>
      <c r="M212" s="121" t="inlineStr">
        <is>
          <t>TCMICA directory 台中市醫療器材商業同業公會 (tcmica.org.tw), read 6 Oct 2026</t>
        </is>
      </c>
      <c r="N212" s="152" t="inlineStr">
        <is>
          <t>誠徵台灣超音波經銷夥伴 | CHISON ultrasound distribution partners in Taiwan</t>
        </is>
      </c>
      <c r="O21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12" s="108" t="inlineStr">
        <is>
          <t>epii.tc@epii.com.tw</t>
        </is>
      </c>
      <c r="Q212" s="108" t="inlineStr">
        <is>
          <t>DIR: association member directory, not the company site</t>
        </is>
      </c>
      <c r="R212" s="108" t="inlineStr">
        <is>
          <t>Batch draft 2 of 3 (Send separately) sent 6 Oct 2026</t>
        </is>
      </c>
      <c r="S212" s="108" t="n"/>
    </row>
    <row r="213" ht="287.25" customHeight="1" s="104">
      <c r="A213" s="121" t="n">
        <v>208</v>
      </c>
      <c r="B213" s="143" t="inlineStr">
        <is>
          <t>尚翊企業社</t>
        </is>
      </c>
      <c r="C213" s="121" t="inlineStr">
        <is>
          <t>Contacted</t>
        </is>
      </c>
      <c r="D213" s="124" t="inlineStr">
        <is>
          <t>醫療器材</t>
        </is>
      </c>
      <c r="E213" s="121" t="inlineStr">
        <is>
          <t>Not identified (directory listing only)</t>
        </is>
      </c>
      <c r="F213" s="124" t="inlineStr">
        <is>
          <t>Taichung · 臺中市西屯區逢甲路</t>
        </is>
      </c>
      <c r="G213" s="121" t="inlineStr">
        <is>
          <t>Not published</t>
        </is>
      </c>
      <c r="H213" s="121" t="inlineStr">
        <is>
          <t>04-2700-3908</t>
        </is>
      </c>
      <c r="I213" s="121" t="inlineStr">
        <is>
          <t>Directory listing only: general medical device trader or retailer in Taichung; capital equipment capability unconfirmed.</t>
        </is>
      </c>
      <c r="J213" s="121" t="inlineStr">
        <is>
          <t>SonoAir 70 + SonoEye P3 (confirm line card first)</t>
        </is>
      </c>
      <c r="K213" s="151" t="inlineStr">
        <is>
          <t>3</t>
        </is>
      </c>
      <c r="L213" s="121" t="inlineStr">
        <is>
          <t>Tier 3: long tail from the TCMICA member directory; reached by the bilingual batch email, qualify only if they reply.</t>
        </is>
      </c>
      <c r="M213" s="121" t="inlineStr">
        <is>
          <t>TCMICA directory 台中市醫療器材商業同業公會 (tcmica.org.tw), read 6 Oct 2026</t>
        </is>
      </c>
      <c r="N213" s="152" t="inlineStr">
        <is>
          <t>誠徵台灣超音波經銷夥伴 | CHISON ultrasound distribution partners in Taiwan</t>
        </is>
      </c>
      <c r="O21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13" s="108" t="inlineStr">
        <is>
          <t>ya.lans88@msa.hinet.net</t>
        </is>
      </c>
      <c r="Q213" s="108" t="inlineStr">
        <is>
          <t>DIR: association member directory, not the company site</t>
        </is>
      </c>
      <c r="R213" s="108" t="inlineStr">
        <is>
          <t>Batch draft 2 of 3 (Send separately) sent 6 Oct 2026</t>
        </is>
      </c>
      <c r="S213" s="108" t="n"/>
    </row>
    <row r="214" ht="287.25" customHeight="1" s="104">
      <c r="A214" s="121" t="n">
        <v>209</v>
      </c>
      <c r="B214" s="143" t="inlineStr">
        <is>
          <t>康儀科技股份有限公司</t>
        </is>
      </c>
      <c r="C214" s="121" t="inlineStr">
        <is>
          <t>Contacted</t>
        </is>
      </c>
      <c r="D214" s="124" t="inlineStr">
        <is>
          <t>醫療器材</t>
        </is>
      </c>
      <c r="E214" s="121" t="inlineStr">
        <is>
          <t>Not identified (directory listing only)</t>
        </is>
      </c>
      <c r="F214" s="124" t="inlineStr">
        <is>
          <t>Taichung · 臺中市西屯區工業區</t>
        </is>
      </c>
      <c r="G214" s="121" t="inlineStr">
        <is>
          <t>Not published</t>
        </is>
      </c>
      <c r="H214" s="121" t="inlineStr">
        <is>
          <t>04-2358-1600</t>
        </is>
      </c>
      <c r="I214" s="121" t="inlineStr">
        <is>
          <t>Directory listing only: general medical device trader or retailer in Taichung; capital equipment capability unconfirmed.</t>
        </is>
      </c>
      <c r="J214" s="121" t="inlineStr">
        <is>
          <t>SonoAir 70 + SonoEye P3 (confirm line card first)</t>
        </is>
      </c>
      <c r="K214" s="151" t="inlineStr">
        <is>
          <t>3</t>
        </is>
      </c>
      <c r="L214" s="121" t="inlineStr">
        <is>
          <t>Tier 3: long tail from the TCMICA member directory; reached by the bilingual batch email, qualify only if they reply.</t>
        </is>
      </c>
      <c r="M214" s="121" t="inlineStr">
        <is>
          <t>TCMICA directory 台中市醫療器材商業同業公會 (tcmica.org.tw), read 6 Oct 2026</t>
        </is>
      </c>
      <c r="N214" s="152" t="inlineStr">
        <is>
          <t>誠徵台灣超音波經銷夥伴 | CHISON ultrasound distribution partners in Taiwan</t>
        </is>
      </c>
      <c r="O21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14" s="108" t="inlineStr">
        <is>
          <t>pay@coning-biotech.com</t>
        </is>
      </c>
      <c r="Q214" s="108" t="inlineStr">
        <is>
          <t>DIR: association member directory, not the company site</t>
        </is>
      </c>
      <c r="R214" s="108" t="inlineStr">
        <is>
          <t>Batch draft 3 of 3 (Send separately) sent 6 Oct 2026</t>
        </is>
      </c>
      <c r="S214" s="108" t="n"/>
    </row>
    <row r="215" ht="287.25" customHeight="1" s="104">
      <c r="A215" s="121" t="n">
        <v>210</v>
      </c>
      <c r="B215" s="143" t="inlineStr">
        <is>
          <t>奕泰生技股份有限公司</t>
        </is>
      </c>
      <c r="C215" s="121" t="inlineStr">
        <is>
          <t>Contacted</t>
        </is>
      </c>
      <c r="D215" s="124" t="inlineStr">
        <is>
          <t>醫療器材(同組:長承生技)</t>
        </is>
      </c>
      <c r="E215" s="121" t="inlineStr">
        <is>
          <t>Not identified (directory listing only)</t>
        </is>
      </c>
      <c r="F215" s="124" t="inlineStr">
        <is>
          <t>Taichung · 臺中市西屯區工業區</t>
        </is>
      </c>
      <c r="G215" s="121" t="inlineStr">
        <is>
          <t>Not published</t>
        </is>
      </c>
      <c r="H215" s="121" t="inlineStr">
        <is>
          <t>04-2359-8621</t>
        </is>
      </c>
      <c r="I215" s="121" t="inlineStr">
        <is>
          <t>Directory listing only: general medical device trader or retailer in Taichung; capital equipment capability unconfirmed.</t>
        </is>
      </c>
      <c r="J215" s="121" t="inlineStr">
        <is>
          <t>SonoAir 70 + SonoEye P3 (confirm line card first)</t>
        </is>
      </c>
      <c r="K215" s="151" t="inlineStr">
        <is>
          <t>3</t>
        </is>
      </c>
      <c r="L215" s="121" t="inlineStr">
        <is>
          <t>Tier 3: long tail from the TCMICA member directory; reached by the bilingual batch email, qualify only if they reply.</t>
        </is>
      </c>
      <c r="M215" s="121" t="inlineStr">
        <is>
          <t>TCMICA directory 台中市醫療器材商業同業公會 (tcmica.org.tw), read 6 Oct 2026</t>
        </is>
      </c>
      <c r="N215" s="152" t="inlineStr">
        <is>
          <t>誠徵台灣超音波經銷夥伴 | CHISON ultrasound distribution partners in Taiwan</t>
        </is>
      </c>
      <c r="O21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15" s="108" t="inlineStr">
        <is>
          <t>schung-v38@umail.hinet.net</t>
        </is>
      </c>
      <c r="Q215" s="108" t="inlineStr">
        <is>
          <t>DIR: association member directory, not the company site</t>
        </is>
      </c>
      <c r="R215" s="108" t="inlineStr">
        <is>
          <t>Batch draft 3 of 3 (Send separately) sent 6 Oct 2026</t>
        </is>
      </c>
      <c r="S215" s="108" t="n"/>
    </row>
    <row r="216" ht="287.25" customHeight="1" s="104">
      <c r="A216" s="121" t="n">
        <v>211</v>
      </c>
      <c r="B216" s="143" t="inlineStr">
        <is>
          <t>德益科技股份有限公司</t>
        </is>
      </c>
      <c r="C216" s="121" t="inlineStr">
        <is>
          <t>Contacted</t>
        </is>
      </c>
      <c r="D216" s="124" t="inlineStr">
        <is>
          <t>醫療器材、精密儀器批發零售</t>
        </is>
      </c>
      <c r="E216" s="121" t="inlineStr">
        <is>
          <t>Not identified (directory listing only)</t>
        </is>
      </c>
      <c r="F216" s="124" t="inlineStr">
        <is>
          <t>Taichung · 臺中市西屯區臺灣大</t>
        </is>
      </c>
      <c r="G216" s="121" t="inlineStr">
        <is>
          <t>Not published</t>
        </is>
      </c>
      <c r="H216" s="121" t="inlineStr">
        <is>
          <t>02-23418889</t>
        </is>
      </c>
      <c r="I216" s="121" t="inlineStr">
        <is>
          <t>Directory listing only: general medical device trader or retailer in Taichung; capital equipment capability unconfirmed.</t>
        </is>
      </c>
      <c r="J216" s="121" t="inlineStr">
        <is>
          <t>SonoAir 70 + SonoEye P3 (confirm line card first)</t>
        </is>
      </c>
      <c r="K216" s="151" t="inlineStr">
        <is>
          <t>3</t>
        </is>
      </c>
      <c r="L216" s="121" t="inlineStr">
        <is>
          <t>Tier 3: long tail from the TCMICA member directory; reached by the bilingual batch email, qualify only if they reply.</t>
        </is>
      </c>
      <c r="M216" s="121" t="inlineStr">
        <is>
          <t>TCMICA directory 台中市醫療器材商業同業公會 (tcmica.org.tw), read 6 Oct 2026</t>
        </is>
      </c>
      <c r="N216" s="152" t="inlineStr">
        <is>
          <t>誠徵台灣超音波經銷夥伴 | CHISON ultrasound distribution partners in Taiwan</t>
        </is>
      </c>
      <c r="O21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16" s="108" t="inlineStr">
        <is>
          <t>det.corp@msa.hinet.net</t>
        </is>
      </c>
      <c r="Q216" s="108" t="inlineStr">
        <is>
          <t>DIR: association member directory, not the company site</t>
        </is>
      </c>
      <c r="R216" s="108" t="inlineStr">
        <is>
          <t>Batch draft 3 of 3 (Send separately) sent 6 Oct 2026</t>
        </is>
      </c>
      <c r="S216" s="108" t="n"/>
    </row>
    <row r="217" ht="287.25" customHeight="1" s="104">
      <c r="A217" s="121" t="n">
        <v>212</v>
      </c>
      <c r="B217" s="143" t="inlineStr">
        <is>
          <t>柏銧醫療器材有限公司</t>
        </is>
      </c>
      <c r="C217" s="121" t="inlineStr">
        <is>
          <t>Contacted</t>
        </is>
      </c>
      <c r="D217" s="124" t="inlineStr">
        <is>
          <t>醫療器材批發零售</t>
        </is>
      </c>
      <c r="E217" s="121" t="inlineStr">
        <is>
          <t>Not identified (directory listing only)</t>
        </is>
      </c>
      <c r="F217" s="124" t="inlineStr">
        <is>
          <t>Taichung · 臺中市西屯區大墩1</t>
        </is>
      </c>
      <c r="G217" s="121" t="inlineStr">
        <is>
          <t>Not published</t>
        </is>
      </c>
      <c r="H217" s="121" t="inlineStr">
        <is>
          <t>Not published in directory</t>
        </is>
      </c>
      <c r="I217" s="121" t="inlineStr">
        <is>
          <t>Directory listing only: general medical device trader or retailer in Taichung; capital equipment capability unconfirmed.</t>
        </is>
      </c>
      <c r="J217" s="121" t="inlineStr">
        <is>
          <t>SonoAir 70 + SonoEye P3 (confirm line card first)</t>
        </is>
      </c>
      <c r="K217" s="151" t="inlineStr">
        <is>
          <t>3</t>
        </is>
      </c>
      <c r="L217" s="121" t="inlineStr">
        <is>
          <t>Tier 3: long tail from the TCMICA member directory; reached by the bilingual batch email, qualify only if they reply.</t>
        </is>
      </c>
      <c r="M217" s="121" t="inlineStr">
        <is>
          <t>TCMICA directory 台中市醫療器材商業同業公會 (tcmica.org.tw), read 6 Oct 2026</t>
        </is>
      </c>
      <c r="N217" s="152" t="inlineStr">
        <is>
          <t>誠徵台灣超音波經銷夥伴 | CHISON ultrasound distribution partners in Taiwan</t>
        </is>
      </c>
      <c r="O21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17" s="108" t="inlineStr">
        <is>
          <t>baiko2924@gmail.com</t>
        </is>
      </c>
      <c r="Q217" s="108" t="inlineStr">
        <is>
          <t>DIR: association member directory, not the company site</t>
        </is>
      </c>
      <c r="R217" s="108" t="inlineStr">
        <is>
          <t>Batch draft 3 of 3 (Send separately) sent 6 Oct 2026</t>
        </is>
      </c>
      <c r="S217" s="108" t="n"/>
    </row>
    <row r="218" ht="287.25" customHeight="1" s="104">
      <c r="A218" s="121" t="n">
        <v>213</v>
      </c>
      <c r="B218" s="143" t="inlineStr">
        <is>
          <t>東芳龍國際貿易有限公司</t>
        </is>
      </c>
      <c r="C218" s="121" t="inlineStr">
        <is>
          <t>Contacted</t>
        </is>
      </c>
      <c r="D218" s="124" t="inlineStr">
        <is>
          <t>醫材類</t>
        </is>
      </c>
      <c r="E218" s="121" t="inlineStr">
        <is>
          <t>Not identified (directory listing only)</t>
        </is>
      </c>
      <c r="F218" s="124" t="inlineStr">
        <is>
          <t>Taichung · 臺中市西屯區四川一</t>
        </is>
      </c>
      <c r="G218" s="121" t="inlineStr">
        <is>
          <t>Not published</t>
        </is>
      </c>
      <c r="H218" s="121" t="inlineStr">
        <is>
          <t>04-2312-8578</t>
        </is>
      </c>
      <c r="I218" s="121" t="inlineStr">
        <is>
          <t>Directory listing only: general medical device trader or retailer in Taichung; capital equipment capability unconfirmed.</t>
        </is>
      </c>
      <c r="J218" s="121" t="inlineStr">
        <is>
          <t>SonoAir 70 + SonoEye P3 (confirm line card first)</t>
        </is>
      </c>
      <c r="K218" s="151" t="inlineStr">
        <is>
          <t>3</t>
        </is>
      </c>
      <c r="L218" s="121" t="inlineStr">
        <is>
          <t>Tier 3: long tail from the TCMICA member directory; reached by the bilingual batch email, qualify only if they reply.</t>
        </is>
      </c>
      <c r="M218" s="121" t="inlineStr">
        <is>
          <t>TCMICA directory 台中市醫療器材商業同業公會 (tcmica.org.tw), read 6 Oct 2026</t>
        </is>
      </c>
      <c r="N218" s="152" t="inlineStr">
        <is>
          <t>誠徵台灣超音波經銷夥伴 | CHISON ultrasound distribution partners in Taiwan</t>
        </is>
      </c>
      <c r="O21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18" s="108" t="inlineStr">
        <is>
          <t>donfun.long@msa.hinet.net</t>
        </is>
      </c>
      <c r="Q218" s="108" t="inlineStr">
        <is>
          <t>DIR: association member directory, not the company site</t>
        </is>
      </c>
      <c r="R218" s="108" t="inlineStr">
        <is>
          <t>Batch draft 3 of 3 (Send separately) sent 6 Oct 2026</t>
        </is>
      </c>
      <c r="S218" s="108" t="n"/>
    </row>
    <row r="219" ht="287.25" customHeight="1" s="104">
      <c r="A219" s="121" t="n">
        <v>214</v>
      </c>
      <c r="B219" s="143" t="inlineStr">
        <is>
          <t>優擎科技有限公司</t>
        </is>
      </c>
      <c r="C219" s="121" t="inlineStr">
        <is>
          <t>Contacted</t>
        </is>
      </c>
      <c r="D219" s="124" t="inlineStr">
        <is>
          <t>醫療器材、精密儀器批發零售</t>
        </is>
      </c>
      <c r="E219" s="121" t="inlineStr">
        <is>
          <t>Not identified (directory listing only)</t>
        </is>
      </c>
      <c r="F219" s="124" t="inlineStr">
        <is>
          <t>Taichung · 臺中市西屯區市政北</t>
        </is>
      </c>
      <c r="G219" s="121" t="inlineStr">
        <is>
          <t>Not published</t>
        </is>
      </c>
      <c r="H219" s="121" t="inlineStr">
        <is>
          <t>04-2251-2375</t>
        </is>
      </c>
      <c r="I219" s="121" t="inlineStr">
        <is>
          <t>Directory listing only: general medical device trader or retailer in Taichung; capital equipment capability unconfirmed.</t>
        </is>
      </c>
      <c r="J219" s="121" t="inlineStr">
        <is>
          <t>SonoAir 70 + SonoEye P3 (confirm line card first)</t>
        </is>
      </c>
      <c r="K219" s="151" t="inlineStr">
        <is>
          <t>3</t>
        </is>
      </c>
      <c r="L219" s="121" t="inlineStr">
        <is>
          <t>Tier 3: long tail from the TCMICA member directory; reached by the bilingual batch email, qualify only if they reply.</t>
        </is>
      </c>
      <c r="M219" s="121" t="inlineStr">
        <is>
          <t>TCMICA directory 台中市醫療器材商業同業公會 (tcmica.org.tw), read 6 Oct 2026</t>
        </is>
      </c>
      <c r="N219" s="152" t="inlineStr">
        <is>
          <t>誠徵台灣超音波經銷夥伴 | CHISON ultrasound distribution partners in Taiwan</t>
        </is>
      </c>
      <c r="O21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19" s="108" t="inlineStr">
        <is>
          <t>mike@ugintech.com</t>
        </is>
      </c>
      <c r="Q219" s="108" t="inlineStr">
        <is>
          <t>DIR: association member directory, not the company site</t>
        </is>
      </c>
      <c r="R219" s="108" t="inlineStr">
        <is>
          <t>Batch draft 3 of 3 (Send separately) sent 6 Oct 2026</t>
        </is>
      </c>
      <c r="S219" s="108" t="n"/>
    </row>
    <row r="220" ht="287.25" customHeight="1" s="104">
      <c r="A220" s="121" t="n">
        <v>215</v>
      </c>
      <c r="B220" s="143" t="inlineStr">
        <is>
          <t>宏緯醫療儀器有限公司</t>
        </is>
      </c>
      <c r="C220" s="121" t="inlineStr">
        <is>
          <t>Not started</t>
        </is>
      </c>
      <c r="D220" s="124" t="inlineStr">
        <is>
          <t>醫療器材</t>
        </is>
      </c>
      <c r="E220" s="121" t="inlineStr">
        <is>
          <t>Not identified (directory listing only)</t>
        </is>
      </c>
      <c r="F220" s="124" t="inlineStr">
        <is>
          <t>Taichung · 臺中市西屯區朝富路</t>
        </is>
      </c>
      <c r="G220" s="121" t="inlineStr">
        <is>
          <t>Not published</t>
        </is>
      </c>
      <c r="H220" s="121" t="inlineStr">
        <is>
          <t>04-2255-2288</t>
        </is>
      </c>
      <c r="I220" s="121" t="inlineStr">
        <is>
          <t>Directory listing only: general medical device trader or retailer in Taichung; capital equipment capability unconfirmed.</t>
        </is>
      </c>
      <c r="J220" s="121" t="inlineStr">
        <is>
          <t>SonoAir 70 + SonoEye P3 (confirm line card first)</t>
        </is>
      </c>
      <c r="K220" s="151" t="inlineStr">
        <is>
          <t>3</t>
        </is>
      </c>
      <c r="L220" s="121" t="inlineStr">
        <is>
          <t>Tier 3: long tail from the TCMICA member directory; reached by the bilingual batch email, qualify only if they reply.</t>
        </is>
      </c>
      <c r="M220" s="121" t="inlineStr">
        <is>
          <t>TCMICA directory 台中市醫療器材商業同業公會 (tcmica.org.tw), read 6 Oct 2026</t>
        </is>
      </c>
      <c r="N220" s="152" t="inlineStr">
        <is>
          <t>誠徵台灣超音波經銷夥伴 | CHISON ultrasound distribution partners in Taiwan</t>
        </is>
      </c>
      <c r="O22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0" s="108" t="inlineStr">
        <is>
          <t>grand.medical@msa.hinet.net</t>
        </is>
      </c>
      <c r="Q220" s="108" t="inlineStr">
        <is>
          <t>BOUNCED 6 Oct 2026</t>
        </is>
      </c>
      <c r="R220" s="108" t="inlineStr">
        <is>
          <t>Sent 6 Oct 2026, BOUNCED: Forwarded to Gmail and rejected: astramed.sg failed SPF and DKIM. Find a working email or call.</t>
        </is>
      </c>
      <c r="S220" s="108" t="n"/>
    </row>
    <row r="221" ht="287.25" customHeight="1" s="104">
      <c r="A221" s="121" t="n">
        <v>216</v>
      </c>
      <c r="B221" s="143" t="inlineStr">
        <is>
          <t>龐德生技有限公司</t>
        </is>
      </c>
      <c r="C221" s="121" t="inlineStr">
        <is>
          <t>Not started</t>
        </is>
      </c>
      <c r="D221" s="124" t="inlineStr">
        <is>
          <t>醫療機械設備、醫療耗材(同組:黑線全球、中大儀器)</t>
        </is>
      </c>
      <c r="E221" s="121" t="inlineStr">
        <is>
          <t>Not identified (directory listing only)</t>
        </is>
      </c>
      <c r="F221" s="124" t="inlineStr">
        <is>
          <t>Taichung · 臺中市西屯區臺灣大</t>
        </is>
      </c>
      <c r="G221" s="121" t="inlineStr">
        <is>
          <t>Not published</t>
        </is>
      </c>
      <c r="H221" s="121" t="inlineStr">
        <is>
          <t>04-2358-3959</t>
        </is>
      </c>
      <c r="I221" s="121" t="inlineStr">
        <is>
          <t>Directory listing only: general medical device trader or retailer in Taichung; capital equipment capability unconfirmed.</t>
        </is>
      </c>
      <c r="J221" s="121" t="inlineStr">
        <is>
          <t>SonoAir 70 + SonoEye P3 (confirm line card first)</t>
        </is>
      </c>
      <c r="K221" s="151" t="inlineStr">
        <is>
          <t>3</t>
        </is>
      </c>
      <c r="L221" s="121" t="inlineStr">
        <is>
          <t>Tier 3: long tail from the TCMICA member directory; reached by the bilingual batch email, qualify only if they reply.</t>
        </is>
      </c>
      <c r="M221" s="121" t="inlineStr">
        <is>
          <t>TCMICA directory 台中市醫療器材商業同業公會 (tcmica.org.tw), read 6 Oct 2026</t>
        </is>
      </c>
      <c r="N221" s="152" t="inlineStr">
        <is>
          <t>誠徵台灣超音波經銷夥伴 | CHISON ultrasound distribution partners in Taiwan</t>
        </is>
      </c>
      <c r="O22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1" s="108" t="inlineStr">
        <is>
          <t>hs001@seysam.com.tw</t>
        </is>
      </c>
      <c r="Q221" s="108" t="inlineStr">
        <is>
          <t>BOUNCED 6 Oct 2026</t>
        </is>
      </c>
      <c r="R221" s="108" t="inlineStr">
        <is>
          <t>Sent 6 Oct 2026, BOUNCED: Domain seysam.com.tw not found. Find a working email or call.</t>
        </is>
      </c>
      <c r="S221" s="108" t="n"/>
    </row>
    <row r="222" ht="287.25" customHeight="1" s="104">
      <c r="A222" s="121" t="n">
        <v>217</v>
      </c>
      <c r="B222" s="143" t="inlineStr">
        <is>
          <t>才源醫療器材有限公司</t>
        </is>
      </c>
      <c r="C222" s="121" t="inlineStr">
        <is>
          <t>Contacted</t>
        </is>
      </c>
      <c r="D222" s="124" t="inlineStr">
        <is>
          <t>醫療器材</t>
        </is>
      </c>
      <c r="E222" s="121" t="inlineStr">
        <is>
          <t>Not identified (directory listing only)</t>
        </is>
      </c>
      <c r="F222" s="124" t="inlineStr">
        <is>
          <t>Taichung · 臺中市西屯區大信街</t>
        </is>
      </c>
      <c r="G222" s="121" t="inlineStr">
        <is>
          <t>Not published</t>
        </is>
      </c>
      <c r="H222" s="121" t="inlineStr">
        <is>
          <t>04-2315-4202</t>
        </is>
      </c>
      <c r="I222" s="121" t="inlineStr">
        <is>
          <t>Directory listing only: general medical device trader or retailer in Taichung; capital equipment capability unconfirmed.</t>
        </is>
      </c>
      <c r="J222" s="121" t="inlineStr">
        <is>
          <t>SonoAir 70 + SonoEye P3 (confirm line card first)</t>
        </is>
      </c>
      <c r="K222" s="151" t="inlineStr">
        <is>
          <t>3</t>
        </is>
      </c>
      <c r="L222" s="121" t="inlineStr">
        <is>
          <t>Tier 3: long tail from the TCMICA member directory; reached by the bilingual batch email, qualify only if they reply.</t>
        </is>
      </c>
      <c r="M222" s="121" t="inlineStr">
        <is>
          <t>TCMICA directory 台中市醫療器材商業同業公會 (tcmica.org.tw), read 6 Oct 2026</t>
        </is>
      </c>
      <c r="N222" s="152" t="inlineStr">
        <is>
          <t>誠徵台灣超音波經銷夥伴 | CHISON ultrasound distribution partners in Taiwan</t>
        </is>
      </c>
      <c r="O22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2" s="108" t="inlineStr">
        <is>
          <t>yen1561@ms14.hinet.net</t>
        </is>
      </c>
      <c r="Q222" s="108" t="inlineStr">
        <is>
          <t>DIR: association member directory, not the company site</t>
        </is>
      </c>
      <c r="R222" s="108" t="inlineStr">
        <is>
          <t>Batch draft 3 of 3 (Send separately) sent 6 Oct 2026</t>
        </is>
      </c>
      <c r="S222" s="108" t="n"/>
    </row>
    <row r="223" ht="287.25" customHeight="1" s="104">
      <c r="A223" s="121" t="n">
        <v>218</v>
      </c>
      <c r="B223" s="143" t="inlineStr">
        <is>
          <t>凱馺國際股份有限公司</t>
        </is>
      </c>
      <c r="C223" s="121" t="inlineStr">
        <is>
          <t>Contacted</t>
        </is>
      </c>
      <c r="D223" s="124" t="inlineStr">
        <is>
          <t>醫療器材批發</t>
        </is>
      </c>
      <c r="E223" s="121" t="inlineStr">
        <is>
          <t>Not identified (directory listing only)</t>
        </is>
      </c>
      <c r="F223" s="124" t="inlineStr">
        <is>
          <t>Taichung · 臺中市西屯區長安路</t>
        </is>
      </c>
      <c r="G223" s="121" t="inlineStr">
        <is>
          <t>Not published</t>
        </is>
      </c>
      <c r="H223" s="121" t="inlineStr">
        <is>
          <t>04-2296-0022</t>
        </is>
      </c>
      <c r="I223" s="121" t="inlineStr">
        <is>
          <t>Directory listing only: general medical device trader or retailer in Taichung; capital equipment capability unconfirmed.</t>
        </is>
      </c>
      <c r="J223" s="121" t="inlineStr">
        <is>
          <t>SonoAir 70 + SonoEye P3 (confirm line card first)</t>
        </is>
      </c>
      <c r="K223" s="151" t="inlineStr">
        <is>
          <t>3</t>
        </is>
      </c>
      <c r="L223" s="121" t="inlineStr">
        <is>
          <t>Tier 3: long tail from the TCMICA member directory; reached by the bilingual batch email, qualify only if they reply.</t>
        </is>
      </c>
      <c r="M223" s="121" t="inlineStr">
        <is>
          <t>TCMICA directory 台中市醫療器材商業同業公會 (tcmica.org.tw), read 6 Oct 2026</t>
        </is>
      </c>
      <c r="N223" s="152" t="inlineStr">
        <is>
          <t>誠徵台灣超音波經銷夥伴 | CHISON ultrasound distribution partners in Taiwan</t>
        </is>
      </c>
      <c r="O22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3" s="108" t="inlineStr">
        <is>
          <t>aboss.tech@msa.hinet.net</t>
        </is>
      </c>
      <c r="Q223" s="108" t="inlineStr">
        <is>
          <t>DIR: association member directory, not the company site</t>
        </is>
      </c>
      <c r="R223" s="108" t="inlineStr">
        <is>
          <t>Batch draft 3 of 3 (Send separately) sent 6 Oct 2026</t>
        </is>
      </c>
      <c r="S223" s="108" t="n"/>
    </row>
    <row r="224" ht="287.25" customHeight="1" s="104">
      <c r="A224" s="121" t="n">
        <v>219</v>
      </c>
      <c r="B224" s="143" t="inlineStr">
        <is>
          <t>坦頓國際有限公司</t>
        </is>
      </c>
      <c r="C224" s="121" t="inlineStr">
        <is>
          <t>Contacted</t>
        </is>
      </c>
      <c r="D224" s="124" t="inlineStr">
        <is>
          <t>醫療器材</t>
        </is>
      </c>
      <c r="E224" s="121" t="inlineStr">
        <is>
          <t>Not identified (directory listing only)</t>
        </is>
      </c>
      <c r="F224" s="124" t="inlineStr">
        <is>
          <t>Taichung · 臺中市西屯區市政路</t>
        </is>
      </c>
      <c r="G224" s="121" t="inlineStr">
        <is>
          <t>Not published</t>
        </is>
      </c>
      <c r="H224" s="121" t="inlineStr">
        <is>
          <t>04-2258-7957</t>
        </is>
      </c>
      <c r="I224" s="121" t="inlineStr">
        <is>
          <t>Directory listing only: general medical device trader or retailer in Taichung; capital equipment capability unconfirmed.</t>
        </is>
      </c>
      <c r="J224" s="121" t="inlineStr">
        <is>
          <t>SonoAir 70 + SonoEye P3 (confirm line card first)</t>
        </is>
      </c>
      <c r="K224" s="151" t="inlineStr">
        <is>
          <t>3</t>
        </is>
      </c>
      <c r="L224" s="121" t="inlineStr">
        <is>
          <t>Tier 3: long tail from the TCMICA member directory; reached by the bilingual batch email, qualify only if they reply.</t>
        </is>
      </c>
      <c r="M224" s="121" t="inlineStr">
        <is>
          <t>TCMICA directory 台中市醫療器材商業同業公會 (tcmica.org.tw), read 6 Oct 2026</t>
        </is>
      </c>
      <c r="N224" s="152" t="inlineStr">
        <is>
          <t>誠徵台灣超音波經銷夥伴 | CHISON ultrasound distribution partners in Taiwan</t>
        </is>
      </c>
      <c r="O22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4" s="108" t="inlineStr">
        <is>
          <t>lisa.li@latandem.com</t>
        </is>
      </c>
      <c r="Q224" s="108" t="inlineStr">
        <is>
          <t>DIR: association member directory, not the company site</t>
        </is>
      </c>
      <c r="R224" s="108" t="inlineStr">
        <is>
          <t>Batch draft 3 of 3 (Send separately) sent 6 Oct 2026</t>
        </is>
      </c>
      <c r="S224" s="108" t="n"/>
    </row>
    <row r="225" ht="287.25" customHeight="1" s="104">
      <c r="A225" s="121" t="n">
        <v>220</v>
      </c>
      <c r="B225" s="143" t="inlineStr">
        <is>
          <t>金元晟科技有限公司</t>
        </is>
      </c>
      <c r="C225" s="121" t="inlineStr">
        <is>
          <t>Contacted</t>
        </is>
      </c>
      <c r="D225" s="124" t="inlineStr">
        <is>
          <t>醫療器材</t>
        </is>
      </c>
      <c r="E225" s="121" t="inlineStr">
        <is>
          <t>Not identified (directory listing only)</t>
        </is>
      </c>
      <c r="F225" s="124" t="inlineStr">
        <is>
          <t>Taichung · 臺中市西屯區國安一路</t>
        </is>
      </c>
      <c r="G225" s="121" t="inlineStr">
        <is>
          <t>Not published</t>
        </is>
      </c>
      <c r="H225" s="121" t="inlineStr">
        <is>
          <t>04-2461-1037</t>
        </is>
      </c>
      <c r="I225" s="121" t="inlineStr">
        <is>
          <t>Directory listing only: general medical device trader or retailer in Taichung; capital equipment capability unconfirmed.</t>
        </is>
      </c>
      <c r="J225" s="121" t="inlineStr">
        <is>
          <t>SonoAir 70 + SonoEye P3 (confirm line card first)</t>
        </is>
      </c>
      <c r="K225" s="151" t="inlineStr">
        <is>
          <t>3</t>
        </is>
      </c>
      <c r="L225" s="121" t="inlineStr">
        <is>
          <t>Tier 3: long tail from the TCMICA member directory; reached by the bilingual batch email, qualify only if they reply.</t>
        </is>
      </c>
      <c r="M225" s="121" t="inlineStr">
        <is>
          <t>TCMICA directory 台中市醫療器材商業同業公會 (tcmica.org.tw), read 6 Oct 2026</t>
        </is>
      </c>
      <c r="N225" s="152" t="inlineStr">
        <is>
          <t>誠徵台灣超音波經銷夥伴 | CHISON ultrasound distribution partners in Taiwan</t>
        </is>
      </c>
      <c r="O22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5" s="108" t="inlineStr">
        <is>
          <t>jyctwg@gmail.com</t>
        </is>
      </c>
      <c r="Q225" s="108" t="inlineStr">
        <is>
          <t>DIR: association member directory, not the company site</t>
        </is>
      </c>
      <c r="R225" s="108" t="inlineStr">
        <is>
          <t>Batch draft 3 of 3 (Send separately) sent 6 Oct 2026</t>
        </is>
      </c>
      <c r="S225" s="108" t="n"/>
    </row>
    <row r="226" ht="287.25" customHeight="1" s="104">
      <c r="A226" s="121" t="n">
        <v>221</v>
      </c>
      <c r="B226" s="143" t="inlineStr">
        <is>
          <t>榕佑國際有限公司</t>
        </is>
      </c>
      <c r="C226" s="121" t="inlineStr">
        <is>
          <t>Not started</t>
        </is>
      </c>
      <c r="D226" s="124" t="inlineStr">
        <is>
          <t>醫療器材進出口貿易</t>
        </is>
      </c>
      <c r="E226" s="121" t="inlineStr">
        <is>
          <t>Not identified (directory listing only)</t>
        </is>
      </c>
      <c r="F226" s="124" t="inlineStr">
        <is>
          <t>Taichung · 台中市南屯區大墩路</t>
        </is>
      </c>
      <c r="G226" s="121" t="inlineStr">
        <is>
          <t>Not published</t>
        </is>
      </c>
      <c r="H226" s="121" t="inlineStr">
        <is>
          <t>04-2327-3383</t>
        </is>
      </c>
      <c r="I226" s="121" t="inlineStr">
        <is>
          <t>Directory listing only: general medical device trader or retailer in Taichung; capital equipment capability unconfirmed.</t>
        </is>
      </c>
      <c r="J226" s="121" t="inlineStr">
        <is>
          <t>SonoAir 70 + SonoEye P3 (confirm line card first)</t>
        </is>
      </c>
      <c r="K226" s="151" t="inlineStr">
        <is>
          <t>3</t>
        </is>
      </c>
      <c r="L226" s="121" t="inlineStr">
        <is>
          <t>Tier 3: long tail from the TCMICA member directory; reached by the bilingual batch email, qualify only if they reply.</t>
        </is>
      </c>
      <c r="M226" s="121" t="inlineStr">
        <is>
          <t>TCMICA directory 台中市醫療器材商業同業公會 (tcmica.org.tw), read 6 Oct 2026</t>
        </is>
      </c>
      <c r="N226" s="152" t="inlineStr">
        <is>
          <t>誠徵台灣超音波經銷夥伴 | CHISON ultrasound distribution partners in Taiwan</t>
        </is>
      </c>
      <c r="O22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6" s="108" t="inlineStr">
        <is>
          <t>ony.chen@prosperway.com.tw</t>
        </is>
      </c>
      <c r="Q226" s="108" t="inlineStr">
        <is>
          <t>BOUNCED 6 Oct 2026</t>
        </is>
      </c>
      <c r="R226" s="108" t="inlineStr">
        <is>
          <t>Sent 6 Oct 2026, BOUNCED: Account does not exist. Find a working email or call.</t>
        </is>
      </c>
      <c r="S226" s="108" t="n"/>
    </row>
    <row r="227" ht="287.25" customHeight="1" s="104">
      <c r="A227" s="121" t="n">
        <v>222</v>
      </c>
      <c r="B227" s="143" t="inlineStr">
        <is>
          <t>凡葳有限公司</t>
        </is>
      </c>
      <c r="C227" s="121" t="inlineStr">
        <is>
          <t>Contacted</t>
        </is>
      </c>
      <c r="D227" s="124" t="inlineStr">
        <is>
          <t>檢驗儀器、耗材、試劑</t>
        </is>
      </c>
      <c r="E227" s="121" t="inlineStr">
        <is>
          <t>Not identified (directory listing only)</t>
        </is>
      </c>
      <c r="F227" s="124" t="inlineStr">
        <is>
          <t>Taichung · 台中市南屯區南屯路</t>
        </is>
      </c>
      <c r="G227" s="121" t="inlineStr">
        <is>
          <t>Not published</t>
        </is>
      </c>
      <c r="H227" s="121" t="inlineStr">
        <is>
          <t>04-2355-0800</t>
        </is>
      </c>
      <c r="I227" s="121" t="inlineStr">
        <is>
          <t>Directory listing only: general medical device trader or retailer in Taichung; capital equipment capability unconfirmed.</t>
        </is>
      </c>
      <c r="J227" s="121" t="inlineStr">
        <is>
          <t>SonoAir 70 + SonoEye P3 (confirm line card first)</t>
        </is>
      </c>
      <c r="K227" s="151" t="inlineStr">
        <is>
          <t>3</t>
        </is>
      </c>
      <c r="L227" s="121" t="inlineStr">
        <is>
          <t>Tier 3: long tail from the TCMICA member directory; reached by the bilingual batch email, qualify only if they reply.</t>
        </is>
      </c>
      <c r="M227" s="121" t="inlineStr">
        <is>
          <t>TCMICA directory 台中市醫療器材商業同業公會 (tcmica.org.tw), read 6 Oct 2026</t>
        </is>
      </c>
      <c r="N227" s="152" t="inlineStr">
        <is>
          <t>誠徵台灣超音波經銷夥伴 | CHISON ultrasound distribution partners in Taiwan</t>
        </is>
      </c>
      <c r="O22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7" s="108" t="inlineStr">
        <is>
          <t>fanwei16922425@hotmail.com</t>
        </is>
      </c>
      <c r="Q227" s="108" t="inlineStr">
        <is>
          <t>DIR: association member directory, not the company site</t>
        </is>
      </c>
      <c r="R227" s="108" t="inlineStr">
        <is>
          <t>Batch draft 3 of 3 (Send separately) sent 6 Oct 2026</t>
        </is>
      </c>
      <c r="S227" s="108" t="n"/>
    </row>
    <row r="228" ht="287.25" customHeight="1" s="104">
      <c r="A228" s="121" t="n">
        <v>223</v>
      </c>
      <c r="B228" s="143" t="inlineStr">
        <is>
          <t>景翌企業有限公司</t>
        </is>
      </c>
      <c r="C228" s="121" t="inlineStr">
        <is>
          <t>Contacted</t>
        </is>
      </c>
      <c r="D228" s="124" t="inlineStr">
        <is>
          <t>醫療器材</t>
        </is>
      </c>
      <c r="E228" s="121" t="inlineStr">
        <is>
          <t>Not identified (directory listing only)</t>
        </is>
      </c>
      <c r="F228" s="124" t="inlineStr">
        <is>
          <t>Taichung · 台中市南屯區干城街</t>
        </is>
      </c>
      <c r="G228" s="121" t="inlineStr">
        <is>
          <t>Not published</t>
        </is>
      </c>
      <c r="H228" s="121" t="inlineStr">
        <is>
          <t>04-2565-4609</t>
        </is>
      </c>
      <c r="I228" s="121" t="inlineStr">
        <is>
          <t>Directory listing only: general medical device trader or retailer in Taichung; capital equipment capability unconfirmed.</t>
        </is>
      </c>
      <c r="J228" s="121" t="inlineStr">
        <is>
          <t>SonoAir 70 + SonoEye P3 (confirm line card first)</t>
        </is>
      </c>
      <c r="K228" s="151" t="inlineStr">
        <is>
          <t>3</t>
        </is>
      </c>
      <c r="L228" s="121" t="inlineStr">
        <is>
          <t>Tier 3: long tail from the TCMICA member directory; reached by the bilingual batch email, qualify only if they reply.</t>
        </is>
      </c>
      <c r="M228" s="121" t="inlineStr">
        <is>
          <t>TCMICA directory 台中市醫療器材商業同業公會 (tcmica.org.tw), read 6 Oct 2026</t>
        </is>
      </c>
      <c r="N228" s="152" t="inlineStr">
        <is>
          <t>誠徵台灣超音波經銷夥伴 | CHISON ultrasound distribution partners in Taiwan</t>
        </is>
      </c>
      <c r="O22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8" s="108" t="inlineStr">
        <is>
          <t>steele@ms12.hinet.net</t>
        </is>
      </c>
      <c r="Q228" s="108" t="inlineStr">
        <is>
          <t>DIR: association member directory, not the company site</t>
        </is>
      </c>
      <c r="R228" s="108" t="inlineStr">
        <is>
          <t>Batch draft 3 of 3 (Send separately) sent 6 Oct 2026</t>
        </is>
      </c>
      <c r="S228" s="108" t="n"/>
    </row>
    <row r="229" ht="287.25" customHeight="1" s="104">
      <c r="A229" s="121" t="n">
        <v>224</v>
      </c>
      <c r="B229" s="143" t="inlineStr">
        <is>
          <t>大翰翔企業股份有限公司</t>
        </is>
      </c>
      <c r="C229" s="121" t="inlineStr">
        <is>
          <t>Contacted</t>
        </is>
      </c>
      <c r="D229" s="124" t="inlineStr">
        <is>
          <t>醫療器材</t>
        </is>
      </c>
      <c r="E229" s="121" t="inlineStr">
        <is>
          <t>Not identified (directory listing only)</t>
        </is>
      </c>
      <c r="F229" s="124" t="inlineStr">
        <is>
          <t>Taichung · 台中市南屯區五權西</t>
        </is>
      </c>
      <c r="G229" s="121" t="inlineStr">
        <is>
          <t>Not published</t>
        </is>
      </c>
      <c r="H229" s="121" t="inlineStr">
        <is>
          <t>04-2359-9890</t>
        </is>
      </c>
      <c r="I229" s="121" t="inlineStr">
        <is>
          <t>Directory listing only: general medical device trader or retailer in Taichung; capital equipment capability unconfirmed.</t>
        </is>
      </c>
      <c r="J229" s="121" t="inlineStr">
        <is>
          <t>SonoAir 70 + SonoEye P3 (confirm line card first)</t>
        </is>
      </c>
      <c r="K229" s="151" t="inlineStr">
        <is>
          <t>3</t>
        </is>
      </c>
      <c r="L229" s="121" t="inlineStr">
        <is>
          <t>Tier 3: long tail from the TCMICA member directory; reached by the bilingual batch email, qualify only if they reply.</t>
        </is>
      </c>
      <c r="M229" s="121" t="inlineStr">
        <is>
          <t>TCMICA directory 台中市醫療器材商業同業公會 (tcmica.org.tw), read 6 Oct 2026</t>
        </is>
      </c>
      <c r="N229" s="152" t="inlineStr">
        <is>
          <t>誠徵台灣超音波經銷夥伴 | CHISON ultrasound distribution partners in Taiwan</t>
        </is>
      </c>
      <c r="O22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29" s="108" t="inlineStr">
        <is>
          <t>thh66@ms51.hinet.net</t>
        </is>
      </c>
      <c r="Q229" s="108" t="inlineStr">
        <is>
          <t>DIR: association member directory, not the company site</t>
        </is>
      </c>
      <c r="R229" s="108" t="inlineStr">
        <is>
          <t>Batch draft 3 of 3 (Send separately) sent 6 Oct 2026</t>
        </is>
      </c>
      <c r="S229" s="108" t="n"/>
    </row>
    <row r="230" ht="310.5" customHeight="1" s="104">
      <c r="A230" s="121" t="n">
        <v>225</v>
      </c>
      <c r="B230" s="143" t="inlineStr">
        <is>
          <t>宇瑞醫療器材有限公司</t>
        </is>
      </c>
      <c r="C230" s="121" t="inlineStr">
        <is>
          <t>Contacted</t>
        </is>
      </c>
      <c r="D230" s="124" t="inlineStr">
        <is>
          <t>醫療器材(同組:展銳醫療儀器)</t>
        </is>
      </c>
      <c r="E230" s="121" t="inlineStr">
        <is>
          <t>Not identified (directory listing only)</t>
        </is>
      </c>
      <c r="F230" s="124" t="inlineStr">
        <is>
          <t>Taichung · 台中市南屯區大墩1</t>
        </is>
      </c>
      <c r="G230" s="121" t="inlineStr">
        <is>
          <t>Not published</t>
        </is>
      </c>
      <c r="H230" s="121" t="inlineStr">
        <is>
          <t>04-2254-8026</t>
        </is>
      </c>
      <c r="I230" s="121" t="inlineStr">
        <is>
          <t>Taichung association member with a business line adjacent to ultrasound; line card and existing ultrasound brand to confirm on first call.</t>
        </is>
      </c>
      <c r="J230" s="121" t="inlineStr">
        <is>
          <t>SonoAir 70 + SonoEye P3</t>
        </is>
      </c>
      <c r="K230" s="155" t="inlineStr">
        <is>
          <t>2</t>
        </is>
      </c>
      <c r="L230" s="121" t="inlineStr">
        <is>
          <t>Tier 2: adjacent segment from the TCMICA directory (equipment, OR, emergency, imaging or import), individual email sent; qualify scale and service team.</t>
        </is>
      </c>
      <c r="M230" s="121" t="inlineStr">
        <is>
          <t>TCMICA directory 台中市醫療器材商業同業公會 (tcmica.org.tw), read 6 Oct 2026</t>
        </is>
      </c>
      <c r="N230" s="152" t="inlineStr">
        <is>
          <t>展銳醫療儀器: CHISON ultrasound beside your endoscopy line</t>
        </is>
      </c>
      <c r="O230" s="108" t="inlineStr">
        <is>
          <t>Dear 展銳醫療儀器 and 宇瑞醫療器材 team,
I am Casper Tan, Senior Regional Sales Manager at AstraMed Healthcare, a subsidiary of CHISON Medical Technologies, and I look after Taiwan. You supply endoscopes and instruments to GI and surgical teams, and a transabdominal scan in the consult room completes the picture for the same doctors.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GI and surgical clinics, these are the models I would suggest:
• SonoAir 70: a 2.1 kg laptop with four active probe ports and SonoAI tools such as automatic bladder volume and thyroid and breast nodule measurement
• SonoEye P3: a pocket handheld for emergency, ICU and bedside work; SonoEye was rated the top handheld in an independent comparison of nine handheld devices published in Diagnostics (MDPI)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230" s="108" t="inlineStr">
        <is>
          <t>smartech.tw@gmail.com</t>
        </is>
      </c>
      <c r="Q230" s="108" t="inlineStr">
        <is>
          <t>DIR: association member directory, not the company site</t>
        </is>
      </c>
      <c r="R230" s="108" t="inlineStr">
        <is>
          <t>Sent 6 Oct 2026 from Winmail with Corporate Brochure 2027</t>
        </is>
      </c>
      <c r="S230" s="108" t="n"/>
    </row>
    <row r="231" ht="287.25" customHeight="1" s="104">
      <c r="A231" s="121" t="n">
        <v>226</v>
      </c>
      <c r="B231" s="143" t="inlineStr">
        <is>
          <t>傳斯美德有限公司</t>
        </is>
      </c>
      <c r="C231" s="121" t="inlineStr">
        <is>
          <t>Contacted</t>
        </is>
      </c>
      <c r="D231" s="124" t="inlineStr">
        <is>
          <t>醫療器材買賣販售</t>
        </is>
      </c>
      <c r="E231" s="121" t="inlineStr">
        <is>
          <t>Not identified (directory listing only)</t>
        </is>
      </c>
      <c r="F231" s="124" t="inlineStr">
        <is>
          <t>Taichung · 台中市南屯區河南路</t>
        </is>
      </c>
      <c r="G231" s="121" t="inlineStr">
        <is>
          <t>Not published</t>
        </is>
      </c>
      <c r="H231" s="121" t="inlineStr">
        <is>
          <t>04-2251-1612</t>
        </is>
      </c>
      <c r="I231" s="121" t="inlineStr">
        <is>
          <t>Directory listing only: general medical device trader or retailer in Taichung; capital equipment capability unconfirmed.</t>
        </is>
      </c>
      <c r="J231" s="121" t="inlineStr">
        <is>
          <t>SonoAir 70 + SonoEye P3 (confirm line card first)</t>
        </is>
      </c>
      <c r="K231" s="151" t="inlineStr">
        <is>
          <t>3</t>
        </is>
      </c>
      <c r="L231" s="121" t="inlineStr">
        <is>
          <t>Tier 3: long tail from the TCMICA member directory; reached by the bilingual batch email, qualify only if they reply.</t>
        </is>
      </c>
      <c r="M231" s="121" t="inlineStr">
        <is>
          <t>TCMICA directory 台中市醫療器材商業同業公會 (tcmica.org.tw), read 6 Oct 2026</t>
        </is>
      </c>
      <c r="N231" s="152" t="inlineStr">
        <is>
          <t>誠徵台灣超音波經銷夥伴 | CHISON ultrasound distribution partners in Taiwan</t>
        </is>
      </c>
      <c r="O23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31" s="108" t="inlineStr">
        <is>
          <t>keilco56@ms25.hinet.net</t>
        </is>
      </c>
      <c r="Q231" s="108" t="inlineStr">
        <is>
          <t>DIR: association member directory, not the company site</t>
        </is>
      </c>
      <c r="R231" s="108" t="inlineStr">
        <is>
          <t>Batch draft 3 of 3 (Send separately) sent 6 Oct 2026</t>
        </is>
      </c>
      <c r="S231" s="108" t="n"/>
    </row>
    <row r="232" ht="287.25" customHeight="1" s="104">
      <c r="A232" s="121" t="n">
        <v>227</v>
      </c>
      <c r="B232" s="143" t="inlineStr">
        <is>
          <t>泉勝儀器有限公司</t>
        </is>
      </c>
      <c r="C232" s="121" t="inlineStr">
        <is>
          <t>Contacted</t>
        </is>
      </c>
      <c r="D232" s="124" t="inlineStr">
        <is>
          <t>醫療器材</t>
        </is>
      </c>
      <c r="E232" s="121" t="inlineStr">
        <is>
          <t>Not identified (directory listing only)</t>
        </is>
      </c>
      <c r="F232" s="124" t="inlineStr">
        <is>
          <t>Taichung · 臺中市南屯區南屯路</t>
        </is>
      </c>
      <c r="G232" s="154" t="inlineStr">
        <is>
          <t>http://www.bio-mega.com.tw/</t>
        </is>
      </c>
      <c r="H232" s="121" t="inlineStr">
        <is>
          <t>04-2473-3932</t>
        </is>
      </c>
      <c r="I232" s="121" t="inlineStr">
        <is>
          <t>Directory listing only: general medical device trader or retailer in Taichung; capital equipment capability unconfirmed.</t>
        </is>
      </c>
      <c r="J232" s="121" t="inlineStr">
        <is>
          <t>SonoAir 70 + SonoEye P3 (confirm line card first)</t>
        </is>
      </c>
      <c r="K232" s="151" t="inlineStr">
        <is>
          <t>3</t>
        </is>
      </c>
      <c r="L232" s="121" t="inlineStr">
        <is>
          <t>Tier 3: long tail from the TCMICA member directory; reached by the bilingual batch email, qualify only if they reply.</t>
        </is>
      </c>
      <c r="M232" s="121" t="inlineStr">
        <is>
          <t>TCMICA directory 台中市醫療器材商業同業公會 (tcmica.org.tw), read 6 Oct 2026</t>
        </is>
      </c>
      <c r="N232" s="152" t="inlineStr">
        <is>
          <t>誠徵台灣超音波經銷夥伴 | CHISON ultrasound distribution partners in Taiwan</t>
        </is>
      </c>
      <c r="O23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32" s="108" t="inlineStr">
        <is>
          <t>mail@bio-mega.com.tw</t>
        </is>
      </c>
      <c r="Q232" s="108" t="inlineStr">
        <is>
          <t>DIR: association member directory, not the company site</t>
        </is>
      </c>
      <c r="R232" s="108" t="inlineStr">
        <is>
          <t>Batch draft 3 of 3 (Send separately) sent 6 Oct 2026</t>
        </is>
      </c>
      <c r="S232" s="108" t="n"/>
    </row>
    <row r="233" ht="287.25" customHeight="1" s="104">
      <c r="A233" s="121" t="n">
        <v>228</v>
      </c>
      <c r="B233" s="143" t="inlineStr">
        <is>
          <t>美利馳股份有限公司</t>
        </is>
      </c>
      <c r="C233" s="121" t="inlineStr">
        <is>
          <t>Contacted</t>
        </is>
      </c>
      <c r="D233" s="124" t="inlineStr">
        <is>
          <t>醫療器材批發零售業</t>
        </is>
      </c>
      <c r="E233" s="121" t="inlineStr">
        <is>
          <t>Not identified (directory listing only)</t>
        </is>
      </c>
      <c r="F233" s="124" t="inlineStr">
        <is>
          <t>Taichung · 臺中市南屯區文山南</t>
        </is>
      </c>
      <c r="G233" s="121" t="inlineStr">
        <is>
          <t>Not published</t>
        </is>
      </c>
      <c r="H233" s="121" t="inlineStr">
        <is>
          <t>04-2380-1333</t>
        </is>
      </c>
      <c r="I233" s="121" t="inlineStr">
        <is>
          <t>Directory listing only: general medical device trader or retailer in Taichung; capital equipment capability unconfirmed.</t>
        </is>
      </c>
      <c r="J233" s="121" t="inlineStr">
        <is>
          <t>SonoAir 70 + SonoEye P3 (confirm line card first)</t>
        </is>
      </c>
      <c r="K233" s="151" t="inlineStr">
        <is>
          <t>3</t>
        </is>
      </c>
      <c r="L233" s="121" t="inlineStr">
        <is>
          <t>Tier 3: long tail from the TCMICA member directory; reached by the bilingual batch email, qualify only if they reply.</t>
        </is>
      </c>
      <c r="M233" s="121" t="inlineStr">
        <is>
          <t>TCMICA directory 台中市醫療器材商業同業公會 (tcmica.org.tw), read 6 Oct 2026</t>
        </is>
      </c>
      <c r="N233" s="152" t="inlineStr">
        <is>
          <t>誠徵台灣超音波經銷夥伴 | CHISON ultrasound distribution partners in Taiwan</t>
        </is>
      </c>
      <c r="O23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33" s="108" t="inlineStr">
        <is>
          <t>merits.tw@gmail.com</t>
        </is>
      </c>
      <c r="Q233" s="108" t="inlineStr">
        <is>
          <t>DIR: association member directory, not the company site</t>
        </is>
      </c>
      <c r="R233" s="108" t="inlineStr">
        <is>
          <t>Batch draft 3 of 3 (Send separately) sent 6 Oct 2026</t>
        </is>
      </c>
      <c r="S233" s="108" t="n"/>
    </row>
    <row r="234" ht="287.25" customHeight="1" s="104">
      <c r="A234" s="121" t="n">
        <v>229</v>
      </c>
      <c r="B234" s="143" t="inlineStr">
        <is>
          <t>奧尼里奇股份有限公司</t>
        </is>
      </c>
      <c r="C234" s="121" t="inlineStr">
        <is>
          <t>Not started</t>
        </is>
      </c>
      <c r="D234" s="124" t="inlineStr">
        <is>
          <t>醫療器材</t>
        </is>
      </c>
      <c r="E234" s="121" t="inlineStr">
        <is>
          <t>Not identified (directory listing only)</t>
        </is>
      </c>
      <c r="F234" s="124" t="inlineStr">
        <is>
          <t>Taichung · 臺中市南屯區楓和路</t>
        </is>
      </c>
      <c r="G234" s="121" t="inlineStr">
        <is>
          <t>Not published</t>
        </is>
      </c>
      <c r="H234" s="121" t="inlineStr">
        <is>
          <t>04-2470-0135</t>
        </is>
      </c>
      <c r="I234" s="121" t="inlineStr">
        <is>
          <t>Directory listing only: general medical device trader or retailer in Taichung; capital equipment capability unconfirmed.</t>
        </is>
      </c>
      <c r="J234" s="121" t="inlineStr">
        <is>
          <t>SonoAir 70 + SonoEye P3 (confirm line card first)</t>
        </is>
      </c>
      <c r="K234" s="151" t="inlineStr">
        <is>
          <t>3</t>
        </is>
      </c>
      <c r="L234" s="121" t="inlineStr">
        <is>
          <t>Tier 3: long tail from the TCMICA member directory; reached by the bilingual batch email, qualify only if they reply.</t>
        </is>
      </c>
      <c r="M234" s="121" t="inlineStr">
        <is>
          <t>TCMICA directory 台中市醫療器材商業同業公會 (tcmica.org.tw), read 6 Oct 2026</t>
        </is>
      </c>
      <c r="N234" s="152" t="inlineStr">
        <is>
          <t>誠徵台灣超音波經銷夥伴 | CHISON ultrasound distribution partners in Taiwan</t>
        </is>
      </c>
      <c r="O23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34" s="108" t="inlineStr">
        <is>
          <t>benchen@aonirich.com</t>
        </is>
      </c>
      <c r="Q234" s="108" t="inlineStr">
        <is>
          <t>BOUNCED 6 Oct 2026</t>
        </is>
      </c>
      <c r="R234" s="108" t="inlineStr">
        <is>
          <t>Sent 6 Oct 2026, BOUNCED: Could not connect to the aonirich.com mail server. Find a working email or call.</t>
        </is>
      </c>
      <c r="S234" s="108" t="n"/>
    </row>
    <row r="235" ht="287.25" customHeight="1" s="104">
      <c r="A235" s="121" t="n">
        <v>230</v>
      </c>
      <c r="B235" s="143" t="inlineStr">
        <is>
          <t>茵特斯克股份有限公司</t>
        </is>
      </c>
      <c r="C235" s="121" t="inlineStr">
        <is>
          <t>Contacted</t>
        </is>
      </c>
      <c r="D235" s="124" t="inlineStr">
        <is>
          <t>醫療器材(麻醉呼吸耗材)</t>
        </is>
      </c>
      <c r="E235" s="121" t="inlineStr">
        <is>
          <t>Not identified (directory listing only)</t>
        </is>
      </c>
      <c r="F235" s="124" t="inlineStr">
        <is>
          <t>Taichung · 臺中市南屯區嶺東路</t>
        </is>
      </c>
      <c r="G235" s="121" t="inlineStr">
        <is>
          <t>Not published</t>
        </is>
      </c>
      <c r="H235" s="121" t="inlineStr">
        <is>
          <t>04-2380-5430</t>
        </is>
      </c>
      <c r="I235" s="121" t="inlineStr">
        <is>
          <t>Directory listing only: general medical device trader or retailer in Taichung; capital equipment capability unconfirmed.</t>
        </is>
      </c>
      <c r="J235" s="121" t="inlineStr">
        <is>
          <t>SonoAir 70 + SonoEye P3 (confirm line card first)</t>
        </is>
      </c>
      <c r="K235" s="151" t="inlineStr">
        <is>
          <t>3</t>
        </is>
      </c>
      <c r="L235" s="121" t="inlineStr">
        <is>
          <t>Tier 3: long tail from the TCMICA member directory; reached by the bilingual batch email, qualify only if they reply.</t>
        </is>
      </c>
      <c r="M235" s="121" t="inlineStr">
        <is>
          <t>TCMICA directory 台中市醫療器材商業同業公會 (tcmica.org.tw), read 6 Oct 2026</t>
        </is>
      </c>
      <c r="N235" s="152" t="inlineStr">
        <is>
          <t>誠徵台灣超音波經銷夥伴 | CHISON ultrasound distribution partners in Taiwan</t>
        </is>
      </c>
      <c r="O23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35" s="108" t="inlineStr">
        <is>
          <t>michael@intersurgical.com.tw</t>
        </is>
      </c>
      <c r="Q235" s="108" t="inlineStr">
        <is>
          <t>DIR: association member directory, not the company site</t>
        </is>
      </c>
      <c r="R235" s="108" t="inlineStr">
        <is>
          <t>Batch draft 3 of 3 (Send separately) sent 6 Oct 2026</t>
        </is>
      </c>
      <c r="S235" s="108" t="n"/>
    </row>
    <row r="236" ht="287.25" customHeight="1" s="104">
      <c r="A236" s="121" t="n">
        <v>231</v>
      </c>
      <c r="B236" s="143" t="inlineStr">
        <is>
          <t>德易國際有限公司</t>
        </is>
      </c>
      <c r="C236" s="121" t="inlineStr">
        <is>
          <t>Not started</t>
        </is>
      </c>
      <c r="D236" s="124" t="inlineStr">
        <is>
          <t>醫療器材</t>
        </is>
      </c>
      <c r="E236" s="121" t="inlineStr">
        <is>
          <t>Not identified (directory listing only)</t>
        </is>
      </c>
      <c r="F236" s="124" t="inlineStr">
        <is>
          <t>Taichung · 臺中市南屯區豐功路</t>
        </is>
      </c>
      <c r="G236" s="121" t="inlineStr">
        <is>
          <t>Not published</t>
        </is>
      </c>
      <c r="H236" s="121" t="inlineStr">
        <is>
          <t>04-2380-4088</t>
        </is>
      </c>
      <c r="I236" s="121" t="inlineStr">
        <is>
          <t>Directory listing only: general medical device trader or retailer in Taichung; capital equipment capability unconfirmed.</t>
        </is>
      </c>
      <c r="J236" s="121" t="inlineStr">
        <is>
          <t>SonoAir 70 + SonoEye P3 (confirm line card first)</t>
        </is>
      </c>
      <c r="K236" s="151" t="inlineStr">
        <is>
          <t>3</t>
        </is>
      </c>
      <c r="L236" s="121" t="inlineStr">
        <is>
          <t>Tier 3: long tail from the TCMICA member directory; reached by the bilingual batch email, qualify only if they reply.</t>
        </is>
      </c>
      <c r="M236" s="121" t="inlineStr">
        <is>
          <t>TCMICA directory 台中市醫療器材商業同業公會 (tcmica.org.tw), read 6 Oct 2026</t>
        </is>
      </c>
      <c r="N236" s="152" t="inlineStr">
        <is>
          <t>誠徵台灣超音波經銷夥伴 | CHISON ultrasound distribution partners in Taiwan</t>
        </is>
      </c>
      <c r="O23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36" s="108" t="inlineStr">
        <is>
          <t>sherry@fortworth.com</t>
        </is>
      </c>
      <c r="Q236" s="108" t="inlineStr">
        <is>
          <t>BOUNCED 6 Oct 2026</t>
        </is>
      </c>
      <c r="R236" s="108" t="inlineStr">
        <is>
          <t>Sent 6 Oct 2026, BOUNCED: Recipient rejected, access denied. Find a working email or call.</t>
        </is>
      </c>
      <c r="S236" s="108" t="n"/>
    </row>
    <row r="237" ht="287.25" customHeight="1" s="104">
      <c r="A237" s="121" t="n">
        <v>232</v>
      </c>
      <c r="B237" s="143" t="inlineStr">
        <is>
          <t>信謄醫技有限公司</t>
        </is>
      </c>
      <c r="C237" s="121" t="inlineStr">
        <is>
          <t>Contacted</t>
        </is>
      </c>
      <c r="D237" s="124" t="inlineStr">
        <is>
          <t>醫療器材病床</t>
        </is>
      </c>
      <c r="E237" s="121" t="inlineStr">
        <is>
          <t>Not identified (directory listing only)</t>
        </is>
      </c>
      <c r="F237" s="124" t="inlineStr">
        <is>
          <t>Taichung · 臺中市太平區中山路</t>
        </is>
      </c>
      <c r="G237" s="121" t="inlineStr">
        <is>
          <t>Not published</t>
        </is>
      </c>
      <c r="H237" s="121" t="inlineStr">
        <is>
          <t>04-2275-0599</t>
        </is>
      </c>
      <c r="I237" s="121" t="inlineStr">
        <is>
          <t>Directory listing only: general medical device trader or retailer in Taichung; capital equipment capability unconfirmed.</t>
        </is>
      </c>
      <c r="J237" s="121" t="inlineStr">
        <is>
          <t>SonoAir 70 + SonoEye P3 (confirm line card first)</t>
        </is>
      </c>
      <c r="K237" s="151" t="inlineStr">
        <is>
          <t>3</t>
        </is>
      </c>
      <c r="L237" s="121" t="inlineStr">
        <is>
          <t>Tier 3: long tail from the TCMICA member directory; reached by the bilingual batch email, qualify only if they reply.</t>
        </is>
      </c>
      <c r="M237" s="121" t="inlineStr">
        <is>
          <t>TCMICA directory 台中市醫療器材商業同業公會 (tcmica.org.tw), read 6 Oct 2026</t>
        </is>
      </c>
      <c r="N237" s="152" t="inlineStr">
        <is>
          <t>誠徵台灣超音波經銷夥伴 | CHISON ultrasound distribution partners in Taiwan</t>
        </is>
      </c>
      <c r="O23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37" s="108" t="inlineStr">
        <is>
          <t>monsan@ms34.hinet.net</t>
        </is>
      </c>
      <c r="Q237" s="108" t="inlineStr">
        <is>
          <t>DIR: association member directory, not the company site</t>
        </is>
      </c>
      <c r="R237" s="108" t="inlineStr">
        <is>
          <t>Batch draft 3 of 3 (Send separately) sent 6 Oct 2026</t>
        </is>
      </c>
      <c r="S237" s="108" t="n"/>
    </row>
    <row r="238" ht="287.25" customHeight="1" s="104">
      <c r="A238" s="121" t="n">
        <v>233</v>
      </c>
      <c r="B238" s="143" t="inlineStr">
        <is>
          <t>大田儀器有限公司</t>
        </is>
      </c>
      <c r="C238" s="121" t="inlineStr">
        <is>
          <t>Contacted</t>
        </is>
      </c>
      <c r="D238" s="124" t="inlineStr">
        <is>
          <t>醫療器材</t>
        </is>
      </c>
      <c r="E238" s="121" t="inlineStr">
        <is>
          <t>Not identified (directory listing only)</t>
        </is>
      </c>
      <c r="F238" s="124" t="inlineStr">
        <is>
          <t>Taichung · 臺中市太平區宜昌東</t>
        </is>
      </c>
      <c r="G238" s="121" t="inlineStr">
        <is>
          <t>Not published</t>
        </is>
      </c>
      <c r="H238" s="121" t="inlineStr">
        <is>
          <t>04-2536-0948</t>
        </is>
      </c>
      <c r="I238" s="121" t="inlineStr">
        <is>
          <t>Directory listing only: general medical device trader or retailer in Taichung; capital equipment capability unconfirmed.</t>
        </is>
      </c>
      <c r="J238" s="121" t="inlineStr">
        <is>
          <t>SonoAir 70 + SonoEye P3 (confirm line card first)</t>
        </is>
      </c>
      <c r="K238" s="151" t="inlineStr">
        <is>
          <t>3</t>
        </is>
      </c>
      <c r="L238" s="121" t="inlineStr">
        <is>
          <t>Tier 3: long tail from the TCMICA member directory; reached by the bilingual batch email, qualify only if they reply.</t>
        </is>
      </c>
      <c r="M238" s="121" t="inlineStr">
        <is>
          <t>TCMICA directory 台中市醫療器材商業同業公會 (tcmica.org.tw), read 6 Oct 2026</t>
        </is>
      </c>
      <c r="N238" s="152" t="inlineStr">
        <is>
          <t>誠徵台灣超音波經銷夥伴 | CHISON ultrasound distribution partners in Taiwan</t>
        </is>
      </c>
      <c r="O23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38" s="108" t="inlineStr">
        <is>
          <t>ezcare5000@gmail.com</t>
        </is>
      </c>
      <c r="Q238" s="108" t="inlineStr">
        <is>
          <t>DIR: association member directory, not the company site</t>
        </is>
      </c>
      <c r="R238" s="108" t="inlineStr">
        <is>
          <t>Batch draft 3 of 3 (Send separately) sent 6 Oct 2026</t>
        </is>
      </c>
      <c r="S238" s="108" t="n"/>
    </row>
    <row r="239" ht="287.25" customHeight="1" s="104">
      <c r="A239" s="121" t="n">
        <v>234</v>
      </c>
      <c r="B239" s="143" t="inlineStr">
        <is>
          <t>昊佑企業有限公司</t>
        </is>
      </c>
      <c r="C239" s="121" t="inlineStr">
        <is>
          <t>Contacted</t>
        </is>
      </c>
      <c r="D239" s="124" t="inlineStr">
        <is>
          <t>醫療器材</t>
        </is>
      </c>
      <c r="E239" s="121" t="inlineStr">
        <is>
          <t>Not identified (directory listing only)</t>
        </is>
      </c>
      <c r="F239" s="124" t="inlineStr">
        <is>
          <t>Taichung · 臺中市太平區長億一</t>
        </is>
      </c>
      <c r="G239" s="121" t="inlineStr">
        <is>
          <t>Not published</t>
        </is>
      </c>
      <c r="H239" s="121" t="inlineStr">
        <is>
          <t>04-2215-2417</t>
        </is>
      </c>
      <c r="I239" s="121" t="inlineStr">
        <is>
          <t>Directory listing only: general medical device trader or retailer in Taichung; capital equipment capability unconfirmed.</t>
        </is>
      </c>
      <c r="J239" s="121" t="inlineStr">
        <is>
          <t>SonoAir 70 + SonoEye P3 (confirm line card first)</t>
        </is>
      </c>
      <c r="K239" s="151" t="inlineStr">
        <is>
          <t>3</t>
        </is>
      </c>
      <c r="L239" s="121" t="inlineStr">
        <is>
          <t>Tier 3: long tail from the TCMICA member directory; reached by the bilingual batch email, qualify only if they reply.</t>
        </is>
      </c>
      <c r="M239" s="121" t="inlineStr">
        <is>
          <t>TCMICA directory 台中市醫療器材商業同業公會 (tcmica.org.tw), read 6 Oct 2026</t>
        </is>
      </c>
      <c r="N239" s="152" t="inlineStr">
        <is>
          <t>誠徵台灣超音波經銷夥伴 | CHISON ultrasound distribution partners in Taiwan</t>
        </is>
      </c>
      <c r="O23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39" s="108" t="inlineStr">
        <is>
          <t>haoyo@haoyo.com.tw</t>
        </is>
      </c>
      <c r="Q239" s="108" t="inlineStr">
        <is>
          <t>DIR: association member directory, not the company site</t>
        </is>
      </c>
      <c r="R239" s="108" t="inlineStr">
        <is>
          <t>Batch draft 3 of 3 (Send separately) sent 6 Oct 2026</t>
        </is>
      </c>
      <c r="S239" s="108" t="n"/>
    </row>
    <row r="240" ht="287.25" customHeight="1" s="104">
      <c r="A240" s="121" t="n">
        <v>235</v>
      </c>
      <c r="B240" s="143" t="inlineStr">
        <is>
          <t>凱能醫療器材有限公司</t>
        </is>
      </c>
      <c r="C240" s="121" t="inlineStr">
        <is>
          <t>Contacted</t>
        </is>
      </c>
      <c r="D240" s="124" t="inlineStr">
        <is>
          <t>醫療器材</t>
        </is>
      </c>
      <c r="E240" s="121" t="inlineStr">
        <is>
          <t>Not identified (directory listing only)</t>
        </is>
      </c>
      <c r="F240" s="124" t="inlineStr">
        <is>
          <t>Taichung · 臺中市大里區大德街</t>
        </is>
      </c>
      <c r="G240" s="121" t="inlineStr">
        <is>
          <t>Not published</t>
        </is>
      </c>
      <c r="H240" s="121" t="inlineStr">
        <is>
          <t>04-2481-9355</t>
        </is>
      </c>
      <c r="I240" s="121" t="inlineStr">
        <is>
          <t>Directory listing only: general medical device trader or retailer in Taichung; capital equipment capability unconfirmed.</t>
        </is>
      </c>
      <c r="J240" s="121" t="inlineStr">
        <is>
          <t>SonoAir 70 + SonoEye P3 (confirm line card first)</t>
        </is>
      </c>
      <c r="K240" s="151" t="inlineStr">
        <is>
          <t>3</t>
        </is>
      </c>
      <c r="L240" s="121" t="inlineStr">
        <is>
          <t>Tier 3: long tail from the TCMICA member directory; reached by the bilingual batch email, qualify only if they reply.</t>
        </is>
      </c>
      <c r="M240" s="121" t="inlineStr">
        <is>
          <t>TCMICA directory 台中市醫療器材商業同業公會 (tcmica.org.tw), read 6 Oct 2026</t>
        </is>
      </c>
      <c r="N240" s="152" t="inlineStr">
        <is>
          <t>誠徵台灣超音波經銷夥伴 | CHISON ultrasound distribution partners in Taiwan</t>
        </is>
      </c>
      <c r="O24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40" s="108" t="inlineStr">
        <is>
          <t>snow9902a57@yahoo.com.tw</t>
        </is>
      </c>
      <c r="Q240" s="108" t="inlineStr">
        <is>
          <t>DIR: association member directory, not the company site</t>
        </is>
      </c>
      <c r="R240" s="108" t="inlineStr">
        <is>
          <t>Batch draft 3 of 3 (Send separately) sent 6 Oct 2026</t>
        </is>
      </c>
      <c r="S240" s="108" t="n"/>
    </row>
    <row r="241" ht="287.25" customHeight="1" s="104">
      <c r="A241" s="121" t="n">
        <v>236</v>
      </c>
      <c r="B241" s="143" t="inlineStr">
        <is>
          <t>玖鉅儀器有限公司</t>
        </is>
      </c>
      <c r="C241" s="121" t="inlineStr">
        <is>
          <t>Contacted</t>
        </is>
      </c>
      <c r="D241" s="124" t="inlineStr">
        <is>
          <t>醫療器材批發</t>
        </is>
      </c>
      <c r="E241" s="121" t="inlineStr">
        <is>
          <t>Not identified (directory listing only)</t>
        </is>
      </c>
      <c r="F241" s="124" t="inlineStr">
        <is>
          <t>Taichung · 臺中市大里區中元東</t>
        </is>
      </c>
      <c r="G241" s="121" t="inlineStr">
        <is>
          <t>Not published</t>
        </is>
      </c>
      <c r="H241" s="121" t="inlineStr">
        <is>
          <t>04-2483-7529</t>
        </is>
      </c>
      <c r="I241" s="121" t="inlineStr">
        <is>
          <t>Directory listing only: general medical device trader or retailer in Taichung; capital equipment capability unconfirmed.</t>
        </is>
      </c>
      <c r="J241" s="121" t="inlineStr">
        <is>
          <t>SonoAir 70 + SonoEye P3 (confirm line card first)</t>
        </is>
      </c>
      <c r="K241" s="151" t="inlineStr">
        <is>
          <t>3</t>
        </is>
      </c>
      <c r="L241" s="121" t="inlineStr">
        <is>
          <t>Tier 3: long tail from the TCMICA member directory; reached by the bilingual batch email, qualify only if they reply.</t>
        </is>
      </c>
      <c r="M241" s="121" t="inlineStr">
        <is>
          <t>TCMICA directory 台中市醫療器材商業同業公會 (tcmica.org.tw), read 6 Oct 2026</t>
        </is>
      </c>
      <c r="N241" s="152" t="inlineStr">
        <is>
          <t>誠徵台灣超音波經銷夥伴 | CHISON ultrasound distribution partners in Taiwan</t>
        </is>
      </c>
      <c r="O24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41" s="108" t="inlineStr">
        <is>
          <t>jaspermedical@gmail.com</t>
        </is>
      </c>
      <c r="Q241" s="108" t="inlineStr">
        <is>
          <t>DIR: association member directory, not the company site</t>
        </is>
      </c>
      <c r="R241" s="108" t="inlineStr">
        <is>
          <t>Batch draft 3 of 3 (Send separately) sent 6 Oct 2026</t>
        </is>
      </c>
      <c r="S241" s="108" t="n"/>
    </row>
    <row r="242" ht="287.25" customHeight="1" s="104">
      <c r="A242" s="121" t="n">
        <v>237</v>
      </c>
      <c r="B242" s="143" t="inlineStr">
        <is>
          <t>景發醫療器材有限公司</t>
        </is>
      </c>
      <c r="C242" s="121" t="inlineStr">
        <is>
          <t>Contacted</t>
        </is>
      </c>
      <c r="D242" s="124" t="inlineStr">
        <is>
          <t>醫療器材批發零售</t>
        </is>
      </c>
      <c r="E242" s="121" t="inlineStr">
        <is>
          <t>Not identified (directory listing only)</t>
        </is>
      </c>
      <c r="F242" s="124" t="inlineStr">
        <is>
          <t>Taichung · 臺中市大里區新義路2</t>
        </is>
      </c>
      <c r="G242" s="121" t="inlineStr">
        <is>
          <t>Not published</t>
        </is>
      </c>
      <c r="H242" s="121" t="inlineStr">
        <is>
          <t>04-2483-0261</t>
        </is>
      </c>
      <c r="I242" s="121" t="inlineStr">
        <is>
          <t>Directory listing only: general medical device trader or retailer in Taichung; capital equipment capability unconfirmed.</t>
        </is>
      </c>
      <c r="J242" s="121" t="inlineStr">
        <is>
          <t>SonoAir 70 + SonoEye P3 (confirm line card first)</t>
        </is>
      </c>
      <c r="K242" s="151" t="inlineStr">
        <is>
          <t>3</t>
        </is>
      </c>
      <c r="L242" s="121" t="inlineStr">
        <is>
          <t>Tier 3: long tail from the TCMICA member directory; reached by the bilingual batch email, qualify only if they reply.</t>
        </is>
      </c>
      <c r="M242" s="121" t="inlineStr">
        <is>
          <t>TCMICA directory 台中市醫療器材商業同業公會 (tcmica.org.tw), read 6 Oct 2026</t>
        </is>
      </c>
      <c r="N242" s="152" t="inlineStr">
        <is>
          <t>誠徵台灣超音波經銷夥伴 | CHISON ultrasound distribution partners in Taiwan</t>
        </is>
      </c>
      <c r="O24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42" s="108" t="inlineStr">
        <is>
          <t>vincent71@mail2000.com.tw</t>
        </is>
      </c>
      <c r="Q242" s="108" t="inlineStr">
        <is>
          <t>DIR: association member directory, not the company site</t>
        </is>
      </c>
      <c r="R242" s="108" t="inlineStr">
        <is>
          <t>Batch draft 3 of 3 (Send separately) sent 6 Oct 2026</t>
        </is>
      </c>
      <c r="S242" s="108" t="n"/>
    </row>
    <row r="243" ht="287.25" customHeight="1" s="104">
      <c r="A243" s="121" t="n">
        <v>238</v>
      </c>
      <c r="B243" s="143" t="inlineStr">
        <is>
          <t>翰銓醫材生技有限公司</t>
        </is>
      </c>
      <c r="C243" s="121" t="inlineStr">
        <is>
          <t>Contacted</t>
        </is>
      </c>
      <c r="D243" s="124" t="inlineStr">
        <is>
          <t>醫療器材、檢驗試劑</t>
        </is>
      </c>
      <c r="E243" s="121" t="inlineStr">
        <is>
          <t>Not identified (directory listing only)</t>
        </is>
      </c>
      <c r="F243" s="124" t="inlineStr">
        <is>
          <t>Taichung · 臺中市大里區爽文路</t>
        </is>
      </c>
      <c r="G243" s="121" t="inlineStr">
        <is>
          <t>Not published</t>
        </is>
      </c>
      <c r="H243" s="121" t="inlineStr">
        <is>
          <t>04-2407-7298</t>
        </is>
      </c>
      <c r="I243" s="121" t="inlineStr">
        <is>
          <t>Directory listing only: general medical device trader or retailer in Taichung; capital equipment capability unconfirmed.</t>
        </is>
      </c>
      <c r="J243" s="121" t="inlineStr">
        <is>
          <t>SonoAir 70 + SonoEye P3 (confirm line card first)</t>
        </is>
      </c>
      <c r="K243" s="151" t="inlineStr">
        <is>
          <t>3</t>
        </is>
      </c>
      <c r="L243" s="121" t="inlineStr">
        <is>
          <t>Tier 3: long tail from the TCMICA member directory; reached by the bilingual batch email, qualify only if they reply.</t>
        </is>
      </c>
      <c r="M243" s="121" t="inlineStr">
        <is>
          <t>TCMICA directory 台中市醫療器材商業同業公會 (tcmica.org.tw), read 6 Oct 2026</t>
        </is>
      </c>
      <c r="N243" s="152" t="inlineStr">
        <is>
          <t>誠徵台灣超音波經銷夥伴 | CHISON ultrasound distribution partners in Taiwan</t>
        </is>
      </c>
      <c r="O24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43" s="108" t="inlineStr">
        <is>
          <t>d0388@ms57.hinet.net</t>
        </is>
      </c>
      <c r="Q243" s="108" t="inlineStr">
        <is>
          <t>DIR: association member directory, not the company site</t>
        </is>
      </c>
      <c r="R243" s="108" t="inlineStr">
        <is>
          <t>Batch draft 3 of 3 (Send separately) sent 6 Oct 2026</t>
        </is>
      </c>
      <c r="S243" s="108" t="n"/>
    </row>
    <row r="244" ht="287.25" customHeight="1" s="104">
      <c r="A244" s="121" t="n">
        <v>239</v>
      </c>
      <c r="B244" s="143" t="inlineStr">
        <is>
          <t>皓康股份有限公司</t>
        </is>
      </c>
      <c r="C244" s="121" t="inlineStr">
        <is>
          <t>Contacted</t>
        </is>
      </c>
      <c r="D244" s="124" t="inlineStr">
        <is>
          <t>醫療器材</t>
        </is>
      </c>
      <c r="E244" s="121" t="inlineStr">
        <is>
          <t>Not identified (directory listing only)</t>
        </is>
      </c>
      <c r="F244" s="124" t="inlineStr">
        <is>
          <t>Taichung · 臺中市大里區公教街</t>
        </is>
      </c>
      <c r="G244" s="121" t="inlineStr">
        <is>
          <t>Not published</t>
        </is>
      </c>
      <c r="H244" s="121" t="inlineStr">
        <is>
          <t>Not published in directory</t>
        </is>
      </c>
      <c r="I244" s="121" t="inlineStr">
        <is>
          <t>Directory listing only: general medical device trader or retailer in Taichung; capital equipment capability unconfirmed.</t>
        </is>
      </c>
      <c r="J244" s="121" t="inlineStr">
        <is>
          <t>SonoAir 70 + SonoEye P3 (confirm line card first)</t>
        </is>
      </c>
      <c r="K244" s="151" t="inlineStr">
        <is>
          <t>3</t>
        </is>
      </c>
      <c r="L244" s="121" t="inlineStr">
        <is>
          <t>Tier 3: long tail from the TCMICA member directory; reached by the bilingual batch email, qualify only if they reply.</t>
        </is>
      </c>
      <c r="M244" s="121" t="inlineStr">
        <is>
          <t>TCMICA directory 台中市醫療器材商業同業公會 (tcmica.org.tw), read 6 Oct 2026</t>
        </is>
      </c>
      <c r="N244" s="152" t="inlineStr">
        <is>
          <t>誠徵台灣超音波經銷夥伴 | CHISON ultrasound distribution partners in Taiwan</t>
        </is>
      </c>
      <c r="O24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44" s="108" t="inlineStr">
        <is>
          <t>hsu@healthyou.com.tw</t>
        </is>
      </c>
      <c r="Q244" s="108" t="inlineStr">
        <is>
          <t>DIR: association member directory, not the company site</t>
        </is>
      </c>
      <c r="R244" s="108" t="inlineStr">
        <is>
          <t>Batch draft 3 of 3 (Send separately) sent 6 Oct 2026</t>
        </is>
      </c>
      <c r="S244" s="108" t="n"/>
    </row>
    <row r="245" ht="287.25" customHeight="1" s="104">
      <c r="A245" s="121" t="n">
        <v>240</v>
      </c>
      <c r="B245" s="143" t="inlineStr">
        <is>
          <t>昶驊企業有限公司</t>
        </is>
      </c>
      <c r="C245" s="121" t="inlineStr">
        <is>
          <t>Contacted</t>
        </is>
      </c>
      <c r="D245" s="124" t="inlineStr">
        <is>
          <t>醫療器材</t>
        </is>
      </c>
      <c r="E245" s="121" t="inlineStr">
        <is>
          <t>Not identified (directory listing only)</t>
        </is>
      </c>
      <c r="F245" s="124" t="inlineStr">
        <is>
          <t>Taichung · 臺中市豐原區三豐路</t>
        </is>
      </c>
      <c r="G245" s="121" t="inlineStr">
        <is>
          <t>Not published</t>
        </is>
      </c>
      <c r="H245" s="121" t="inlineStr">
        <is>
          <t>04-2265-7224</t>
        </is>
      </c>
      <c r="I245" s="121" t="inlineStr">
        <is>
          <t>Directory listing only: general medical device trader or retailer in Taichung; capital equipment capability unconfirmed.</t>
        </is>
      </c>
      <c r="J245" s="121" t="inlineStr">
        <is>
          <t>SonoAir 70 + SonoEye P3 (confirm line card first)</t>
        </is>
      </c>
      <c r="K245" s="151" t="inlineStr">
        <is>
          <t>3</t>
        </is>
      </c>
      <c r="L245" s="121" t="inlineStr">
        <is>
          <t>Tier 3: long tail from the TCMICA member directory; reached by the bilingual batch email, qualify only if they reply.</t>
        </is>
      </c>
      <c r="M245" s="121" t="inlineStr">
        <is>
          <t>TCMICA directory 台中市醫療器材商業同業公會 (tcmica.org.tw), read 6 Oct 2026</t>
        </is>
      </c>
      <c r="N245" s="152" t="inlineStr">
        <is>
          <t>誠徵台灣超音波經銷夥伴 | CHISON ultrasound distribution partners in Taiwan</t>
        </is>
      </c>
      <c r="O24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45" s="108" t="inlineStr">
        <is>
          <t>liao219@seed.net.tw</t>
        </is>
      </c>
      <c r="Q245" s="108" t="inlineStr">
        <is>
          <t>DIR: association member directory, not the company site</t>
        </is>
      </c>
      <c r="R245" s="108" t="inlineStr">
        <is>
          <t>Batch draft 3 of 3 (Send separately) sent 6 Oct 2026</t>
        </is>
      </c>
      <c r="S245" s="108" t="n"/>
    </row>
    <row r="246" ht="321" customHeight="1" s="104">
      <c r="A246" s="121" t="n">
        <v>241</v>
      </c>
      <c r="B246" s="143" t="inlineStr">
        <is>
          <t>達進興業有限公司</t>
        </is>
      </c>
      <c r="C246" s="121" t="inlineStr">
        <is>
          <t>Contacted</t>
        </is>
      </c>
      <c r="D246" s="124" t="inlineStr">
        <is>
          <t>醫療儀器衛材批售、數位X光巡迴車租用、超音波檢查</t>
        </is>
      </c>
      <c r="E246" s="121" t="inlineStr">
        <is>
          <t>Not identified (directory listing only)</t>
        </is>
      </c>
      <c r="F246" s="124" t="inlineStr">
        <is>
          <t>Taichung · 臺中市后里區復興街</t>
        </is>
      </c>
      <c r="G246" s="121" t="inlineStr">
        <is>
          <t>Not published</t>
        </is>
      </c>
      <c r="H246" s="121" t="inlineStr">
        <is>
          <t>04-2557-1361</t>
        </is>
      </c>
      <c r="I246" s="121" t="inlineStr">
        <is>
          <t>Taichung association member with a business line adjacent to ultrasound; line card and existing ultrasound brand to confirm on first call.</t>
        </is>
      </c>
      <c r="J246" s="121" t="inlineStr">
        <is>
          <t>SonoAir 70 + SonoGo + SonoEye P3</t>
        </is>
      </c>
      <c r="K246" s="155" t="inlineStr">
        <is>
          <t>2</t>
        </is>
      </c>
      <c r="L246" s="121" t="inlineStr">
        <is>
          <t>Tier 2: adjacent segment from the TCMICA directory (equipment, OR, emergency, imaging or import), individual email sent; qualify scale and service team.</t>
        </is>
      </c>
      <c r="M246" s="121" t="inlineStr">
        <is>
          <t>TCMICA directory 台中市醫療器材商業同業公會 (tcmica.org.tw), read 6 Oct 2026</t>
        </is>
      </c>
      <c r="N246" s="152" t="inlineStr">
        <is>
          <t>達進興業: CHISON portable ultrasound for mobile screening</t>
        </is>
      </c>
      <c r="O246" s="108" t="inlineStr">
        <is>
          <t>Dear 達進興業 team,
I am Casper Tan, Senior Regional Sales Manager at AstraMed Healthcare, a subsidiary of CHISON Medical Technologies, and I look after Taiwan. Your digital X ray screening vans and ultrasound examination service put you in the community screening market, where a light, battery powered system matters most.
CHISON has designed and built diagnostic ultrasound in Wuxi since 1996, sells in more than 100 countries, and is the only ultrasound maker listed on Shanghai's STAR Market. AstraMed is CHISON's own subsidiary, so you would be working with the manufacturer directly, with no intermediary in between.
Regulatory standing of the range:
• US FDA: 510(k) clearance, first granted in 2005
• CE: certified since 2002, now under the EU Medical Device Regulation (MDR)
• Singapore HSA: SonoMax 9, SonoPort 8, SonoBook 9, SonoAir 70, SonoEye P3 and SonoEye P5 registered, with AstraMed as the local registrant
For Taiwan, TFDA registration and the local licence holder role are exactly what I would like to plan together with the right partner.
For mobile screening and outreach work, these are the models I would suggest:
• SonoAir 70: a 2.1 kg laptop with four active probe ports and SonoAI tools such as automatic bladder volume and thyroid and breast nodule measurement
• SonoGo: a 3 in 1 system with a 15.6 inch full touchscreen, laptop portability at 4.8 kg and a trolley for cart level work
• SonoEye P3: a pocket handheld for emergency, ICU and bedside work; SonoEye was rated the top handheld in an independent comparison of nine handheld devices published in Diagnostics (MDPI)
I am planning a visit to Taiwan shortly. Would you have 30 minutes for a meeting at your office, or a short call beforehand? Our corporate brochure is attached for your reference.
【中文摘要】祥生醫療 CHISON（1996年創立於無錫，上海科創板上市）正在台灣尋找超音波經銷合作夥伴。產品已取得美國 FDA 510(k)、歐盟 CE（MDR）及新加坡 HSA 註冊。我近期將赴台拜訪，盼能與貴公司見面交流。附件為公司簡介，敬請參閱。
Best regards,
Casper Tan
Senior Regional Sales Manager (APEC)
AstraMed Healthcare
A subsidiary of CHISON Medical Technologies
+65 8719 0121</t>
        </is>
      </c>
      <c r="P246" s="108" t="inlineStr">
        <is>
          <t>kuo.green@msa.hinet.net</t>
        </is>
      </c>
      <c r="Q246" s="108" t="inlineStr">
        <is>
          <t>DIR: association member directory, not the company site</t>
        </is>
      </c>
      <c r="R246" s="108" t="inlineStr">
        <is>
          <t>Sent 6 Oct 2026 from Winmail with Corporate Brochure 2027</t>
        </is>
      </c>
      <c r="S246" s="108" t="inlineStr">
        <is>
          <t>Alternate visit: Taichung Houli (mobile screening)</t>
        </is>
      </c>
    </row>
    <row r="247" ht="287.25" customHeight="1" s="104">
      <c r="A247" s="121" t="n">
        <v>242</v>
      </c>
      <c r="B247" s="143" t="inlineStr">
        <is>
          <t>源豐醫療器材有限公司</t>
        </is>
      </c>
      <c r="C247" s="121" t="inlineStr">
        <is>
          <t>Not started</t>
        </is>
      </c>
      <c r="D247" s="124" t="inlineStr">
        <is>
          <t>醫療器材批發買賣</t>
        </is>
      </c>
      <c r="E247" s="121" t="inlineStr">
        <is>
          <t>Not identified (directory listing only)</t>
        </is>
      </c>
      <c r="F247" s="124" t="inlineStr">
        <is>
          <t>Taichung · 臺中市潭子區大新路</t>
        </is>
      </c>
      <c r="G247" s="121" t="inlineStr">
        <is>
          <t>Not published</t>
        </is>
      </c>
      <c r="H247" s="121" t="inlineStr">
        <is>
          <t>04-2536-0173</t>
        </is>
      </c>
      <c r="I247" s="121" t="inlineStr">
        <is>
          <t>Directory listing only: general medical device trader or retailer in Taichung; capital equipment capability unconfirmed.</t>
        </is>
      </c>
      <c r="J247" s="121" t="inlineStr">
        <is>
          <t>SonoAir 70 + SonoEye P3 (confirm line card first)</t>
        </is>
      </c>
      <c r="K247" s="151" t="inlineStr">
        <is>
          <t>3</t>
        </is>
      </c>
      <c r="L247" s="121" t="inlineStr">
        <is>
          <t>Tier 3: long tail from the TCMICA member directory; reached by the bilingual batch email, qualify only if they reply.</t>
        </is>
      </c>
      <c r="M247" s="121" t="inlineStr">
        <is>
          <t>TCMICA directory 台中市醫療器材商業同業公會 (tcmica.org.tw), read 6 Oct 2026</t>
        </is>
      </c>
      <c r="N247" s="152" t="inlineStr">
        <is>
          <t>誠徵台灣超音波經銷夥伴 | CHISON ultrasound distribution partners in Taiwan</t>
        </is>
      </c>
      <c r="O24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47" s="108" t="inlineStr">
        <is>
          <t>yuan-feng-yf@yahoo.com.tw</t>
        </is>
      </c>
      <c r="Q247" s="108" t="inlineStr">
        <is>
          <t>BOUNCED 6 Oct 2026</t>
        </is>
      </c>
      <c r="R247" s="108" t="inlineStr">
        <is>
          <t>Sent 6 Oct 2026, BOUNCED: Mailbox not found (Yahoo 552). Find a working email or call.</t>
        </is>
      </c>
      <c r="S247" s="108" t="n"/>
    </row>
    <row r="248" ht="287.25" customHeight="1" s="104">
      <c r="A248" s="121" t="n">
        <v>243</v>
      </c>
      <c r="B248" s="143" t="inlineStr">
        <is>
          <t>金益萬數位儀器行</t>
        </is>
      </c>
      <c r="C248" s="121" t="inlineStr">
        <is>
          <t>Not started</t>
        </is>
      </c>
      <c r="D248" s="124" t="inlineStr">
        <is>
          <t>醫療儀器</t>
        </is>
      </c>
      <c r="E248" s="121" t="inlineStr">
        <is>
          <t>Not identified (directory listing only)</t>
        </is>
      </c>
      <c r="F248" s="124" t="inlineStr">
        <is>
          <t>Taichung · 臺中市潭子區中山路</t>
        </is>
      </c>
      <c r="G248" s="121" t="inlineStr">
        <is>
          <t>Not published</t>
        </is>
      </c>
      <c r="H248" s="121" t="inlineStr">
        <is>
          <t>04-2243-8093</t>
        </is>
      </c>
      <c r="I248" s="121" t="inlineStr">
        <is>
          <t>Directory listing only: general medical device trader or retailer in Taichung; capital equipment capability unconfirmed.</t>
        </is>
      </c>
      <c r="J248" s="121" t="inlineStr">
        <is>
          <t>SonoAir 70 + SonoEye P3 (confirm line card first)</t>
        </is>
      </c>
      <c r="K248" s="151" t="inlineStr">
        <is>
          <t>3</t>
        </is>
      </c>
      <c r="L248" s="121" t="inlineStr">
        <is>
          <t>Tier 3: long tail from the TCMICA member directory; reached by the bilingual batch email, qualify only if they reply.</t>
        </is>
      </c>
      <c r="M248" s="121" t="inlineStr">
        <is>
          <t>TCMICA directory 台中市醫療器材商業同業公會 (tcmica.org.tw), read 6 Oct 2026</t>
        </is>
      </c>
      <c r="N248" s="152" t="inlineStr">
        <is>
          <t>誠徵台灣超音波經銷夥伴 | CHISON ultrasound distribution partners in Taiwan</t>
        </is>
      </c>
      <c r="O24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48" s="108" t="inlineStr">
        <is>
          <t>jinywan7@gmail.com</t>
        </is>
      </c>
      <c r="Q248" s="108" t="inlineStr">
        <is>
          <t>BOUNCED 6 Oct 2026</t>
        </is>
      </c>
      <c r="R248" s="108" t="inlineStr">
        <is>
          <t>Sent 6 Oct 2026, BOUNCED: Gmail account does not exist. Find a working email or call.</t>
        </is>
      </c>
      <c r="S248" s="108" t="n"/>
    </row>
    <row r="249" ht="287.25" customHeight="1" s="104">
      <c r="A249" s="121" t="n">
        <v>244</v>
      </c>
      <c r="B249" s="143" t="inlineStr">
        <is>
          <t>博宇貿易有限公司</t>
        </is>
      </c>
      <c r="C249" s="121" t="inlineStr">
        <is>
          <t>Contacted</t>
        </is>
      </c>
      <c r="D249" s="124" t="inlineStr">
        <is>
          <t>醫療器材</t>
        </is>
      </c>
      <c r="E249" s="121" t="inlineStr">
        <is>
          <t>Not identified (directory listing only)</t>
        </is>
      </c>
      <c r="F249" s="124" t="inlineStr">
        <is>
          <t>Taichung · 臺中市潭子區中山路</t>
        </is>
      </c>
      <c r="G249" s="121" t="inlineStr">
        <is>
          <t>Not published</t>
        </is>
      </c>
      <c r="H249" s="121" t="inlineStr">
        <is>
          <t>04-2531-5188</t>
        </is>
      </c>
      <c r="I249" s="121" t="inlineStr">
        <is>
          <t>Directory listing only: general medical device trader or retailer in Taichung; capital equipment capability unconfirmed.</t>
        </is>
      </c>
      <c r="J249" s="121" t="inlineStr">
        <is>
          <t>SonoAir 70 + SonoEye P3 (confirm line card first)</t>
        </is>
      </c>
      <c r="K249" s="151" t="inlineStr">
        <is>
          <t>3</t>
        </is>
      </c>
      <c r="L249" s="121" t="inlineStr">
        <is>
          <t>Tier 3: long tail from the TCMICA member directory; reached by the bilingual batch email, qualify only if they reply.</t>
        </is>
      </c>
      <c r="M249" s="121" t="inlineStr">
        <is>
          <t>TCMICA directory 台中市醫療器材商業同業公會 (tcmica.org.tw), read 6 Oct 2026</t>
        </is>
      </c>
      <c r="N249" s="152" t="inlineStr">
        <is>
          <t>誠徵台灣超音波經銷夥伴 | CHISON ultrasound distribution partners in Taiwan</t>
        </is>
      </c>
      <c r="O249"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49" s="108" t="inlineStr">
        <is>
          <t>boyu.taiwan@gmail.com</t>
        </is>
      </c>
      <c r="Q249" s="108" t="inlineStr">
        <is>
          <t>DIR: association member directory, not the company site</t>
        </is>
      </c>
      <c r="R249" s="108" t="inlineStr">
        <is>
          <t>Batch draft 3 of 3 (Send separately) sent 6 Oct 2026</t>
        </is>
      </c>
      <c r="S249" s="108" t="n"/>
    </row>
    <row r="250" ht="287.25" customHeight="1" s="104">
      <c r="A250" s="121" t="n">
        <v>245</v>
      </c>
      <c r="B250" s="143" t="inlineStr">
        <is>
          <t>永荃儀器有限公司</t>
        </is>
      </c>
      <c r="C250" s="121" t="inlineStr">
        <is>
          <t>Contacted</t>
        </is>
      </c>
      <c r="D250" s="124" t="inlineStr">
        <is>
          <t>醫療器材</t>
        </is>
      </c>
      <c r="E250" s="121" t="inlineStr">
        <is>
          <t>Not identified (directory listing only)</t>
        </is>
      </c>
      <c r="F250" s="124" t="inlineStr">
        <is>
          <t>Taichung · 臺中市潭子區甘水路</t>
        </is>
      </c>
      <c r="G250" s="121" t="inlineStr">
        <is>
          <t>Not published</t>
        </is>
      </c>
      <c r="H250" s="121" t="inlineStr">
        <is>
          <t>Not published in directory</t>
        </is>
      </c>
      <c r="I250" s="121" t="inlineStr">
        <is>
          <t>Directory listing only: general medical device trader or retailer in Taichung; capital equipment capability unconfirmed.</t>
        </is>
      </c>
      <c r="J250" s="121" t="inlineStr">
        <is>
          <t>SonoAir 70 + SonoEye P3 (confirm line card first)</t>
        </is>
      </c>
      <c r="K250" s="151" t="inlineStr">
        <is>
          <t>3</t>
        </is>
      </c>
      <c r="L250" s="121" t="inlineStr">
        <is>
          <t>Tier 3: long tail from the TCMICA member directory; reached by the bilingual batch email, qualify only if they reply.</t>
        </is>
      </c>
      <c r="M250" s="121" t="inlineStr">
        <is>
          <t>TCMICA directory 台中市醫療器材商業同業公會 (tcmica.org.tw), read 6 Oct 2026</t>
        </is>
      </c>
      <c r="N250" s="152" t="inlineStr">
        <is>
          <t>誠徵台灣超音波經銷夥伴 | CHISON ultrasound distribution partners in Taiwan</t>
        </is>
      </c>
      <c r="O250"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50" s="108" t="inlineStr">
        <is>
          <t>penny.little@msa.hinet.net</t>
        </is>
      </c>
      <c r="Q250" s="108" t="inlineStr">
        <is>
          <t>DIR: association member directory, not the company site</t>
        </is>
      </c>
      <c r="R250" s="108" t="inlineStr">
        <is>
          <t>Batch draft 3 of 3 (Send separately) sent 6 Oct 2026</t>
        </is>
      </c>
      <c r="S250" s="108" t="n"/>
    </row>
    <row r="251" ht="287.25" customHeight="1" s="104">
      <c r="A251" s="121" t="n">
        <v>246</v>
      </c>
      <c r="B251" s="143" t="inlineStr">
        <is>
          <t>裕鑫儀器有限公司</t>
        </is>
      </c>
      <c r="C251" s="121" t="inlineStr">
        <is>
          <t>Contacted</t>
        </is>
      </c>
      <c r="D251" s="124" t="inlineStr">
        <is>
          <t>醫療器材</t>
        </is>
      </c>
      <c r="E251" s="121" t="inlineStr">
        <is>
          <t>Not identified (directory listing only)</t>
        </is>
      </c>
      <c r="F251" s="124" t="inlineStr">
        <is>
          <t>Taichung · 臺中市潭子區中山路</t>
        </is>
      </c>
      <c r="G251" s="121" t="inlineStr">
        <is>
          <t>Not published</t>
        </is>
      </c>
      <c r="H251" s="121" t="inlineStr">
        <is>
          <t>04-2534-9298</t>
        </is>
      </c>
      <c r="I251" s="121" t="inlineStr">
        <is>
          <t>Directory listing only: general medical device trader or retailer in Taichung; capital equipment capability unconfirmed.</t>
        </is>
      </c>
      <c r="J251" s="121" t="inlineStr">
        <is>
          <t>SonoAir 70 + SonoEye P3 (confirm line card first)</t>
        </is>
      </c>
      <c r="K251" s="151" t="inlineStr">
        <is>
          <t>3</t>
        </is>
      </c>
      <c r="L251" s="121" t="inlineStr">
        <is>
          <t>Tier 3: long tail from the TCMICA member directory; reached by the bilingual batch email, qualify only if they reply.</t>
        </is>
      </c>
      <c r="M251" s="121" t="inlineStr">
        <is>
          <t>TCMICA directory 台中市醫療器材商業同業公會 (tcmica.org.tw), read 6 Oct 2026</t>
        </is>
      </c>
      <c r="N251" s="152" t="inlineStr">
        <is>
          <t>誠徵台灣超音波經銷夥伴 | CHISON ultrasound distribution partners in Taiwan</t>
        </is>
      </c>
      <c r="O251"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51" s="108" t="inlineStr">
        <is>
          <t>yuxin50833458@gmail.com</t>
        </is>
      </c>
      <c r="Q251" s="108" t="inlineStr">
        <is>
          <t>DIR: association member directory, not the company site</t>
        </is>
      </c>
      <c r="R251" s="108" t="inlineStr">
        <is>
          <t>Batch draft 3 of 3 (Send separately) sent 6 Oct 2026</t>
        </is>
      </c>
      <c r="S251" s="108" t="n"/>
    </row>
    <row r="252" ht="287.25" customHeight="1" s="104">
      <c r="A252" s="121" t="n">
        <v>247</v>
      </c>
      <c r="B252" s="143" t="inlineStr">
        <is>
          <t>劦振企業有限公司</t>
        </is>
      </c>
      <c r="C252" s="121" t="inlineStr">
        <is>
          <t>Contacted</t>
        </is>
      </c>
      <c r="D252" s="124" t="inlineStr">
        <is>
          <t>醫療器材</t>
        </is>
      </c>
      <c r="E252" s="121" t="inlineStr">
        <is>
          <t>Not identified (directory listing only)</t>
        </is>
      </c>
      <c r="F252" s="124" t="inlineStr">
        <is>
          <t>Taichung · 臺中市潭子區甘水路</t>
        </is>
      </c>
      <c r="G252" s="121" t="inlineStr">
        <is>
          <t>Not published</t>
        </is>
      </c>
      <c r="H252" s="121" t="inlineStr">
        <is>
          <t>04-2352-6526</t>
        </is>
      </c>
      <c r="I252" s="121" t="inlineStr">
        <is>
          <t>Directory listing only: general medical device trader or retailer in Taichung; capital equipment capability unconfirmed.</t>
        </is>
      </c>
      <c r="J252" s="121" t="inlineStr">
        <is>
          <t>SonoAir 70 + SonoEye P3 (confirm line card first)</t>
        </is>
      </c>
      <c r="K252" s="151" t="inlineStr">
        <is>
          <t>3</t>
        </is>
      </c>
      <c r="L252" s="121" t="inlineStr">
        <is>
          <t>Tier 3: long tail from the TCMICA member directory; reached by the bilingual batch email, qualify only if they reply.</t>
        </is>
      </c>
      <c r="M252" s="121" t="inlineStr">
        <is>
          <t>TCMICA directory 台中市醫療器材商業同業公會 (tcmica.org.tw), read 6 Oct 2026</t>
        </is>
      </c>
      <c r="N252" s="152" t="inlineStr">
        <is>
          <t>誠徵台灣超音波經銷夥伴 | CHISON ultrasound distribution partners in Taiwan</t>
        </is>
      </c>
      <c r="O252"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52" s="108" t="inlineStr">
        <is>
          <t>sj01@hibox.hinet.net</t>
        </is>
      </c>
      <c r="Q252" s="108" t="inlineStr">
        <is>
          <t>DIR: association member directory, not the company site</t>
        </is>
      </c>
      <c r="R252" s="108" t="inlineStr">
        <is>
          <t>Batch draft 3 of 3 (Send separately) sent 6 Oct 2026</t>
        </is>
      </c>
      <c r="S252" s="108" t="n"/>
    </row>
    <row r="253" ht="287.25" customHeight="1" s="104">
      <c r="A253" s="121" t="n">
        <v>248</v>
      </c>
      <c r="B253" s="143" t="inlineStr">
        <is>
          <t>勝羽儀器有限公司</t>
        </is>
      </c>
      <c r="C253" s="121" t="inlineStr">
        <is>
          <t>Contacted</t>
        </is>
      </c>
      <c r="D253" s="124" t="inlineStr">
        <is>
          <t>醫療器材</t>
        </is>
      </c>
      <c r="E253" s="121" t="inlineStr">
        <is>
          <t>Not identified (directory listing only)</t>
        </is>
      </c>
      <c r="F253" s="124" t="inlineStr">
        <is>
          <t>Taichung · 臺中市大雅區神林路</t>
        </is>
      </c>
      <c r="G253" s="121" t="inlineStr">
        <is>
          <t>Not published</t>
        </is>
      </c>
      <c r="H253" s="121" t="inlineStr">
        <is>
          <t>04-2322-0136</t>
        </is>
      </c>
      <c r="I253" s="121" t="inlineStr">
        <is>
          <t>Directory listing only: general medical device trader or retailer in Taichung; capital equipment capability unconfirmed.</t>
        </is>
      </c>
      <c r="J253" s="121" t="inlineStr">
        <is>
          <t>SonoAir 70 + SonoEye P3 (confirm line card first)</t>
        </is>
      </c>
      <c r="K253" s="151" t="inlineStr">
        <is>
          <t>3</t>
        </is>
      </c>
      <c r="L253" s="121" t="inlineStr">
        <is>
          <t>Tier 3: long tail from the TCMICA member directory; reached by the bilingual batch email, qualify only if they reply.</t>
        </is>
      </c>
      <c r="M253" s="121" t="inlineStr">
        <is>
          <t>TCMICA directory 台中市醫療器材商業同業公會 (tcmica.org.tw), read 6 Oct 2026</t>
        </is>
      </c>
      <c r="N253" s="152" t="inlineStr">
        <is>
          <t>誠徵台灣超音波經銷夥伴 | CHISON ultrasound distribution partners in Taiwan</t>
        </is>
      </c>
      <c r="O253"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53" s="108" t="inlineStr">
        <is>
          <t>chkwen@ms32.hinet.net</t>
        </is>
      </c>
      <c r="Q253" s="108" t="inlineStr">
        <is>
          <t>DIR: association member directory, not the company site</t>
        </is>
      </c>
      <c r="R253" s="108" t="inlineStr">
        <is>
          <t>Batch draft 3 of 3 (Send separately) sent 6 Oct 2026</t>
        </is>
      </c>
      <c r="S253" s="108" t="n"/>
    </row>
    <row r="254" ht="287.25" customHeight="1" s="104">
      <c r="A254" s="121" t="n">
        <v>249</v>
      </c>
      <c r="B254" s="143" t="inlineStr">
        <is>
          <t>永強生技有限公司</t>
        </is>
      </c>
      <c r="C254" s="121" t="inlineStr">
        <is>
          <t>Contacted</t>
        </is>
      </c>
      <c r="D254" s="124" t="inlineStr">
        <is>
          <t>醫療器材批發</t>
        </is>
      </c>
      <c r="E254" s="121" t="inlineStr">
        <is>
          <t>Not identified (directory listing only)</t>
        </is>
      </c>
      <c r="F254" s="124" t="inlineStr">
        <is>
          <t>Taichung · 臺中市大雅區民生路</t>
        </is>
      </c>
      <c r="G254" s="121" t="inlineStr">
        <is>
          <t>Not published</t>
        </is>
      </c>
      <c r="H254" s="121" t="inlineStr">
        <is>
          <t>04-2566-6123</t>
        </is>
      </c>
      <c r="I254" s="121" t="inlineStr">
        <is>
          <t>Directory listing only: general medical device trader or retailer in Taichung; capital equipment capability unconfirmed.</t>
        </is>
      </c>
      <c r="J254" s="121" t="inlineStr">
        <is>
          <t>SonoAir 70 + SonoEye P3 (confirm line card first)</t>
        </is>
      </c>
      <c r="K254" s="151" t="inlineStr">
        <is>
          <t>3</t>
        </is>
      </c>
      <c r="L254" s="121" t="inlineStr">
        <is>
          <t>Tier 3: long tail from the TCMICA member directory; reached by the bilingual batch email, qualify only if they reply.</t>
        </is>
      </c>
      <c r="M254" s="121" t="inlineStr">
        <is>
          <t>TCMICA directory 台中市醫療器材商業同業公會 (tcmica.org.tw), read 6 Oct 2026</t>
        </is>
      </c>
      <c r="N254" s="152" t="inlineStr">
        <is>
          <t>誠徵台灣超音波經銷夥伴 | CHISON ultrasound distribution partners in Taiwan</t>
        </is>
      </c>
      <c r="O254"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54" s="108" t="inlineStr">
        <is>
          <t>j0932502428@yahoo.com.tw</t>
        </is>
      </c>
      <c r="Q254" s="108" t="inlineStr">
        <is>
          <t>DIR: association member directory, not the company site</t>
        </is>
      </c>
      <c r="R254" s="108" t="inlineStr">
        <is>
          <t>Batch draft 3 of 3 (Send separately) sent 6 Oct 2026</t>
        </is>
      </c>
      <c r="S254" s="108" t="n"/>
    </row>
    <row r="255" ht="287.25" customHeight="1" s="104">
      <c r="A255" s="121" t="n">
        <v>250</v>
      </c>
      <c r="B255" s="143" t="inlineStr">
        <is>
          <t>谷曼有限公司</t>
        </is>
      </c>
      <c r="C255" s="121" t="inlineStr">
        <is>
          <t>Contacted</t>
        </is>
      </c>
      <c r="D255" s="124" t="inlineStr">
        <is>
          <t>醫療器材批發</t>
        </is>
      </c>
      <c r="E255" s="121" t="inlineStr">
        <is>
          <t>Not identified (directory listing only)</t>
        </is>
      </c>
      <c r="F255" s="124" t="inlineStr">
        <is>
          <t>Taichung · 臺中市沙鹿區保成六</t>
        </is>
      </c>
      <c r="G255" s="121" t="inlineStr">
        <is>
          <t>Not published</t>
        </is>
      </c>
      <c r="H255" s="121" t="inlineStr">
        <is>
          <t>04-2636-6761</t>
        </is>
      </c>
      <c r="I255" s="121" t="inlineStr">
        <is>
          <t>Directory listing only: general medical device trader or retailer in Taichung; capital equipment capability unconfirmed.</t>
        </is>
      </c>
      <c r="J255" s="121" t="inlineStr">
        <is>
          <t>SonoAir 70 + SonoEye P3 (confirm line card first)</t>
        </is>
      </c>
      <c r="K255" s="151" t="inlineStr">
        <is>
          <t>3</t>
        </is>
      </c>
      <c r="L255" s="121" t="inlineStr">
        <is>
          <t>Tier 3: long tail from the TCMICA member directory; reached by the bilingual batch email, qualify only if they reply.</t>
        </is>
      </c>
      <c r="M255" s="121" t="inlineStr">
        <is>
          <t>TCMICA directory 台中市醫療器材商業同業公會 (tcmica.org.tw), read 6 Oct 2026</t>
        </is>
      </c>
      <c r="N255" s="152" t="inlineStr">
        <is>
          <t>誠徵台灣超音波經銷夥伴 | CHISON ultrasound distribution partners in Taiwan</t>
        </is>
      </c>
      <c r="O255"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55" s="108" t="inlineStr">
        <is>
          <t>trasexx@gmail.com</t>
        </is>
      </c>
      <c r="Q255" s="108" t="inlineStr">
        <is>
          <t>DIR: association member directory, not the company site</t>
        </is>
      </c>
      <c r="R255" s="108" t="inlineStr">
        <is>
          <t>Batch draft 3 of 3 (Send separately) sent 6 Oct 2026</t>
        </is>
      </c>
      <c r="S255" s="108" t="n"/>
    </row>
    <row r="256" ht="287.25" customHeight="1" s="104">
      <c r="A256" s="121" t="n">
        <v>251</v>
      </c>
      <c r="B256" s="143" t="inlineStr">
        <is>
          <t>康護醫療器材行</t>
        </is>
      </c>
      <c r="C256" s="121" t="inlineStr">
        <is>
          <t>Contacted</t>
        </is>
      </c>
      <c r="D256" s="124" t="inlineStr">
        <is>
          <t>醫療器材</t>
        </is>
      </c>
      <c r="E256" s="121" t="inlineStr">
        <is>
          <t>Not identified (directory listing only)</t>
        </is>
      </c>
      <c r="F256" s="124" t="inlineStr">
        <is>
          <t>Taichung · 臺中市沙鹿區大同街</t>
        </is>
      </c>
      <c r="G256" s="121" t="inlineStr">
        <is>
          <t>Not published</t>
        </is>
      </c>
      <c r="H256" s="121" t="inlineStr">
        <is>
          <t>04-2662-8953</t>
        </is>
      </c>
      <c r="I256" s="121" t="inlineStr">
        <is>
          <t>Directory listing only: general medical device trader or retailer in Taichung; capital equipment capability unconfirmed.</t>
        </is>
      </c>
      <c r="J256" s="121" t="inlineStr">
        <is>
          <t>SonoAir 70 + SonoEye P3 (confirm line card first)</t>
        </is>
      </c>
      <c r="K256" s="151" t="inlineStr">
        <is>
          <t>3</t>
        </is>
      </c>
      <c r="L256" s="121" t="inlineStr">
        <is>
          <t>Tier 3: long tail from the TCMICA member directory; reached by the bilingual batch email, qualify only if they reply.</t>
        </is>
      </c>
      <c r="M256" s="121" t="inlineStr">
        <is>
          <t>TCMICA directory 台中市醫療器材商業同業公會 (tcmica.org.tw), read 6 Oct 2026</t>
        </is>
      </c>
      <c r="N256" s="152" t="inlineStr">
        <is>
          <t>誠徵台灣超音波經銷夥伴 | CHISON ultrasound distribution partners in Taiwan</t>
        </is>
      </c>
      <c r="O256"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56" s="108" t="inlineStr">
        <is>
          <t>d54875@yahoo.com.tw</t>
        </is>
      </c>
      <c r="Q256" s="108" t="inlineStr">
        <is>
          <t>DIR: association member directory, not the company site</t>
        </is>
      </c>
      <c r="R256" s="108" t="inlineStr">
        <is>
          <t>Batch draft 3 of 3 (Send separately) sent 6 Oct 2026</t>
        </is>
      </c>
      <c r="S256" s="108" t="n"/>
    </row>
    <row r="257" ht="287.25" customHeight="1" s="104">
      <c r="A257" s="121" t="n">
        <v>252</v>
      </c>
      <c r="B257" s="143" t="inlineStr">
        <is>
          <t>立生行</t>
        </is>
      </c>
      <c r="C257" s="121" t="inlineStr">
        <is>
          <t>Contacted</t>
        </is>
      </c>
      <c r="D257" s="124" t="inlineStr">
        <is>
          <t>醫療器材</t>
        </is>
      </c>
      <c r="E257" s="121" t="inlineStr">
        <is>
          <t>Not identified (directory listing only)</t>
        </is>
      </c>
      <c r="F257" s="124" t="inlineStr">
        <is>
          <t>Taichung · 臺中市清水區民和路</t>
        </is>
      </c>
      <c r="G257" s="121" t="inlineStr">
        <is>
          <t>Not published</t>
        </is>
      </c>
      <c r="H257" s="121" t="inlineStr">
        <is>
          <t>04-2657-0060</t>
        </is>
      </c>
      <c r="I257" s="121" t="inlineStr">
        <is>
          <t>Directory listing only: general medical device trader or retailer in Taichung; capital equipment capability unconfirmed.</t>
        </is>
      </c>
      <c r="J257" s="121" t="inlineStr">
        <is>
          <t>SonoAir 70 + SonoEye P3 (confirm line card first)</t>
        </is>
      </c>
      <c r="K257" s="151" t="inlineStr">
        <is>
          <t>3</t>
        </is>
      </c>
      <c r="L257" s="121" t="inlineStr">
        <is>
          <t>Tier 3: long tail from the TCMICA member directory; reached by the bilingual batch email, qualify only if they reply.</t>
        </is>
      </c>
      <c r="M257" s="121" t="inlineStr">
        <is>
          <t>TCMICA directory 台中市醫療器材商業同業公會 (tcmica.org.tw), read 6 Oct 2026</t>
        </is>
      </c>
      <c r="N257" s="152" t="inlineStr">
        <is>
          <t>誠徵台灣超音波經銷夥伴 | CHISON ultrasound distribution partners in Taiwan</t>
        </is>
      </c>
      <c r="O257"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57" s="108" t="inlineStr">
        <is>
          <t>m1201213@ms48.hinet.net</t>
        </is>
      </c>
      <c r="Q257" s="108" t="inlineStr">
        <is>
          <t>DIR: association member directory, not the company site</t>
        </is>
      </c>
      <c r="R257" s="108" t="inlineStr">
        <is>
          <t>Batch draft 3 of 3 (Send separately) sent 6 Oct 2026</t>
        </is>
      </c>
      <c r="S257" s="108" t="n"/>
    </row>
    <row r="258" ht="287.25" customHeight="1" s="104">
      <c r="A258" s="121" t="n">
        <v>253</v>
      </c>
      <c r="B258" s="143" t="inlineStr">
        <is>
          <t>仲鎂醫療器材有限公司</t>
        </is>
      </c>
      <c r="C258" s="121" t="inlineStr">
        <is>
          <t>Contacted</t>
        </is>
      </c>
      <c r="D258" s="124" t="inlineStr">
        <is>
          <t>病房週邊產品、產後之家、洗腎室、診所設施設備</t>
        </is>
      </c>
      <c r="E258" s="121" t="inlineStr">
        <is>
          <t>Not identified (directory listing only)</t>
        </is>
      </c>
      <c r="F258" s="124" t="inlineStr">
        <is>
          <t>Taichung · 臺中市外埔區三崁路</t>
        </is>
      </c>
      <c r="G258" s="121" t="inlineStr">
        <is>
          <t>Not published</t>
        </is>
      </c>
      <c r="H258" s="121" t="inlineStr">
        <is>
          <t>04-2683-6477</t>
        </is>
      </c>
      <c r="I258" s="121" t="inlineStr">
        <is>
          <t>Directory listing only: general medical device trader or retailer in Taichung; capital equipment capability unconfirmed.</t>
        </is>
      </c>
      <c r="J258" s="121" t="inlineStr">
        <is>
          <t>SonoAir 70 + SonoEye P3 (confirm line card first)</t>
        </is>
      </c>
      <c r="K258" s="151" t="inlineStr">
        <is>
          <t>3</t>
        </is>
      </c>
      <c r="L258" s="121" t="inlineStr">
        <is>
          <t>Tier 3: long tail from the TCMICA member directory; reached by the bilingual batch email, qualify only if they reply.</t>
        </is>
      </c>
      <c r="M258" s="121" t="inlineStr">
        <is>
          <t>TCMICA directory 台中市醫療器材商業同業公會 (tcmica.org.tw), read 6 Oct 2026</t>
        </is>
      </c>
      <c r="N258" s="152" t="inlineStr">
        <is>
          <t>誠徵台灣超音波經銷夥伴 | CHISON ultrasound distribution partners in Taiwan</t>
        </is>
      </c>
      <c r="O258" s="153" t="inlineStr">
        <is>
          <t>敬啟者 Dear Sir or Madam,
我是 AstraMed Healthcare（祥生醫療 CHISON 子公司）區域資深業務經理 Casper Tan，負責台灣市場。祥生醫療自1996年在無錫研發製造診斷用超音波，產品銷往100多個國家，並為上海科創板唯一上市的超音波廠商。AstraMed 為原廠子公司，合作夥伴可直接與原廠對接。
法規認證：
• 美國 FDA 510(k)（2005年首次取得）
• 歐盟 CE（2002年起，現已取得 MDR 認證）
• 新加坡 HSA：SonoMax 9、SonoPort 8、SonoBook 9、SonoAir 70、SonoEye P3、SonoEye P5 已完成註冊，AstraMed 為當地註冊商
產品涵蓋推車式、筆電式及掌上型超音波。我們正在台灣尋找經銷合作夥伴，並將與合適的夥伴共同規劃 TFDA 註冊。如貴公司有興趣，或目前已有經銷超音波產品，懇請回覆告知；我近期赴台時希望能拜訪交流。附件為公司簡介，敬請參閱。
I am Casper Tan, Senior Regional Sales Manager at AstraMed Healthcare, a subsidiary of CHISON Medical Technologies, and I look after Taiwan. CHISON has built diagnostic ultrasound in Wuxi since 1996, sells in more than 100 countries and holds US FDA 510(k) clearance (since 2005), CE certification under the EU MDR (CE since 2002) and Singapore HSA registration for SonoMax 9, SonoPort 8, SonoBook 9, SonoAir 70, SonoEye P3 and SonoEye P5, with AstraMed as registrant. We are looking for distribution partners in Taiwan and will plan TFDA registration together with the right partner. If ultrasound could fit your line card, I would welcome a reply and a short meeting when I visit Taiwan shortly. Our corporate brochure is attached.
如不需要此類資訊，請回覆「取消」，我將不再來信。If this is not relevant to you, simply reply "unsubscribe" and I will not write again.
Best regards,
Casper Tan
Senior Regional Sales Manager (APEC)
AstraMed Healthcare
A subsidiary of CHISON Medical Technologies
+65 8719 0121</t>
        </is>
      </c>
      <c r="P258" s="108" t="inlineStr">
        <is>
          <t>jm22314315@yahoo.com.tw</t>
        </is>
      </c>
      <c r="Q258" s="108" t="inlineStr">
        <is>
          <t>DIR: association member directory, not the company site</t>
        </is>
      </c>
      <c r="R258" s="108" t="inlineStr">
        <is>
          <t>Batch draft 3 of 3 (Send separately) sent 6 Oct 2026</t>
        </is>
      </c>
      <c r="S258" s="108" t="n"/>
    </row>
    <row r="259" ht="47.25" customHeight="1" s="104">
      <c r="A259" s="121" t="n">
        <v>254</v>
      </c>
      <c r="B259" s="143" t="inlineStr">
        <is>
          <t>松柏醫療儀器有限公司</t>
        </is>
      </c>
      <c r="C259" s="121" t="inlineStr">
        <is>
          <t>Contacted</t>
        </is>
      </c>
      <c r="D259" s="124" t="inlineStr">
        <is>
          <t>視力機</t>
        </is>
      </c>
      <c r="E259" s="121" t="inlineStr">
        <is>
          <t>Not identified (directory listing only)</t>
        </is>
      </c>
      <c r="F259" s="124" t="inlineStr">
        <is>
          <t>Taichung</t>
        </is>
      </c>
      <c r="G259" s="121" t="inlineStr">
        <is>
          <t>Not published</t>
        </is>
      </c>
      <c r="H259" s="121" t="inlineStr">
        <is>
          <t>04-2280-7256</t>
        </is>
      </c>
      <c r="I259" s="121" t="inlineStr">
        <is>
          <t>Directory listing only: general medical device trader, retailer or maker in Taichung; ultrasound capability unconfirmed.</t>
        </is>
      </c>
      <c r="J259" s="121" t="inlineStr">
        <is>
          <t>SonoAir 70 + SonoEye P3 (confirm line card first)</t>
        </is>
      </c>
      <c r="K259" s="151" t="inlineStr">
        <is>
          <t>3</t>
        </is>
      </c>
      <c r="L259" s="121" t="inlineStr">
        <is>
          <t>Tier 3: long tail from the TCMICA member directory, added 6 Oct 2026 after the first send; email on file, not yet contacted.</t>
        </is>
      </c>
      <c r="M259" s="121" t="inlineStr">
        <is>
          <t>TCMICA directory 台中市醫療器材商業同業公會 (tcmica.org.tw), read 6 Oct 2026</t>
        </is>
      </c>
      <c r="N259" s="152" t="n"/>
      <c r="O259" s="153" t="n"/>
      <c r="P259" s="108" t="inlineStr">
        <is>
          <t>service@sungpo8.com</t>
        </is>
      </c>
      <c r="Q259" s="108" t="inlineStr">
        <is>
          <t>DIR: association member directory, not the company site</t>
        </is>
      </c>
      <c r="R259" s="108" t="inlineStr">
        <is>
          <t>Batch draft 4 of 7 (Send separately) saved in Winmail with Corporate Brochure 2027; not sent yet</t>
        </is>
      </c>
      <c r="S259" s="108" t="n"/>
    </row>
    <row r="260" ht="47.25" customHeight="1" s="104">
      <c r="A260" s="121" t="n">
        <v>255</v>
      </c>
      <c r="B260" s="143" t="inlineStr">
        <is>
          <t>東正鐵工廠股份有限公司</t>
        </is>
      </c>
      <c r="C260" s="121" t="inlineStr">
        <is>
          <t>Contacted</t>
        </is>
      </c>
      <c r="D260" s="124" t="inlineStr">
        <is>
          <t>氣動式外科手術檯、手術椅之附件製造買賣</t>
        </is>
      </c>
      <c r="E260" s="121" t="inlineStr">
        <is>
          <t>Not identified (directory listing only)</t>
        </is>
      </c>
      <c r="F260" s="124" t="inlineStr">
        <is>
          <t>Taichung</t>
        </is>
      </c>
      <c r="G260" s="121" t="inlineStr">
        <is>
          <t>Not published</t>
        </is>
      </c>
      <c r="H260" s="121" t="inlineStr">
        <is>
          <t>04-2261-2135</t>
        </is>
      </c>
      <c r="I260" s="121" t="inlineStr">
        <is>
          <t>Directory listing only: general medical device trader, retailer or maker in Taichung; ultrasound capability unconfirmed.</t>
        </is>
      </c>
      <c r="J260" s="121" t="inlineStr">
        <is>
          <t>SonoAir 70 + SonoEye P3 (confirm line card first)</t>
        </is>
      </c>
      <c r="K260" s="151" t="inlineStr">
        <is>
          <t>3</t>
        </is>
      </c>
      <c r="L260" s="121" t="inlineStr">
        <is>
          <t>Tier 3: long tail from the TCMICA member directory, added 6 Oct 2026 after the first send; email on file, not yet contacted.</t>
        </is>
      </c>
      <c r="M260" s="121" t="inlineStr">
        <is>
          <t>TCMICA directory 台中市醫療器材商業同業公會 (tcmica.org.tw), read 6 Oct 2026</t>
        </is>
      </c>
      <c r="N260" s="152" t="n"/>
      <c r="O260" s="153" t="n"/>
      <c r="P260" s="108" t="inlineStr">
        <is>
          <t>swantc@swanair.com.tw</t>
        </is>
      </c>
      <c r="Q260" s="108" t="inlineStr">
        <is>
          <t>DIR: association member directory, not the company site</t>
        </is>
      </c>
      <c r="R260" s="108" t="inlineStr">
        <is>
          <t>Batch draft 4 of 7 (Send separately) saved in Winmail with Corporate Brochure 2027; not sent yet</t>
        </is>
      </c>
      <c r="S260" s="108" t="n"/>
    </row>
    <row r="261" ht="47.25" customHeight="1" s="104">
      <c r="A261" s="121" t="n">
        <v>256</v>
      </c>
      <c r="B261" s="143" t="inlineStr">
        <is>
          <t>菁品健康科技有限公司</t>
        </is>
      </c>
      <c r="C261" s="121" t="inlineStr">
        <is>
          <t>Contacted</t>
        </is>
      </c>
      <c r="D261" s="124" t="inlineStr">
        <is>
          <t>遠紅外線治療儀製造</t>
        </is>
      </c>
      <c r="E261" s="121" t="inlineStr">
        <is>
          <t>Not identified (directory listing only)</t>
        </is>
      </c>
      <c r="F261" s="124" t="inlineStr">
        <is>
          <t>Taichung</t>
        </is>
      </c>
      <c r="G261" s="121" t="inlineStr">
        <is>
          <t>Not published</t>
        </is>
      </c>
      <c r="H261" s="121" t="inlineStr">
        <is>
          <t>04-2211-5159</t>
        </is>
      </c>
      <c r="I261" s="121" t="inlineStr">
        <is>
          <t>Directory listing only: general medical device trader, retailer or maker in Taichung; ultrasound capability unconfirmed.</t>
        </is>
      </c>
      <c r="J261" s="121" t="inlineStr">
        <is>
          <t>SonoAir 70 + SonoEye P3 (confirm line card first)</t>
        </is>
      </c>
      <c r="K261" s="151" t="inlineStr">
        <is>
          <t>3</t>
        </is>
      </c>
      <c r="L261" s="121" t="inlineStr">
        <is>
          <t>Tier 3: long tail from the TCMICA member directory, added 6 Oct 2026 after the first send; email on file, not yet contacted.</t>
        </is>
      </c>
      <c r="M261" s="121" t="inlineStr">
        <is>
          <t>TCMICA directory 台中市醫療器材商業同業公會 (tcmica.org.tw), read 6 Oct 2026</t>
        </is>
      </c>
      <c r="N261" s="152" t="n"/>
      <c r="O261" s="153" t="n"/>
      <c r="P261" s="108" t="inlineStr">
        <is>
          <t>jingping413@gmail.com</t>
        </is>
      </c>
      <c r="Q261" s="108" t="inlineStr">
        <is>
          <t>DIR: association member directory, not the company site</t>
        </is>
      </c>
      <c r="R261" s="108" t="inlineStr">
        <is>
          <t>Batch draft 4 of 7 (Send separately) saved in Winmail with Corporate Brochure 2027; not sent yet</t>
        </is>
      </c>
      <c r="S261" s="108" t="n"/>
    </row>
    <row r="262" ht="47.25" customHeight="1" s="104">
      <c r="A262" s="121" t="n">
        <v>257</v>
      </c>
      <c r="B262" s="143" t="inlineStr">
        <is>
          <t>帝磐國際有限公司</t>
        </is>
      </c>
      <c r="C262" s="121" t="inlineStr">
        <is>
          <t>Contacted</t>
        </is>
      </c>
      <c r="D262" s="124" t="inlineStr">
        <is>
          <t>安全針筒</t>
        </is>
      </c>
      <c r="E262" s="121" t="inlineStr">
        <is>
          <t>Not identified (directory listing only)</t>
        </is>
      </c>
      <c r="F262" s="124" t="inlineStr">
        <is>
          <t>Taichung</t>
        </is>
      </c>
      <c r="G262" s="121" t="inlineStr">
        <is>
          <t>Not published</t>
        </is>
      </c>
      <c r="H262" s="121" t="inlineStr">
        <is>
          <t>04-2215-3019</t>
        </is>
      </c>
      <c r="I262" s="121" t="inlineStr">
        <is>
          <t>Directory listing only: general medical device trader, retailer or maker in Taichung; ultrasound capability unconfirmed.</t>
        </is>
      </c>
      <c r="J262" s="121" t="inlineStr">
        <is>
          <t>SonoAir 70 + SonoEye P3 (confirm line card first)</t>
        </is>
      </c>
      <c r="K262" s="151" t="inlineStr">
        <is>
          <t>3</t>
        </is>
      </c>
      <c r="L262" s="121" t="inlineStr">
        <is>
          <t>Tier 3: long tail from the TCMICA member directory, added 6 Oct 2026 after the first send; email on file, not yet contacted.</t>
        </is>
      </c>
      <c r="M262" s="121" t="inlineStr">
        <is>
          <t>TCMICA directory 台中市醫療器材商業同業公會 (tcmica.org.tw), read 6 Oct 2026</t>
        </is>
      </c>
      <c r="N262" s="152" t="n"/>
      <c r="O262" s="153" t="n"/>
      <c r="P262" s="108" t="inlineStr">
        <is>
          <t>a0980716727@gmail.com</t>
        </is>
      </c>
      <c r="Q262" s="108" t="inlineStr">
        <is>
          <t>DIR: association member directory, not the company site</t>
        </is>
      </c>
      <c r="R262" s="108" t="inlineStr">
        <is>
          <t>Batch draft 4 of 7 (Send separately) saved in Winmail with Corporate Brochure 2027; not sent yet</t>
        </is>
      </c>
      <c r="S262" s="108" t="n"/>
    </row>
    <row r="263" ht="47.25" customHeight="1" s="104">
      <c r="A263" s="121" t="n">
        <v>258</v>
      </c>
      <c r="B263" s="143" t="inlineStr">
        <is>
          <t>棉網有限公司</t>
        </is>
      </c>
      <c r="C263" s="121" t="inlineStr">
        <is>
          <t>Contacted</t>
        </is>
      </c>
      <c r="D263" s="124" t="inlineStr">
        <is>
          <t>醫療器材</t>
        </is>
      </c>
      <c r="E263" s="121" t="inlineStr">
        <is>
          <t>Not identified (directory listing only)</t>
        </is>
      </c>
      <c r="F263" s="124" t="inlineStr">
        <is>
          <t>Taichung</t>
        </is>
      </c>
      <c r="G263" s="121" t="inlineStr">
        <is>
          <t>Not published</t>
        </is>
      </c>
      <c r="H263" s="121" t="inlineStr">
        <is>
          <t>04-2213-7338</t>
        </is>
      </c>
      <c r="I263" s="121" t="inlineStr">
        <is>
          <t>Directory listing only: general medical device trader, retailer or maker in Taichung; ultrasound capability unconfirmed.</t>
        </is>
      </c>
      <c r="J263" s="121" t="inlineStr">
        <is>
          <t>SonoAir 70 + SonoEye P3 (confirm line card first)</t>
        </is>
      </c>
      <c r="K263" s="151" t="inlineStr">
        <is>
          <t>3</t>
        </is>
      </c>
      <c r="L263" s="121" t="inlineStr">
        <is>
          <t>Tier 3: long tail from the TCMICA member directory, added 6 Oct 2026 after the first send; email on file, not yet contacted.</t>
        </is>
      </c>
      <c r="M263" s="121" t="inlineStr">
        <is>
          <t>TCMICA directory 台中市醫療器材商業同業公會 (tcmica.org.tw), read 6 Oct 2026</t>
        </is>
      </c>
      <c r="N263" s="152" t="n"/>
      <c r="O263" s="153" t="n"/>
      <c r="P263" s="108" t="inlineStr">
        <is>
          <t>manwang011@gmail.com</t>
        </is>
      </c>
      <c r="Q263" s="108" t="inlineStr">
        <is>
          <t>DIR: association member directory, not the company site</t>
        </is>
      </c>
      <c r="R263" s="108" t="inlineStr">
        <is>
          <t>Batch draft 4 of 7 (Send separately) saved in Winmail with Corporate Brochure 2027; not sent yet</t>
        </is>
      </c>
      <c r="S263" s="108" t="n"/>
    </row>
    <row r="264" ht="47.25" customHeight="1" s="104">
      <c r="A264" s="121" t="n">
        <v>259</v>
      </c>
      <c r="B264" s="143" t="inlineStr">
        <is>
          <t>保富生物科技股份有限公司</t>
        </is>
      </c>
      <c r="C264" s="121" t="inlineStr">
        <is>
          <t>Contacted</t>
        </is>
      </c>
      <c r="D264" s="124" t="inlineStr">
        <is>
          <t>二氧化碳培養箱</t>
        </is>
      </c>
      <c r="E264" s="121" t="inlineStr">
        <is>
          <t>Not identified (directory listing only)</t>
        </is>
      </c>
      <c r="F264" s="124" t="inlineStr">
        <is>
          <t>Taichung</t>
        </is>
      </c>
      <c r="G264" s="121" t="inlineStr">
        <is>
          <t>Not published</t>
        </is>
      </c>
      <c r="H264" s="121" t="inlineStr">
        <is>
          <t>04-2280-9398</t>
        </is>
      </c>
      <c r="I264" s="121" t="inlineStr">
        <is>
          <t>Directory listing only: general medical device trader, retailer or maker in Taichung; ultrasound capability unconfirmed.</t>
        </is>
      </c>
      <c r="J264" s="121" t="inlineStr">
        <is>
          <t>SonoAir 70 + SonoEye P3 (confirm line card first)</t>
        </is>
      </c>
      <c r="K264" s="151" t="inlineStr">
        <is>
          <t>3</t>
        </is>
      </c>
      <c r="L264" s="121" t="inlineStr">
        <is>
          <t>Tier 3: long tail from the TCMICA member directory, added 6 Oct 2026 after the first send; email on file, not yet contacted.</t>
        </is>
      </c>
      <c r="M264" s="121" t="inlineStr">
        <is>
          <t>TCMICA directory 台中市醫療器材商業同業公會 (tcmica.org.tw), read 6 Oct 2026</t>
        </is>
      </c>
      <c r="N264" s="152" t="n"/>
      <c r="O264" s="153" t="n"/>
      <c r="P264" s="108" t="inlineStr">
        <is>
          <t>cbi@ms27.hinet.net</t>
        </is>
      </c>
      <c r="Q264" s="108" t="inlineStr">
        <is>
          <t>DIR: association member directory, not the company site</t>
        </is>
      </c>
      <c r="R264" s="108" t="inlineStr">
        <is>
          <t>Batch draft 4 of 7 (Send separately) saved in Winmail with Corporate Brochure 2027; not sent yet</t>
        </is>
      </c>
      <c r="S264" s="108" t="n"/>
    </row>
    <row r="265" ht="47.25" customHeight="1" s="104">
      <c r="A265" s="121" t="n">
        <v>260</v>
      </c>
      <c r="B265" s="143" t="inlineStr">
        <is>
          <t>華揚儀器廠有限公司</t>
        </is>
      </c>
      <c r="C265" s="121" t="inlineStr">
        <is>
          <t>Contacted</t>
        </is>
      </c>
      <c r="D265" s="124" t="inlineStr">
        <is>
          <t>醫用推車、鋼瓶</t>
        </is>
      </c>
      <c r="E265" s="121" t="inlineStr">
        <is>
          <t>Not identified (directory listing only)</t>
        </is>
      </c>
      <c r="F265" s="124" t="inlineStr">
        <is>
          <t>Taichung</t>
        </is>
      </c>
      <c r="G265" s="121" t="inlineStr">
        <is>
          <t>Not published</t>
        </is>
      </c>
      <c r="H265" s="121" t="inlineStr">
        <is>
          <t>04-2371-5255</t>
        </is>
      </c>
      <c r="I265" s="121" t="inlineStr">
        <is>
          <t>Directory listing only: general medical device trader, retailer or maker in Taichung; ultrasound capability unconfirmed.</t>
        </is>
      </c>
      <c r="J265" s="121" t="inlineStr">
        <is>
          <t>SonoAir 70 + SonoEye P3 (confirm line card first)</t>
        </is>
      </c>
      <c r="K265" s="151" t="inlineStr">
        <is>
          <t>3</t>
        </is>
      </c>
      <c r="L265" s="121" t="inlineStr">
        <is>
          <t>Tier 3: long tail from the TCMICA member directory, added 6 Oct 2026 after the first send; email on file, not yet contacted.</t>
        </is>
      </c>
      <c r="M265" s="121" t="inlineStr">
        <is>
          <t>TCMICA directory 台中市醫療器材商業同業公會 (tcmica.org.tw), read 6 Oct 2026</t>
        </is>
      </c>
      <c r="N265" s="152" t="n"/>
      <c r="O265" s="153" t="n"/>
      <c r="P265" s="108" t="inlineStr">
        <is>
          <t>ls.gasses@gmail.com</t>
        </is>
      </c>
      <c r="Q265" s="108" t="inlineStr">
        <is>
          <t>DIR: association member directory, not the company site</t>
        </is>
      </c>
      <c r="R265" s="108" t="inlineStr">
        <is>
          <t>Batch draft 4 of 7 (Send separately) saved in Winmail with Corporate Brochure 2027; not sent yet</t>
        </is>
      </c>
      <c r="S265" s="108" t="n"/>
    </row>
    <row r="266" ht="47.25" customHeight="1" s="104">
      <c r="A266" s="121" t="n">
        <v>261</v>
      </c>
      <c r="B266" s="143" t="inlineStr">
        <is>
          <t>丞新醫療儀器有限公司</t>
        </is>
      </c>
      <c r="C266" s="121" t="inlineStr">
        <is>
          <t>Contacted</t>
        </is>
      </c>
      <c r="D266" s="124" t="inlineStr">
        <is>
          <t>BD空針、針頭等耗材</t>
        </is>
      </c>
      <c r="E266" s="121" t="inlineStr">
        <is>
          <t>Not identified (directory listing only)</t>
        </is>
      </c>
      <c r="F266" s="124" t="inlineStr">
        <is>
          <t>Taichung</t>
        </is>
      </c>
      <c r="G266" s="121" t="inlineStr">
        <is>
          <t>Not published</t>
        </is>
      </c>
      <c r="H266" s="121" t="inlineStr">
        <is>
          <t>04-2262-6698</t>
        </is>
      </c>
      <c r="I266" s="121" t="inlineStr">
        <is>
          <t>Directory listing only: general medical device trader, retailer or maker in Taichung; ultrasound capability unconfirmed.</t>
        </is>
      </c>
      <c r="J266" s="121" t="inlineStr">
        <is>
          <t>SonoAir 70 + SonoEye P3 (confirm line card first)</t>
        </is>
      </c>
      <c r="K266" s="151" t="inlineStr">
        <is>
          <t>3</t>
        </is>
      </c>
      <c r="L266" s="121" t="inlineStr">
        <is>
          <t>Tier 3: long tail from the TCMICA member directory, added 6 Oct 2026 after the first send; email on file, not yet contacted.</t>
        </is>
      </c>
      <c r="M266" s="121" t="inlineStr">
        <is>
          <t>TCMICA directory 台中市醫療器材商業同業公會 (tcmica.org.tw), read 6 Oct 2026</t>
        </is>
      </c>
      <c r="N266" s="152" t="n"/>
      <c r="O266" s="153" t="n"/>
      <c r="P266" s="108" t="inlineStr">
        <is>
          <t>cheng.xin88@yahoo.com.tw</t>
        </is>
      </c>
      <c r="Q266" s="108" t="inlineStr">
        <is>
          <t>DIR: association member directory, not the company site</t>
        </is>
      </c>
      <c r="R266" s="108" t="inlineStr">
        <is>
          <t>Batch draft 4 of 7 (Send separately) saved in Winmail with Corporate Brochure 2027; not sent yet</t>
        </is>
      </c>
      <c r="S266" s="108" t="n"/>
    </row>
    <row r="267" ht="47.25" customHeight="1" s="104">
      <c r="A267" s="121" t="n">
        <v>262</v>
      </c>
      <c r="B267" s="143" t="inlineStr">
        <is>
          <t>嘉峰醫療器材有限公司</t>
        </is>
      </c>
      <c r="C267" s="121" t="inlineStr">
        <is>
          <t>Contacted</t>
        </is>
      </c>
      <c r="D267" s="124" t="inlineStr">
        <is>
          <t>介入性檢查產品</t>
        </is>
      </c>
      <c r="E267" s="121" t="inlineStr">
        <is>
          <t>Not identified (directory listing only)</t>
        </is>
      </c>
      <c r="F267" s="124" t="inlineStr">
        <is>
          <t>Taichung</t>
        </is>
      </c>
      <c r="G267" s="121" t="inlineStr">
        <is>
          <t>Not published</t>
        </is>
      </c>
      <c r="H267" s="121" t="inlineStr">
        <is>
          <t>04-2263-2315</t>
        </is>
      </c>
      <c r="I267" s="121" t="inlineStr">
        <is>
          <t>Directory listing only: general medical device trader, retailer or maker in Taichung; ultrasound capability unconfirmed.</t>
        </is>
      </c>
      <c r="J267" s="121" t="inlineStr">
        <is>
          <t>SonoAir 70 + SonoEye P3 (confirm line card first)</t>
        </is>
      </c>
      <c r="K267" s="151" t="inlineStr">
        <is>
          <t>3</t>
        </is>
      </c>
      <c r="L267" s="121" t="inlineStr">
        <is>
          <t>Tier 3: long tail from the TCMICA member directory, added 6 Oct 2026 after the first send; email on file, not yet contacted.</t>
        </is>
      </c>
      <c r="M267" s="121" t="inlineStr">
        <is>
          <t>TCMICA directory 台中市醫療器材商業同業公會 (tcmica.org.tw), read 6 Oct 2026</t>
        </is>
      </c>
      <c r="N267" s="152" t="n"/>
      <c r="O267" s="153" t="n"/>
      <c r="P267" s="108" t="inlineStr">
        <is>
          <t>iniafeng@ms24.hinet.net</t>
        </is>
      </c>
      <c r="Q267" s="108" t="inlineStr">
        <is>
          <t>DIR: association member directory, not the company site</t>
        </is>
      </c>
      <c r="R267" s="108" t="inlineStr">
        <is>
          <t>Batch draft 4 of 7 (Send separately) saved in Winmail with Corporate Brochure 2027; not sent yet</t>
        </is>
      </c>
      <c r="S267" s="108" t="n"/>
    </row>
    <row r="268" ht="47.25" customHeight="1" s="104">
      <c r="A268" s="121" t="n">
        <v>263</v>
      </c>
      <c r="B268" s="143" t="inlineStr">
        <is>
          <t>鏈嶔企業有限公司</t>
        </is>
      </c>
      <c r="C268" s="121" t="inlineStr">
        <is>
          <t>Contacted</t>
        </is>
      </c>
      <c r="D268" s="124" t="inlineStr">
        <is>
          <t>血糖機、血壓計、溫度計</t>
        </is>
      </c>
      <c r="E268" s="121" t="inlineStr">
        <is>
          <t>Not identified (directory listing only)</t>
        </is>
      </c>
      <c r="F268" s="124" t="inlineStr">
        <is>
          <t>Taichung</t>
        </is>
      </c>
      <c r="G268" s="121" t="inlineStr">
        <is>
          <t>Not published</t>
        </is>
      </c>
      <c r="H268" s="121" t="inlineStr">
        <is>
          <t>04-2261-1341</t>
        </is>
      </c>
      <c r="I268" s="121" t="inlineStr">
        <is>
          <t>Directory listing only: general medical device trader, retailer or maker in Taichung; ultrasound capability unconfirmed.</t>
        </is>
      </c>
      <c r="J268" s="121" t="inlineStr">
        <is>
          <t>SonoAir 70 + SonoEye P3 (confirm line card first)</t>
        </is>
      </c>
      <c r="K268" s="151" t="inlineStr">
        <is>
          <t>3</t>
        </is>
      </c>
      <c r="L268" s="121" t="inlineStr">
        <is>
          <t>Tier 3: long tail from the TCMICA member directory, added 6 Oct 2026 after the first send; email on file, not yet contacted.</t>
        </is>
      </c>
      <c r="M268" s="121" t="inlineStr">
        <is>
          <t>TCMICA directory 台中市醫療器材商業同業公會 (tcmica.org.tw), read 6 Oct 2026</t>
        </is>
      </c>
      <c r="N268" s="152" t="n"/>
      <c r="O268" s="153" t="n"/>
      <c r="P268" s="108" t="inlineStr">
        <is>
          <t>lien.chiny@msa.hinet.net</t>
        </is>
      </c>
      <c r="Q268" s="108" t="inlineStr">
        <is>
          <t>DIR: association member directory, not the company site</t>
        </is>
      </c>
      <c r="R268" s="108" t="inlineStr">
        <is>
          <t>Batch draft 4 of 7 (Send separately) saved in Winmail with Corporate Brochure 2027; not sent yet</t>
        </is>
      </c>
      <c r="S268" s="108" t="n"/>
    </row>
    <row r="269" ht="47.25" customHeight="1" s="104">
      <c r="A269" s="121" t="n">
        <v>264</v>
      </c>
      <c r="B269" s="143" t="inlineStr">
        <is>
          <t>驛萬企業有限公司</t>
        </is>
      </c>
      <c r="C269" s="121" t="inlineStr">
        <is>
          <t>Contacted</t>
        </is>
      </c>
      <c r="D269" s="124" t="inlineStr">
        <is>
          <t>牙科鑽針</t>
        </is>
      </c>
      <c r="E269" s="121" t="inlineStr">
        <is>
          <t>Not identified (directory listing only)</t>
        </is>
      </c>
      <c r="F269" s="124" t="inlineStr">
        <is>
          <t>Taichung</t>
        </is>
      </c>
      <c r="G269" s="121" t="inlineStr">
        <is>
          <t>Not published</t>
        </is>
      </c>
      <c r="H269" s="121" t="inlineStr">
        <is>
          <t>04-2265-2381</t>
        </is>
      </c>
      <c r="I269" s="121" t="inlineStr">
        <is>
          <t>Directory listing only: general medical device trader, retailer or maker in Taichung; ultrasound capability unconfirmed.</t>
        </is>
      </c>
      <c r="J269" s="121" t="inlineStr">
        <is>
          <t>SonoAir 70 + SonoEye P3 (confirm line card first)</t>
        </is>
      </c>
      <c r="K269" s="151" t="inlineStr">
        <is>
          <t>3</t>
        </is>
      </c>
      <c r="L269" s="121" t="inlineStr">
        <is>
          <t>Tier 3: long tail from the TCMICA member directory, added 6 Oct 2026 after the first send; email on file, not yet contacted.</t>
        </is>
      </c>
      <c r="M269" s="121" t="inlineStr">
        <is>
          <t>TCMICA directory 台中市醫療器材商業同業公會 (tcmica.org.tw), read 6 Oct 2026</t>
        </is>
      </c>
      <c r="N269" s="152" t="n"/>
      <c r="O269" s="153" t="n"/>
      <c r="P269" s="108" t="inlineStr">
        <is>
          <t>yione@ms25.hinet.net</t>
        </is>
      </c>
      <c r="Q269" s="108" t="inlineStr">
        <is>
          <t>DIR: association member directory, not the company site</t>
        </is>
      </c>
      <c r="R269" s="108" t="inlineStr">
        <is>
          <t>Batch draft 4 of 7 (Send separately) saved in Winmail with Corporate Brochure 2027; not sent yet</t>
        </is>
      </c>
      <c r="S269" s="108" t="n"/>
    </row>
    <row r="270" ht="47.25" customHeight="1" s="104">
      <c r="A270" s="121" t="n">
        <v>265</v>
      </c>
      <c r="B270" s="143" t="inlineStr">
        <is>
          <t>安穎有限公司</t>
        </is>
      </c>
      <c r="C270" s="121" t="inlineStr">
        <is>
          <t>Contacted</t>
        </is>
      </c>
      <c r="D270" s="124" t="inlineStr">
        <is>
          <t>電動病床</t>
        </is>
      </c>
      <c r="E270" s="121" t="inlineStr">
        <is>
          <t>Not identified (directory listing only)</t>
        </is>
      </c>
      <c r="F270" s="124" t="inlineStr">
        <is>
          <t>Taichung</t>
        </is>
      </c>
      <c r="G270" s="121" t="inlineStr">
        <is>
          <t>Not published</t>
        </is>
      </c>
      <c r="H270" s="121" t="inlineStr">
        <is>
          <t>Not published in directory</t>
        </is>
      </c>
      <c r="I270" s="121" t="inlineStr">
        <is>
          <t>Directory listing only: general medical device trader, retailer or maker in Taichung; ultrasound capability unconfirmed.</t>
        </is>
      </c>
      <c r="J270" s="121" t="inlineStr">
        <is>
          <t>SonoAir 70 + SonoEye P3 (confirm line card first)</t>
        </is>
      </c>
      <c r="K270" s="151" t="inlineStr">
        <is>
          <t>3</t>
        </is>
      </c>
      <c r="L270" s="121" t="inlineStr">
        <is>
          <t>Tier 3: long tail from the TCMICA member directory, added 6 Oct 2026 after the first send; email on file, not yet contacted.</t>
        </is>
      </c>
      <c r="M270" s="121" t="inlineStr">
        <is>
          <t>TCMICA directory 台中市醫療器材商業同業公會 (tcmica.org.tw), read 6 Oct 2026</t>
        </is>
      </c>
      <c r="N270" s="152" t="n"/>
      <c r="O270" s="153" t="n"/>
      <c r="P270" s="108" t="inlineStr">
        <is>
          <t>kate042768@gmail.com</t>
        </is>
      </c>
      <c r="Q270" s="108" t="inlineStr">
        <is>
          <t>DIR: association member directory, not the company site</t>
        </is>
      </c>
      <c r="R270" s="108" t="inlineStr">
        <is>
          <t>Batch draft 4 of 7 (Send separately) saved in Winmail with Corporate Brochure 2027; not sent yet</t>
        </is>
      </c>
      <c r="S270" s="108" t="n"/>
    </row>
    <row r="271" ht="47.25" customHeight="1" s="104">
      <c r="A271" s="121" t="n">
        <v>266</v>
      </c>
      <c r="B271" s="143" t="inlineStr">
        <is>
          <t>八田牙材有限公司</t>
        </is>
      </c>
      <c r="C271" s="121" t="inlineStr">
        <is>
          <t>Contacted</t>
        </is>
      </c>
      <c r="D271" s="124" t="inlineStr">
        <is>
          <t>醫療器材批發零售</t>
        </is>
      </c>
      <c r="E271" s="121" t="inlineStr">
        <is>
          <t>Not identified (directory listing only)</t>
        </is>
      </c>
      <c r="F271" s="124" t="inlineStr">
        <is>
          <t>Taichung</t>
        </is>
      </c>
      <c r="G271" s="121" t="inlineStr">
        <is>
          <t>Not published</t>
        </is>
      </c>
      <c r="H271" s="121" t="inlineStr">
        <is>
          <t>04-2285-0618</t>
        </is>
      </c>
      <c r="I271" s="121" t="inlineStr">
        <is>
          <t>Directory listing only: general medical device trader, retailer or maker in Taichung; ultrasound capability unconfirmed.</t>
        </is>
      </c>
      <c r="J271" s="121" t="inlineStr">
        <is>
          <t>SonoAir 70 + SonoEye P3 (confirm line card first)</t>
        </is>
      </c>
      <c r="K271" s="151" t="inlineStr">
        <is>
          <t>3</t>
        </is>
      </c>
      <c r="L271" s="121" t="inlineStr">
        <is>
          <t>Tier 3: long tail from the TCMICA member directory, added 6 Oct 2026 after the first send; email on file, not yet contacted.</t>
        </is>
      </c>
      <c r="M271" s="121" t="inlineStr">
        <is>
          <t>TCMICA directory 台中市醫療器材商業同業公會 (tcmica.org.tw), read 6 Oct 2026</t>
        </is>
      </c>
      <c r="N271" s="152" t="n"/>
      <c r="O271" s="153" t="n"/>
      <c r="P271" s="108" t="inlineStr">
        <is>
          <t>melady813@gmail.com</t>
        </is>
      </c>
      <c r="Q271" s="108" t="inlineStr">
        <is>
          <t>DIR: association member directory, not the company site</t>
        </is>
      </c>
      <c r="R271" s="108" t="inlineStr">
        <is>
          <t>Batch draft 4 of 7 (Send separately) saved in Winmail with Corporate Brochure 2027; not sent yet</t>
        </is>
      </c>
      <c r="S271" s="108" t="n"/>
    </row>
    <row r="272" ht="47.25" customHeight="1" s="104">
      <c r="A272" s="121" t="n">
        <v>267</v>
      </c>
      <c r="B272" s="143" t="inlineStr">
        <is>
          <t>橡木實健康事業股份有限公司</t>
        </is>
      </c>
      <c r="C272" s="121" t="inlineStr">
        <is>
          <t>Contacted</t>
        </is>
      </c>
      <c r="D272" s="124" t="inlineStr">
        <is>
          <t>醫療器材批發零售</t>
        </is>
      </c>
      <c r="E272" s="121" t="inlineStr">
        <is>
          <t>Not identified (directory listing only)</t>
        </is>
      </c>
      <c r="F272" s="124" t="inlineStr">
        <is>
          <t>Taichung</t>
        </is>
      </c>
      <c r="G272" s="121" t="inlineStr">
        <is>
          <t>Not published</t>
        </is>
      </c>
      <c r="H272" s="121" t="inlineStr">
        <is>
          <t>04-2263-0062</t>
        </is>
      </c>
      <c r="I272" s="121" t="inlineStr">
        <is>
          <t>Directory listing only: general medical device trader, retailer or maker in Taichung; ultrasound capability unconfirmed.</t>
        </is>
      </c>
      <c r="J272" s="121" t="inlineStr">
        <is>
          <t>SonoAir 70 + SonoEye P3 (confirm line card first)</t>
        </is>
      </c>
      <c r="K272" s="151" t="inlineStr">
        <is>
          <t>3</t>
        </is>
      </c>
      <c r="L272" s="121" t="inlineStr">
        <is>
          <t>Tier 3: long tail from the TCMICA member directory, added 6 Oct 2026 after the first send; email on file, not yet contacted.</t>
        </is>
      </c>
      <c r="M272" s="121" t="inlineStr">
        <is>
          <t>TCMICA directory 台中市醫療器材商業同業公會 (tcmica.org.tw), read 6 Oct 2026</t>
        </is>
      </c>
      <c r="N272" s="152" t="n"/>
      <c r="O272" s="153" t="n"/>
      <c r="P272" s="108" t="inlineStr">
        <is>
          <t>cachat107@gmail.com</t>
        </is>
      </c>
      <c r="Q272" s="108" t="inlineStr">
        <is>
          <t>DIR: association member directory, not the company site</t>
        </is>
      </c>
      <c r="R272" s="108" t="inlineStr">
        <is>
          <t>Batch draft 4 of 7 (Send separately) saved in Winmail with Corporate Brochure 2027; not sent yet</t>
        </is>
      </c>
      <c r="S272" s="108" t="n"/>
    </row>
    <row r="273" ht="47.25" customHeight="1" s="104">
      <c r="A273" s="121" t="n">
        <v>268</v>
      </c>
      <c r="B273" s="143" t="inlineStr">
        <is>
          <t>小可愛護理用品有限公司</t>
        </is>
      </c>
      <c r="C273" s="121" t="inlineStr">
        <is>
          <t>Contacted</t>
        </is>
      </c>
      <c r="D273" s="124" t="inlineStr">
        <is>
          <t>醫療儀器、護理用品</t>
        </is>
      </c>
      <c r="E273" s="121" t="inlineStr">
        <is>
          <t>Not identified (directory listing only)</t>
        </is>
      </c>
      <c r="F273" s="124" t="inlineStr">
        <is>
          <t>Taichung</t>
        </is>
      </c>
      <c r="G273" s="121" t="inlineStr">
        <is>
          <t>Not published</t>
        </is>
      </c>
      <c r="H273" s="121" t="inlineStr">
        <is>
          <t>04-2371-1874</t>
        </is>
      </c>
      <c r="I273" s="121" t="inlineStr">
        <is>
          <t>Directory listing only: general medical device trader, retailer or maker in Taichung; ultrasound capability unconfirmed.</t>
        </is>
      </c>
      <c r="J273" s="121" t="inlineStr">
        <is>
          <t>SonoAir 70 + SonoEye P3 (confirm line card first)</t>
        </is>
      </c>
      <c r="K273" s="151" t="inlineStr">
        <is>
          <t>3</t>
        </is>
      </c>
      <c r="L273" s="121" t="inlineStr">
        <is>
          <t>Tier 3: long tail from the TCMICA member directory, added 6 Oct 2026 after the first send; email on file, not yet contacted.</t>
        </is>
      </c>
      <c r="M273" s="121" t="inlineStr">
        <is>
          <t>TCMICA directory 台中市醫療器材商業同業公會 (tcmica.org.tw), read 6 Oct 2026</t>
        </is>
      </c>
      <c r="N273" s="152" t="n"/>
      <c r="O273" s="153" t="n"/>
      <c r="P273" s="108" t="inlineStr">
        <is>
          <t>kmc90885@hotmail.com</t>
        </is>
      </c>
      <c r="Q273" s="108" t="inlineStr">
        <is>
          <t>DIR: association member directory, not the company site</t>
        </is>
      </c>
      <c r="R273" s="108" t="inlineStr">
        <is>
          <t>Batch draft 4 of 7 (Send separately) saved in Winmail with Corporate Brochure 2027; not sent yet</t>
        </is>
      </c>
      <c r="S273" s="108" t="n"/>
    </row>
    <row r="274" ht="47.25" customHeight="1" s="104">
      <c r="A274" s="121" t="n">
        <v>269</v>
      </c>
      <c r="B274" s="143" t="inlineStr">
        <is>
          <t>中和牙科器材有限公司</t>
        </is>
      </c>
      <c r="C274" s="121" t="inlineStr">
        <is>
          <t>Contacted</t>
        </is>
      </c>
      <c r="D274" s="124" t="inlineStr">
        <is>
          <t>牙科器材</t>
        </is>
      </c>
      <c r="E274" s="121" t="inlineStr">
        <is>
          <t>Not identified (directory listing only)</t>
        </is>
      </c>
      <c r="F274" s="124" t="inlineStr">
        <is>
          <t>Taichung</t>
        </is>
      </c>
      <c r="G274" s="121" t="inlineStr">
        <is>
          <t>Not published</t>
        </is>
      </c>
      <c r="H274" s="121" t="inlineStr">
        <is>
          <t>04-2301-3333</t>
        </is>
      </c>
      <c r="I274" s="121" t="inlineStr">
        <is>
          <t>Directory listing only: general medical device trader, retailer or maker in Taichung; ultrasound capability unconfirmed.</t>
        </is>
      </c>
      <c r="J274" s="121" t="inlineStr">
        <is>
          <t>SonoAir 70 + SonoEye P3 (confirm line card first)</t>
        </is>
      </c>
      <c r="K274" s="151" t="inlineStr">
        <is>
          <t>3</t>
        </is>
      </c>
      <c r="L274" s="121" t="inlineStr">
        <is>
          <t>Tier 3: long tail from the TCMICA member directory, added 6 Oct 2026 after the first send; email on file, not yet contacted.</t>
        </is>
      </c>
      <c r="M274" s="121" t="inlineStr">
        <is>
          <t>TCMICA directory 台中市醫療器材商業同業公會 (tcmica.org.tw), read 6 Oct 2026</t>
        </is>
      </c>
      <c r="N274" s="152" t="n"/>
      <c r="O274" s="153" t="n"/>
      <c r="P274" s="108" t="inlineStr">
        <is>
          <t>2244665@pchome.com.tw</t>
        </is>
      </c>
      <c r="Q274" s="108" t="inlineStr">
        <is>
          <t>DIR: association member directory, not the company site</t>
        </is>
      </c>
      <c r="R274" s="108" t="inlineStr">
        <is>
          <t>Batch draft 4 of 7 (Send separately) saved in Winmail with Corporate Brochure 2027; not sent yet</t>
        </is>
      </c>
      <c r="S274" s="108" t="n"/>
    </row>
    <row r="275" ht="47.25" customHeight="1" s="104">
      <c r="A275" s="121" t="n">
        <v>270</v>
      </c>
      <c r="B275" s="143" t="inlineStr">
        <is>
          <t>康盛國際貿易有限公司</t>
        </is>
      </c>
      <c r="C275" s="121" t="inlineStr">
        <is>
          <t>Contacted</t>
        </is>
      </c>
      <c r="D275" s="124" t="inlineStr">
        <is>
          <t>牙科器材</t>
        </is>
      </c>
      <c r="E275" s="121" t="inlineStr">
        <is>
          <t>Not identified (directory listing only)</t>
        </is>
      </c>
      <c r="F275" s="124" t="inlineStr">
        <is>
          <t>Taichung</t>
        </is>
      </c>
      <c r="G275" s="121" t="inlineStr">
        <is>
          <t>Not published</t>
        </is>
      </c>
      <c r="H275" s="121" t="inlineStr">
        <is>
          <t>04-2326-8817</t>
        </is>
      </c>
      <c r="I275" s="121" t="inlineStr">
        <is>
          <t>Directory listing only: general medical device trader, retailer or maker in Taichung; ultrasound capability unconfirmed.</t>
        </is>
      </c>
      <c r="J275" s="121" t="inlineStr">
        <is>
          <t>SonoAir 70 + SonoEye P3 (confirm line card first)</t>
        </is>
      </c>
      <c r="K275" s="151" t="inlineStr">
        <is>
          <t>3</t>
        </is>
      </c>
      <c r="L275" s="121" t="inlineStr">
        <is>
          <t>Tier 3: long tail from the TCMICA member directory, added 6 Oct 2026 after the first send; email on file, not yet contacted.</t>
        </is>
      </c>
      <c r="M275" s="121" t="inlineStr">
        <is>
          <t>TCMICA directory 台中市醫療器材商業同業公會 (tcmica.org.tw), read 6 Oct 2026</t>
        </is>
      </c>
      <c r="N275" s="152" t="n"/>
      <c r="O275" s="153" t="n"/>
      <c r="P275" s="108" t="inlineStr">
        <is>
          <t>concern.ltd@msa.hinet.net</t>
        </is>
      </c>
      <c r="Q275" s="108" t="inlineStr">
        <is>
          <t>DIR: association member directory, not the company site</t>
        </is>
      </c>
      <c r="R275" s="108" t="inlineStr">
        <is>
          <t>Batch draft 4 of 7 (Send separately) saved in Winmail with Corporate Brochure 2027; not sent yet</t>
        </is>
      </c>
      <c r="S275" s="108" t="n"/>
    </row>
    <row r="276" ht="47.25" customHeight="1" s="104">
      <c r="A276" s="121" t="n">
        <v>271</v>
      </c>
      <c r="B276" s="143" t="inlineStr">
        <is>
          <t>生德生物科技有限公司</t>
        </is>
      </c>
      <c r="C276" s="121" t="inlineStr">
        <is>
          <t>Contacted</t>
        </is>
      </c>
      <c r="D276" s="124" t="inlineStr">
        <is>
          <t>醫療器材、傷科用品</t>
        </is>
      </c>
      <c r="E276" s="121" t="inlineStr">
        <is>
          <t>Not identified (directory listing only)</t>
        </is>
      </c>
      <c r="F276" s="124" t="inlineStr">
        <is>
          <t>Taichung</t>
        </is>
      </c>
      <c r="G276" s="121" t="inlineStr">
        <is>
          <t>Not published</t>
        </is>
      </c>
      <c r="H276" s="121" t="inlineStr">
        <is>
          <t>04-2373-0183</t>
        </is>
      </c>
      <c r="I276" s="121" t="inlineStr">
        <is>
          <t>Directory listing only: general medical device trader, retailer or maker in Taichung; ultrasound capability unconfirmed.</t>
        </is>
      </c>
      <c r="J276" s="121" t="inlineStr">
        <is>
          <t>SonoAir 70 + SonoEye P3 (confirm line card first)</t>
        </is>
      </c>
      <c r="K276" s="151" t="inlineStr">
        <is>
          <t>3</t>
        </is>
      </c>
      <c r="L276" s="121" t="inlineStr">
        <is>
          <t>Tier 3: long tail from the TCMICA member directory, added 6 Oct 2026 after the first send; email on file, not yet contacted.</t>
        </is>
      </c>
      <c r="M276" s="121" t="inlineStr">
        <is>
          <t>TCMICA directory 台中市醫療器材商業同業公會 (tcmica.org.tw), read 6 Oct 2026</t>
        </is>
      </c>
      <c r="N276" s="152" t="n"/>
      <c r="O276" s="153" t="n"/>
      <c r="P276" s="108" t="inlineStr">
        <is>
          <t>x53773@gmail.com</t>
        </is>
      </c>
      <c r="Q276" s="108" t="inlineStr">
        <is>
          <t>DIR: association member directory, not the company site</t>
        </is>
      </c>
      <c r="R276" s="108" t="inlineStr">
        <is>
          <t>Batch draft 4 of 7 (Send separately) saved in Winmail with Corporate Brochure 2027; not sent yet</t>
        </is>
      </c>
      <c r="S276" s="108" t="n"/>
    </row>
    <row r="277" ht="47.25" customHeight="1" s="104">
      <c r="A277" s="121" t="n">
        <v>272</v>
      </c>
      <c r="B277" s="143" t="inlineStr">
        <is>
          <t>世醫微流體有限公司</t>
        </is>
      </c>
      <c r="C277" s="121" t="inlineStr">
        <is>
          <t>Contacted</t>
        </is>
      </c>
      <c r="D277" s="124" t="inlineStr">
        <is>
          <t>檢驗試紙批發(同組:世藝生醫)</t>
        </is>
      </c>
      <c r="E277" s="121" t="inlineStr">
        <is>
          <t>Not identified (directory listing only)</t>
        </is>
      </c>
      <c r="F277" s="124" t="inlineStr">
        <is>
          <t>Taichung</t>
        </is>
      </c>
      <c r="G277" s="121" t="inlineStr">
        <is>
          <t>Not published</t>
        </is>
      </c>
      <c r="H277" s="121" t="inlineStr">
        <is>
          <t>04-2328-2697</t>
        </is>
      </c>
      <c r="I277" s="121" t="inlineStr">
        <is>
          <t>Directory listing only: general medical device trader, retailer or maker in Taichung; ultrasound capability unconfirmed.</t>
        </is>
      </c>
      <c r="J277" s="121" t="inlineStr">
        <is>
          <t>SonoAir 70 + SonoEye P3 (confirm line card first)</t>
        </is>
      </c>
      <c r="K277" s="151" t="inlineStr">
        <is>
          <t>3</t>
        </is>
      </c>
      <c r="L277" s="121" t="inlineStr">
        <is>
          <t>Tier 3: long tail from the TCMICA member directory, added 6 Oct 2026 after the first send; email on file, not yet contacted.</t>
        </is>
      </c>
      <c r="M277" s="121" t="inlineStr">
        <is>
          <t>TCMICA directory 台中市醫療器材商業同業公會 (tcmica.org.tw), read 6 Oct 2026</t>
        </is>
      </c>
      <c r="N277" s="152" t="n"/>
      <c r="O277" s="153" t="n"/>
      <c r="P277" s="108" t="inlineStr">
        <is>
          <t>liang635@ms72.hinet.net</t>
        </is>
      </c>
      <c r="Q277" s="108" t="inlineStr">
        <is>
          <t>DIR: association member directory, not the company site</t>
        </is>
      </c>
      <c r="R277" s="108" t="inlineStr">
        <is>
          <t>Batch draft 4 of 7 (Send separately) saved in Winmail with Corporate Brochure 2027; not sent yet</t>
        </is>
      </c>
      <c r="S277" s="108" t="n"/>
    </row>
    <row r="278" ht="47.25" customHeight="1" s="104">
      <c r="A278" s="121" t="n">
        <v>273</v>
      </c>
      <c r="B278" s="143" t="inlineStr">
        <is>
          <t>華貿企業有限公司</t>
        </is>
      </c>
      <c r="C278" s="121" t="inlineStr">
        <is>
          <t>Contacted</t>
        </is>
      </c>
      <c r="D278" s="124" t="inlineStr">
        <is>
          <t>座椅電梯、電動輪椅、輔具</t>
        </is>
      </c>
      <c r="E278" s="121" t="inlineStr">
        <is>
          <t>Not identified (directory listing only)</t>
        </is>
      </c>
      <c r="F278" s="124" t="inlineStr">
        <is>
          <t>Taichung</t>
        </is>
      </c>
      <c r="G278" s="121" t="inlineStr">
        <is>
          <t>Not published</t>
        </is>
      </c>
      <c r="H278" s="121" t="inlineStr">
        <is>
          <t>04-2302-1266</t>
        </is>
      </c>
      <c r="I278" s="121" t="inlineStr">
        <is>
          <t>Directory listing only: general medical device trader, retailer or maker in Taichung; ultrasound capability unconfirmed.</t>
        </is>
      </c>
      <c r="J278" s="121" t="inlineStr">
        <is>
          <t>SonoAir 70 + SonoEye P3 (confirm line card first)</t>
        </is>
      </c>
      <c r="K278" s="151" t="inlineStr">
        <is>
          <t>3</t>
        </is>
      </c>
      <c r="L278" s="121" t="inlineStr">
        <is>
          <t>Tier 3: long tail from the TCMICA member directory, added 6 Oct 2026 after the first send; email on file, not yet contacted.</t>
        </is>
      </c>
      <c r="M278" s="121" t="inlineStr">
        <is>
          <t>TCMICA directory 台中市醫療器材商業同業公會 (tcmica.org.tw), read 6 Oct 2026</t>
        </is>
      </c>
      <c r="N278" s="152" t="n"/>
      <c r="O278" s="153" t="n"/>
      <c r="P278" s="108" t="inlineStr">
        <is>
          <t>h2018@hoh.com.tw</t>
        </is>
      </c>
      <c r="Q278" s="108" t="inlineStr">
        <is>
          <t>DIR: association member directory, not the company site</t>
        </is>
      </c>
      <c r="R278" s="108" t="inlineStr">
        <is>
          <t>Batch draft 4 of 7 (Send separately) saved in Winmail with Corporate Brochure 2027; not sent yet</t>
        </is>
      </c>
      <c r="S278" s="108" t="n"/>
    </row>
    <row r="279" ht="47.25" customHeight="1" s="104">
      <c r="A279" s="121" t="n">
        <v>274</v>
      </c>
      <c r="B279" s="143" t="inlineStr">
        <is>
          <t>商登貿易有限公司</t>
        </is>
      </c>
      <c r="C279" s="121" t="inlineStr">
        <is>
          <t>Contacted</t>
        </is>
      </c>
      <c r="D279" s="124" t="inlineStr">
        <is>
          <t>牙科器材</t>
        </is>
      </c>
      <c r="E279" s="121" t="inlineStr">
        <is>
          <t>Not identified (directory listing only)</t>
        </is>
      </c>
      <c r="F279" s="124" t="inlineStr">
        <is>
          <t>Taichung</t>
        </is>
      </c>
      <c r="G279" s="121" t="inlineStr">
        <is>
          <t>Not published</t>
        </is>
      </c>
      <c r="H279" s="121" t="inlineStr">
        <is>
          <t>04-2326-6660</t>
        </is>
      </c>
      <c r="I279" s="121" t="inlineStr">
        <is>
          <t>Directory listing only: general medical device trader, retailer or maker in Taichung; ultrasound capability unconfirmed.</t>
        </is>
      </c>
      <c r="J279" s="121" t="inlineStr">
        <is>
          <t>SonoAir 70 + SonoEye P3 (confirm line card first)</t>
        </is>
      </c>
      <c r="K279" s="151" t="inlineStr">
        <is>
          <t>3</t>
        </is>
      </c>
      <c r="L279" s="121" t="inlineStr">
        <is>
          <t>Tier 3: long tail from the TCMICA member directory, added 6 Oct 2026 after the first send; email on file, not yet contacted.</t>
        </is>
      </c>
      <c r="M279" s="121" t="inlineStr">
        <is>
          <t>TCMICA directory 台中市醫療器材商業同業公會 (tcmica.org.tw), read 6 Oct 2026</t>
        </is>
      </c>
      <c r="N279" s="152" t="n"/>
      <c r="O279" s="153" t="n"/>
      <c r="P279" s="108" t="inlineStr">
        <is>
          <t>mengchiao@yahoo.com</t>
        </is>
      </c>
      <c r="Q279" s="108" t="inlineStr">
        <is>
          <t>DIR: association member directory, not the company site</t>
        </is>
      </c>
      <c r="R279" s="108" t="inlineStr">
        <is>
          <t>Batch draft 4 of 7 (Send separately) saved in Winmail with Corporate Brochure 2027; not sent yet</t>
        </is>
      </c>
      <c r="S279" s="108" t="n"/>
    </row>
    <row r="280" ht="47.25" customHeight="1" s="104">
      <c r="A280" s="121" t="n">
        <v>275</v>
      </c>
      <c r="B280" s="143" t="inlineStr">
        <is>
          <t>德嘉國際有限公司</t>
        </is>
      </c>
      <c r="C280" s="121" t="inlineStr">
        <is>
          <t>Contacted</t>
        </is>
      </c>
      <c r="D280" s="124" t="inlineStr">
        <is>
          <t>傷口敷料</t>
        </is>
      </c>
      <c r="E280" s="121" t="inlineStr">
        <is>
          <t>Not identified (directory listing only)</t>
        </is>
      </c>
      <c r="F280" s="124" t="inlineStr">
        <is>
          <t>Taichung</t>
        </is>
      </c>
      <c r="G280" s="121" t="inlineStr">
        <is>
          <t>Not published</t>
        </is>
      </c>
      <c r="H280" s="121" t="inlineStr">
        <is>
          <t>04-2378-0177</t>
        </is>
      </c>
      <c r="I280" s="121" t="inlineStr">
        <is>
          <t>Directory listing only: general medical device trader, retailer or maker in Taichung; ultrasound capability unconfirmed.</t>
        </is>
      </c>
      <c r="J280" s="121" t="inlineStr">
        <is>
          <t>SonoAir 70 + SonoEye P3 (confirm line card first)</t>
        </is>
      </c>
      <c r="K280" s="151" t="inlineStr">
        <is>
          <t>3</t>
        </is>
      </c>
      <c r="L280" s="121" t="inlineStr">
        <is>
          <t>Tier 3: long tail from the TCMICA member directory, added 6 Oct 2026 after the first send; email on file, not yet contacted.</t>
        </is>
      </c>
      <c r="M280" s="121" t="inlineStr">
        <is>
          <t>TCMICA directory 台中市醫療器材商業同業公會 (tcmica.org.tw), read 6 Oct 2026</t>
        </is>
      </c>
      <c r="N280" s="152" t="n"/>
      <c r="O280" s="153" t="n"/>
      <c r="P280" s="108" t="inlineStr">
        <is>
          <t>teddy.san@msa.hinet.net</t>
        </is>
      </c>
      <c r="Q280" s="108" t="inlineStr">
        <is>
          <t>DIR: association member directory, not the company site</t>
        </is>
      </c>
      <c r="R280" s="108" t="inlineStr">
        <is>
          <t>Batch draft 4 of 7 (Send separately) saved in Winmail with Corporate Brochure 2027; not sent yet</t>
        </is>
      </c>
      <c r="S280" s="108" t="n"/>
    </row>
    <row r="281" ht="47.25" customHeight="1" s="104">
      <c r="A281" s="121" t="n">
        <v>276</v>
      </c>
      <c r="B281" s="143" t="inlineStr">
        <is>
          <t>佳世佳有限公司</t>
        </is>
      </c>
      <c r="C281" s="121" t="inlineStr">
        <is>
          <t>Contacted</t>
        </is>
      </c>
      <c r="D281" s="124" t="inlineStr">
        <is>
          <t>包藥機</t>
        </is>
      </c>
      <c r="E281" s="121" t="inlineStr">
        <is>
          <t>Not identified (directory listing only)</t>
        </is>
      </c>
      <c r="F281" s="124" t="inlineStr">
        <is>
          <t>Taichung</t>
        </is>
      </c>
      <c r="G281" s="121" t="inlineStr">
        <is>
          <t>Not published</t>
        </is>
      </c>
      <c r="H281" s="121" t="inlineStr">
        <is>
          <t>04-2301-9881</t>
        </is>
      </c>
      <c r="I281" s="121" t="inlineStr">
        <is>
          <t>Directory listing only: general medical device trader, retailer or maker in Taichung; ultrasound capability unconfirmed.</t>
        </is>
      </c>
      <c r="J281" s="121" t="inlineStr">
        <is>
          <t>SonoAir 70 + SonoEye P3 (confirm line card first)</t>
        </is>
      </c>
      <c r="K281" s="151" t="inlineStr">
        <is>
          <t>3</t>
        </is>
      </c>
      <c r="L281" s="121" t="inlineStr">
        <is>
          <t>Tier 3: long tail from the TCMICA member directory, added 6 Oct 2026 after the first send; email on file, not yet contacted.</t>
        </is>
      </c>
      <c r="M281" s="121" t="inlineStr">
        <is>
          <t>TCMICA directory 台中市醫療器材商業同業公會 (tcmica.org.tw), read 6 Oct 2026</t>
        </is>
      </c>
      <c r="N281" s="152" t="n"/>
      <c r="O281" s="153" t="n"/>
      <c r="P281" s="108" t="inlineStr">
        <is>
          <t>yuan3228@yahoo.com.tw</t>
        </is>
      </c>
      <c r="Q281" s="108" t="inlineStr">
        <is>
          <t>DIR: association member directory, not the company site</t>
        </is>
      </c>
      <c r="R281" s="108" t="inlineStr">
        <is>
          <t>Batch draft 4 of 7 (Send separately) saved in Winmail with Corporate Brochure 2027; not sent yet</t>
        </is>
      </c>
      <c r="S281" s="108" t="n"/>
    </row>
    <row r="282" ht="47.25" customHeight="1" s="104">
      <c r="A282" s="121" t="n">
        <v>277</v>
      </c>
      <c r="B282" s="143" t="inlineStr">
        <is>
          <t>百特醫學科技有限公司</t>
        </is>
      </c>
      <c r="C282" s="121" t="inlineStr">
        <is>
          <t>Contacted</t>
        </is>
      </c>
      <c r="D282" s="124" t="inlineStr">
        <is>
          <t>醫療器材批發零售</t>
        </is>
      </c>
      <c r="E282" s="121" t="inlineStr">
        <is>
          <t>Not identified (directory listing only)</t>
        </is>
      </c>
      <c r="F282" s="124" t="inlineStr">
        <is>
          <t>Taichung</t>
        </is>
      </c>
      <c r="G282" s="121" t="inlineStr">
        <is>
          <t>Not published</t>
        </is>
      </c>
      <c r="H282" s="121" t="inlineStr">
        <is>
          <t>04-2315-5525</t>
        </is>
      </c>
      <c r="I282" s="121" t="inlineStr">
        <is>
          <t>Directory listing only: general medical device trader, retailer or maker in Taichung; ultrasound capability unconfirmed.</t>
        </is>
      </c>
      <c r="J282" s="121" t="inlineStr">
        <is>
          <t>SonoAir 70 + SonoEye P3 (confirm line card first)</t>
        </is>
      </c>
      <c r="K282" s="151" t="inlineStr">
        <is>
          <t>3</t>
        </is>
      </c>
      <c r="L282" s="121" t="inlineStr">
        <is>
          <t>Tier 3: long tail from the TCMICA member directory, added 6 Oct 2026 after the first send; email on file, not yet contacted.</t>
        </is>
      </c>
      <c r="M282" s="121" t="inlineStr">
        <is>
          <t>TCMICA directory 台中市醫療器材商業同業公會 (tcmica.org.tw), read 6 Oct 2026</t>
        </is>
      </c>
      <c r="N282" s="152" t="n"/>
      <c r="O282" s="153" t="n"/>
      <c r="P282" s="108" t="inlineStr">
        <is>
          <t>info@dentwei.com.tw</t>
        </is>
      </c>
      <c r="Q282" s="108" t="inlineStr">
        <is>
          <t>DIR: association member directory, not the company site</t>
        </is>
      </c>
      <c r="R282" s="108" t="inlineStr">
        <is>
          <t>Batch draft 4 of 7 (Send separately) saved in Winmail with Corporate Brochure 2027; not sent yet</t>
        </is>
      </c>
      <c r="S282" s="108" t="n"/>
    </row>
    <row r="283" ht="47.25" customHeight="1" s="104">
      <c r="A283" s="121" t="n">
        <v>278</v>
      </c>
      <c r="B283" s="143" t="inlineStr">
        <is>
          <t>蜜源生物科技股份有限公司</t>
        </is>
      </c>
      <c r="C283" s="121" t="inlineStr">
        <is>
          <t>Contacted</t>
        </is>
      </c>
      <c r="D283" s="124" t="inlineStr">
        <is>
          <t>保健用品、醫療器材</t>
        </is>
      </c>
      <c r="E283" s="121" t="inlineStr">
        <is>
          <t>Not identified (directory listing only)</t>
        </is>
      </c>
      <c r="F283" s="124" t="inlineStr">
        <is>
          <t>Taichung</t>
        </is>
      </c>
      <c r="G283" s="121" t="inlineStr">
        <is>
          <t>Not published</t>
        </is>
      </c>
      <c r="H283" s="121" t="inlineStr">
        <is>
          <t>04-2371-6198</t>
        </is>
      </c>
      <c r="I283" s="121" t="inlineStr">
        <is>
          <t>Directory listing only: general medical device trader, retailer or maker in Taichung; ultrasound capability unconfirmed.</t>
        </is>
      </c>
      <c r="J283" s="121" t="inlineStr">
        <is>
          <t>SonoAir 70 + SonoEye P3 (confirm line card first)</t>
        </is>
      </c>
      <c r="K283" s="151" t="inlineStr">
        <is>
          <t>3</t>
        </is>
      </c>
      <c r="L283" s="121" t="inlineStr">
        <is>
          <t>Tier 3: long tail from the TCMICA member directory, added 6 Oct 2026 after the first send; email on file, not yet contacted.</t>
        </is>
      </c>
      <c r="M283" s="121" t="inlineStr">
        <is>
          <t>TCMICA directory 台中市醫療器材商業同業公會 (tcmica.org.tw), read 6 Oct 2026</t>
        </is>
      </c>
      <c r="N283" s="152" t="n"/>
      <c r="O283" s="153" t="n"/>
      <c r="P283" s="108" t="inlineStr">
        <is>
          <t>gr22656146@miyua.com</t>
        </is>
      </c>
      <c r="Q283" s="108" t="inlineStr">
        <is>
          <t>DIR: association member directory, not the company site</t>
        </is>
      </c>
      <c r="R283" s="108" t="inlineStr">
        <is>
          <t>Batch draft 4 of 7 (Send separately) saved in Winmail with Corporate Brochure 2027; not sent yet</t>
        </is>
      </c>
      <c r="S283" s="108" t="n"/>
    </row>
    <row r="284" ht="47.25" customHeight="1" s="104">
      <c r="A284" s="121" t="n">
        <v>279</v>
      </c>
      <c r="B284" s="143" t="inlineStr">
        <is>
          <t>樂齡智能產業股份有限公司</t>
        </is>
      </c>
      <c r="C284" s="121" t="inlineStr">
        <is>
          <t>Contacted</t>
        </is>
      </c>
      <c r="D284" s="124" t="inlineStr">
        <is>
          <t>保健醫療器材</t>
        </is>
      </c>
      <c r="E284" s="121" t="inlineStr">
        <is>
          <t>Not identified (directory listing only)</t>
        </is>
      </c>
      <c r="F284" s="124" t="inlineStr">
        <is>
          <t>Taichung</t>
        </is>
      </c>
      <c r="G284" s="121" t="inlineStr">
        <is>
          <t>Not published</t>
        </is>
      </c>
      <c r="H284" s="121" t="inlineStr">
        <is>
          <t>04-3700-5388</t>
        </is>
      </c>
      <c r="I284" s="121" t="inlineStr">
        <is>
          <t>Directory listing only: general medical device trader, retailer or maker in Taichung; ultrasound capability unconfirmed.</t>
        </is>
      </c>
      <c r="J284" s="121" t="inlineStr">
        <is>
          <t>SonoAir 70 + SonoEye P3 (confirm line card first)</t>
        </is>
      </c>
      <c r="K284" s="151" t="inlineStr">
        <is>
          <t>3</t>
        </is>
      </c>
      <c r="L284" s="121" t="inlineStr">
        <is>
          <t>Tier 3: long tail from the TCMICA member directory, added 6 Oct 2026 after the first send; email on file, not yet contacted.</t>
        </is>
      </c>
      <c r="M284" s="121" t="inlineStr">
        <is>
          <t>TCMICA directory 台中市醫療器材商業同業公會 (tcmica.org.tw), read 6 Oct 2026</t>
        </is>
      </c>
      <c r="N284" s="152" t="n"/>
      <c r="O284" s="153" t="n"/>
      <c r="P284" s="108" t="inlineStr">
        <is>
          <t>sue2526@KL0800.com</t>
        </is>
      </c>
      <c r="Q284" s="108" t="inlineStr">
        <is>
          <t>DIR: association member directory, not the company site</t>
        </is>
      </c>
      <c r="R284" s="108" t="inlineStr">
        <is>
          <t>Batch draft 4 of 7 (Send separately) saved in Winmail with Corporate Brochure 2027; not sent yet</t>
        </is>
      </c>
      <c r="S284" s="108" t="n"/>
    </row>
    <row r="285" ht="47.25" customHeight="1" s="104">
      <c r="A285" s="121" t="n">
        <v>280</v>
      </c>
      <c r="B285" s="143" t="inlineStr">
        <is>
          <t>冠宇牙科材料有限公司</t>
        </is>
      </c>
      <c r="C285" s="121" t="inlineStr">
        <is>
          <t>Contacted</t>
        </is>
      </c>
      <c r="D285" s="124" t="inlineStr">
        <is>
          <t>牙科器材批發零售</t>
        </is>
      </c>
      <c r="E285" s="121" t="inlineStr">
        <is>
          <t>Not identified (directory listing only)</t>
        </is>
      </c>
      <c r="F285" s="124" t="inlineStr">
        <is>
          <t>Taichung</t>
        </is>
      </c>
      <c r="G285" s="121" t="inlineStr">
        <is>
          <t>Not published</t>
        </is>
      </c>
      <c r="H285" s="121" t="inlineStr">
        <is>
          <t>04-2375-2791</t>
        </is>
      </c>
      <c r="I285" s="121" t="inlineStr">
        <is>
          <t>Directory listing only: general medical device trader, retailer or maker in Taichung; ultrasound capability unconfirmed.</t>
        </is>
      </c>
      <c r="J285" s="121" t="inlineStr">
        <is>
          <t>SonoAir 70 + SonoEye P3 (confirm line card first)</t>
        </is>
      </c>
      <c r="K285" s="151" t="inlineStr">
        <is>
          <t>3</t>
        </is>
      </c>
      <c r="L285" s="121" t="inlineStr">
        <is>
          <t>Tier 3: long tail from the TCMICA member directory, added 6 Oct 2026 after the first send; email on file, not yet contacted.</t>
        </is>
      </c>
      <c r="M285" s="121" t="inlineStr">
        <is>
          <t>TCMICA directory 台中市醫療器材商業同業公會 (tcmica.org.tw), read 6 Oct 2026</t>
        </is>
      </c>
      <c r="N285" s="152" t="n"/>
      <c r="O285" s="153" t="n"/>
      <c r="P285" s="108" t="inlineStr">
        <is>
          <t>gyudental@gmail.com</t>
        </is>
      </c>
      <c r="Q285" s="108" t="inlineStr">
        <is>
          <t>DIR: association member directory, not the company site</t>
        </is>
      </c>
      <c r="R285" s="108" t="inlineStr">
        <is>
          <t>Batch draft 4 of 7 (Send separately) saved in Winmail with Corporate Brochure 2027; not sent yet</t>
        </is>
      </c>
      <c r="S285" s="108" t="n"/>
    </row>
    <row r="286" ht="47.25" customHeight="1" s="104">
      <c r="A286" s="121" t="n">
        <v>281</v>
      </c>
      <c r="B286" s="143" t="inlineStr">
        <is>
          <t>安盛醫療器材有限公司</t>
        </is>
      </c>
      <c r="C286" s="121" t="inlineStr">
        <is>
          <t>Contacted</t>
        </is>
      </c>
      <c r="D286" s="124" t="inlineStr">
        <is>
          <t>長照特約、輔具租售</t>
        </is>
      </c>
      <c r="E286" s="121" t="inlineStr">
        <is>
          <t>Not identified (directory listing only)</t>
        </is>
      </c>
      <c r="F286" s="124" t="inlineStr">
        <is>
          <t>Taichung</t>
        </is>
      </c>
      <c r="G286" s="121" t="inlineStr">
        <is>
          <t>Not published</t>
        </is>
      </c>
      <c r="H286" s="121" t="inlineStr">
        <is>
          <t>04-2223-5887</t>
        </is>
      </c>
      <c r="I286" s="121" t="inlineStr">
        <is>
          <t>Directory listing only: general medical device trader, retailer or maker in Taichung; ultrasound capability unconfirmed.</t>
        </is>
      </c>
      <c r="J286" s="121" t="inlineStr">
        <is>
          <t>SonoAir 70 + SonoEye P3 (confirm line card first)</t>
        </is>
      </c>
      <c r="K286" s="151" t="inlineStr">
        <is>
          <t>3</t>
        </is>
      </c>
      <c r="L286" s="121" t="inlineStr">
        <is>
          <t>Tier 3: long tail from the TCMICA member directory, added 6 Oct 2026 after the first send; email on file, not yet contacted.</t>
        </is>
      </c>
      <c r="M286" s="121" t="inlineStr">
        <is>
          <t>TCMICA directory 台中市醫療器材商業同業公會 (tcmica.org.tw), read 6 Oct 2026</t>
        </is>
      </c>
      <c r="N286" s="152" t="n"/>
      <c r="O286" s="153" t="n"/>
      <c r="P286" s="108" t="inlineStr">
        <is>
          <t>as22235887@gmail.com</t>
        </is>
      </c>
      <c r="Q286" s="108" t="inlineStr">
        <is>
          <t>DIR: association member directory, not the company site</t>
        </is>
      </c>
      <c r="R286" s="108" t="inlineStr">
        <is>
          <t>Batch draft 4 of 7 (Send separately) saved in Winmail with Corporate Brochure 2027; not sent yet</t>
        </is>
      </c>
      <c r="S286" s="108" t="n"/>
    </row>
    <row r="287" ht="47.25" customHeight="1" s="104">
      <c r="A287" s="121" t="n">
        <v>282</v>
      </c>
      <c r="B287" s="143" t="inlineStr">
        <is>
          <t>泰豐醫療器材有限公司</t>
        </is>
      </c>
      <c r="C287" s="121" t="inlineStr">
        <is>
          <t>Contacted</t>
        </is>
      </c>
      <c r="D287" s="124" t="inlineStr">
        <is>
          <t>手術器械、消耗品</t>
        </is>
      </c>
      <c r="E287" s="121" t="inlineStr">
        <is>
          <t>Not identified (directory listing only)</t>
        </is>
      </c>
      <c r="F287" s="124" t="inlineStr">
        <is>
          <t>Taichung</t>
        </is>
      </c>
      <c r="G287" s="121" t="inlineStr">
        <is>
          <t>Not published</t>
        </is>
      </c>
      <c r="H287" s="121" t="inlineStr">
        <is>
          <t>04-2371-2963</t>
        </is>
      </c>
      <c r="I287" s="121" t="inlineStr">
        <is>
          <t>Directory listing only: general medical device trader, retailer or maker in Taichung; ultrasound capability unconfirmed.</t>
        </is>
      </c>
      <c r="J287" s="121" t="inlineStr">
        <is>
          <t>SonoAir 70 + SonoEye P3 (confirm line card first)</t>
        </is>
      </c>
      <c r="K287" s="151" t="inlineStr">
        <is>
          <t>3</t>
        </is>
      </c>
      <c r="L287" s="121" t="inlineStr">
        <is>
          <t>Tier 3: long tail from the TCMICA member directory, added 6 Oct 2026 after the first send; email on file, not yet contacted.</t>
        </is>
      </c>
      <c r="M287" s="121" t="inlineStr">
        <is>
          <t>TCMICA directory 台中市醫療器材商業同業公會 (tcmica.org.tw), read 6 Oct 2026</t>
        </is>
      </c>
      <c r="N287" s="152" t="n"/>
      <c r="O287" s="153" t="n"/>
      <c r="P287" s="108" t="inlineStr">
        <is>
          <t>hifun.medi@gmail.com</t>
        </is>
      </c>
      <c r="Q287" s="108" t="inlineStr">
        <is>
          <t>DIR: association member directory, not the company site</t>
        </is>
      </c>
      <c r="R287" s="108" t="inlineStr">
        <is>
          <t>Batch draft 4 of 7 (Send separately) saved in Winmail with Corporate Brochure 2027; not sent yet</t>
        </is>
      </c>
      <c r="S287" s="108" t="n"/>
    </row>
    <row r="288" ht="47.25" customHeight="1" s="104">
      <c r="A288" s="121" t="n">
        <v>283</v>
      </c>
      <c r="B288" s="143" t="inlineStr">
        <is>
          <t>台灣緹花園股份有限公司</t>
        </is>
      </c>
      <c r="C288" s="121" t="inlineStr">
        <is>
          <t>Contacted</t>
        </is>
      </c>
      <c r="D288" s="124" t="inlineStr">
        <is>
          <t>醫療器材</t>
        </is>
      </c>
      <c r="E288" s="121" t="inlineStr">
        <is>
          <t>Not identified (directory listing only)</t>
        </is>
      </c>
      <c r="F288" s="124" t="inlineStr">
        <is>
          <t>Taichung</t>
        </is>
      </c>
      <c r="G288" s="121" t="inlineStr">
        <is>
          <t>Not published</t>
        </is>
      </c>
      <c r="H288" s="121" t="inlineStr">
        <is>
          <t>04-2320-2060</t>
        </is>
      </c>
      <c r="I288" s="121" t="inlineStr">
        <is>
          <t>Directory listing only: general medical device trader, retailer or maker in Taichung; ultrasound capability unconfirmed.</t>
        </is>
      </c>
      <c r="J288" s="121" t="inlineStr">
        <is>
          <t>SonoAir 70 + SonoEye P3 (confirm line card first)</t>
        </is>
      </c>
      <c r="K288" s="151" t="inlineStr">
        <is>
          <t>3</t>
        </is>
      </c>
      <c r="L288" s="121" t="inlineStr">
        <is>
          <t>Tier 3: long tail from the TCMICA member directory, added 6 Oct 2026 after the first send; email on file, not yet contacted.</t>
        </is>
      </c>
      <c r="M288" s="121" t="inlineStr">
        <is>
          <t>TCMICA directory 台中市醫療器材商業同業公會 (tcmica.org.tw), read 6 Oct 2026</t>
        </is>
      </c>
      <c r="N288" s="152" t="n"/>
      <c r="O288" s="153" t="n"/>
      <c r="P288" s="108" t="inlineStr">
        <is>
          <t>zoe@t-garden.jp</t>
        </is>
      </c>
      <c r="Q288" s="108" t="inlineStr">
        <is>
          <t>DIR: association member directory, not the company site</t>
        </is>
      </c>
      <c r="R288" s="108" t="inlineStr">
        <is>
          <t>Batch draft 4 of 7 (Send separately) saved in Winmail with Corporate Brochure 2027; not sent yet</t>
        </is>
      </c>
      <c r="S288" s="108" t="n"/>
    </row>
    <row r="289" ht="47.25" customHeight="1" s="104">
      <c r="A289" s="121" t="n">
        <v>284</v>
      </c>
      <c r="B289" s="143" t="inlineStr">
        <is>
          <t>精千閣有限公司</t>
        </is>
      </c>
      <c r="C289" s="121" t="inlineStr">
        <is>
          <t>Contacted</t>
        </is>
      </c>
      <c r="D289" s="124" t="inlineStr">
        <is>
          <t>醫療器材</t>
        </is>
      </c>
      <c r="E289" s="121" t="inlineStr">
        <is>
          <t>Not identified (directory listing only)</t>
        </is>
      </c>
      <c r="F289" s="124" t="inlineStr">
        <is>
          <t>Taichung</t>
        </is>
      </c>
      <c r="G289" s="121" t="inlineStr">
        <is>
          <t>Not published</t>
        </is>
      </c>
      <c r="H289" s="121" t="inlineStr">
        <is>
          <t>04-2320-9449</t>
        </is>
      </c>
      <c r="I289" s="121" t="inlineStr">
        <is>
          <t>Directory listing only: general medical device trader, retailer or maker in Taichung; ultrasound capability unconfirmed.</t>
        </is>
      </c>
      <c r="J289" s="121" t="inlineStr">
        <is>
          <t>SonoAir 70 + SonoEye P3 (confirm line card first)</t>
        </is>
      </c>
      <c r="K289" s="151" t="inlineStr">
        <is>
          <t>3</t>
        </is>
      </c>
      <c r="L289" s="121" t="inlineStr">
        <is>
          <t>Tier 3: long tail from the TCMICA member directory, added 6 Oct 2026 after the first send; email on file, not yet contacted.</t>
        </is>
      </c>
      <c r="M289" s="121" t="inlineStr">
        <is>
          <t>TCMICA directory 台中市醫療器材商業同業公會 (tcmica.org.tw), read 6 Oct 2026</t>
        </is>
      </c>
      <c r="N289" s="152" t="n"/>
      <c r="O289" s="153" t="n"/>
      <c r="P289" s="108" t="inlineStr">
        <is>
          <t>seisenka@stms.com.tw</t>
        </is>
      </c>
      <c r="Q289" s="108" t="inlineStr">
        <is>
          <t>DIR: association member directory, not the company site</t>
        </is>
      </c>
      <c r="R289" s="108" t="inlineStr">
        <is>
          <t>Batch draft 4 of 7 (Send separately) saved in Winmail with Corporate Brochure 2027; not sent yet</t>
        </is>
      </c>
      <c r="S289" s="108" t="n"/>
    </row>
    <row r="290" ht="47.25" customHeight="1" s="104">
      <c r="A290" s="121" t="n">
        <v>285</v>
      </c>
      <c r="B290" s="143" t="inlineStr">
        <is>
          <t>地湧企業商行</t>
        </is>
      </c>
      <c r="C290" s="121" t="inlineStr">
        <is>
          <t>Contacted</t>
        </is>
      </c>
      <c r="D290" s="124" t="inlineStr">
        <is>
          <t>醫療器材(同組:彩新健康)</t>
        </is>
      </c>
      <c r="E290" s="121" t="inlineStr">
        <is>
          <t>Not identified (directory listing only)</t>
        </is>
      </c>
      <c r="F290" s="124" t="inlineStr">
        <is>
          <t>Taichung</t>
        </is>
      </c>
      <c r="G290" s="121" t="inlineStr">
        <is>
          <t>Not published</t>
        </is>
      </c>
      <c r="H290" s="121" t="inlineStr">
        <is>
          <t>04-2376-2333</t>
        </is>
      </c>
      <c r="I290" s="121" t="inlineStr">
        <is>
          <t>Directory listing only: general medical device trader, retailer or maker in Taichung; ultrasound capability unconfirmed.</t>
        </is>
      </c>
      <c r="J290" s="121" t="inlineStr">
        <is>
          <t>SonoAir 70 + SonoEye P3 (confirm line card first)</t>
        </is>
      </c>
      <c r="K290" s="151" t="inlineStr">
        <is>
          <t>3</t>
        </is>
      </c>
      <c r="L290" s="121" t="inlineStr">
        <is>
          <t>Tier 3: long tail from the TCMICA member directory, added 6 Oct 2026 after the first send; email on file, not yet contacted.</t>
        </is>
      </c>
      <c r="M290" s="121" t="inlineStr">
        <is>
          <t>TCMICA directory 台中市醫療器材商業同業公會 (tcmica.org.tw), read 6 Oct 2026</t>
        </is>
      </c>
      <c r="N290" s="152" t="n"/>
      <c r="O290" s="153" t="n"/>
      <c r="P290" s="108" t="inlineStr">
        <is>
          <t>newimage23762333@gmail.com</t>
        </is>
      </c>
      <c r="Q290" s="108" t="inlineStr">
        <is>
          <t>DIR: association member directory, not the company site</t>
        </is>
      </c>
      <c r="R290" s="108" t="inlineStr">
        <is>
          <t>Batch draft 4 of 7 (Send separately) saved in Winmail with Corporate Brochure 2027; not sent yet</t>
        </is>
      </c>
      <c r="S290" s="108" t="n"/>
    </row>
    <row r="291" ht="47.25" customHeight="1" s="104">
      <c r="A291" s="121" t="n">
        <v>286</v>
      </c>
      <c r="B291" s="143" t="inlineStr">
        <is>
          <t>明湊股份有限公司</t>
        </is>
      </c>
      <c r="C291" s="121" t="inlineStr">
        <is>
          <t>Contacted</t>
        </is>
      </c>
      <c r="D291" s="124" t="inlineStr">
        <is>
          <t>居家護理用品、復健電療儀器製造進口</t>
        </is>
      </c>
      <c r="E291" s="121" t="inlineStr">
        <is>
          <t>Not identified (directory listing only)</t>
        </is>
      </c>
      <c r="F291" s="124" t="inlineStr">
        <is>
          <t>Taichung</t>
        </is>
      </c>
      <c r="G291" s="121" t="inlineStr">
        <is>
          <t>Not published</t>
        </is>
      </c>
      <c r="H291" s="121" t="inlineStr">
        <is>
          <t>04-2207-2002</t>
        </is>
      </c>
      <c r="I291" s="121" t="inlineStr">
        <is>
          <t>Directory listing only: general medical device trader, retailer or maker in Taichung; ultrasound capability unconfirmed.</t>
        </is>
      </c>
      <c r="J291" s="121" t="inlineStr">
        <is>
          <t>SonoAir 70 + SonoEye P3 (confirm line card first)</t>
        </is>
      </c>
      <c r="K291" s="151" t="inlineStr">
        <is>
          <t>3</t>
        </is>
      </c>
      <c r="L291" s="121" t="inlineStr">
        <is>
          <t>Tier 3: long tail from the TCMICA member directory, added 6 Oct 2026 after the first send; email on file, not yet contacted.</t>
        </is>
      </c>
      <c r="M291" s="121" t="inlineStr">
        <is>
          <t>TCMICA directory 台中市醫療器材商業同業公會 (tcmica.org.tw), read 6 Oct 2026</t>
        </is>
      </c>
      <c r="N291" s="152" t="n"/>
      <c r="O291" s="153" t="n"/>
      <c r="P291" s="108" t="inlineStr">
        <is>
          <t>elon-0526@hotmail.com</t>
        </is>
      </c>
      <c r="Q291" s="108" t="inlineStr">
        <is>
          <t>DIR: association member directory, not the company site</t>
        </is>
      </c>
      <c r="R291" s="108" t="inlineStr">
        <is>
          <t>Batch draft 4 of 7 (Send separately) saved in Winmail with Corporate Brochure 2027; not sent yet</t>
        </is>
      </c>
      <c r="S291" s="108" t="n"/>
    </row>
    <row r="292" ht="47.25" customHeight="1" s="104">
      <c r="A292" s="121" t="n">
        <v>287</v>
      </c>
      <c r="B292" s="143" t="inlineStr">
        <is>
          <t>宏光保健用品行</t>
        </is>
      </c>
      <c r="C292" s="121" t="inlineStr">
        <is>
          <t>Contacted</t>
        </is>
      </c>
      <c r="D292" s="124" t="inlineStr">
        <is>
          <t>醫療器材</t>
        </is>
      </c>
      <c r="E292" s="121" t="inlineStr">
        <is>
          <t>Not identified (directory listing only)</t>
        </is>
      </c>
      <c r="F292" s="124" t="inlineStr">
        <is>
          <t>Taichung</t>
        </is>
      </c>
      <c r="G292" s="121" t="inlineStr">
        <is>
          <t>Not published</t>
        </is>
      </c>
      <c r="H292" s="121" t="inlineStr">
        <is>
          <t>04-2202-0369</t>
        </is>
      </c>
      <c r="I292" s="121" t="inlineStr">
        <is>
          <t>Directory listing only: general medical device trader, retailer or maker in Taichung; ultrasound capability unconfirmed.</t>
        </is>
      </c>
      <c r="J292" s="121" t="inlineStr">
        <is>
          <t>SonoAir 70 + SonoEye P3 (confirm line card first)</t>
        </is>
      </c>
      <c r="K292" s="151" t="inlineStr">
        <is>
          <t>3</t>
        </is>
      </c>
      <c r="L292" s="121" t="inlineStr">
        <is>
          <t>Tier 3: long tail from the TCMICA member directory, added 6 Oct 2026 after the first send; email on file, not yet contacted.</t>
        </is>
      </c>
      <c r="M292" s="121" t="inlineStr">
        <is>
          <t>TCMICA directory 台中市醫療器材商業同業公會 (tcmica.org.tw), read 6 Oct 2026</t>
        </is>
      </c>
      <c r="N292" s="152" t="n"/>
      <c r="O292" s="153" t="n"/>
      <c r="P292" s="108" t="inlineStr">
        <is>
          <t>c331331@yahoo.com.tw</t>
        </is>
      </c>
      <c r="Q292" s="108" t="inlineStr">
        <is>
          <t>DIR: association member directory, not the company site</t>
        </is>
      </c>
      <c r="R292" s="108" t="inlineStr">
        <is>
          <t>Batch draft 4 of 7 (Send separately) saved in Winmail with Corporate Brochure 2027; not sent yet</t>
        </is>
      </c>
      <c r="S292" s="108" t="n"/>
    </row>
    <row r="293" ht="47.25" customHeight="1" s="104">
      <c r="A293" s="121" t="n">
        <v>288</v>
      </c>
      <c r="B293" s="143" t="inlineStr">
        <is>
          <t>好家庭健康按摩器材行</t>
        </is>
      </c>
      <c r="C293" s="121" t="inlineStr">
        <is>
          <t>Contacted</t>
        </is>
      </c>
      <c r="D293" s="124" t="inlineStr">
        <is>
          <t>各式醫療器材</t>
        </is>
      </c>
      <c r="E293" s="121" t="inlineStr">
        <is>
          <t>Not identified (directory listing only)</t>
        </is>
      </c>
      <c r="F293" s="124" t="inlineStr">
        <is>
          <t>Taichung</t>
        </is>
      </c>
      <c r="G293" s="121" t="inlineStr">
        <is>
          <t>Not published</t>
        </is>
      </c>
      <c r="H293" s="121" t="inlineStr">
        <is>
          <t>04-2233-6885</t>
        </is>
      </c>
      <c r="I293" s="121" t="inlineStr">
        <is>
          <t>Directory listing only: general medical device trader, retailer or maker in Taichung; ultrasound capability unconfirmed.</t>
        </is>
      </c>
      <c r="J293" s="121" t="inlineStr">
        <is>
          <t>SonoAir 70 + SonoEye P3 (confirm line card first)</t>
        </is>
      </c>
      <c r="K293" s="151" t="inlineStr">
        <is>
          <t>3</t>
        </is>
      </c>
      <c r="L293" s="121" t="inlineStr">
        <is>
          <t>Tier 3: long tail from the TCMICA member directory, added 6 Oct 2026 after the first send; email on file, not yet contacted.</t>
        </is>
      </c>
      <c r="M293" s="121" t="inlineStr">
        <is>
          <t>TCMICA directory 台中市醫療器材商業同業公會 (tcmica.org.tw), read 6 Oct 2026</t>
        </is>
      </c>
      <c r="N293" s="152" t="n"/>
      <c r="O293" s="153" t="n"/>
      <c r="P293" s="108" t="inlineStr">
        <is>
          <t>ys678@ms75.hinet.net</t>
        </is>
      </c>
      <c r="Q293" s="108" t="inlineStr">
        <is>
          <t>DIR: association member directory, not the company site</t>
        </is>
      </c>
      <c r="R293" s="108" t="inlineStr">
        <is>
          <t>Batch draft 4 of 7 (Send separately) saved in Winmail with Corporate Brochure 2027; not sent yet</t>
        </is>
      </c>
      <c r="S293" s="108" t="n"/>
    </row>
    <row r="294" ht="47.25" customHeight="1" s="104">
      <c r="A294" s="121" t="n">
        <v>289</v>
      </c>
      <c r="B294" s="143" t="inlineStr">
        <is>
          <t>寶琳醫療用品有限公司</t>
        </is>
      </c>
      <c r="C294" s="121" t="inlineStr">
        <is>
          <t>Contacted</t>
        </is>
      </c>
      <c r="D294" s="124" t="inlineStr">
        <is>
          <t>醫療護理用品</t>
        </is>
      </c>
      <c r="E294" s="121" t="inlineStr">
        <is>
          <t>Not identified (directory listing only)</t>
        </is>
      </c>
      <c r="F294" s="124" t="inlineStr">
        <is>
          <t>Taichung</t>
        </is>
      </c>
      <c r="G294" s="121" t="inlineStr">
        <is>
          <t>Not published</t>
        </is>
      </c>
      <c r="H294" s="121" t="inlineStr">
        <is>
          <t>04-2231-3077</t>
        </is>
      </c>
      <c r="I294" s="121" t="inlineStr">
        <is>
          <t>Directory listing only: general medical device trader, retailer or maker in Taichung; ultrasound capability unconfirmed.</t>
        </is>
      </c>
      <c r="J294" s="121" t="inlineStr">
        <is>
          <t>SonoAir 70 + SonoEye P3 (confirm line card first)</t>
        </is>
      </c>
      <c r="K294" s="151" t="inlineStr">
        <is>
          <t>3</t>
        </is>
      </c>
      <c r="L294" s="121" t="inlineStr">
        <is>
          <t>Tier 3: long tail from the TCMICA member directory, added 6 Oct 2026 after the first send; email on file, not yet contacted.</t>
        </is>
      </c>
      <c r="M294" s="121" t="inlineStr">
        <is>
          <t>TCMICA directory 台中市醫療器材商業同業公會 (tcmica.org.tw), read 6 Oct 2026</t>
        </is>
      </c>
      <c r="N294" s="152" t="n"/>
      <c r="O294" s="153" t="n"/>
      <c r="P294" s="108" t="inlineStr">
        <is>
          <t>f2313077@ms18.hinet.net</t>
        </is>
      </c>
      <c r="Q294" s="108" t="inlineStr">
        <is>
          <t>DIR: association member directory, not the company site</t>
        </is>
      </c>
      <c r="R294" s="108" t="inlineStr">
        <is>
          <t>Batch draft 4 of 7 (Send separately) saved in Winmail with Corporate Brochure 2027; not sent yet</t>
        </is>
      </c>
      <c r="S294" s="108" t="n"/>
    </row>
    <row r="295" ht="47.25" customHeight="1" s="104">
      <c r="A295" s="121" t="n">
        <v>290</v>
      </c>
      <c r="B295" s="143" t="inlineStr">
        <is>
          <t>富求達醫療器材科技股份有限公司</t>
        </is>
      </c>
      <c r="C295" s="121" t="inlineStr">
        <is>
          <t>Contacted</t>
        </is>
      </c>
      <c r="D295" s="124" t="inlineStr">
        <is>
          <t>醫療器材研發</t>
        </is>
      </c>
      <c r="E295" s="121" t="inlineStr">
        <is>
          <t>Not identified (directory listing only)</t>
        </is>
      </c>
      <c r="F295" s="124" t="inlineStr">
        <is>
          <t>Taichung</t>
        </is>
      </c>
      <c r="G295" s="121" t="inlineStr">
        <is>
          <t>Not published</t>
        </is>
      </c>
      <c r="H295" s="121" t="inlineStr">
        <is>
          <t>04-2236-8600</t>
        </is>
      </c>
      <c r="I295" s="121" t="inlineStr">
        <is>
          <t>Directory listing only: general medical device trader, retailer or maker in Taichung; ultrasound capability unconfirmed.</t>
        </is>
      </c>
      <c r="J295" s="121" t="inlineStr">
        <is>
          <t>SonoAir 70 + SonoEye P3 (confirm line card first)</t>
        </is>
      </c>
      <c r="K295" s="151" t="inlineStr">
        <is>
          <t>3</t>
        </is>
      </c>
      <c r="L295" s="121" t="inlineStr">
        <is>
          <t>Tier 3: long tail from the TCMICA member directory, added 6 Oct 2026 after the first send; email on file, not yet contacted.</t>
        </is>
      </c>
      <c r="M295" s="121" t="inlineStr">
        <is>
          <t>TCMICA directory 台中市醫療器材商業同業公會 (tcmica.org.tw), read 6 Oct 2026</t>
        </is>
      </c>
      <c r="N295" s="152" t="n"/>
      <c r="O295" s="153" t="n"/>
      <c r="P295" s="108" t="inlineStr">
        <is>
          <t>chitsein01@gmail.com</t>
        </is>
      </c>
      <c r="Q295" s="108" t="inlineStr">
        <is>
          <t>DIR: association member directory, not the company site</t>
        </is>
      </c>
      <c r="R295" s="108" t="inlineStr">
        <is>
          <t>Batch draft 4 of 7 (Send separately) saved in Winmail with Corporate Brochure 2027; not sent yet</t>
        </is>
      </c>
      <c r="S295" s="108" t="n"/>
    </row>
    <row r="296" ht="47.25" customHeight="1" s="104">
      <c r="A296" s="121" t="n">
        <v>291</v>
      </c>
      <c r="B296" s="143" t="inlineStr">
        <is>
          <t>金昌牙科材料有限公司</t>
        </is>
      </c>
      <c r="C296" s="121" t="inlineStr">
        <is>
          <t>Contacted</t>
        </is>
      </c>
      <c r="D296" s="124" t="inlineStr">
        <is>
          <t>牙科儀器、牙科材料</t>
        </is>
      </c>
      <c r="E296" s="121" t="inlineStr">
        <is>
          <t>Not identified (directory listing only)</t>
        </is>
      </c>
      <c r="F296" s="124" t="inlineStr">
        <is>
          <t>Taichung</t>
        </is>
      </c>
      <c r="G296" s="121" t="inlineStr">
        <is>
          <t>Not published</t>
        </is>
      </c>
      <c r="H296" s="121" t="inlineStr">
        <is>
          <t>04-2237-8813</t>
        </is>
      </c>
      <c r="I296" s="121" t="inlineStr">
        <is>
          <t>Directory listing only: general medical device trader, retailer or maker in Taichung; ultrasound capability unconfirmed.</t>
        </is>
      </c>
      <c r="J296" s="121" t="inlineStr">
        <is>
          <t>SonoAir 70 + SonoEye P3 (confirm line card first)</t>
        </is>
      </c>
      <c r="K296" s="151" t="inlineStr">
        <is>
          <t>3</t>
        </is>
      </c>
      <c r="L296" s="121" t="inlineStr">
        <is>
          <t>Tier 3: long tail from the TCMICA member directory, added 6 Oct 2026 after the first send; email on file, not yet contacted.</t>
        </is>
      </c>
      <c r="M296" s="121" t="inlineStr">
        <is>
          <t>TCMICA directory 台中市醫療器材商業同業公會 (tcmica.org.tw), read 6 Oct 2026</t>
        </is>
      </c>
      <c r="N296" s="152" t="n"/>
      <c r="O296" s="153" t="n"/>
      <c r="P296" s="108" t="inlineStr">
        <is>
          <t>jam.dam@msa.hinet.net</t>
        </is>
      </c>
      <c r="Q296" s="108" t="inlineStr">
        <is>
          <t>DIR: association member directory, not the company site</t>
        </is>
      </c>
      <c r="R296" s="108" t="inlineStr">
        <is>
          <t>Batch draft 4 of 7 (Send separately) saved in Winmail with Corporate Brochure 2027; not sent yet</t>
        </is>
      </c>
      <c r="S296" s="108" t="n"/>
    </row>
    <row r="297" ht="47.25" customHeight="1" s="104">
      <c r="A297" s="121" t="n">
        <v>292</v>
      </c>
      <c r="B297" s="143" t="inlineStr">
        <is>
          <t>展群福祉事業有限公司</t>
        </is>
      </c>
      <c r="C297" s="121" t="inlineStr">
        <is>
          <t>Contacted</t>
        </is>
      </c>
      <c r="D297" s="124" t="inlineStr">
        <is>
          <t>電動移位機、床墊、洗澡推床</t>
        </is>
      </c>
      <c r="E297" s="121" t="inlineStr">
        <is>
          <t>Not identified (directory listing only)</t>
        </is>
      </c>
      <c r="F297" s="124" t="inlineStr">
        <is>
          <t>Taichung</t>
        </is>
      </c>
      <c r="G297" s="121" t="inlineStr">
        <is>
          <t>Not published</t>
        </is>
      </c>
      <c r="H297" s="121" t="inlineStr">
        <is>
          <t>04-2230-1888</t>
        </is>
      </c>
      <c r="I297" s="121" t="inlineStr">
        <is>
          <t>Directory listing only: general medical device trader, retailer or maker in Taichung; ultrasound capability unconfirmed.</t>
        </is>
      </c>
      <c r="J297" s="121" t="inlineStr">
        <is>
          <t>SonoAir 70 + SonoEye P3 (confirm line card first)</t>
        </is>
      </c>
      <c r="K297" s="151" t="inlineStr">
        <is>
          <t>3</t>
        </is>
      </c>
      <c r="L297" s="121" t="inlineStr">
        <is>
          <t>Tier 3: long tail from the TCMICA member directory, added 6 Oct 2026 after the first send; email on file, not yet contacted.</t>
        </is>
      </c>
      <c r="M297" s="121" t="inlineStr">
        <is>
          <t>TCMICA directory 台中市醫療器材商業同業公會 (tcmica.org.tw), read 6 Oct 2026</t>
        </is>
      </c>
      <c r="N297" s="152" t="n"/>
      <c r="O297" s="153" t="n"/>
      <c r="P297" s="108" t="inlineStr">
        <is>
          <t>kidov@ms29.hinet.net</t>
        </is>
      </c>
      <c r="Q297" s="108" t="inlineStr">
        <is>
          <t>DIR: association member directory, not the company site</t>
        </is>
      </c>
      <c r="R297" s="108" t="inlineStr">
        <is>
          <t>Batch draft 4 of 7 (Send separately) saved in Winmail with Corporate Brochure 2027; not sent yet</t>
        </is>
      </c>
      <c r="S297" s="108" t="n"/>
    </row>
    <row r="298" ht="47.25" customHeight="1" s="104">
      <c r="A298" s="121" t="n">
        <v>293</v>
      </c>
      <c r="B298" s="143" t="inlineStr">
        <is>
          <t>惠晟健康醫療器材有限公司</t>
        </is>
      </c>
      <c r="C298" s="121" t="inlineStr">
        <is>
          <t>Contacted</t>
        </is>
      </c>
      <c r="D298" s="124" t="inlineStr">
        <is>
          <t>家庭護理保健器材、復健器材</t>
        </is>
      </c>
      <c r="E298" s="121" t="inlineStr">
        <is>
          <t>Not identified (directory listing only)</t>
        </is>
      </c>
      <c r="F298" s="124" t="inlineStr">
        <is>
          <t>Taichung</t>
        </is>
      </c>
      <c r="G298" s="121" t="inlineStr">
        <is>
          <t>Not published</t>
        </is>
      </c>
      <c r="H298" s="121" t="inlineStr">
        <is>
          <t>04-2226-5000</t>
        </is>
      </c>
      <c r="I298" s="121" t="inlineStr">
        <is>
          <t>Directory listing only: general medical device trader, retailer or maker in Taichung; ultrasound capability unconfirmed.</t>
        </is>
      </c>
      <c r="J298" s="121" t="inlineStr">
        <is>
          <t>SonoAir 70 + SonoEye P3 (confirm line card first)</t>
        </is>
      </c>
      <c r="K298" s="151" t="inlineStr">
        <is>
          <t>3</t>
        </is>
      </c>
      <c r="L298" s="121" t="inlineStr">
        <is>
          <t>Tier 3: long tail from the TCMICA member directory, added 6 Oct 2026 after the first send; email on file, not yet contacted.</t>
        </is>
      </c>
      <c r="M298" s="121" t="inlineStr">
        <is>
          <t>TCMICA directory 台中市醫療器材商業同業公會 (tcmica.org.tw), read 6 Oct 2026</t>
        </is>
      </c>
      <c r="N298" s="152" t="n"/>
      <c r="O298" s="153" t="n"/>
      <c r="P298" s="108" t="inlineStr">
        <is>
          <t>taichung2226@gmail.com</t>
        </is>
      </c>
      <c r="Q298" s="108" t="inlineStr">
        <is>
          <t>DIR: association member directory, not the company site</t>
        </is>
      </c>
      <c r="R298" s="108" t="inlineStr">
        <is>
          <t>Batch draft 4 of 7 (Send separately) saved in Winmail with Corporate Brochure 2027; not sent yet</t>
        </is>
      </c>
      <c r="S298" s="108" t="n"/>
    </row>
    <row r="299" ht="47.25" customHeight="1" s="104">
      <c r="A299" s="121" t="n">
        <v>294</v>
      </c>
      <c r="B299" s="143" t="inlineStr">
        <is>
          <t>中太牙科器材有限公司</t>
        </is>
      </c>
      <c r="C299" s="121" t="inlineStr">
        <is>
          <t>Contacted</t>
        </is>
      </c>
      <c r="D299" s="124" t="inlineStr">
        <is>
          <t>牙科材料</t>
        </is>
      </c>
      <c r="E299" s="121" t="inlineStr">
        <is>
          <t>Not identified (directory listing only)</t>
        </is>
      </c>
      <c r="F299" s="124" t="inlineStr">
        <is>
          <t>Taichung</t>
        </is>
      </c>
      <c r="G299" s="121" t="inlineStr">
        <is>
          <t>Not published</t>
        </is>
      </c>
      <c r="H299" s="121" t="inlineStr">
        <is>
          <t>04-2301-3333</t>
        </is>
      </c>
      <c r="I299" s="121" t="inlineStr">
        <is>
          <t>Directory listing only: general medical device trader, retailer or maker in Taichung; ultrasound capability unconfirmed.</t>
        </is>
      </c>
      <c r="J299" s="121" t="inlineStr">
        <is>
          <t>SonoAir 70 + SonoEye P3 (confirm line card first)</t>
        </is>
      </c>
      <c r="K299" s="151" t="inlineStr">
        <is>
          <t>3</t>
        </is>
      </c>
      <c r="L299" s="121" t="inlineStr">
        <is>
          <t>Tier 3: long tail from the TCMICA member directory, added 6 Oct 2026 after the first send; email on file, not yet contacted.</t>
        </is>
      </c>
      <c r="M299" s="121" t="inlineStr">
        <is>
          <t>TCMICA directory 台中市醫療器材商業同業公會 (tcmica.org.tw), read 6 Oct 2026</t>
        </is>
      </c>
      <c r="N299" s="152" t="n"/>
      <c r="O299" s="153" t="n"/>
      <c r="P299" s="108" t="inlineStr">
        <is>
          <t>roychien@ms7.hinet.net</t>
        </is>
      </c>
      <c r="Q299" s="108" t="inlineStr">
        <is>
          <t>DIR: association member directory, not the company site</t>
        </is>
      </c>
      <c r="R299" s="108" t="inlineStr">
        <is>
          <t>Batch draft 4 of 7 (Send separately) saved in Winmail with Corporate Brochure 2027; not sent yet</t>
        </is>
      </c>
      <c r="S299" s="108" t="n"/>
    </row>
    <row r="300" ht="47.25" customHeight="1" s="104">
      <c r="A300" s="121" t="n">
        <v>295</v>
      </c>
      <c r="B300" s="143" t="inlineStr">
        <is>
          <t>泰碁企業有限公司</t>
        </is>
      </c>
      <c r="C300" s="121" t="inlineStr">
        <is>
          <t>Contacted</t>
        </is>
      </c>
      <c r="D300" s="124" t="inlineStr">
        <is>
          <t>Airsep氧氣機、PSA氧氣機代理</t>
        </is>
      </c>
      <c r="E300" s="121" t="inlineStr">
        <is>
          <t>Not identified (directory listing only)</t>
        </is>
      </c>
      <c r="F300" s="124" t="inlineStr">
        <is>
          <t>Taichung</t>
        </is>
      </c>
      <c r="G300" s="121" t="inlineStr">
        <is>
          <t>Not published</t>
        </is>
      </c>
      <c r="H300" s="121" t="inlineStr">
        <is>
          <t>04-2298-6800</t>
        </is>
      </c>
      <c r="I300" s="121" t="inlineStr">
        <is>
          <t>Directory listing only: general medical device trader, retailer or maker in Taichung; ultrasound capability unconfirmed.</t>
        </is>
      </c>
      <c r="J300" s="121" t="inlineStr">
        <is>
          <t>SonoAir 70 + SonoEye P3 (confirm line card first)</t>
        </is>
      </c>
      <c r="K300" s="151" t="inlineStr">
        <is>
          <t>3</t>
        </is>
      </c>
      <c r="L300" s="121" t="inlineStr">
        <is>
          <t>Tier 3: long tail from the TCMICA member directory, added 6 Oct 2026 after the first send; email on file, not yet contacted.</t>
        </is>
      </c>
      <c r="M300" s="121" t="inlineStr">
        <is>
          <t>TCMICA directory 台中市醫療器材商業同業公會 (tcmica.org.tw), read 6 Oct 2026</t>
        </is>
      </c>
      <c r="N300" s="152" t="n"/>
      <c r="O300" s="153" t="n"/>
      <c r="P300" s="108" t="inlineStr">
        <is>
          <t>taichi.tw@msa.hinet.net</t>
        </is>
      </c>
      <c r="Q300" s="108" t="inlineStr">
        <is>
          <t>DIR: association member directory, not the company site</t>
        </is>
      </c>
      <c r="R300" s="108" t="inlineStr">
        <is>
          <t>Batch draft 4 of 7 (Send separately) saved in Winmail with Corporate Brochure 2027; not sent yet</t>
        </is>
      </c>
      <c r="S300" s="108" t="n"/>
    </row>
    <row r="301" ht="47.25" customHeight="1" s="104">
      <c r="A301" s="121" t="n">
        <v>296</v>
      </c>
      <c r="B301" s="143" t="inlineStr">
        <is>
          <t>來來醫療器材行</t>
        </is>
      </c>
      <c r="C301" s="121" t="inlineStr">
        <is>
          <t>Contacted</t>
        </is>
      </c>
      <c r="D301" s="124" t="inlineStr">
        <is>
          <t>醫療器材零售</t>
        </is>
      </c>
      <c r="E301" s="121" t="inlineStr">
        <is>
          <t>Not identified (directory listing only)</t>
        </is>
      </c>
      <c r="F301" s="124" t="inlineStr">
        <is>
          <t>Taichung</t>
        </is>
      </c>
      <c r="G301" s="121" t="inlineStr">
        <is>
          <t>Not published</t>
        </is>
      </c>
      <c r="H301" s="121" t="inlineStr">
        <is>
          <t>04-2205-7823</t>
        </is>
      </c>
      <c r="I301" s="121" t="inlineStr">
        <is>
          <t>Directory listing only: general medical device trader, retailer or maker in Taichung; ultrasound capability unconfirmed.</t>
        </is>
      </c>
      <c r="J301" s="121" t="inlineStr">
        <is>
          <t>SonoAir 70 + SonoEye P3 (confirm line card first)</t>
        </is>
      </c>
      <c r="K301" s="151" t="inlineStr">
        <is>
          <t>3</t>
        </is>
      </c>
      <c r="L301" s="121" t="inlineStr">
        <is>
          <t>Tier 3: long tail from the TCMICA member directory, added 6 Oct 2026 after the first send; email on file, not yet contacted.</t>
        </is>
      </c>
      <c r="M301" s="121" t="inlineStr">
        <is>
          <t>TCMICA directory 台中市醫療器材商業同業公會 (tcmica.org.tw), read 6 Oct 2026</t>
        </is>
      </c>
      <c r="N301" s="152" t="n"/>
      <c r="O301" s="153" t="n"/>
      <c r="P301" s="108" t="inlineStr">
        <is>
          <t>lailai450520@yahoo.com.tw</t>
        </is>
      </c>
      <c r="Q301" s="108" t="inlineStr">
        <is>
          <t>DIR: association member directory, not the company site</t>
        </is>
      </c>
      <c r="R301" s="108" t="inlineStr">
        <is>
          <t>Batch draft 4 of 7 (Send separately) saved in Winmail with Corporate Brochure 2027; not sent yet</t>
        </is>
      </c>
      <c r="S301" s="108" t="n"/>
    </row>
    <row r="302" ht="47.25" customHeight="1" s="104">
      <c r="A302" s="121" t="n">
        <v>297</v>
      </c>
      <c r="B302" s="143" t="inlineStr">
        <is>
          <t>志遠儀器行</t>
        </is>
      </c>
      <c r="C302" s="121" t="inlineStr">
        <is>
          <t>Contacted</t>
        </is>
      </c>
      <c r="D302" s="124" t="inlineStr">
        <is>
          <t>中醫藥、針灸器材</t>
        </is>
      </c>
      <c r="E302" s="121" t="inlineStr">
        <is>
          <t>Not identified (directory listing only)</t>
        </is>
      </c>
      <c r="F302" s="124" t="inlineStr">
        <is>
          <t>Taichung</t>
        </is>
      </c>
      <c r="G302" s="121" t="inlineStr">
        <is>
          <t>Not published</t>
        </is>
      </c>
      <c r="H302" s="121" t="inlineStr">
        <is>
          <t>04-2235-1898</t>
        </is>
      </c>
      <c r="I302" s="121" t="inlineStr">
        <is>
          <t>Directory listing only: general medical device trader, retailer or maker in Taichung; ultrasound capability unconfirmed.</t>
        </is>
      </c>
      <c r="J302" s="121" t="inlineStr">
        <is>
          <t>SonoAir 70 + SonoEye P3 (confirm line card first)</t>
        </is>
      </c>
      <c r="K302" s="151" t="inlineStr">
        <is>
          <t>3</t>
        </is>
      </c>
      <c r="L302" s="121" t="inlineStr">
        <is>
          <t>Tier 3: long tail from the TCMICA member directory, added 6 Oct 2026 after the first send; email on file, not yet contacted.</t>
        </is>
      </c>
      <c r="M302" s="121" t="inlineStr">
        <is>
          <t>TCMICA directory 台中市醫療器材商業同業公會 (tcmica.org.tw), read 6 Oct 2026</t>
        </is>
      </c>
      <c r="N302" s="152" t="n"/>
      <c r="O302" s="153" t="n"/>
      <c r="P302" s="108" t="inlineStr">
        <is>
          <t>cy0606.gg0606@msa.hinet.net</t>
        </is>
      </c>
      <c r="Q302" s="108" t="inlineStr">
        <is>
          <t>DIR: association member directory, not the company site</t>
        </is>
      </c>
      <c r="R302" s="108" t="inlineStr">
        <is>
          <t>Batch draft 5 of 7 (Send separately) saved in Winmail with Corporate Brochure 2027; not sent yet</t>
        </is>
      </c>
      <c r="S302" s="108" t="n"/>
    </row>
    <row r="303" ht="47.25" customHeight="1" s="104">
      <c r="A303" s="121" t="n">
        <v>298</v>
      </c>
      <c r="B303" s="143" t="inlineStr">
        <is>
          <t>華峰科技股份有限公司</t>
        </is>
      </c>
      <c r="C303" s="121" t="inlineStr">
        <is>
          <t>Contacted</t>
        </is>
      </c>
      <c r="D303" s="124" t="inlineStr">
        <is>
          <t>AED</t>
        </is>
      </c>
      <c r="E303" s="121" t="inlineStr">
        <is>
          <t>Not identified (directory listing only)</t>
        </is>
      </c>
      <c r="F303" s="124" t="inlineStr">
        <is>
          <t>Taichung</t>
        </is>
      </c>
      <c r="G303" s="121" t="inlineStr">
        <is>
          <t>Not published</t>
        </is>
      </c>
      <c r="H303" s="121" t="inlineStr">
        <is>
          <t>04-2238-6100</t>
        </is>
      </c>
      <c r="I303" s="121" t="inlineStr">
        <is>
          <t>Directory listing only: general medical device trader, retailer or maker in Taichung; ultrasound capability unconfirmed.</t>
        </is>
      </c>
      <c r="J303" s="121" t="inlineStr">
        <is>
          <t>SonoAir 70 + SonoEye P3 (confirm line card first)</t>
        </is>
      </c>
      <c r="K303" s="151" t="inlineStr">
        <is>
          <t>3</t>
        </is>
      </c>
      <c r="L303" s="121" t="inlineStr">
        <is>
          <t>Tier 3: long tail from the TCMICA member directory, added 6 Oct 2026 after the first send; email on file, not yet contacted.</t>
        </is>
      </c>
      <c r="M303" s="121" t="inlineStr">
        <is>
          <t>TCMICA directory 台中市醫療器材商業同業公會 (tcmica.org.tw), read 6 Oct 2026</t>
        </is>
      </c>
      <c r="N303" s="152" t="n"/>
      <c r="O303" s="153" t="n"/>
      <c r="P303" s="108" t="inlineStr">
        <is>
          <t>hwakang.01@gmail.com</t>
        </is>
      </c>
      <c r="Q303" s="108" t="inlineStr">
        <is>
          <t>DIR: association member directory, not the company site</t>
        </is>
      </c>
      <c r="R303" s="108" t="inlineStr">
        <is>
          <t>Batch draft 5 of 7 (Send separately) saved in Winmail with Corporate Brochure 2027; not sent yet</t>
        </is>
      </c>
      <c r="S303" s="108" t="n"/>
    </row>
    <row r="304" ht="47.25" customHeight="1" s="104">
      <c r="A304" s="121" t="n">
        <v>299</v>
      </c>
      <c r="B304" s="143" t="inlineStr">
        <is>
          <t>惟德國際醫學股份有限公司</t>
        </is>
      </c>
      <c r="C304" s="121" t="inlineStr">
        <is>
          <t>Contacted</t>
        </is>
      </c>
      <c r="D304" s="124" t="inlineStr">
        <is>
          <t>牙科材料</t>
        </is>
      </c>
      <c r="E304" s="121" t="inlineStr">
        <is>
          <t>Not identified (directory listing only)</t>
        </is>
      </c>
      <c r="F304" s="124" t="inlineStr">
        <is>
          <t>Taichung</t>
        </is>
      </c>
      <c r="G304" s="121" t="inlineStr">
        <is>
          <t>Not published</t>
        </is>
      </c>
      <c r="H304" s="121" t="inlineStr">
        <is>
          <t>04-2206-6806</t>
        </is>
      </c>
      <c r="I304" s="121" t="inlineStr">
        <is>
          <t>Directory listing only: general medical device trader, retailer or maker in Taichung; ultrasound capability unconfirmed.</t>
        </is>
      </c>
      <c r="J304" s="121" t="inlineStr">
        <is>
          <t>SonoAir 70 + SonoEye P3 (confirm line card first)</t>
        </is>
      </c>
      <c r="K304" s="151" t="inlineStr">
        <is>
          <t>3</t>
        </is>
      </c>
      <c r="L304" s="121" t="inlineStr">
        <is>
          <t>Tier 3: long tail from the TCMICA member directory, added 6 Oct 2026 after the first send; email on file, not yet contacted.</t>
        </is>
      </c>
      <c r="M304" s="121" t="inlineStr">
        <is>
          <t>TCMICA directory 台中市醫療器材商業同業公會 (tcmica.org.tw), read 6 Oct 2026</t>
        </is>
      </c>
      <c r="N304" s="152" t="n"/>
      <c r="O304" s="153" t="n"/>
      <c r="P304" s="108" t="inlineStr">
        <is>
          <t>welldoctor.tw@gmail.com</t>
        </is>
      </c>
      <c r="Q304" s="108" t="inlineStr">
        <is>
          <t>DIR: association member directory, not the company site</t>
        </is>
      </c>
      <c r="R304" s="108" t="inlineStr">
        <is>
          <t>Batch draft 5 of 7 (Send separately) saved in Winmail with Corporate Brochure 2027; not sent yet</t>
        </is>
      </c>
      <c r="S304" s="108" t="n"/>
    </row>
    <row r="305" ht="47.25" customHeight="1" s="104">
      <c r="A305" s="121" t="n">
        <v>300</v>
      </c>
      <c r="B305" s="143" t="inlineStr">
        <is>
          <t>健諾克有限公司</t>
        </is>
      </c>
      <c r="C305" s="121" t="inlineStr">
        <is>
          <t>Contacted</t>
        </is>
      </c>
      <c r="D305" s="124" t="inlineStr">
        <is>
          <t>醫療器材</t>
        </is>
      </c>
      <c r="E305" s="121" t="inlineStr">
        <is>
          <t>Not identified (directory listing only)</t>
        </is>
      </c>
      <c r="F305" s="124" t="inlineStr">
        <is>
          <t>Taichung</t>
        </is>
      </c>
      <c r="G305" s="121" t="inlineStr">
        <is>
          <t>Not published</t>
        </is>
      </c>
      <c r="H305" s="121" t="inlineStr">
        <is>
          <t>Not published in directory</t>
        </is>
      </c>
      <c r="I305" s="121" t="inlineStr">
        <is>
          <t>Directory listing only: general medical device trader, retailer or maker in Taichung; ultrasound capability unconfirmed.</t>
        </is>
      </c>
      <c r="J305" s="121" t="inlineStr">
        <is>
          <t>SonoAir 70 + SonoEye P3 (confirm line card first)</t>
        </is>
      </c>
      <c r="K305" s="151" t="inlineStr">
        <is>
          <t>3</t>
        </is>
      </c>
      <c r="L305" s="121" t="inlineStr">
        <is>
          <t>Tier 3: long tail from the TCMICA member directory, added 6 Oct 2026 after the first send; email on file, not yet contacted.</t>
        </is>
      </c>
      <c r="M305" s="121" t="inlineStr">
        <is>
          <t>TCMICA directory 台中市醫療器材商業同業公會 (tcmica.org.tw), read 6 Oct 2026</t>
        </is>
      </c>
      <c r="N305" s="152" t="n"/>
      <c r="O305" s="153" t="n"/>
      <c r="P305" s="108" t="inlineStr">
        <is>
          <t>yykh.yang@msa.hinet.net</t>
        </is>
      </c>
      <c r="Q305" s="108" t="inlineStr">
        <is>
          <t>DIR: association member directory, not the company site</t>
        </is>
      </c>
      <c r="R305" s="108" t="inlineStr">
        <is>
          <t>Batch draft 5 of 7 (Send separately) saved in Winmail with Corporate Brochure 2027; not sent yet</t>
        </is>
      </c>
      <c r="S305" s="108" t="n"/>
    </row>
    <row r="306" ht="47.25" customHeight="1" s="104">
      <c r="A306" s="121" t="n">
        <v>301</v>
      </c>
      <c r="B306" s="143" t="inlineStr">
        <is>
          <t>宥驊儀器事業有限公司</t>
        </is>
      </c>
      <c r="C306" s="121" t="inlineStr">
        <is>
          <t>Contacted</t>
        </is>
      </c>
      <c r="D306" s="124" t="inlineStr">
        <is>
          <t>內科診所耗材</t>
        </is>
      </c>
      <c r="E306" s="121" t="inlineStr">
        <is>
          <t>Not identified (directory listing only)</t>
        </is>
      </c>
      <c r="F306" s="124" t="inlineStr">
        <is>
          <t>Taichung</t>
        </is>
      </c>
      <c r="G306" s="121" t="inlineStr">
        <is>
          <t>Not published</t>
        </is>
      </c>
      <c r="H306" s="121" t="inlineStr">
        <is>
          <t>04-2238-0507</t>
        </is>
      </c>
      <c r="I306" s="121" t="inlineStr">
        <is>
          <t>Directory listing only: general medical device trader, retailer or maker in Taichung; ultrasound capability unconfirmed.</t>
        </is>
      </c>
      <c r="J306" s="121" t="inlineStr">
        <is>
          <t>SonoAir 70 + SonoEye P3 (confirm line card first)</t>
        </is>
      </c>
      <c r="K306" s="151" t="inlineStr">
        <is>
          <t>3</t>
        </is>
      </c>
      <c r="L306" s="121" t="inlineStr">
        <is>
          <t>Tier 3: long tail from the TCMICA member directory, added 6 Oct 2026 after the first send; email on file, not yet contacted.</t>
        </is>
      </c>
      <c r="M306" s="121" t="inlineStr">
        <is>
          <t>TCMICA directory 台中市醫療器材商業同業公會 (tcmica.org.tw), read 6 Oct 2026</t>
        </is>
      </c>
      <c r="N306" s="152" t="n"/>
      <c r="O306" s="153" t="n"/>
      <c r="P306" s="108" t="inlineStr">
        <is>
          <t>younginshow@gmail.com</t>
        </is>
      </c>
      <c r="Q306" s="108" t="inlineStr">
        <is>
          <t>DIR: association member directory, not the company site</t>
        </is>
      </c>
      <c r="R306" s="108" t="inlineStr">
        <is>
          <t>Batch draft 5 of 7 (Send separately) saved in Winmail with Corporate Brochure 2027; not sent yet</t>
        </is>
      </c>
      <c r="S306" s="108" t="n"/>
    </row>
    <row r="307" ht="47.25" customHeight="1" s="104">
      <c r="A307" s="121" t="n">
        <v>302</v>
      </c>
      <c r="B307" s="143" t="inlineStr">
        <is>
          <t>佑陞醫療儀器行</t>
        </is>
      </c>
      <c r="C307" s="121" t="inlineStr">
        <is>
          <t>Contacted</t>
        </is>
      </c>
      <c r="D307" s="124" t="inlineStr">
        <is>
          <t>醫療器材零售</t>
        </is>
      </c>
      <c r="E307" s="121" t="inlineStr">
        <is>
          <t>Not identified (directory listing only)</t>
        </is>
      </c>
      <c r="F307" s="124" t="inlineStr">
        <is>
          <t>Taichung</t>
        </is>
      </c>
      <c r="G307" s="121" t="inlineStr">
        <is>
          <t>Not published</t>
        </is>
      </c>
      <c r="H307" s="121" t="inlineStr">
        <is>
          <t>04-2207-0182</t>
        </is>
      </c>
      <c r="I307" s="121" t="inlineStr">
        <is>
          <t>Directory listing only: general medical device trader, retailer or maker in Taichung; ultrasound capability unconfirmed.</t>
        </is>
      </c>
      <c r="J307" s="121" t="inlineStr">
        <is>
          <t>SonoAir 70 + SonoEye P3 (confirm line card first)</t>
        </is>
      </c>
      <c r="K307" s="151" t="inlineStr">
        <is>
          <t>3</t>
        </is>
      </c>
      <c r="L307" s="121" t="inlineStr">
        <is>
          <t>Tier 3: long tail from the TCMICA member directory, added 6 Oct 2026 after the first send; email on file, not yet contacted.</t>
        </is>
      </c>
      <c r="M307" s="121" t="inlineStr">
        <is>
          <t>TCMICA directory 台中市醫療器材商業同業公會 (tcmica.org.tw), read 6 Oct 2026</t>
        </is>
      </c>
      <c r="N307" s="152" t="n"/>
      <c r="O307" s="153" t="n"/>
      <c r="P307" s="108" t="inlineStr">
        <is>
          <t>yoo.sheng@msa.hinet.net</t>
        </is>
      </c>
      <c r="Q307" s="108" t="inlineStr">
        <is>
          <t>DIR: association member directory, not the company site</t>
        </is>
      </c>
      <c r="R307" s="108" t="inlineStr">
        <is>
          <t>Batch draft 5 of 7 (Send separately) saved in Winmail with Corporate Brochure 2027; not sent yet</t>
        </is>
      </c>
      <c r="S307" s="108" t="n"/>
    </row>
    <row r="308" ht="47.25" customHeight="1" s="104">
      <c r="A308" s="121" t="n">
        <v>303</v>
      </c>
      <c r="B308" s="143" t="inlineStr">
        <is>
          <t>元湞企業有限公司</t>
        </is>
      </c>
      <c r="C308" s="121" t="inlineStr">
        <is>
          <t>Contacted</t>
        </is>
      </c>
      <c r="D308" s="124" t="inlineStr">
        <is>
          <t>醫療器材</t>
        </is>
      </c>
      <c r="E308" s="121" t="inlineStr">
        <is>
          <t>Not identified (directory listing only)</t>
        </is>
      </c>
      <c r="F308" s="124" t="inlineStr">
        <is>
          <t>Taichung</t>
        </is>
      </c>
      <c r="G308" s="121" t="inlineStr">
        <is>
          <t>Not published</t>
        </is>
      </c>
      <c r="H308" s="121" t="inlineStr">
        <is>
          <t>Not published in directory</t>
        </is>
      </c>
      <c r="I308" s="121" t="inlineStr">
        <is>
          <t>Directory listing only: general medical device trader, retailer or maker in Taichung; ultrasound capability unconfirmed.</t>
        </is>
      </c>
      <c r="J308" s="121" t="inlineStr">
        <is>
          <t>SonoAir 70 + SonoEye P3 (confirm line card first)</t>
        </is>
      </c>
      <c r="K308" s="151" t="inlineStr">
        <is>
          <t>3</t>
        </is>
      </c>
      <c r="L308" s="121" t="inlineStr">
        <is>
          <t>Tier 3: long tail from the TCMICA member directory, added 6 Oct 2026 after the first send; email on file, not yet contacted.</t>
        </is>
      </c>
      <c r="M308" s="121" t="inlineStr">
        <is>
          <t>TCMICA directory 台中市醫療器材商業同業公會 (tcmica.org.tw), read 6 Oct 2026</t>
        </is>
      </c>
      <c r="N308" s="152" t="n"/>
      <c r="O308" s="153" t="n"/>
      <c r="P308" s="108" t="inlineStr">
        <is>
          <t>lucia_h168@hotmail.com</t>
        </is>
      </c>
      <c r="Q308" s="108" t="inlineStr">
        <is>
          <t>DIR: association member directory, not the company site</t>
        </is>
      </c>
      <c r="R308" s="108" t="inlineStr">
        <is>
          <t>Batch draft 5 of 7 (Send separately) saved in Winmail with Corporate Brochure 2027; not sent yet</t>
        </is>
      </c>
      <c r="S308" s="108" t="n"/>
    </row>
    <row r="309" ht="47.25" customHeight="1" s="104">
      <c r="A309" s="121" t="n">
        <v>304</v>
      </c>
      <c r="B309" s="143" t="inlineStr">
        <is>
          <t>宏族儀器有限公司</t>
        </is>
      </c>
      <c r="C309" s="121" t="inlineStr">
        <is>
          <t>Contacted</t>
        </is>
      </c>
      <c r="D309" s="124" t="inlineStr">
        <is>
          <t>病患移位設備、病房護理設備</t>
        </is>
      </c>
      <c r="E309" s="121" t="inlineStr">
        <is>
          <t>Not identified (directory listing only)</t>
        </is>
      </c>
      <c r="F309" s="124" t="inlineStr">
        <is>
          <t>Taichung</t>
        </is>
      </c>
      <c r="G309" s="121" t="inlineStr">
        <is>
          <t>Not published</t>
        </is>
      </c>
      <c r="H309" s="121" t="inlineStr">
        <is>
          <t>04-2291-1218</t>
        </is>
      </c>
      <c r="I309" s="121" t="inlineStr">
        <is>
          <t>Directory listing only: general medical device trader, retailer or maker in Taichung; ultrasound capability unconfirmed.</t>
        </is>
      </c>
      <c r="J309" s="121" t="inlineStr">
        <is>
          <t>SonoAir 70 + SonoEye P3 (confirm line card first)</t>
        </is>
      </c>
      <c r="K309" s="151" t="inlineStr">
        <is>
          <t>3</t>
        </is>
      </c>
      <c r="L309" s="121" t="inlineStr">
        <is>
          <t>Tier 3: long tail from the TCMICA member directory, added 6 Oct 2026 after the first send; email on file, not yet contacted.</t>
        </is>
      </c>
      <c r="M309" s="121" t="inlineStr">
        <is>
          <t>TCMICA directory 台中市醫療器材商業同業公會 (tcmica.org.tw), read 6 Oct 2026</t>
        </is>
      </c>
      <c r="N309" s="152" t="n"/>
      <c r="O309" s="153" t="n"/>
      <c r="P309" s="108" t="inlineStr">
        <is>
          <t>chen22911218@gmail.com</t>
        </is>
      </c>
      <c r="Q309" s="108" t="inlineStr">
        <is>
          <t>DIR: association member directory, not the company site</t>
        </is>
      </c>
      <c r="R309" s="108" t="inlineStr">
        <is>
          <t>Batch draft 5 of 7 (Send separately) saved in Winmail with Corporate Brochure 2027; not sent yet</t>
        </is>
      </c>
      <c r="S309" s="108" t="n"/>
    </row>
    <row r="310" ht="47.25" customHeight="1" s="104">
      <c r="A310" s="121" t="n">
        <v>305</v>
      </c>
      <c r="B310" s="143" t="inlineStr">
        <is>
          <t>榮曜國際有限公司</t>
        </is>
      </c>
      <c r="C310" s="121" t="inlineStr">
        <is>
          <t>Contacted</t>
        </is>
      </c>
      <c r="D310" s="124" t="inlineStr">
        <is>
          <t>復健器材</t>
        </is>
      </c>
      <c r="E310" s="121" t="inlineStr">
        <is>
          <t>Not identified (directory listing only)</t>
        </is>
      </c>
      <c r="F310" s="124" t="inlineStr">
        <is>
          <t>Taichung</t>
        </is>
      </c>
      <c r="G310" s="121" t="inlineStr">
        <is>
          <t>Not published</t>
        </is>
      </c>
      <c r="H310" s="121" t="inlineStr">
        <is>
          <t>04-2421-2785</t>
        </is>
      </c>
      <c r="I310" s="121" t="inlineStr">
        <is>
          <t>Directory listing only: general medical device trader, retailer or maker in Taichung; ultrasound capability unconfirmed.</t>
        </is>
      </c>
      <c r="J310" s="121" t="inlineStr">
        <is>
          <t>SonoAir 70 + SonoEye P3 (confirm line card first)</t>
        </is>
      </c>
      <c r="K310" s="151" t="inlineStr">
        <is>
          <t>3</t>
        </is>
      </c>
      <c r="L310" s="121" t="inlineStr">
        <is>
          <t>Tier 3: long tail from the TCMICA member directory, added 6 Oct 2026 after the first send; email on file, not yet contacted.</t>
        </is>
      </c>
      <c r="M310" s="121" t="inlineStr">
        <is>
          <t>TCMICA directory 台中市醫療器材商業同業公會 (tcmica.org.tw), read 6 Oct 2026</t>
        </is>
      </c>
      <c r="N310" s="152" t="n"/>
      <c r="O310" s="153" t="n"/>
      <c r="P310" s="108" t="inlineStr">
        <is>
          <t>tcg.spirit@msa.hinet.net</t>
        </is>
      </c>
      <c r="Q310" s="108" t="inlineStr">
        <is>
          <t>DIR: association member directory, not the company site</t>
        </is>
      </c>
      <c r="R310" s="108" t="inlineStr">
        <is>
          <t>Batch draft 5 of 7 (Send separately) saved in Winmail with Corporate Brochure 2027; not sent yet</t>
        </is>
      </c>
      <c r="S310" s="108" t="n"/>
    </row>
    <row r="311" ht="47.25" customHeight="1" s="104">
      <c r="A311" s="121" t="n">
        <v>306</v>
      </c>
      <c r="B311" s="143" t="inlineStr">
        <is>
          <t>明宏家電實業工廠</t>
        </is>
      </c>
      <c r="C311" s="121" t="inlineStr">
        <is>
          <t>Contacted</t>
        </is>
      </c>
      <c r="D311" s="124" t="inlineStr">
        <is>
          <t>低週波治療器、紅外線燈製造</t>
        </is>
      </c>
      <c r="E311" s="121" t="inlineStr">
        <is>
          <t>Not identified (directory listing only)</t>
        </is>
      </c>
      <c r="F311" s="124" t="inlineStr">
        <is>
          <t>Taichung</t>
        </is>
      </c>
      <c r="G311" s="121" t="inlineStr">
        <is>
          <t>Not published</t>
        </is>
      </c>
      <c r="H311" s="121" t="inlineStr">
        <is>
          <t>04-2239-0363</t>
        </is>
      </c>
      <c r="I311" s="121" t="inlineStr">
        <is>
          <t>Directory listing only: general medical device trader, retailer or maker in Taichung; ultrasound capability unconfirmed.</t>
        </is>
      </c>
      <c r="J311" s="121" t="inlineStr">
        <is>
          <t>SonoAir 70 + SonoEye P3 (confirm line card first)</t>
        </is>
      </c>
      <c r="K311" s="151" t="inlineStr">
        <is>
          <t>3</t>
        </is>
      </c>
      <c r="L311" s="121" t="inlineStr">
        <is>
          <t>Tier 3: long tail from the TCMICA member directory, added 6 Oct 2026 after the first send; email on file, not yet contacted.</t>
        </is>
      </c>
      <c r="M311" s="121" t="inlineStr">
        <is>
          <t>TCMICA directory 台中市醫療器材商業同業公會 (tcmica.org.tw), read 6 Oct 2026</t>
        </is>
      </c>
      <c r="N311" s="152" t="n"/>
      <c r="O311" s="153" t="n"/>
      <c r="P311" s="108" t="inlineStr">
        <is>
          <t>mhic@seed.net.tw</t>
        </is>
      </c>
      <c r="Q311" s="108" t="inlineStr">
        <is>
          <t>DIR: association member directory, not the company site</t>
        </is>
      </c>
      <c r="R311" s="108" t="inlineStr">
        <is>
          <t>Batch draft 5 of 7 (Send separately) saved in Winmail with Corporate Brochure 2027; not sent yet</t>
        </is>
      </c>
      <c r="S311" s="108" t="n"/>
    </row>
    <row r="312" ht="47.25" customHeight="1" s="104">
      <c r="A312" s="121" t="n">
        <v>307</v>
      </c>
      <c r="B312" s="143" t="inlineStr">
        <is>
          <t>諸遠醫療儀器行</t>
        </is>
      </c>
      <c r="C312" s="121" t="inlineStr">
        <is>
          <t>Contacted</t>
        </is>
      </c>
      <c r="D312" s="124" t="inlineStr">
        <is>
          <t>牙科器材</t>
        </is>
      </c>
      <c r="E312" s="121" t="inlineStr">
        <is>
          <t>Not identified (directory listing only)</t>
        </is>
      </c>
      <c r="F312" s="124" t="inlineStr">
        <is>
          <t>Taichung</t>
        </is>
      </c>
      <c r="G312" s="121" t="inlineStr">
        <is>
          <t>Not published</t>
        </is>
      </c>
      <c r="H312" s="121" t="inlineStr">
        <is>
          <t>04-2233-1553</t>
        </is>
      </c>
      <c r="I312" s="121" t="inlineStr">
        <is>
          <t>Directory listing only: general medical device trader, retailer or maker in Taichung; ultrasound capability unconfirmed.</t>
        </is>
      </c>
      <c r="J312" s="121" t="inlineStr">
        <is>
          <t>SonoAir 70 + SonoEye P3 (confirm line card first)</t>
        </is>
      </c>
      <c r="K312" s="151" t="inlineStr">
        <is>
          <t>3</t>
        </is>
      </c>
      <c r="L312" s="121" t="inlineStr">
        <is>
          <t>Tier 3: long tail from the TCMICA member directory, added 6 Oct 2026 after the first send; email on file, not yet contacted.</t>
        </is>
      </c>
      <c r="M312" s="121" t="inlineStr">
        <is>
          <t>TCMICA directory 台中市醫療器材商業同業公會 (tcmica.org.tw), read 6 Oct 2026</t>
        </is>
      </c>
      <c r="N312" s="152" t="n"/>
      <c r="O312" s="153" t="n"/>
      <c r="P312" s="108" t="inlineStr">
        <is>
          <t>oooc123@yahoo.com.tw</t>
        </is>
      </c>
      <c r="Q312" s="108" t="inlineStr">
        <is>
          <t>DIR: association member directory, not the company site</t>
        </is>
      </c>
      <c r="R312" s="108" t="inlineStr">
        <is>
          <t>Batch draft 5 of 7 (Send separately) saved in Winmail with Corporate Brochure 2027; not sent yet</t>
        </is>
      </c>
      <c r="S312" s="108" t="n"/>
    </row>
    <row r="313" ht="47.25" customHeight="1" s="104">
      <c r="A313" s="121" t="n">
        <v>308</v>
      </c>
      <c r="B313" s="143" t="inlineStr">
        <is>
          <t>恆順醫療器材保健用品行</t>
        </is>
      </c>
      <c r="C313" s="121" t="inlineStr">
        <is>
          <t>Contacted</t>
        </is>
      </c>
      <c r="D313" s="124" t="inlineStr">
        <is>
          <t>保健器材</t>
        </is>
      </c>
      <c r="E313" s="121" t="inlineStr">
        <is>
          <t>Not identified (directory listing only)</t>
        </is>
      </c>
      <c r="F313" s="124" t="inlineStr">
        <is>
          <t>Taichung</t>
        </is>
      </c>
      <c r="G313" s="121" t="inlineStr">
        <is>
          <t>Not published</t>
        </is>
      </c>
      <c r="H313" s="121" t="inlineStr">
        <is>
          <t>04-2425-8162</t>
        </is>
      </c>
      <c r="I313" s="121" t="inlineStr">
        <is>
          <t>Directory listing only: general medical device trader, retailer or maker in Taichung; ultrasound capability unconfirmed.</t>
        </is>
      </c>
      <c r="J313" s="121" t="inlineStr">
        <is>
          <t>SonoAir 70 + SonoEye P3 (confirm line card first)</t>
        </is>
      </c>
      <c r="K313" s="151" t="inlineStr">
        <is>
          <t>3</t>
        </is>
      </c>
      <c r="L313" s="121" t="inlineStr">
        <is>
          <t>Tier 3: long tail from the TCMICA member directory, added 6 Oct 2026 after the first send; email on file, not yet contacted.</t>
        </is>
      </c>
      <c r="M313" s="121" t="inlineStr">
        <is>
          <t>TCMICA directory 台中市醫療器材商業同業公會 (tcmica.org.tw), read 6 Oct 2026</t>
        </is>
      </c>
      <c r="N313" s="152" t="n"/>
      <c r="O313" s="153" t="n"/>
      <c r="P313" s="108" t="inlineStr">
        <is>
          <t>handson265@yahoo.com.tw</t>
        </is>
      </c>
      <c r="Q313" s="108" t="inlineStr">
        <is>
          <t>DIR: association member directory, not the company site</t>
        </is>
      </c>
      <c r="R313" s="108" t="inlineStr">
        <is>
          <t>Batch draft 5 of 7 (Send separately) saved in Winmail with Corporate Brochure 2027; not sent yet</t>
        </is>
      </c>
      <c r="S313" s="108" t="n"/>
    </row>
    <row r="314" ht="47.25" customHeight="1" s="104">
      <c r="A314" s="121" t="n">
        <v>309</v>
      </c>
      <c r="B314" s="143" t="inlineStr">
        <is>
          <t>杏霖藥業股份有限公司</t>
        </is>
      </c>
      <c r="C314" s="121" t="inlineStr">
        <is>
          <t>Contacted</t>
        </is>
      </c>
      <c r="D314" s="124" t="inlineStr">
        <is>
          <t>醫材類</t>
        </is>
      </c>
      <c r="E314" s="121" t="inlineStr">
        <is>
          <t>Not identified (directory listing only)</t>
        </is>
      </c>
      <c r="F314" s="124" t="inlineStr">
        <is>
          <t>Taichung</t>
        </is>
      </c>
      <c r="G314" s="121" t="inlineStr">
        <is>
          <t>Not published</t>
        </is>
      </c>
      <c r="H314" s="121" t="inlineStr">
        <is>
          <t>04-2242-8678</t>
        </is>
      </c>
      <c r="I314" s="121" t="inlineStr">
        <is>
          <t>Directory listing only: general medical device trader, retailer or maker in Taichung; ultrasound capability unconfirmed.</t>
        </is>
      </c>
      <c r="J314" s="121" t="inlineStr">
        <is>
          <t>SonoAir 70 + SonoEye P3 (confirm line card first)</t>
        </is>
      </c>
      <c r="K314" s="151" t="inlineStr">
        <is>
          <t>3</t>
        </is>
      </c>
      <c r="L314" s="121" t="inlineStr">
        <is>
          <t>Tier 3: long tail from the TCMICA member directory, added 6 Oct 2026 after the first send; email on file, not yet contacted.</t>
        </is>
      </c>
      <c r="M314" s="121" t="inlineStr">
        <is>
          <t>TCMICA directory 台中市醫療器材商業同業公會 (tcmica.org.tw), read 6 Oct 2026</t>
        </is>
      </c>
      <c r="N314" s="152" t="n"/>
      <c r="O314" s="153" t="n"/>
      <c r="P314" s="108" t="inlineStr">
        <is>
          <t>apeq.a234522@msa.hinet.net</t>
        </is>
      </c>
      <c r="Q314" s="108" t="inlineStr">
        <is>
          <t>DIR: association member directory, not the company site</t>
        </is>
      </c>
      <c r="R314" s="108" t="inlineStr">
        <is>
          <t>Batch draft 5 of 7 (Send separately) saved in Winmail with Corporate Brochure 2027; not sent yet</t>
        </is>
      </c>
      <c r="S314" s="108" t="n"/>
    </row>
    <row r="315" ht="47.25" customHeight="1" s="104">
      <c r="A315" s="121" t="n">
        <v>310</v>
      </c>
      <c r="B315" s="143" t="inlineStr">
        <is>
          <t>翔宇醫療儀器有限公司</t>
        </is>
      </c>
      <c r="C315" s="121" t="inlineStr">
        <is>
          <t>Contacted</t>
        </is>
      </c>
      <c r="D315" s="124" t="inlineStr">
        <is>
          <t>醫療耗材批發零售</t>
        </is>
      </c>
      <c r="E315" s="121" t="inlineStr">
        <is>
          <t>Not identified (directory listing only)</t>
        </is>
      </c>
      <c r="F315" s="124" t="inlineStr">
        <is>
          <t>Taichung</t>
        </is>
      </c>
      <c r="G315" s="121" t="inlineStr">
        <is>
          <t>Not published</t>
        </is>
      </c>
      <c r="H315" s="121" t="inlineStr">
        <is>
          <t>04-2328-0675</t>
        </is>
      </c>
      <c r="I315" s="121" t="inlineStr">
        <is>
          <t>Directory listing only: general medical device trader, retailer or maker in Taichung; ultrasound capability unconfirmed.</t>
        </is>
      </c>
      <c r="J315" s="121" t="inlineStr">
        <is>
          <t>SonoAir 70 + SonoEye P3 (confirm line card first)</t>
        </is>
      </c>
      <c r="K315" s="151" t="inlineStr">
        <is>
          <t>3</t>
        </is>
      </c>
      <c r="L315" s="121" t="inlineStr">
        <is>
          <t>Tier 3: long tail from the TCMICA member directory, added 6 Oct 2026 after the first send; email on file, not yet contacted.</t>
        </is>
      </c>
      <c r="M315" s="121" t="inlineStr">
        <is>
          <t>TCMICA directory 台中市醫療器材商業同業公會 (tcmica.org.tw), read 6 Oct 2026</t>
        </is>
      </c>
      <c r="N315" s="152" t="n"/>
      <c r="O315" s="153" t="n"/>
      <c r="P315" s="108" t="inlineStr">
        <is>
          <t>walter-liu@umail.hinet.net</t>
        </is>
      </c>
      <c r="Q315" s="108" t="inlineStr">
        <is>
          <t>DIR: association member directory, not the company site</t>
        </is>
      </c>
      <c r="R315" s="108" t="inlineStr">
        <is>
          <t>Batch draft 5 of 7 (Send separately) saved in Winmail with Corporate Brochure 2027; not sent yet</t>
        </is>
      </c>
      <c r="S315" s="108" t="n"/>
    </row>
    <row r="316" ht="47.25" customHeight="1" s="104">
      <c r="A316" s="121" t="n">
        <v>311</v>
      </c>
      <c r="B316" s="143" t="inlineStr">
        <is>
          <t>豐餘實業股份有限公司</t>
        </is>
      </c>
      <c r="C316" s="121" t="inlineStr">
        <is>
          <t>Contacted</t>
        </is>
      </c>
      <c r="D316" s="124" t="inlineStr">
        <is>
          <t>醫材類(同組:雙餘實業)</t>
        </is>
      </c>
      <c r="E316" s="121" t="inlineStr">
        <is>
          <t>Not identified (directory listing only)</t>
        </is>
      </c>
      <c r="F316" s="124" t="inlineStr">
        <is>
          <t>Taichung</t>
        </is>
      </c>
      <c r="G316" s="121" t="inlineStr">
        <is>
          <t>Not published</t>
        </is>
      </c>
      <c r="H316" s="121" t="inlineStr">
        <is>
          <t>04-2231-5920</t>
        </is>
      </c>
      <c r="I316" s="121" t="inlineStr">
        <is>
          <t>Directory listing only: general medical device trader, retailer or maker in Taichung; ultrasound capability unconfirmed.</t>
        </is>
      </c>
      <c r="J316" s="121" t="inlineStr">
        <is>
          <t>SonoAir 70 + SonoEye P3 (confirm line card first)</t>
        </is>
      </c>
      <c r="K316" s="151" t="inlineStr">
        <is>
          <t>3</t>
        </is>
      </c>
      <c r="L316" s="121" t="inlineStr">
        <is>
          <t>Tier 3: long tail from the TCMICA member directory, added 6 Oct 2026 after the first send; email on file, not yet contacted.</t>
        </is>
      </c>
      <c r="M316" s="121" t="inlineStr">
        <is>
          <t>TCMICA directory 台中市醫療器材商業同業公會 (tcmica.org.tw), read 6 Oct 2026</t>
        </is>
      </c>
      <c r="N316" s="152" t="n"/>
      <c r="O316" s="153" t="n"/>
      <c r="P316" s="108" t="inlineStr">
        <is>
          <t>hr@mail.aplus.beto.com</t>
        </is>
      </c>
      <c r="Q316" s="108" t="inlineStr">
        <is>
          <t>DIR: association member directory, not the company site</t>
        </is>
      </c>
      <c r="R316" s="108" t="inlineStr">
        <is>
          <t>Batch draft 5 of 7 (Send separately) saved in Winmail with Corporate Brochure 2027; not sent yet</t>
        </is>
      </c>
      <c r="S316" s="108" t="n"/>
    </row>
    <row r="317" ht="47.25" customHeight="1" s="104">
      <c r="A317" s="121" t="n">
        <v>312</v>
      </c>
      <c r="B317" s="143" t="inlineStr">
        <is>
          <t>均旺科技有限公司</t>
        </is>
      </c>
      <c r="C317" s="121" t="inlineStr">
        <is>
          <t>Contacted</t>
        </is>
      </c>
      <c r="D317" s="124" t="inlineStr">
        <is>
          <t>點滴警示器</t>
        </is>
      </c>
      <c r="E317" s="121" t="inlineStr">
        <is>
          <t>Not identified (directory listing only)</t>
        </is>
      </c>
      <c r="F317" s="124" t="inlineStr">
        <is>
          <t>Taichung</t>
        </is>
      </c>
      <c r="G317" s="121" t="inlineStr">
        <is>
          <t>Not published</t>
        </is>
      </c>
      <c r="H317" s="121" t="inlineStr">
        <is>
          <t>04-2422-8198</t>
        </is>
      </c>
      <c r="I317" s="121" t="inlineStr">
        <is>
          <t>Directory listing only: general medical device trader, retailer or maker in Taichung; ultrasound capability unconfirmed.</t>
        </is>
      </c>
      <c r="J317" s="121" t="inlineStr">
        <is>
          <t>SonoAir 70 + SonoEye P3 (confirm line card first)</t>
        </is>
      </c>
      <c r="K317" s="151" t="inlineStr">
        <is>
          <t>3</t>
        </is>
      </c>
      <c r="L317" s="121" t="inlineStr">
        <is>
          <t>Tier 3: long tail from the TCMICA member directory, added 6 Oct 2026 after the first send; email on file, not yet contacted.</t>
        </is>
      </c>
      <c r="M317" s="121" t="inlineStr">
        <is>
          <t>TCMICA directory 台中市醫療器材商業同業公會 (tcmica.org.tw), read 6 Oct 2026</t>
        </is>
      </c>
      <c r="N317" s="152" t="n"/>
      <c r="O317" s="153" t="n"/>
      <c r="P317" s="108" t="inlineStr">
        <is>
          <t>angela.jeanwan@msa.hinet.net</t>
        </is>
      </c>
      <c r="Q317" s="108" t="inlineStr">
        <is>
          <t>DIR: association member directory, not the company site</t>
        </is>
      </c>
      <c r="R317" s="108" t="inlineStr">
        <is>
          <t>Batch draft 5 of 7 (Send separately) saved in Winmail with Corporate Brochure 2027; not sent yet</t>
        </is>
      </c>
      <c r="S317" s="108" t="n"/>
    </row>
    <row r="318" ht="47.25" customHeight="1" s="104">
      <c r="A318" s="121" t="n">
        <v>313</v>
      </c>
      <c r="B318" s="143" t="inlineStr">
        <is>
          <t>恩特有限公司</t>
        </is>
      </c>
      <c r="C318" s="121" t="inlineStr">
        <is>
          <t>Contacted</t>
        </is>
      </c>
      <c r="D318" s="124" t="inlineStr">
        <is>
          <t>噴霧器</t>
        </is>
      </c>
      <c r="E318" s="121" t="inlineStr">
        <is>
          <t>Not identified (directory listing only)</t>
        </is>
      </c>
      <c r="F318" s="124" t="inlineStr">
        <is>
          <t>Taichung</t>
        </is>
      </c>
      <c r="G318" s="121" t="inlineStr">
        <is>
          <t>Not published</t>
        </is>
      </c>
      <c r="H318" s="121" t="inlineStr">
        <is>
          <t>04-2243-8382</t>
        </is>
      </c>
      <c r="I318" s="121" t="inlineStr">
        <is>
          <t>Directory listing only: general medical device trader, retailer or maker in Taichung; ultrasound capability unconfirmed.</t>
        </is>
      </c>
      <c r="J318" s="121" t="inlineStr">
        <is>
          <t>SonoAir 70 + SonoEye P3 (confirm line card first)</t>
        </is>
      </c>
      <c r="K318" s="151" t="inlineStr">
        <is>
          <t>3</t>
        </is>
      </c>
      <c r="L318" s="121" t="inlineStr">
        <is>
          <t>Tier 3: long tail from the TCMICA member directory, added 6 Oct 2026 after the first send; email on file, not yet contacted.</t>
        </is>
      </c>
      <c r="M318" s="121" t="inlineStr">
        <is>
          <t>TCMICA directory 台中市醫療器材商業同業公會 (tcmica.org.tw), read 6 Oct 2026</t>
        </is>
      </c>
      <c r="N318" s="152" t="n"/>
      <c r="O318" s="153" t="n"/>
      <c r="P318" s="108" t="inlineStr">
        <is>
          <t>lcnchj@yahoo.com.tw</t>
        </is>
      </c>
      <c r="Q318" s="108" t="inlineStr">
        <is>
          <t>DIR: association member directory, not the company site</t>
        </is>
      </c>
      <c r="R318" s="108" t="inlineStr">
        <is>
          <t>Batch draft 5 of 7 (Send separately) saved in Winmail with Corporate Brochure 2027; not sent yet</t>
        </is>
      </c>
      <c r="S318" s="108" t="n"/>
    </row>
    <row r="319" ht="47.25" customHeight="1" s="104">
      <c r="A319" s="121" t="n">
        <v>314</v>
      </c>
      <c r="B319" s="143" t="inlineStr">
        <is>
          <t>科隆生醫科技有限公司</t>
        </is>
      </c>
      <c r="C319" s="121" t="inlineStr">
        <is>
          <t>Contacted</t>
        </is>
      </c>
      <c r="D319" s="124" t="inlineStr">
        <is>
          <t>牙科器材</t>
        </is>
      </c>
      <c r="E319" s="121" t="inlineStr">
        <is>
          <t>Not identified (directory listing only)</t>
        </is>
      </c>
      <c r="F319" s="124" t="inlineStr">
        <is>
          <t>Taichung</t>
        </is>
      </c>
      <c r="G319" s="121" t="inlineStr">
        <is>
          <t>Not published</t>
        </is>
      </c>
      <c r="H319" s="121" t="inlineStr">
        <is>
          <t>04-2436-9955</t>
        </is>
      </c>
      <c r="I319" s="121" t="inlineStr">
        <is>
          <t>Directory listing only: general medical device trader, retailer or maker in Taichung; ultrasound capability unconfirmed.</t>
        </is>
      </c>
      <c r="J319" s="121" t="inlineStr">
        <is>
          <t>SonoAir 70 + SonoEye P3 (confirm line card first)</t>
        </is>
      </c>
      <c r="K319" s="151" t="inlineStr">
        <is>
          <t>3</t>
        </is>
      </c>
      <c r="L319" s="121" t="inlineStr">
        <is>
          <t>Tier 3: long tail from the TCMICA member directory, added 6 Oct 2026 after the first send; email on file, not yet contacted.</t>
        </is>
      </c>
      <c r="M319" s="121" t="inlineStr">
        <is>
          <t>TCMICA directory 台中市醫療器材商業同業公會 (tcmica.org.tw), read 6 Oct 2026</t>
        </is>
      </c>
      <c r="N319" s="152" t="n"/>
      <c r="O319" s="153" t="n"/>
      <c r="P319" s="108" t="inlineStr">
        <is>
          <t>gf.jason@msa.hinet.net</t>
        </is>
      </c>
      <c r="Q319" s="108" t="inlineStr">
        <is>
          <t>DIR: association member directory, not the company site</t>
        </is>
      </c>
      <c r="R319" s="108" t="inlineStr">
        <is>
          <t>Batch draft 5 of 7 (Send separately) saved in Winmail with Corporate Brochure 2027; not sent yet</t>
        </is>
      </c>
      <c r="S319" s="108" t="n"/>
    </row>
    <row r="320" ht="47.25" customHeight="1" s="104">
      <c r="A320" s="121" t="n">
        <v>315</v>
      </c>
      <c r="B320" s="143" t="inlineStr">
        <is>
          <t>光霆國際股份有限公司</t>
        </is>
      </c>
      <c r="C320" s="121" t="inlineStr">
        <is>
          <t>Contacted</t>
        </is>
      </c>
      <c r="D320" s="124" t="inlineStr">
        <is>
          <t>醫療器材批發零售</t>
        </is>
      </c>
      <c r="E320" s="121" t="inlineStr">
        <is>
          <t>Not identified (directory listing only)</t>
        </is>
      </c>
      <c r="F320" s="124" t="inlineStr">
        <is>
          <t>Taichung</t>
        </is>
      </c>
      <c r="G320" s="121" t="inlineStr">
        <is>
          <t>Not published</t>
        </is>
      </c>
      <c r="H320" s="121" t="inlineStr">
        <is>
          <t>04-2247-5426</t>
        </is>
      </c>
      <c r="I320" s="121" t="inlineStr">
        <is>
          <t>Directory listing only: general medical device trader, retailer or maker in Taichung; ultrasound capability unconfirmed.</t>
        </is>
      </c>
      <c r="J320" s="121" t="inlineStr">
        <is>
          <t>SonoAir 70 + SonoEye P3 (confirm line card first)</t>
        </is>
      </c>
      <c r="K320" s="151" t="inlineStr">
        <is>
          <t>3</t>
        </is>
      </c>
      <c r="L320" s="121" t="inlineStr">
        <is>
          <t>Tier 3: long tail from the TCMICA member directory, added 6 Oct 2026 after the first send; email on file, not yet contacted.</t>
        </is>
      </c>
      <c r="M320" s="121" t="inlineStr">
        <is>
          <t>TCMICA directory 台中市醫療器材商業同業公會 (tcmica.org.tw), read 6 Oct 2026</t>
        </is>
      </c>
      <c r="N320" s="152" t="n"/>
      <c r="O320" s="153" t="n"/>
      <c r="P320" s="108" t="inlineStr">
        <is>
          <t>w756167@yahoo.com.tw</t>
        </is>
      </c>
      <c r="Q320" s="108" t="inlineStr">
        <is>
          <t>DIR: association member directory, not the company site</t>
        </is>
      </c>
      <c r="R320" s="108" t="inlineStr">
        <is>
          <t>Batch draft 5 of 7 (Send separately) saved in Winmail with Corporate Brochure 2027; not sent yet</t>
        </is>
      </c>
      <c r="S320" s="108" t="n"/>
    </row>
    <row r="321" ht="47.25" customHeight="1" s="104">
      <c r="A321" s="121" t="n">
        <v>316</v>
      </c>
      <c r="B321" s="143" t="inlineStr">
        <is>
          <t>佳葳醫學科技有限公司</t>
        </is>
      </c>
      <c r="C321" s="121" t="inlineStr">
        <is>
          <t>Contacted</t>
        </is>
      </c>
      <c r="D321" s="124" t="inlineStr">
        <is>
          <t>醫療器材、精密儀器(同組:兢威)</t>
        </is>
      </c>
      <c r="E321" s="121" t="inlineStr">
        <is>
          <t>Not identified (directory listing only)</t>
        </is>
      </c>
      <c r="F321" s="124" t="inlineStr">
        <is>
          <t>Taichung</t>
        </is>
      </c>
      <c r="G321" s="121" t="inlineStr">
        <is>
          <t>Not published</t>
        </is>
      </c>
      <c r="H321" s="121" t="inlineStr">
        <is>
          <t>04-2296-3277</t>
        </is>
      </c>
      <c r="I321" s="121" t="inlineStr">
        <is>
          <t>Directory listing only: general medical device trader, retailer or maker in Taichung; ultrasound capability unconfirmed.</t>
        </is>
      </c>
      <c r="J321" s="121" t="inlineStr">
        <is>
          <t>SonoAir 70 + SonoEye P3 (confirm line card first)</t>
        </is>
      </c>
      <c r="K321" s="151" t="inlineStr">
        <is>
          <t>3</t>
        </is>
      </c>
      <c r="L321" s="121" t="inlineStr">
        <is>
          <t>Tier 3: long tail from the TCMICA member directory, added 6 Oct 2026 after the first send; email on file, not yet contacted.</t>
        </is>
      </c>
      <c r="M321" s="121" t="inlineStr">
        <is>
          <t>TCMICA directory 台中市醫療器材商業同業公會 (tcmica.org.tw), read 6 Oct 2026</t>
        </is>
      </c>
      <c r="N321" s="152" t="n"/>
      <c r="O321" s="153" t="n"/>
      <c r="P321" s="108" t="inlineStr">
        <is>
          <t>ruby@geneway.com.tw</t>
        </is>
      </c>
      <c r="Q321" s="108" t="inlineStr">
        <is>
          <t>DIR: association member directory, not the company site</t>
        </is>
      </c>
      <c r="R321" s="108" t="inlineStr">
        <is>
          <t>Batch draft 5 of 7 (Send separately) saved in Winmail with Corporate Brochure 2027; not sent yet</t>
        </is>
      </c>
      <c r="S321" s="108" t="n"/>
    </row>
    <row r="322" ht="47.25" customHeight="1" s="104">
      <c r="A322" s="121" t="n">
        <v>317</v>
      </c>
      <c r="B322" s="143" t="inlineStr">
        <is>
          <t>山哆利國際貿易有限公司</t>
        </is>
      </c>
      <c r="C322" s="121" t="inlineStr">
        <is>
          <t>Contacted</t>
        </is>
      </c>
      <c r="D322" s="124" t="inlineStr">
        <is>
          <t>牙科材料</t>
        </is>
      </c>
      <c r="E322" s="121" t="inlineStr">
        <is>
          <t>Not identified (directory listing only)</t>
        </is>
      </c>
      <c r="F322" s="124" t="inlineStr">
        <is>
          <t>Taichung</t>
        </is>
      </c>
      <c r="G322" s="121" t="inlineStr">
        <is>
          <t>Not published</t>
        </is>
      </c>
      <c r="H322" s="121" t="inlineStr">
        <is>
          <t>04-2241-1468</t>
        </is>
      </c>
      <c r="I322" s="121" t="inlineStr">
        <is>
          <t>Directory listing only: general medical device trader, retailer or maker in Taichung; ultrasound capability unconfirmed.</t>
        </is>
      </c>
      <c r="J322" s="121" t="inlineStr">
        <is>
          <t>SonoAir 70 + SonoEye P3 (confirm line card first)</t>
        </is>
      </c>
      <c r="K322" s="151" t="inlineStr">
        <is>
          <t>3</t>
        </is>
      </c>
      <c r="L322" s="121" t="inlineStr">
        <is>
          <t>Tier 3: long tail from the TCMICA member directory, added 6 Oct 2026 after the first send; email on file, not yet contacted.</t>
        </is>
      </c>
      <c r="M322" s="121" t="inlineStr">
        <is>
          <t>TCMICA directory 台中市醫療器材商業同業公會 (tcmica.org.tw), read 6 Oct 2026</t>
        </is>
      </c>
      <c r="N322" s="152" t="n"/>
      <c r="O322" s="153" t="n"/>
      <c r="P322" s="108" t="inlineStr">
        <is>
          <t>jk4914@yahoo.com.tw</t>
        </is>
      </c>
      <c r="Q322" s="108" t="inlineStr">
        <is>
          <t>DIR: association member directory, not the company site</t>
        </is>
      </c>
      <c r="R322" s="108" t="inlineStr">
        <is>
          <t>Batch draft 5 of 7 (Send separately) saved in Winmail with Corporate Brochure 2027; not sent yet</t>
        </is>
      </c>
      <c r="S322" s="108" t="n"/>
    </row>
    <row r="323" ht="47.25" customHeight="1" s="104">
      <c r="A323" s="121" t="n">
        <v>318</v>
      </c>
      <c r="B323" s="143" t="inlineStr">
        <is>
          <t>逆轉生命科技有限公司</t>
        </is>
      </c>
      <c r="C323" s="121" t="inlineStr">
        <is>
          <t>Contacted</t>
        </is>
      </c>
      <c r="D323" s="124" t="inlineStr">
        <is>
          <t>醫療器材、運動器材</t>
        </is>
      </c>
      <c r="E323" s="121" t="inlineStr">
        <is>
          <t>Not identified (directory listing only)</t>
        </is>
      </c>
      <c r="F323" s="124" t="inlineStr">
        <is>
          <t>Taichung</t>
        </is>
      </c>
      <c r="G323" s="121" t="inlineStr">
        <is>
          <t>Not published</t>
        </is>
      </c>
      <c r="H323" s="121" t="inlineStr">
        <is>
          <t>04-2437-4299</t>
        </is>
      </c>
      <c r="I323" s="121" t="inlineStr">
        <is>
          <t>Directory listing only: general medical device trader, retailer or maker in Taichung; ultrasound capability unconfirmed.</t>
        </is>
      </c>
      <c r="J323" s="121" t="inlineStr">
        <is>
          <t>SonoAir 70 + SonoEye P3 (confirm line card first)</t>
        </is>
      </c>
      <c r="K323" s="151" t="inlineStr">
        <is>
          <t>3</t>
        </is>
      </c>
      <c r="L323" s="121" t="inlineStr">
        <is>
          <t>Tier 3: long tail from the TCMICA member directory, added 6 Oct 2026 after the first send; email on file, not yet contacted.</t>
        </is>
      </c>
      <c r="M323" s="121" t="inlineStr">
        <is>
          <t>TCMICA directory 台中市醫療器材商業同業公會 (tcmica.org.tw), read 6 Oct 2026</t>
        </is>
      </c>
      <c r="N323" s="152" t="n"/>
      <c r="O323" s="153" t="n"/>
      <c r="P323" s="108" t="inlineStr">
        <is>
          <t>mec01001@hotmail.com</t>
        </is>
      </c>
      <c r="Q323" s="108" t="inlineStr">
        <is>
          <t>DIR: association member directory, not the company site</t>
        </is>
      </c>
      <c r="R323" s="108" t="inlineStr">
        <is>
          <t>Batch draft 5 of 7 (Send separately) saved in Winmail with Corporate Brochure 2027; not sent yet</t>
        </is>
      </c>
      <c r="S323" s="108" t="n"/>
    </row>
    <row r="324" ht="47.25" customHeight="1" s="104">
      <c r="A324" s="121" t="n">
        <v>319</v>
      </c>
      <c r="B324" s="143" t="inlineStr">
        <is>
          <t>凱鑫國際有限公司</t>
        </is>
      </c>
      <c r="C324" s="121" t="inlineStr">
        <is>
          <t>Contacted</t>
        </is>
      </c>
      <c r="D324" s="124" t="inlineStr">
        <is>
          <t>復健器材</t>
        </is>
      </c>
      <c r="E324" s="121" t="inlineStr">
        <is>
          <t>Not identified (directory listing only)</t>
        </is>
      </c>
      <c r="F324" s="124" t="inlineStr">
        <is>
          <t>Taichung</t>
        </is>
      </c>
      <c r="G324" s="121" t="inlineStr">
        <is>
          <t>Not published</t>
        </is>
      </c>
      <c r="H324" s="121" t="inlineStr">
        <is>
          <t>04-2422-8997</t>
        </is>
      </c>
      <c r="I324" s="121" t="inlineStr">
        <is>
          <t>Directory listing only: general medical device trader, retailer or maker in Taichung; ultrasound capability unconfirmed.</t>
        </is>
      </c>
      <c r="J324" s="121" t="inlineStr">
        <is>
          <t>SonoAir 70 + SonoEye P3 (confirm line card first)</t>
        </is>
      </c>
      <c r="K324" s="151" t="inlineStr">
        <is>
          <t>3</t>
        </is>
      </c>
      <c r="L324" s="121" t="inlineStr">
        <is>
          <t>Tier 3: long tail from the TCMICA member directory, added 6 Oct 2026 after the first send; email on file, not yet contacted.</t>
        </is>
      </c>
      <c r="M324" s="121" t="inlineStr">
        <is>
          <t>TCMICA directory 台中市醫療器材商業同業公會 (tcmica.org.tw), read 6 Oct 2026</t>
        </is>
      </c>
      <c r="N324" s="152" t="n"/>
      <c r="O324" s="153" t="n"/>
      <c r="P324" s="108" t="inlineStr">
        <is>
          <t>warriorhonor168@gmail.com</t>
        </is>
      </c>
      <c r="Q324" s="108" t="inlineStr">
        <is>
          <t>DIR: association member directory, not the company site</t>
        </is>
      </c>
      <c r="R324" s="108" t="inlineStr">
        <is>
          <t>Batch draft 5 of 7 (Send separately) saved in Winmail with Corporate Brochure 2027; not sent yet</t>
        </is>
      </c>
      <c r="S324" s="108" t="n"/>
    </row>
    <row r="325" ht="47.25" customHeight="1" s="104">
      <c r="A325" s="121" t="n">
        <v>320</v>
      </c>
      <c r="B325" s="143" t="inlineStr">
        <is>
          <t>晉億國際企業有限公司</t>
        </is>
      </c>
      <c r="C325" s="121" t="inlineStr">
        <is>
          <t>Contacted</t>
        </is>
      </c>
      <c r="D325" s="124" t="inlineStr">
        <is>
          <t>電磁波治療器、醫療器材</t>
        </is>
      </c>
      <c r="E325" s="121" t="inlineStr">
        <is>
          <t>Not identified (directory listing only)</t>
        </is>
      </c>
      <c r="F325" s="124" t="inlineStr">
        <is>
          <t>Taichung</t>
        </is>
      </c>
      <c r="G325" s="121" t="inlineStr">
        <is>
          <t>Not published</t>
        </is>
      </c>
      <c r="H325" s="121" t="inlineStr">
        <is>
          <t>04-2246-4689</t>
        </is>
      </c>
      <c r="I325" s="121" t="inlineStr">
        <is>
          <t>Directory listing only: general medical device trader, retailer or maker in Taichung; ultrasound capability unconfirmed.</t>
        </is>
      </c>
      <c r="J325" s="121" t="inlineStr">
        <is>
          <t>SonoAir 70 + SonoEye P3 (confirm line card first)</t>
        </is>
      </c>
      <c r="K325" s="151" t="inlineStr">
        <is>
          <t>3</t>
        </is>
      </c>
      <c r="L325" s="121" t="inlineStr">
        <is>
          <t>Tier 3: long tail from the TCMICA member directory, added 6 Oct 2026 after the first send; email on file, not yet contacted.</t>
        </is>
      </c>
      <c r="M325" s="121" t="inlineStr">
        <is>
          <t>TCMICA directory 台中市醫療器材商業同業公會 (tcmica.org.tw), read 6 Oct 2026</t>
        </is>
      </c>
      <c r="N325" s="152" t="n"/>
      <c r="O325" s="153" t="n"/>
      <c r="P325" s="108" t="inlineStr">
        <is>
          <t>leo-cw@hotmail.com</t>
        </is>
      </c>
      <c r="Q325" s="108" t="inlineStr">
        <is>
          <t>DIR: association member directory, not the company site</t>
        </is>
      </c>
      <c r="R325" s="108" t="inlineStr">
        <is>
          <t>Batch draft 5 of 7 (Send separately) saved in Winmail with Corporate Brochure 2027; not sent yet</t>
        </is>
      </c>
      <c r="S325" s="108" t="n"/>
    </row>
    <row r="326" ht="47.25" customHeight="1" s="104">
      <c r="A326" s="121" t="n">
        <v>321</v>
      </c>
      <c r="B326" s="143" t="inlineStr">
        <is>
          <t>臺灣骨庫股份有限公司</t>
        </is>
      </c>
      <c r="C326" s="121" t="inlineStr">
        <is>
          <t>Contacted</t>
        </is>
      </c>
      <c r="D326" s="124" t="inlineStr">
        <is>
          <t>骨科器材</t>
        </is>
      </c>
      <c r="E326" s="121" t="inlineStr">
        <is>
          <t>Not identified (directory listing only)</t>
        </is>
      </c>
      <c r="F326" s="124" t="inlineStr">
        <is>
          <t>Taichung</t>
        </is>
      </c>
      <c r="G326" s="121" t="inlineStr">
        <is>
          <t>Not published</t>
        </is>
      </c>
      <c r="H326" s="121" t="inlineStr">
        <is>
          <t>04-2237-6616</t>
        </is>
      </c>
      <c r="I326" s="121" t="inlineStr">
        <is>
          <t>Directory listing only: general medical device trader, retailer or maker in Taichung; ultrasound capability unconfirmed.</t>
        </is>
      </c>
      <c r="J326" s="121" t="inlineStr">
        <is>
          <t>SonoAir 70 + SonoEye P3 (confirm line card first)</t>
        </is>
      </c>
      <c r="K326" s="151" t="inlineStr">
        <is>
          <t>3</t>
        </is>
      </c>
      <c r="L326" s="121" t="inlineStr">
        <is>
          <t>Tier 3: long tail from the TCMICA member directory, added 6 Oct 2026 after the first send; email on file, not yet contacted.</t>
        </is>
      </c>
      <c r="M326" s="121" t="inlineStr">
        <is>
          <t>TCMICA directory 台中市醫療器材商業同業公會 (tcmica.org.tw), read 6 Oct 2026</t>
        </is>
      </c>
      <c r="N326" s="152" t="n"/>
      <c r="O326" s="153" t="n"/>
      <c r="P326" s="108" t="inlineStr">
        <is>
          <t>rinnyuna@gmail.com</t>
        </is>
      </c>
      <c r="Q326" s="108" t="inlineStr">
        <is>
          <t>DIR: association member directory, not the company site</t>
        </is>
      </c>
      <c r="R326" s="108" t="inlineStr">
        <is>
          <t>Batch draft 5 of 7 (Send separately) saved in Winmail with Corporate Brochure 2027; not sent yet</t>
        </is>
      </c>
      <c r="S326" s="108" t="n"/>
    </row>
    <row r="327" ht="47.25" customHeight="1" s="104">
      <c r="A327" s="121" t="n">
        <v>322</v>
      </c>
      <c r="B327" s="143" t="inlineStr">
        <is>
          <t>嘉崎國際貿易有限公司</t>
        </is>
      </c>
      <c r="C327" s="121" t="inlineStr">
        <is>
          <t>Contacted</t>
        </is>
      </c>
      <c r="D327" s="124" t="inlineStr">
        <is>
          <t>保健醫療器材</t>
        </is>
      </c>
      <c r="E327" s="121" t="inlineStr">
        <is>
          <t>Not identified (directory listing only)</t>
        </is>
      </c>
      <c r="F327" s="124" t="inlineStr">
        <is>
          <t>Taichung</t>
        </is>
      </c>
      <c r="G327" s="121" t="inlineStr">
        <is>
          <t>Not published</t>
        </is>
      </c>
      <c r="H327" s="121" t="inlineStr">
        <is>
          <t>04-2437-3597</t>
        </is>
      </c>
      <c r="I327" s="121" t="inlineStr">
        <is>
          <t>Directory listing only: general medical device trader, retailer or maker in Taichung; ultrasound capability unconfirmed.</t>
        </is>
      </c>
      <c r="J327" s="121" t="inlineStr">
        <is>
          <t>SonoAir 70 + SonoEye P3 (confirm line card first)</t>
        </is>
      </c>
      <c r="K327" s="151" t="inlineStr">
        <is>
          <t>3</t>
        </is>
      </c>
      <c r="L327" s="121" t="inlineStr">
        <is>
          <t>Tier 3: long tail from the TCMICA member directory, added 6 Oct 2026 after the first send; email on file, not yet contacted.</t>
        </is>
      </c>
      <c r="M327" s="121" t="inlineStr">
        <is>
          <t>TCMICA directory 台中市醫療器材商業同業公會 (tcmica.org.tw), read 6 Oct 2026</t>
        </is>
      </c>
      <c r="N327" s="152" t="n"/>
      <c r="O327" s="153" t="n"/>
      <c r="P327" s="108" t="inlineStr">
        <is>
          <t>sandy79717@yahoo.com.tw</t>
        </is>
      </c>
      <c r="Q327" s="108" t="inlineStr">
        <is>
          <t>DIR: association member directory, not the company site</t>
        </is>
      </c>
      <c r="R327" s="108" t="inlineStr">
        <is>
          <t>Batch draft 5 of 7 (Send separately) saved in Winmail with Corporate Brochure 2027; not sent yet</t>
        </is>
      </c>
      <c r="S327" s="108" t="n"/>
    </row>
    <row r="328" ht="47.25" customHeight="1" s="104">
      <c r="A328" s="121" t="n">
        <v>323</v>
      </c>
      <c r="B328" s="143" t="inlineStr">
        <is>
          <t>翌筌有限公司</t>
        </is>
      </c>
      <c r="C328" s="121" t="inlineStr">
        <is>
          <t>Contacted</t>
        </is>
      </c>
      <c r="D328" s="124" t="inlineStr">
        <is>
          <t>各科手術器械、耗材</t>
        </is>
      </c>
      <c r="E328" s="121" t="inlineStr">
        <is>
          <t>Not identified (directory listing only)</t>
        </is>
      </c>
      <c r="F328" s="124" t="inlineStr">
        <is>
          <t>Taichung</t>
        </is>
      </c>
      <c r="G328" s="121" t="inlineStr">
        <is>
          <t>Not published</t>
        </is>
      </c>
      <c r="H328" s="121" t="inlineStr">
        <is>
          <t>04-2243-1239</t>
        </is>
      </c>
      <c r="I328" s="121" t="inlineStr">
        <is>
          <t>Directory listing only: general medical device trader, retailer or maker in Taichung; ultrasound capability unconfirmed.</t>
        </is>
      </c>
      <c r="J328" s="121" t="inlineStr">
        <is>
          <t>SonoAir 70 + SonoEye P3 (confirm line card first)</t>
        </is>
      </c>
      <c r="K328" s="151" t="inlineStr">
        <is>
          <t>3</t>
        </is>
      </c>
      <c r="L328" s="121" t="inlineStr">
        <is>
          <t>Tier 3: long tail from the TCMICA member directory, added 6 Oct 2026 after the first send; email on file, not yet contacted.</t>
        </is>
      </c>
      <c r="M328" s="121" t="inlineStr">
        <is>
          <t>TCMICA directory 台中市醫療器材商業同業公會 (tcmica.org.tw), read 6 Oct 2026</t>
        </is>
      </c>
      <c r="N328" s="152" t="n"/>
      <c r="O328" s="153" t="n"/>
      <c r="P328" s="108" t="inlineStr">
        <is>
          <t>ichuan.psts@msa.hinet.net</t>
        </is>
      </c>
      <c r="Q328" s="108" t="inlineStr">
        <is>
          <t>DIR: association member directory, not the company site</t>
        </is>
      </c>
      <c r="R328" s="108" t="inlineStr">
        <is>
          <t>Batch draft 5 of 7 (Send separately) saved in Winmail with Corporate Brochure 2027; not sent yet</t>
        </is>
      </c>
      <c r="S328" s="108" t="n"/>
    </row>
    <row r="329" ht="47.25" customHeight="1" s="104">
      <c r="A329" s="121" t="n">
        <v>324</v>
      </c>
      <c r="B329" s="143" t="inlineStr">
        <is>
          <t>西羅亞生技有限公司</t>
        </is>
      </c>
      <c r="C329" s="121" t="inlineStr">
        <is>
          <t>Contacted</t>
        </is>
      </c>
      <c r="D329" s="124" t="inlineStr">
        <is>
          <t>醫療器材</t>
        </is>
      </c>
      <c r="E329" s="121" t="inlineStr">
        <is>
          <t>Not identified (directory listing only)</t>
        </is>
      </c>
      <c r="F329" s="124" t="inlineStr">
        <is>
          <t>Taichung</t>
        </is>
      </c>
      <c r="G329" s="121" t="inlineStr">
        <is>
          <t>Not published</t>
        </is>
      </c>
      <c r="H329" s="121" t="inlineStr">
        <is>
          <t>04-2295-8028</t>
        </is>
      </c>
      <c r="I329" s="121" t="inlineStr">
        <is>
          <t>Directory listing only: general medical device trader, retailer or maker in Taichung; ultrasound capability unconfirmed.</t>
        </is>
      </c>
      <c r="J329" s="121" t="inlineStr">
        <is>
          <t>SonoAir 70 + SonoEye P3 (confirm line card first)</t>
        </is>
      </c>
      <c r="K329" s="151" t="inlineStr">
        <is>
          <t>3</t>
        </is>
      </c>
      <c r="L329" s="121" t="inlineStr">
        <is>
          <t>Tier 3: long tail from the TCMICA member directory, added 6 Oct 2026 after the first send; email on file, not yet contacted.</t>
        </is>
      </c>
      <c r="M329" s="121" t="inlineStr">
        <is>
          <t>TCMICA directory 台中市醫療器材商業同業公會 (tcmica.org.tw), read 6 Oct 2026</t>
        </is>
      </c>
      <c r="N329" s="152" t="n"/>
      <c r="O329" s="153" t="n"/>
      <c r="P329" s="108" t="inlineStr">
        <is>
          <t>htc196175@gmail.com</t>
        </is>
      </c>
      <c r="Q329" s="108" t="inlineStr">
        <is>
          <t>DIR: association member directory, not the company site</t>
        </is>
      </c>
      <c r="R329" s="108" t="inlineStr">
        <is>
          <t>Batch draft 5 of 7 (Send separately) saved in Winmail with Corporate Brochure 2027; not sent yet</t>
        </is>
      </c>
      <c r="S329" s="108" t="n"/>
    </row>
    <row r="330" ht="47.25" customHeight="1" s="104">
      <c r="A330" s="121" t="n">
        <v>325</v>
      </c>
      <c r="B330" s="143" t="inlineStr">
        <is>
          <t>蕙陽有限公司</t>
        </is>
      </c>
      <c r="C330" s="121" t="inlineStr">
        <is>
          <t>Contacted</t>
        </is>
      </c>
      <c r="D330" s="124" t="inlineStr">
        <is>
          <t>復健器材</t>
        </is>
      </c>
      <c r="E330" s="121" t="inlineStr">
        <is>
          <t>Not identified (directory listing only)</t>
        </is>
      </c>
      <c r="F330" s="124" t="inlineStr">
        <is>
          <t>Taichung</t>
        </is>
      </c>
      <c r="G330" s="121" t="inlineStr">
        <is>
          <t>Not published</t>
        </is>
      </c>
      <c r="H330" s="121" t="inlineStr">
        <is>
          <t>04-2311-5878</t>
        </is>
      </c>
      <c r="I330" s="121" t="inlineStr">
        <is>
          <t>Directory listing only: general medical device trader, retailer or maker in Taichung; ultrasound capability unconfirmed.</t>
        </is>
      </c>
      <c r="J330" s="121" t="inlineStr">
        <is>
          <t>SonoAir 70 + SonoEye P3 (confirm line card first)</t>
        </is>
      </c>
      <c r="K330" s="151" t="inlineStr">
        <is>
          <t>3</t>
        </is>
      </c>
      <c r="L330" s="121" t="inlineStr">
        <is>
          <t>Tier 3: long tail from the TCMICA member directory, added 6 Oct 2026 after the first send; email on file, not yet contacted.</t>
        </is>
      </c>
      <c r="M330" s="121" t="inlineStr">
        <is>
          <t>TCMICA directory 台中市醫療器材商業同業公會 (tcmica.org.tw), read 6 Oct 2026</t>
        </is>
      </c>
      <c r="N330" s="152" t="n"/>
      <c r="O330" s="153" t="n"/>
      <c r="P330" s="108" t="inlineStr">
        <is>
          <t>jane-tu@ctmm.com.tw</t>
        </is>
      </c>
      <c r="Q330" s="108" t="inlineStr">
        <is>
          <t>DIR: association member directory, not the company site</t>
        </is>
      </c>
      <c r="R330" s="108" t="inlineStr">
        <is>
          <t>Batch draft 5 of 7 (Send separately) saved in Winmail with Corporate Brochure 2027; not sent yet</t>
        </is>
      </c>
      <c r="S330" s="108" t="n"/>
    </row>
    <row r="331" ht="47.25" customHeight="1" s="104">
      <c r="A331" s="121" t="n">
        <v>326</v>
      </c>
      <c r="B331" s="143" t="inlineStr">
        <is>
          <t>泰陽健康企業有限公司</t>
        </is>
      </c>
      <c r="C331" s="121" t="inlineStr">
        <is>
          <t>Contacted</t>
        </is>
      </c>
      <c r="D331" s="124" t="inlineStr">
        <is>
          <t>保健器材</t>
        </is>
      </c>
      <c r="E331" s="121" t="inlineStr">
        <is>
          <t>Not identified (directory listing only)</t>
        </is>
      </c>
      <c r="F331" s="124" t="inlineStr">
        <is>
          <t>Taichung</t>
        </is>
      </c>
      <c r="G331" s="121" t="inlineStr">
        <is>
          <t>Not published</t>
        </is>
      </c>
      <c r="H331" s="121" t="inlineStr">
        <is>
          <t>04-2436-1838</t>
        </is>
      </c>
      <c r="I331" s="121" t="inlineStr">
        <is>
          <t>Directory listing only: general medical device trader, retailer or maker in Taichung; ultrasound capability unconfirmed.</t>
        </is>
      </c>
      <c r="J331" s="121" t="inlineStr">
        <is>
          <t>SonoAir 70 + SonoEye P3 (confirm line card first)</t>
        </is>
      </c>
      <c r="K331" s="151" t="inlineStr">
        <is>
          <t>3</t>
        </is>
      </c>
      <c r="L331" s="121" t="inlineStr">
        <is>
          <t>Tier 3: long tail from the TCMICA member directory, added 6 Oct 2026 after the first send; email on file, not yet contacted.</t>
        </is>
      </c>
      <c r="M331" s="121" t="inlineStr">
        <is>
          <t>TCMICA directory 台中市醫療器材商業同業公會 (tcmica.org.tw), read 6 Oct 2026</t>
        </is>
      </c>
      <c r="N331" s="152" t="n"/>
      <c r="O331" s="153" t="n"/>
      <c r="P331" s="108" t="inlineStr">
        <is>
          <t>akilayeh@gmail.com</t>
        </is>
      </c>
      <c r="Q331" s="108" t="inlineStr">
        <is>
          <t>DIR: association member directory, not the company site</t>
        </is>
      </c>
      <c r="R331" s="108" t="inlineStr">
        <is>
          <t>Batch draft 5 of 7 (Send separately) saved in Winmail with Corporate Brochure 2027; not sent yet</t>
        </is>
      </c>
      <c r="S331" s="108" t="n"/>
    </row>
    <row r="332" ht="47.25" customHeight="1" s="104">
      <c r="A332" s="121" t="n">
        <v>327</v>
      </c>
      <c r="B332" s="143" t="inlineStr">
        <is>
          <t>品侑科技有限公司</t>
        </is>
      </c>
      <c r="C332" s="121" t="inlineStr">
        <is>
          <t>Contacted</t>
        </is>
      </c>
      <c r="D332" s="124" t="inlineStr">
        <is>
          <t>牙科器材</t>
        </is>
      </c>
      <c r="E332" s="121" t="inlineStr">
        <is>
          <t>Not identified (directory listing only)</t>
        </is>
      </c>
      <c r="F332" s="124" t="inlineStr">
        <is>
          <t>Taichung</t>
        </is>
      </c>
      <c r="G332" s="121" t="inlineStr">
        <is>
          <t>Not published</t>
        </is>
      </c>
      <c r="H332" s="121" t="inlineStr">
        <is>
          <t>04-2245-4720</t>
        </is>
      </c>
      <c r="I332" s="121" t="inlineStr">
        <is>
          <t>Directory listing only: general medical device trader, retailer or maker in Taichung; ultrasound capability unconfirmed.</t>
        </is>
      </c>
      <c r="J332" s="121" t="inlineStr">
        <is>
          <t>SonoAir 70 + SonoEye P3 (confirm line card first)</t>
        </is>
      </c>
      <c r="K332" s="151" t="inlineStr">
        <is>
          <t>3</t>
        </is>
      </c>
      <c r="L332" s="121" t="inlineStr">
        <is>
          <t>Tier 3: long tail from the TCMICA member directory, added 6 Oct 2026 after the first send; email on file, not yet contacted.</t>
        </is>
      </c>
      <c r="M332" s="121" t="inlineStr">
        <is>
          <t>TCMICA directory 台中市醫療器材商業同業公會 (tcmica.org.tw), read 6 Oct 2026</t>
        </is>
      </c>
      <c r="N332" s="152" t="n"/>
      <c r="O332" s="153" t="n"/>
      <c r="P332" s="108" t="inlineStr">
        <is>
          <t>pinyutech@gmail.com</t>
        </is>
      </c>
      <c r="Q332" s="108" t="inlineStr">
        <is>
          <t>DIR: association member directory, not the company site</t>
        </is>
      </c>
      <c r="R332" s="108" t="inlineStr">
        <is>
          <t>Batch draft 5 of 7 (Send separately) saved in Winmail with Corporate Brochure 2027; not sent yet</t>
        </is>
      </c>
      <c r="S332" s="108" t="n"/>
    </row>
    <row r="333" ht="47.25" customHeight="1" s="104">
      <c r="A333" s="121" t="n">
        <v>328</v>
      </c>
      <c r="B333" s="143" t="inlineStr">
        <is>
          <t>華悅堂國際股份有限公司</t>
        </is>
      </c>
      <c r="C333" s="121" t="inlineStr">
        <is>
          <t>Contacted</t>
        </is>
      </c>
      <c r="D333" s="124" t="inlineStr">
        <is>
          <t>醫師椅</t>
        </is>
      </c>
      <c r="E333" s="121" t="inlineStr">
        <is>
          <t>Not identified (directory listing only)</t>
        </is>
      </c>
      <c r="F333" s="124" t="inlineStr">
        <is>
          <t>Taichung</t>
        </is>
      </c>
      <c r="G333" s="121" t="inlineStr">
        <is>
          <t>Not published</t>
        </is>
      </c>
      <c r="H333" s="121" t="inlineStr">
        <is>
          <t>04-2422-5797</t>
        </is>
      </c>
      <c r="I333" s="121" t="inlineStr">
        <is>
          <t>Directory listing only: general medical device trader, retailer or maker in Taichung; ultrasound capability unconfirmed.</t>
        </is>
      </c>
      <c r="J333" s="121" t="inlineStr">
        <is>
          <t>SonoAir 70 + SonoEye P3 (confirm line card first)</t>
        </is>
      </c>
      <c r="K333" s="151" t="inlineStr">
        <is>
          <t>3</t>
        </is>
      </c>
      <c r="L333" s="121" t="inlineStr">
        <is>
          <t>Tier 3: long tail from the TCMICA member directory, added 6 Oct 2026 after the first send; email on file, not yet contacted.</t>
        </is>
      </c>
      <c r="M333" s="121" t="inlineStr">
        <is>
          <t>TCMICA directory 台中市醫療器材商業同業公會 (tcmica.org.tw), read 6 Oct 2026</t>
        </is>
      </c>
      <c r="N333" s="152" t="n"/>
      <c r="O333" s="153" t="n"/>
      <c r="P333" s="108" t="inlineStr">
        <is>
          <t>howway53141649@gmail.com</t>
        </is>
      </c>
      <c r="Q333" s="108" t="inlineStr">
        <is>
          <t>DIR: association member directory, not the company site</t>
        </is>
      </c>
      <c r="R333" s="108" t="inlineStr">
        <is>
          <t>Batch draft 5 of 7 (Send separately) saved in Winmail with Corporate Brochure 2027; not sent yet</t>
        </is>
      </c>
      <c r="S333" s="108" t="n"/>
    </row>
    <row r="334" ht="47.25" customHeight="1" s="104">
      <c r="A334" s="121" t="n">
        <v>329</v>
      </c>
      <c r="B334" s="143" t="inlineStr">
        <is>
          <t>快意寶國際有限公司</t>
        </is>
      </c>
      <c r="C334" s="121" t="inlineStr">
        <is>
          <t>Contacted</t>
        </is>
      </c>
      <c r="D334" s="124" t="inlineStr">
        <is>
          <t>中醫器材</t>
        </is>
      </c>
      <c r="E334" s="121" t="inlineStr">
        <is>
          <t>Not identified (directory listing only)</t>
        </is>
      </c>
      <c r="F334" s="124" t="inlineStr">
        <is>
          <t>Taichung</t>
        </is>
      </c>
      <c r="G334" s="121" t="inlineStr">
        <is>
          <t>Not published</t>
        </is>
      </c>
      <c r="H334" s="121" t="inlineStr">
        <is>
          <t>04-2386-1889</t>
        </is>
      </c>
      <c r="I334" s="121" t="inlineStr">
        <is>
          <t>Directory listing only: general medical device trader, retailer or maker in Taichung; ultrasound capability unconfirmed.</t>
        </is>
      </c>
      <c r="J334" s="121" t="inlineStr">
        <is>
          <t>SonoAir 70 + SonoEye P3 (confirm line card first)</t>
        </is>
      </c>
      <c r="K334" s="151" t="inlineStr">
        <is>
          <t>3</t>
        </is>
      </c>
      <c r="L334" s="121" t="inlineStr">
        <is>
          <t>Tier 3: long tail from the TCMICA member directory, added 6 Oct 2026 after the first send; email on file, not yet contacted.</t>
        </is>
      </c>
      <c r="M334" s="121" t="inlineStr">
        <is>
          <t>TCMICA directory 台中市醫療器材商業同業公會 (tcmica.org.tw), read 6 Oct 2026</t>
        </is>
      </c>
      <c r="N334" s="152" t="n"/>
      <c r="O334" s="153" t="n"/>
      <c r="P334" s="108" t="inlineStr">
        <is>
          <t>kyp6788@hotmail.com</t>
        </is>
      </c>
      <c r="Q334" s="108" t="inlineStr">
        <is>
          <t>DIR: association member directory, not the company site</t>
        </is>
      </c>
      <c r="R334" s="108" t="inlineStr">
        <is>
          <t>Batch draft 5 of 7 (Send separately) saved in Winmail with Corporate Brochure 2027; not sent yet</t>
        </is>
      </c>
      <c r="S334" s="108" t="n"/>
    </row>
    <row r="335" ht="47.25" customHeight="1" s="104">
      <c r="A335" s="121" t="n">
        <v>330</v>
      </c>
      <c r="B335" s="143" t="inlineStr">
        <is>
          <t>松揚實業有限公司</t>
        </is>
      </c>
      <c r="C335" s="121" t="inlineStr">
        <is>
          <t>Contacted</t>
        </is>
      </c>
      <c r="D335" s="124" t="inlineStr">
        <is>
          <t>醫療器材、化粧保養品</t>
        </is>
      </c>
      <c r="E335" s="121" t="inlineStr">
        <is>
          <t>Not identified (directory listing only)</t>
        </is>
      </c>
      <c r="F335" s="124" t="inlineStr">
        <is>
          <t>Taichung</t>
        </is>
      </c>
      <c r="G335" s="121" t="inlineStr">
        <is>
          <t>Not published</t>
        </is>
      </c>
      <c r="H335" s="121" t="inlineStr">
        <is>
          <t>04-2422-9687</t>
        </is>
      </c>
      <c r="I335" s="121" t="inlineStr">
        <is>
          <t>Directory listing only: general medical device trader, retailer or maker in Taichung; ultrasound capability unconfirmed.</t>
        </is>
      </c>
      <c r="J335" s="121" t="inlineStr">
        <is>
          <t>SonoAir 70 + SonoEye P3 (confirm line card first)</t>
        </is>
      </c>
      <c r="K335" s="151" t="inlineStr">
        <is>
          <t>3</t>
        </is>
      </c>
      <c r="L335" s="121" t="inlineStr">
        <is>
          <t>Tier 3: long tail from the TCMICA member directory, added 6 Oct 2026 after the first send; email on file, not yet contacted.</t>
        </is>
      </c>
      <c r="M335" s="121" t="inlineStr">
        <is>
          <t>TCMICA directory 台中市醫療器材商業同業公會 (tcmica.org.tw), read 6 Oct 2026</t>
        </is>
      </c>
      <c r="N335" s="152" t="n"/>
      <c r="O335" s="153" t="n"/>
      <c r="P335" s="108" t="inlineStr">
        <is>
          <t>chem.house@msa.hinet.net</t>
        </is>
      </c>
      <c r="Q335" s="108" t="inlineStr">
        <is>
          <t>DIR: association member directory, not the company site</t>
        </is>
      </c>
      <c r="R335" s="108" t="inlineStr">
        <is>
          <t>Batch draft 5 of 7 (Send separately) saved in Winmail with Corporate Brochure 2027; not sent yet</t>
        </is>
      </c>
      <c r="S335" s="108" t="n"/>
    </row>
    <row r="336" ht="47.25" customHeight="1" s="104">
      <c r="A336" s="121" t="n">
        <v>331</v>
      </c>
      <c r="B336" s="143" t="inlineStr">
        <is>
          <t>杏德瑞拉生技有限公司</t>
        </is>
      </c>
      <c r="C336" s="121" t="inlineStr">
        <is>
          <t>Contacted</t>
        </is>
      </c>
      <c r="D336" s="124" t="inlineStr">
        <is>
          <t>醫療器材</t>
        </is>
      </c>
      <c r="E336" s="121" t="inlineStr">
        <is>
          <t>Not identified (directory listing only)</t>
        </is>
      </c>
      <c r="F336" s="124" t="inlineStr">
        <is>
          <t>Taichung</t>
        </is>
      </c>
      <c r="G336" s="121" t="inlineStr">
        <is>
          <t>Not published</t>
        </is>
      </c>
      <c r="H336" s="121" t="inlineStr">
        <is>
          <t>Not published in directory</t>
        </is>
      </c>
      <c r="I336" s="121" t="inlineStr">
        <is>
          <t>Directory listing only: general medical device trader, retailer or maker in Taichung; ultrasound capability unconfirmed.</t>
        </is>
      </c>
      <c r="J336" s="121" t="inlineStr">
        <is>
          <t>SonoAir 70 + SonoEye P3 (confirm line card first)</t>
        </is>
      </c>
      <c r="K336" s="151" t="inlineStr">
        <is>
          <t>3</t>
        </is>
      </c>
      <c r="L336" s="121" t="inlineStr">
        <is>
          <t>Tier 3: long tail from the TCMICA member directory, added 6 Oct 2026 after the first send; email on file, not yet contacted.</t>
        </is>
      </c>
      <c r="M336" s="121" t="inlineStr">
        <is>
          <t>TCMICA directory 台中市醫療器材商業同業公會 (tcmica.org.tw), read 6 Oct 2026</t>
        </is>
      </c>
      <c r="N336" s="152" t="n"/>
      <c r="O336" s="153" t="n"/>
      <c r="P336" s="108" t="inlineStr">
        <is>
          <t>cinderella.clinic2017@gmail.com</t>
        </is>
      </c>
      <c r="Q336" s="108" t="inlineStr">
        <is>
          <t>DIR: association member directory, not the company site</t>
        </is>
      </c>
      <c r="R336" s="108" t="inlineStr">
        <is>
          <t>Batch draft 5 of 7 (Send separately) saved in Winmail with Corporate Brochure 2027; not sent yet</t>
        </is>
      </c>
      <c r="S336" s="108" t="n"/>
    </row>
    <row r="337" ht="47.25" customHeight="1" s="104">
      <c r="A337" s="121" t="n">
        <v>332</v>
      </c>
      <c r="B337" s="143" t="inlineStr">
        <is>
          <t>翊捷洋企業有限公司</t>
        </is>
      </c>
      <c r="C337" s="121" t="inlineStr">
        <is>
          <t>Contacted</t>
        </is>
      </c>
      <c r="D337" s="124" t="inlineStr">
        <is>
          <t>醫療器材批發零售、國際貿易</t>
        </is>
      </c>
      <c r="E337" s="121" t="inlineStr">
        <is>
          <t>Not identified (directory listing only)</t>
        </is>
      </c>
      <c r="F337" s="124" t="inlineStr">
        <is>
          <t>Taichung</t>
        </is>
      </c>
      <c r="G337" s="121" t="inlineStr">
        <is>
          <t>Not published</t>
        </is>
      </c>
      <c r="H337" s="121" t="inlineStr">
        <is>
          <t>04-2233-9151</t>
        </is>
      </c>
      <c r="I337" s="121" t="inlineStr">
        <is>
          <t>Directory listing only: general medical device trader, retailer or maker in Taichung; ultrasound capability unconfirmed.</t>
        </is>
      </c>
      <c r="J337" s="121" t="inlineStr">
        <is>
          <t>SonoAir 70 + SonoEye P3 (confirm line card first)</t>
        </is>
      </c>
      <c r="K337" s="151" t="inlineStr">
        <is>
          <t>3</t>
        </is>
      </c>
      <c r="L337" s="121" t="inlineStr">
        <is>
          <t>Tier 3: long tail from the TCMICA member directory, added 6 Oct 2026 after the first send; email on file, not yet contacted.</t>
        </is>
      </c>
      <c r="M337" s="121" t="inlineStr">
        <is>
          <t>TCMICA directory 台中市醫療器材商業同業公會 (tcmica.org.tw), read 6 Oct 2026</t>
        </is>
      </c>
      <c r="N337" s="152" t="n"/>
      <c r="O337" s="153" t="n"/>
      <c r="P337" s="108" t="inlineStr">
        <is>
          <t>sales@buffalo-tools.com</t>
        </is>
      </c>
      <c r="Q337" s="108" t="inlineStr">
        <is>
          <t>DIR: association member directory, not the company site</t>
        </is>
      </c>
      <c r="R337" s="108" t="inlineStr">
        <is>
          <t>Batch draft 5 of 7 (Send separately) saved in Winmail with Corporate Brochure 2027; not sent yet</t>
        </is>
      </c>
      <c r="S337" s="108" t="n"/>
    </row>
    <row r="338" ht="47.25" customHeight="1" s="104">
      <c r="A338" s="121" t="n">
        <v>333</v>
      </c>
      <c r="B338" s="143" t="inlineStr">
        <is>
          <t>主悅國際有限公司</t>
        </is>
      </c>
      <c r="C338" s="121" t="inlineStr">
        <is>
          <t>Contacted</t>
        </is>
      </c>
      <c r="D338" s="124" t="inlineStr">
        <is>
          <t>醫療器材批發零售</t>
        </is>
      </c>
      <c r="E338" s="121" t="inlineStr">
        <is>
          <t>Not identified (directory listing only)</t>
        </is>
      </c>
      <c r="F338" s="124" t="inlineStr">
        <is>
          <t>Taichung</t>
        </is>
      </c>
      <c r="G338" s="121" t="inlineStr">
        <is>
          <t>Not published</t>
        </is>
      </c>
      <c r="H338" s="121" t="inlineStr">
        <is>
          <t>Not published in directory</t>
        </is>
      </c>
      <c r="I338" s="121" t="inlineStr">
        <is>
          <t>Directory listing only: general medical device trader, retailer or maker in Taichung; ultrasound capability unconfirmed.</t>
        </is>
      </c>
      <c r="J338" s="121" t="inlineStr">
        <is>
          <t>SonoAir 70 + SonoEye P3 (confirm line card first)</t>
        </is>
      </c>
      <c r="K338" s="151" t="inlineStr">
        <is>
          <t>3</t>
        </is>
      </c>
      <c r="L338" s="121" t="inlineStr">
        <is>
          <t>Tier 3: long tail from the TCMICA member directory, added 6 Oct 2026 after the first send; email on file, not yet contacted.</t>
        </is>
      </c>
      <c r="M338" s="121" t="inlineStr">
        <is>
          <t>TCMICA directory 台中市醫療器材商業同業公會 (tcmica.org.tw), read 6 Oct 2026</t>
        </is>
      </c>
      <c r="N338" s="152" t="n"/>
      <c r="O338" s="153" t="n"/>
      <c r="P338" s="108" t="inlineStr">
        <is>
          <t>883samuel@gmail.com</t>
        </is>
      </c>
      <c r="Q338" s="108" t="inlineStr">
        <is>
          <t>DIR: association member directory, not the company site</t>
        </is>
      </c>
      <c r="R338" s="108" t="inlineStr">
        <is>
          <t>Batch draft 5 of 7 (Send separately) saved in Winmail with Corporate Brochure 2027; not sent yet</t>
        </is>
      </c>
      <c r="S338" s="108" t="n"/>
    </row>
    <row r="339" ht="47.25" customHeight="1" s="104">
      <c r="A339" s="121" t="n">
        <v>334</v>
      </c>
      <c r="B339" s="143" t="inlineStr">
        <is>
          <t>富貴長久科技有限公司</t>
        </is>
      </c>
      <c r="C339" s="121" t="inlineStr">
        <is>
          <t>Contacted</t>
        </is>
      </c>
      <c r="D339" s="124" t="inlineStr">
        <is>
          <t>醫療器材</t>
        </is>
      </c>
      <c r="E339" s="121" t="inlineStr">
        <is>
          <t>Not identified (directory listing only)</t>
        </is>
      </c>
      <c r="F339" s="124" t="inlineStr">
        <is>
          <t>Taichung</t>
        </is>
      </c>
      <c r="G339" s="121" t="inlineStr">
        <is>
          <t>Not published</t>
        </is>
      </c>
      <c r="H339" s="121" t="inlineStr">
        <is>
          <t>04-2237-8607</t>
        </is>
      </c>
      <c r="I339" s="121" t="inlineStr">
        <is>
          <t>Directory listing only: general medical device trader, retailer or maker in Taichung; ultrasound capability unconfirmed.</t>
        </is>
      </c>
      <c r="J339" s="121" t="inlineStr">
        <is>
          <t>SonoAir 70 + SonoEye P3 (confirm line card first)</t>
        </is>
      </c>
      <c r="K339" s="151" t="inlineStr">
        <is>
          <t>3</t>
        </is>
      </c>
      <c r="L339" s="121" t="inlineStr">
        <is>
          <t>Tier 3: long tail from the TCMICA member directory, added 6 Oct 2026 after the first send; email on file, not yet contacted.</t>
        </is>
      </c>
      <c r="M339" s="121" t="inlineStr">
        <is>
          <t>TCMICA directory 台中市醫療器材商業同業公會 (tcmica.org.tw), read 6 Oct 2026</t>
        </is>
      </c>
      <c r="N339" s="152" t="n"/>
      <c r="O339" s="153" t="n"/>
      <c r="P339" s="108" t="inlineStr">
        <is>
          <t>csc5432168@yahoo.com.tw</t>
        </is>
      </c>
      <c r="Q339" s="108" t="inlineStr">
        <is>
          <t>DIR: association member directory, not the company site</t>
        </is>
      </c>
      <c r="R339" s="108" t="inlineStr">
        <is>
          <t>Batch draft 5 of 7 (Send separately) saved in Winmail with Corporate Brochure 2027; not sent yet</t>
        </is>
      </c>
      <c r="S339" s="108" t="n"/>
    </row>
    <row r="340" ht="47.25" customHeight="1" s="104">
      <c r="A340" s="121" t="n">
        <v>335</v>
      </c>
      <c r="B340" s="143" t="inlineStr">
        <is>
          <t>五富生物科技有限公司</t>
        </is>
      </c>
      <c r="C340" s="121" t="inlineStr">
        <is>
          <t>Contacted</t>
        </is>
      </c>
      <c r="D340" s="124" t="inlineStr">
        <is>
          <t>醫療器材</t>
        </is>
      </c>
      <c r="E340" s="121" t="inlineStr">
        <is>
          <t>Not identified (directory listing only)</t>
        </is>
      </c>
      <c r="F340" s="124" t="inlineStr">
        <is>
          <t>Taichung</t>
        </is>
      </c>
      <c r="G340" s="121" t="inlineStr">
        <is>
          <t>Not published</t>
        </is>
      </c>
      <c r="H340" s="121" t="inlineStr">
        <is>
          <t>04-2535-9197</t>
        </is>
      </c>
      <c r="I340" s="121" t="inlineStr">
        <is>
          <t>Directory listing only: general medical device trader, retailer or maker in Taichung; ultrasound capability unconfirmed.</t>
        </is>
      </c>
      <c r="J340" s="121" t="inlineStr">
        <is>
          <t>SonoAir 70 + SonoEye P3 (confirm line card first)</t>
        </is>
      </c>
      <c r="K340" s="151" t="inlineStr">
        <is>
          <t>3</t>
        </is>
      </c>
      <c r="L340" s="121" t="inlineStr">
        <is>
          <t>Tier 3: long tail from the TCMICA member directory, added 6 Oct 2026 after the first send; email on file, not yet contacted.</t>
        </is>
      </c>
      <c r="M340" s="121" t="inlineStr">
        <is>
          <t>TCMICA directory 台中市醫療器材商業同業公會 (tcmica.org.tw), read 6 Oct 2026</t>
        </is>
      </c>
      <c r="N340" s="152" t="n"/>
      <c r="O340" s="153" t="n"/>
      <c r="P340" s="108" t="inlineStr">
        <is>
          <t>fivewealthbio@gmail.com</t>
        </is>
      </c>
      <c r="Q340" s="108" t="inlineStr">
        <is>
          <t>DIR: association member directory, not the company site</t>
        </is>
      </c>
      <c r="R340" s="108" t="inlineStr">
        <is>
          <t>Batch draft 5 of 7 (Send separately) saved in Winmail with Corporate Brochure 2027; not sent yet</t>
        </is>
      </c>
      <c r="S340" s="108" t="n"/>
    </row>
    <row r="341" ht="47.25" customHeight="1" s="104">
      <c r="A341" s="121" t="n">
        <v>336</v>
      </c>
      <c r="B341" s="143" t="inlineStr">
        <is>
          <t>台灣麗總生技有限公司</t>
        </is>
      </c>
      <c r="C341" s="121" t="inlineStr">
        <is>
          <t>Contacted</t>
        </is>
      </c>
      <c r="D341" s="124" t="inlineStr">
        <is>
          <t>醫療器材</t>
        </is>
      </c>
      <c r="E341" s="121" t="inlineStr">
        <is>
          <t>Not identified (directory listing only)</t>
        </is>
      </c>
      <c r="F341" s="124" t="inlineStr">
        <is>
          <t>Taichung</t>
        </is>
      </c>
      <c r="G341" s="121" t="inlineStr">
        <is>
          <t>Not published</t>
        </is>
      </c>
      <c r="H341" s="121" t="inlineStr">
        <is>
          <t>04-2247-6919</t>
        </is>
      </c>
      <c r="I341" s="121" t="inlineStr">
        <is>
          <t>Directory listing only: general medical device trader, retailer or maker in Taichung; ultrasound capability unconfirmed.</t>
        </is>
      </c>
      <c r="J341" s="121" t="inlineStr">
        <is>
          <t>SonoAir 70 + SonoEye P3 (confirm line card first)</t>
        </is>
      </c>
      <c r="K341" s="151" t="inlineStr">
        <is>
          <t>3</t>
        </is>
      </c>
      <c r="L341" s="121" t="inlineStr">
        <is>
          <t>Tier 3: long tail from the TCMICA member directory, added 6 Oct 2026 after the first send; email on file, not yet contacted.</t>
        </is>
      </c>
      <c r="M341" s="121" t="inlineStr">
        <is>
          <t>TCMICA directory 台中市醫療器材商業同業公會 (tcmica.org.tw), read 6 Oct 2026</t>
        </is>
      </c>
      <c r="N341" s="152" t="n"/>
      <c r="O341" s="153" t="n"/>
      <c r="P341" s="108" t="inlineStr">
        <is>
          <t>kuanhung527@hotmail.com.tw</t>
        </is>
      </c>
      <c r="Q341" s="108" t="inlineStr">
        <is>
          <t>DIR: association member directory, not the company site</t>
        </is>
      </c>
      <c r="R341" s="108" t="inlineStr">
        <is>
          <t>Batch draft 5 of 7 (Send separately) saved in Winmail with Corporate Brochure 2027; not sent yet</t>
        </is>
      </c>
      <c r="S341" s="108" t="n"/>
    </row>
    <row r="342" ht="47.25" customHeight="1" s="104">
      <c r="A342" s="121" t="n">
        <v>337</v>
      </c>
      <c r="B342" s="143" t="inlineStr">
        <is>
          <t>萌特國際有限公司</t>
        </is>
      </c>
      <c r="C342" s="121" t="inlineStr">
        <is>
          <t>Contacted</t>
        </is>
      </c>
      <c r="D342" s="124" t="inlineStr">
        <is>
          <t>醫療器材</t>
        </is>
      </c>
      <c r="E342" s="121" t="inlineStr">
        <is>
          <t>Not identified (directory listing only)</t>
        </is>
      </c>
      <c r="F342" s="124" t="inlineStr">
        <is>
          <t>Taichung</t>
        </is>
      </c>
      <c r="G342" s="121" t="inlineStr">
        <is>
          <t>Not published</t>
        </is>
      </c>
      <c r="H342" s="121" t="inlineStr">
        <is>
          <t>04-2239-0530</t>
        </is>
      </c>
      <c r="I342" s="121" t="inlineStr">
        <is>
          <t>Directory listing only: general medical device trader, retailer or maker in Taichung; ultrasound capability unconfirmed.</t>
        </is>
      </c>
      <c r="J342" s="121" t="inlineStr">
        <is>
          <t>SonoAir 70 + SonoEye P3 (confirm line card first)</t>
        </is>
      </c>
      <c r="K342" s="151" t="inlineStr">
        <is>
          <t>3</t>
        </is>
      </c>
      <c r="L342" s="121" t="inlineStr">
        <is>
          <t>Tier 3: long tail from the TCMICA member directory, added 6 Oct 2026 after the first send; email on file, not yet contacted.</t>
        </is>
      </c>
      <c r="M342" s="121" t="inlineStr">
        <is>
          <t>TCMICA directory 台中市醫療器材商業同業公會 (tcmica.org.tw), read 6 Oct 2026</t>
        </is>
      </c>
      <c r="N342" s="152" t="n"/>
      <c r="O342" s="153" t="n"/>
      <c r="P342" s="108" t="inlineStr">
        <is>
          <t>montarmontar331@gmail.com</t>
        </is>
      </c>
      <c r="Q342" s="108" t="inlineStr">
        <is>
          <t>DIR: association member directory, not the company site</t>
        </is>
      </c>
      <c r="R342" s="108" t="inlineStr">
        <is>
          <t>Batch draft 5 of 7 (Send separately) saved in Winmail with Corporate Brochure 2027; not sent yet</t>
        </is>
      </c>
      <c r="S342" s="108" t="n"/>
    </row>
    <row r="343" ht="47.25" customHeight="1" s="104">
      <c r="A343" s="121" t="n">
        <v>338</v>
      </c>
      <c r="B343" s="143" t="inlineStr">
        <is>
          <t>歐穩科技有限公司</t>
        </is>
      </c>
      <c r="C343" s="121" t="inlineStr">
        <is>
          <t>Contacted</t>
        </is>
      </c>
      <c r="D343" s="124" t="inlineStr">
        <is>
          <t>醫療器材</t>
        </is>
      </c>
      <c r="E343" s="121" t="inlineStr">
        <is>
          <t>Not identified (directory listing only)</t>
        </is>
      </c>
      <c r="F343" s="124" t="inlineStr">
        <is>
          <t>Taichung</t>
        </is>
      </c>
      <c r="G343" s="121" t="inlineStr">
        <is>
          <t>Not published</t>
        </is>
      </c>
      <c r="H343" s="121" t="inlineStr">
        <is>
          <t>04-2437-6648</t>
        </is>
      </c>
      <c r="I343" s="121" t="inlineStr">
        <is>
          <t>Directory listing only: general medical device trader, retailer or maker in Taichung; ultrasound capability unconfirmed.</t>
        </is>
      </c>
      <c r="J343" s="121" t="inlineStr">
        <is>
          <t>SonoAir 70 + SonoEye P3 (confirm line card first)</t>
        </is>
      </c>
      <c r="K343" s="151" t="inlineStr">
        <is>
          <t>3</t>
        </is>
      </c>
      <c r="L343" s="121" t="inlineStr">
        <is>
          <t>Tier 3: long tail from the TCMICA member directory, added 6 Oct 2026 after the first send; email on file, not yet contacted.</t>
        </is>
      </c>
      <c r="M343" s="121" t="inlineStr">
        <is>
          <t>TCMICA directory 台中市醫療器材商業同業公會 (tcmica.org.tw), read 6 Oct 2026</t>
        </is>
      </c>
      <c r="N343" s="152" t="n"/>
      <c r="O343" s="153" t="n"/>
      <c r="P343" s="108" t="inlineStr">
        <is>
          <t>swtsai@wincool.com.tw</t>
        </is>
      </c>
      <c r="Q343" s="108" t="inlineStr">
        <is>
          <t>DIR: association member directory, not the company site</t>
        </is>
      </c>
      <c r="R343" s="108" t="inlineStr">
        <is>
          <t>Batch draft 5 of 7 (Send separately) saved in Winmail with Corporate Brochure 2027; not sent yet</t>
        </is>
      </c>
      <c r="S343" s="108" t="n"/>
    </row>
    <row r="344" ht="47.25" customHeight="1" s="104">
      <c r="A344" s="121" t="n">
        <v>339</v>
      </c>
      <c r="B344" s="143" t="inlineStr">
        <is>
          <t>維鋒國際有限公司</t>
        </is>
      </c>
      <c r="C344" s="121" t="inlineStr">
        <is>
          <t>Contacted</t>
        </is>
      </c>
      <c r="D344" s="124" t="inlineStr">
        <is>
          <t>醫療器材</t>
        </is>
      </c>
      <c r="E344" s="121" t="inlineStr">
        <is>
          <t>Not identified (directory listing only)</t>
        </is>
      </c>
      <c r="F344" s="124" t="inlineStr">
        <is>
          <t>Taichung</t>
        </is>
      </c>
      <c r="G344" s="121" t="inlineStr">
        <is>
          <t>Not published</t>
        </is>
      </c>
      <c r="H344" s="121" t="inlineStr">
        <is>
          <t>04-2228-9538</t>
        </is>
      </c>
      <c r="I344" s="121" t="inlineStr">
        <is>
          <t>Directory listing only: general medical device trader, retailer or maker in Taichung; ultrasound capability unconfirmed.</t>
        </is>
      </c>
      <c r="J344" s="121" t="inlineStr">
        <is>
          <t>SonoAir 70 + SonoEye P3 (confirm line card first)</t>
        </is>
      </c>
      <c r="K344" s="151" t="inlineStr">
        <is>
          <t>3</t>
        </is>
      </c>
      <c r="L344" s="121" t="inlineStr">
        <is>
          <t>Tier 3: long tail from the TCMICA member directory, added 6 Oct 2026 after the first send; email on file, not yet contacted.</t>
        </is>
      </c>
      <c r="M344" s="121" t="inlineStr">
        <is>
          <t>TCMICA directory 台中市醫療器材商業同業公會 (tcmica.org.tw), read 6 Oct 2026</t>
        </is>
      </c>
      <c r="N344" s="152" t="n"/>
      <c r="O344" s="153" t="n"/>
      <c r="P344" s="108" t="inlineStr">
        <is>
          <t>wealthfoundoc@gmail.com</t>
        </is>
      </c>
      <c r="Q344" s="108" t="inlineStr">
        <is>
          <t>DIR: association member directory, not the company site</t>
        </is>
      </c>
      <c r="R344" s="108" t="inlineStr">
        <is>
          <t>Batch draft 5 of 7 (Send separately) saved in Winmail with Corporate Brochure 2027; not sent yet</t>
        </is>
      </c>
      <c r="S344" s="108" t="n"/>
    </row>
    <row r="345" ht="47.25" customHeight="1" s="104">
      <c r="A345" s="121" t="n">
        <v>340</v>
      </c>
      <c r="B345" s="143" t="inlineStr">
        <is>
          <t>漢彌醫療器材有限公司</t>
        </is>
      </c>
      <c r="C345" s="121" t="inlineStr">
        <is>
          <t>Contacted</t>
        </is>
      </c>
      <c r="D345" s="124" t="inlineStr">
        <is>
          <t>家庭護理、醫療器材</t>
        </is>
      </c>
      <c r="E345" s="121" t="inlineStr">
        <is>
          <t>Not identified (directory listing only)</t>
        </is>
      </c>
      <c r="F345" s="124" t="inlineStr">
        <is>
          <t>Taichung</t>
        </is>
      </c>
      <c r="G345" s="121" t="inlineStr">
        <is>
          <t>Not published</t>
        </is>
      </c>
      <c r="H345" s="121" t="inlineStr">
        <is>
          <t>04-2461-6666</t>
        </is>
      </c>
      <c r="I345" s="121" t="inlineStr">
        <is>
          <t>Directory listing only: general medical device trader, retailer or maker in Taichung; ultrasound capability unconfirmed.</t>
        </is>
      </c>
      <c r="J345" s="121" t="inlineStr">
        <is>
          <t>SonoAir 70 + SonoEye P3 (confirm line card first)</t>
        </is>
      </c>
      <c r="K345" s="151" t="inlineStr">
        <is>
          <t>3</t>
        </is>
      </c>
      <c r="L345" s="121" t="inlineStr">
        <is>
          <t>Tier 3: long tail from the TCMICA member directory, added 6 Oct 2026 after the first send; email on file, not yet contacted.</t>
        </is>
      </c>
      <c r="M345" s="121" t="inlineStr">
        <is>
          <t>TCMICA directory 台中市醫療器材商業同業公會 (tcmica.org.tw), read 6 Oct 2026</t>
        </is>
      </c>
      <c r="N345" s="152" t="n"/>
      <c r="O345" s="153" t="n"/>
      <c r="P345" s="108" t="inlineStr">
        <is>
          <t>hm24635793@yahoo.com.tw</t>
        </is>
      </c>
      <c r="Q345" s="108" t="inlineStr">
        <is>
          <t>DIR: association member directory, not the company site</t>
        </is>
      </c>
      <c r="R345" s="108" t="inlineStr">
        <is>
          <t>Batch draft 6 of 7 (Send separately) saved in Winmail with Corporate Brochure 2027; not sent yet</t>
        </is>
      </c>
      <c r="S345" s="108" t="n"/>
    </row>
    <row r="346" ht="47.25" customHeight="1" s="104">
      <c r="A346" s="121" t="n">
        <v>341</v>
      </c>
      <c r="B346" s="143" t="inlineStr">
        <is>
          <t>正德傷殘用具製造廠有限公司</t>
        </is>
      </c>
      <c r="C346" s="121" t="inlineStr">
        <is>
          <t>Contacted</t>
        </is>
      </c>
      <c r="D346" s="124" t="inlineStr">
        <is>
          <t>義肢、矯正背架、骨折保護架</t>
        </is>
      </c>
      <c r="E346" s="121" t="inlineStr">
        <is>
          <t>Not identified (directory listing only)</t>
        </is>
      </c>
      <c r="F346" s="124" t="inlineStr">
        <is>
          <t>Taichung</t>
        </is>
      </c>
      <c r="G346" s="121" t="inlineStr">
        <is>
          <t>Not published</t>
        </is>
      </c>
      <c r="H346" s="121" t="inlineStr">
        <is>
          <t>04-2311-0656</t>
        </is>
      </c>
      <c r="I346" s="121" t="inlineStr">
        <is>
          <t>Directory listing only: general medical device trader, retailer or maker in Taichung; ultrasound capability unconfirmed.</t>
        </is>
      </c>
      <c r="J346" s="121" t="inlineStr">
        <is>
          <t>SonoAir 70 + SonoEye P3 (confirm line card first)</t>
        </is>
      </c>
      <c r="K346" s="151" t="inlineStr">
        <is>
          <t>3</t>
        </is>
      </c>
      <c r="L346" s="121" t="inlineStr">
        <is>
          <t>Tier 3: long tail from the TCMICA member directory, added 6 Oct 2026 after the first send; email on file, not yet contacted.</t>
        </is>
      </c>
      <c r="M346" s="121" t="inlineStr">
        <is>
          <t>TCMICA directory 台中市醫療器材商業同業公會 (tcmica.org.tw), read 6 Oct 2026</t>
        </is>
      </c>
      <c r="N346" s="152" t="n"/>
      <c r="O346" s="153" t="n"/>
      <c r="P346" s="108" t="inlineStr">
        <is>
          <t>jender66@ms25.hinet.net</t>
        </is>
      </c>
      <c r="Q346" s="108" t="inlineStr">
        <is>
          <t>DIR: association member directory, not the company site</t>
        </is>
      </c>
      <c r="R346" s="108" t="inlineStr">
        <is>
          <t>Batch draft 6 of 7 (Send separately) saved in Winmail with Corporate Brochure 2027; not sent yet</t>
        </is>
      </c>
      <c r="S346" s="108" t="n"/>
    </row>
    <row r="347" ht="47.25" customHeight="1" s="104">
      <c r="A347" s="121" t="n">
        <v>342</v>
      </c>
      <c r="B347" s="143" t="inlineStr">
        <is>
          <t>好家企業股份有限公司</t>
        </is>
      </c>
      <c r="C347" s="121" t="inlineStr">
        <is>
          <t>Contacted</t>
        </is>
      </c>
      <c r="D347" s="124" t="inlineStr">
        <is>
          <t>居家護理用品製造買賣</t>
        </is>
      </c>
      <c r="E347" s="121" t="inlineStr">
        <is>
          <t>Not identified (directory listing only)</t>
        </is>
      </c>
      <c r="F347" s="124" t="inlineStr">
        <is>
          <t>Taichung</t>
        </is>
      </c>
      <c r="G347" s="121" t="inlineStr">
        <is>
          <t>Not published</t>
        </is>
      </c>
      <c r="H347" s="121" t="inlineStr">
        <is>
          <t>04-2461-9715</t>
        </is>
      </c>
      <c r="I347" s="121" t="inlineStr">
        <is>
          <t>Directory listing only: general medical device trader, retailer or maker in Taichung; ultrasound capability unconfirmed.</t>
        </is>
      </c>
      <c r="J347" s="121" t="inlineStr">
        <is>
          <t>SonoAir 70 + SonoEye P3 (confirm line card first)</t>
        </is>
      </c>
      <c r="K347" s="151" t="inlineStr">
        <is>
          <t>3</t>
        </is>
      </c>
      <c r="L347" s="121" t="inlineStr">
        <is>
          <t>Tier 3: long tail from the TCMICA member directory, added 6 Oct 2026 after the first send; email on file, not yet contacted.</t>
        </is>
      </c>
      <c r="M347" s="121" t="inlineStr">
        <is>
          <t>TCMICA directory 台中市醫療器材商業同業公會 (tcmica.org.tw), read 6 Oct 2026</t>
        </is>
      </c>
      <c r="N347" s="152" t="n"/>
      <c r="O347" s="153" t="n"/>
      <c r="P347" s="108" t="inlineStr">
        <is>
          <t>heblth.life@msa.hinet.net</t>
        </is>
      </c>
      <c r="Q347" s="108" t="inlineStr">
        <is>
          <t>DIR: association member directory, not the company site</t>
        </is>
      </c>
      <c r="R347" s="108" t="inlineStr">
        <is>
          <t>Batch draft 6 of 7 (Send separately) saved in Winmail with Corporate Brochure 2027; not sent yet</t>
        </is>
      </c>
      <c r="S347" s="108" t="n"/>
    </row>
    <row r="348" ht="47.25" customHeight="1" s="104">
      <c r="A348" s="121" t="n">
        <v>343</v>
      </c>
      <c r="B348" s="143" t="inlineStr">
        <is>
          <t>台灣產健股份有限公司</t>
        </is>
      </c>
      <c r="C348" s="121" t="inlineStr">
        <is>
          <t>Contacted</t>
        </is>
      </c>
      <c r="D348" s="124" t="inlineStr">
        <is>
          <t>護具、電位溫熱治療器</t>
        </is>
      </c>
      <c r="E348" s="121" t="inlineStr">
        <is>
          <t>Not identified (directory listing only)</t>
        </is>
      </c>
      <c r="F348" s="124" t="inlineStr">
        <is>
          <t>Taichung</t>
        </is>
      </c>
      <c r="G348" s="121" t="inlineStr">
        <is>
          <t>Not published</t>
        </is>
      </c>
      <c r="H348" s="121" t="inlineStr">
        <is>
          <t>04-2313-3011</t>
        </is>
      </c>
      <c r="I348" s="121" t="inlineStr">
        <is>
          <t>Directory listing only: general medical device trader, retailer or maker in Taichung; ultrasound capability unconfirmed.</t>
        </is>
      </c>
      <c r="J348" s="121" t="inlineStr">
        <is>
          <t>SonoAir 70 + SonoEye P3 (confirm line card first)</t>
        </is>
      </c>
      <c r="K348" s="151" t="inlineStr">
        <is>
          <t>3</t>
        </is>
      </c>
      <c r="L348" s="121" t="inlineStr">
        <is>
          <t>Tier 3: long tail from the TCMICA member directory, added 6 Oct 2026 after the first send; email on file, not yet contacted.</t>
        </is>
      </c>
      <c r="M348" s="121" t="inlineStr">
        <is>
          <t>TCMICA directory 台中市醫療器材商業同業公會 (tcmica.org.tw), read 6 Oct 2026</t>
        </is>
      </c>
      <c r="N348" s="152" t="n"/>
      <c r="O348" s="153" t="n"/>
      <c r="P348" s="108" t="inlineStr">
        <is>
          <t>managersanken@gmail.com</t>
        </is>
      </c>
      <c r="Q348" s="108" t="inlineStr">
        <is>
          <t>DIR: association member directory, not the company site</t>
        </is>
      </c>
      <c r="R348" s="108" t="inlineStr">
        <is>
          <t>Batch draft 6 of 7 (Send separately) saved in Winmail with Corporate Brochure 2027; not sent yet</t>
        </is>
      </c>
      <c r="S348" s="108" t="n"/>
    </row>
    <row r="349" ht="47.25" customHeight="1" s="104">
      <c r="A349" s="121" t="n">
        <v>344</v>
      </c>
      <c r="B349" s="143" t="inlineStr">
        <is>
          <t>建聲實業有限公司</t>
        </is>
      </c>
      <c r="C349" s="121" t="inlineStr">
        <is>
          <t>Contacted</t>
        </is>
      </c>
      <c r="D349" s="124" t="inlineStr">
        <is>
          <t>助聽器</t>
        </is>
      </c>
      <c r="E349" s="121" t="inlineStr">
        <is>
          <t>Not identified (directory listing only)</t>
        </is>
      </c>
      <c r="F349" s="124" t="inlineStr">
        <is>
          <t>Taichung</t>
        </is>
      </c>
      <c r="G349" s="121" t="inlineStr">
        <is>
          <t>Not published</t>
        </is>
      </c>
      <c r="H349" s="121" t="inlineStr">
        <is>
          <t>04-2311-1900</t>
        </is>
      </c>
      <c r="I349" s="121" t="inlineStr">
        <is>
          <t>Directory listing only: general medical device trader, retailer or maker in Taichung; ultrasound capability unconfirmed.</t>
        </is>
      </c>
      <c r="J349" s="121" t="inlineStr">
        <is>
          <t>SonoAir 70 + SonoEye P3 (confirm line card first)</t>
        </is>
      </c>
      <c r="K349" s="151" t="inlineStr">
        <is>
          <t>3</t>
        </is>
      </c>
      <c r="L349" s="121" t="inlineStr">
        <is>
          <t>Tier 3: long tail from the TCMICA member directory, added 6 Oct 2026 after the first send; email on file, not yet contacted.</t>
        </is>
      </c>
      <c r="M349" s="121" t="inlineStr">
        <is>
          <t>TCMICA directory 台中市醫療器材商業同業公會 (tcmica.org.tw), read 6 Oct 2026</t>
        </is>
      </c>
      <c r="N349" s="152" t="n"/>
      <c r="O349" s="153" t="n"/>
      <c r="P349" s="108" t="inlineStr">
        <is>
          <t>iensound88@yahoo.com.tw</t>
        </is>
      </c>
      <c r="Q349" s="108" t="inlineStr">
        <is>
          <t>DIR: association member directory, not the company site</t>
        </is>
      </c>
      <c r="R349" s="108" t="inlineStr">
        <is>
          <t>Batch draft 6 of 7 (Send separately) saved in Winmail with Corporate Brochure 2027; not sent yet</t>
        </is>
      </c>
      <c r="S349" s="108" t="n"/>
    </row>
    <row r="350" ht="47.25" customHeight="1" s="104">
      <c r="A350" s="121" t="n">
        <v>345</v>
      </c>
      <c r="B350" s="143" t="inlineStr">
        <is>
          <t>寶晨器材有限公司</t>
        </is>
      </c>
      <c r="C350" s="121" t="inlineStr">
        <is>
          <t>Contacted</t>
        </is>
      </c>
      <c r="D350" s="124" t="inlineStr">
        <is>
          <t>藥局設備器材</t>
        </is>
      </c>
      <c r="E350" s="121" t="inlineStr">
        <is>
          <t>Not identified (directory listing only)</t>
        </is>
      </c>
      <c r="F350" s="124" t="inlineStr">
        <is>
          <t>Taichung</t>
        </is>
      </c>
      <c r="G350" s="121" t="inlineStr">
        <is>
          <t>Not published</t>
        </is>
      </c>
      <c r="H350" s="121" t="inlineStr">
        <is>
          <t>04-2316-8033</t>
        </is>
      </c>
      <c r="I350" s="121" t="inlineStr">
        <is>
          <t>Directory listing only: general medical device trader, retailer or maker in Taichung; ultrasound capability unconfirmed.</t>
        </is>
      </c>
      <c r="J350" s="121" t="inlineStr">
        <is>
          <t>SonoAir 70 + SonoEye P3 (confirm line card first)</t>
        </is>
      </c>
      <c r="K350" s="151" t="inlineStr">
        <is>
          <t>3</t>
        </is>
      </c>
      <c r="L350" s="121" t="inlineStr">
        <is>
          <t>Tier 3: long tail from the TCMICA member directory, added 6 Oct 2026 after the first send; email on file, not yet contacted.</t>
        </is>
      </c>
      <c r="M350" s="121" t="inlineStr">
        <is>
          <t>TCMICA directory 台中市醫療器材商業同業公會 (tcmica.org.tw), read 6 Oct 2026</t>
        </is>
      </c>
      <c r="N350" s="152" t="n"/>
      <c r="O350" s="153" t="n"/>
      <c r="P350" s="108" t="inlineStr">
        <is>
          <t>bosan0410@yahoo.com.tw</t>
        </is>
      </c>
      <c r="Q350" s="108" t="inlineStr">
        <is>
          <t>DIR: association member directory, not the company site</t>
        </is>
      </c>
      <c r="R350" s="108" t="inlineStr">
        <is>
          <t>Batch draft 6 of 7 (Send separately) saved in Winmail with Corporate Brochure 2027; not sent yet</t>
        </is>
      </c>
      <c r="S350" s="108" t="n"/>
    </row>
    <row r="351" ht="47.25" customHeight="1" s="104">
      <c r="A351" s="121" t="n">
        <v>346</v>
      </c>
      <c r="B351" s="143" t="inlineStr">
        <is>
          <t>洽好國際股份有限公司</t>
        </is>
      </c>
      <c r="C351" s="121" t="inlineStr">
        <is>
          <t>Contacted</t>
        </is>
      </c>
      <c r="D351" s="124" t="inlineStr">
        <is>
          <t>滅菌膠帶、護理貼布</t>
        </is>
      </c>
      <c r="E351" s="121" t="inlineStr">
        <is>
          <t>Not identified (directory listing only)</t>
        </is>
      </c>
      <c r="F351" s="124" t="inlineStr">
        <is>
          <t>Taichung</t>
        </is>
      </c>
      <c r="G351" s="121" t="inlineStr">
        <is>
          <t>Not published</t>
        </is>
      </c>
      <c r="H351" s="121" t="inlineStr">
        <is>
          <t>04-2315-2211</t>
        </is>
      </c>
      <c r="I351" s="121" t="inlineStr">
        <is>
          <t>Directory listing only: general medical device trader, retailer or maker in Taichung; ultrasound capability unconfirmed.</t>
        </is>
      </c>
      <c r="J351" s="121" t="inlineStr">
        <is>
          <t>SonoAir 70 + SonoEye P3 (confirm line card first)</t>
        </is>
      </c>
      <c r="K351" s="151" t="inlineStr">
        <is>
          <t>3</t>
        </is>
      </c>
      <c r="L351" s="121" t="inlineStr">
        <is>
          <t>Tier 3: long tail from the TCMICA member directory, added 6 Oct 2026 after the first send; email on file, not yet contacted.</t>
        </is>
      </c>
      <c r="M351" s="121" t="inlineStr">
        <is>
          <t>TCMICA directory 台中市醫療器材商業同業公會 (tcmica.org.tw), read 6 Oct 2026</t>
        </is>
      </c>
      <c r="N351" s="152" t="n"/>
      <c r="O351" s="153" t="n"/>
      <c r="P351" s="108" t="inlineStr">
        <is>
          <t>chaih888@yahoo.com.tw</t>
        </is>
      </c>
      <c r="Q351" s="108" t="inlineStr">
        <is>
          <t>DIR: association member directory, not the company site</t>
        </is>
      </c>
      <c r="R351" s="108" t="inlineStr">
        <is>
          <t>Batch draft 6 of 7 (Send separately) saved in Winmail with Corporate Brochure 2027; not sent yet</t>
        </is>
      </c>
      <c r="S351" s="108" t="n"/>
    </row>
    <row r="352" ht="47.25" customHeight="1" s="104">
      <c r="A352" s="121" t="n">
        <v>347</v>
      </c>
      <c r="B352" s="143" t="inlineStr">
        <is>
          <t>敦華電子材料有限公司</t>
        </is>
      </c>
      <c r="C352" s="121" t="inlineStr">
        <is>
          <t>Contacted</t>
        </is>
      </c>
      <c r="D352" s="124" t="inlineStr">
        <is>
          <t>耳溫槍、體溫計</t>
        </is>
      </c>
      <c r="E352" s="121" t="inlineStr">
        <is>
          <t>Not identified (directory listing only)</t>
        </is>
      </c>
      <c r="F352" s="124" t="inlineStr">
        <is>
          <t>Taichung</t>
        </is>
      </c>
      <c r="G352" s="121" t="inlineStr">
        <is>
          <t>Not published</t>
        </is>
      </c>
      <c r="H352" s="121" t="inlineStr">
        <is>
          <t>04-3602-5991</t>
        </is>
      </c>
      <c r="I352" s="121" t="inlineStr">
        <is>
          <t>Directory listing only: general medical device trader, retailer or maker in Taichung; ultrasound capability unconfirmed.</t>
        </is>
      </c>
      <c r="J352" s="121" t="inlineStr">
        <is>
          <t>SonoAir 70 + SonoEye P3 (confirm line card first)</t>
        </is>
      </c>
      <c r="K352" s="151" t="inlineStr">
        <is>
          <t>3</t>
        </is>
      </c>
      <c r="L352" s="121" t="inlineStr">
        <is>
          <t>Tier 3: long tail from the TCMICA member directory, added 6 Oct 2026 after the first send; email on file, not yet contacted.</t>
        </is>
      </c>
      <c r="M352" s="121" t="inlineStr">
        <is>
          <t>TCMICA directory 台中市醫療器材商業同業公會 (tcmica.org.tw), read 6 Oct 2026</t>
        </is>
      </c>
      <c r="N352" s="152" t="n"/>
      <c r="O352" s="153" t="n"/>
      <c r="P352" s="108" t="inlineStr">
        <is>
          <t>ales@cpu.com.tw</t>
        </is>
      </c>
      <c r="Q352" s="108" t="inlineStr">
        <is>
          <t>DIR: association member directory, not the company site</t>
        </is>
      </c>
      <c r="R352" s="108" t="inlineStr">
        <is>
          <t>Batch draft 6 of 7 (Send separately) saved in Winmail with Corporate Brochure 2027; not sent yet</t>
        </is>
      </c>
      <c r="S352" s="108" t="n"/>
    </row>
    <row r="353" ht="47.25" customHeight="1" s="104">
      <c r="A353" s="121" t="n">
        <v>348</v>
      </c>
      <c r="B353" s="143" t="inlineStr">
        <is>
          <t>飛登科技股份有限公司</t>
        </is>
      </c>
      <c r="C353" s="121" t="inlineStr">
        <is>
          <t>Contacted</t>
        </is>
      </c>
      <c r="D353" s="124" t="inlineStr">
        <is>
          <t>保健器材</t>
        </is>
      </c>
      <c r="E353" s="121" t="inlineStr">
        <is>
          <t>Not identified (directory listing only)</t>
        </is>
      </c>
      <c r="F353" s="124" t="inlineStr">
        <is>
          <t>Taichung</t>
        </is>
      </c>
      <c r="G353" s="121" t="inlineStr">
        <is>
          <t>Not published</t>
        </is>
      </c>
      <c r="H353" s="121" t="inlineStr">
        <is>
          <t>04-2314-3821</t>
        </is>
      </c>
      <c r="I353" s="121" t="inlineStr">
        <is>
          <t>Directory listing only: general medical device trader, retailer or maker in Taichung; ultrasound capability unconfirmed.</t>
        </is>
      </c>
      <c r="J353" s="121" t="inlineStr">
        <is>
          <t>SonoAir 70 + SonoEye P3 (confirm line card first)</t>
        </is>
      </c>
      <c r="K353" s="151" t="inlineStr">
        <is>
          <t>3</t>
        </is>
      </c>
      <c r="L353" s="121" t="inlineStr">
        <is>
          <t>Tier 3: long tail from the TCMICA member directory, added 6 Oct 2026 after the first send; email on file, not yet contacted.</t>
        </is>
      </c>
      <c r="M353" s="121" t="inlineStr">
        <is>
          <t>TCMICA directory 台中市醫療器材商業同業公會 (tcmica.org.tw), read 6 Oct 2026</t>
        </is>
      </c>
      <c r="N353" s="152" t="n"/>
      <c r="O353" s="153" t="n"/>
      <c r="P353" s="108" t="inlineStr">
        <is>
          <t>phildom@ms59.hinet.net</t>
        </is>
      </c>
      <c r="Q353" s="108" t="inlineStr">
        <is>
          <t>DIR: association member directory, not the company site</t>
        </is>
      </c>
      <c r="R353" s="108" t="inlineStr">
        <is>
          <t>Batch draft 6 of 7 (Send separately) saved in Winmail with Corporate Brochure 2027; not sent yet</t>
        </is>
      </c>
      <c r="S353" s="108" t="n"/>
    </row>
    <row r="354" ht="47.25" customHeight="1" s="104">
      <c r="A354" s="121" t="n">
        <v>349</v>
      </c>
      <c r="B354" s="143" t="inlineStr">
        <is>
          <t>重維復健用品有限公司台中分公司</t>
        </is>
      </c>
      <c r="C354" s="121" t="inlineStr">
        <is>
          <t>Contacted</t>
        </is>
      </c>
      <c r="D354" s="124" t="inlineStr">
        <is>
          <t>復健器材</t>
        </is>
      </c>
      <c r="E354" s="121" t="inlineStr">
        <is>
          <t>Not identified (directory listing only)</t>
        </is>
      </c>
      <c r="F354" s="124" t="inlineStr">
        <is>
          <t>Taichung</t>
        </is>
      </c>
      <c r="G354" s="121" t="inlineStr">
        <is>
          <t>Not published</t>
        </is>
      </c>
      <c r="H354" s="121" t="inlineStr">
        <is>
          <t>04-2358-0448</t>
        </is>
      </c>
      <c r="I354" s="121" t="inlineStr">
        <is>
          <t>Directory listing only: general medical device trader, retailer or maker in Taichung; ultrasound capability unconfirmed.</t>
        </is>
      </c>
      <c r="J354" s="121" t="inlineStr">
        <is>
          <t>SonoAir 70 + SonoEye P3 (confirm line card first)</t>
        </is>
      </c>
      <c r="K354" s="151" t="inlineStr">
        <is>
          <t>3</t>
        </is>
      </c>
      <c r="L354" s="121" t="inlineStr">
        <is>
          <t>Tier 3: long tail from the TCMICA member directory, added 6 Oct 2026 after the first send; email on file, not yet contacted.</t>
        </is>
      </c>
      <c r="M354" s="121" t="inlineStr">
        <is>
          <t>TCMICA directory 台中市醫療器材商業同業公會 (tcmica.org.tw), read 6 Oct 2026</t>
        </is>
      </c>
      <c r="N354" s="152" t="n"/>
      <c r="O354" s="153" t="n"/>
      <c r="P354" s="108" t="inlineStr">
        <is>
          <t>service04@pro-med.tw</t>
        </is>
      </c>
      <c r="Q354" s="108" t="inlineStr">
        <is>
          <t>DIR: association member directory, not the company site</t>
        </is>
      </c>
      <c r="R354" s="108" t="inlineStr">
        <is>
          <t>Batch draft 6 of 7 (Send separately) saved in Winmail with Corporate Brochure 2027; not sent yet</t>
        </is>
      </c>
      <c r="S354" s="108" t="n"/>
    </row>
    <row r="355" ht="47.25" customHeight="1" s="104">
      <c r="A355" s="121" t="n">
        <v>350</v>
      </c>
      <c r="B355" s="143" t="inlineStr">
        <is>
          <t>梅洛實業股份有限公司</t>
        </is>
      </c>
      <c r="C355" s="121" t="inlineStr">
        <is>
          <t>Contacted</t>
        </is>
      </c>
      <c r="D355" s="124" t="inlineStr">
        <is>
          <t>電動輪椅車、復健器材</t>
        </is>
      </c>
      <c r="E355" s="121" t="inlineStr">
        <is>
          <t>Not identified (directory listing only)</t>
        </is>
      </c>
      <c r="F355" s="124" t="inlineStr">
        <is>
          <t>Taichung</t>
        </is>
      </c>
      <c r="G355" s="121" t="inlineStr">
        <is>
          <t>Not published</t>
        </is>
      </c>
      <c r="H355" s="121" t="inlineStr">
        <is>
          <t>Not published in directory</t>
        </is>
      </c>
      <c r="I355" s="121" t="inlineStr">
        <is>
          <t>Directory listing only: general medical device trader, retailer or maker in Taichung; ultrasound capability unconfirmed.</t>
        </is>
      </c>
      <c r="J355" s="121" t="inlineStr">
        <is>
          <t>SonoAir 70 + SonoEye P3 (confirm line card first)</t>
        </is>
      </c>
      <c r="K355" s="151" t="inlineStr">
        <is>
          <t>3</t>
        </is>
      </c>
      <c r="L355" s="121" t="inlineStr">
        <is>
          <t>Tier 3: long tail from the TCMICA member directory, added 6 Oct 2026 after the first send; email on file, not yet contacted.</t>
        </is>
      </c>
      <c r="M355" s="121" t="inlineStr">
        <is>
          <t>TCMICA directory 台中市醫療器材商業同業公會 (tcmica.org.tw), read 6 Oct 2026</t>
        </is>
      </c>
      <c r="N355" s="152" t="n"/>
      <c r="O355" s="153" t="n"/>
      <c r="P355" s="108" t="inlineStr">
        <is>
          <t>me.llow@msa.hinet.net</t>
        </is>
      </c>
      <c r="Q355" s="108" t="inlineStr">
        <is>
          <t>DIR: association member directory, not the company site</t>
        </is>
      </c>
      <c r="R355" s="108" t="inlineStr">
        <is>
          <t>Batch draft 6 of 7 (Send separately) saved in Winmail with Corporate Brochure 2027; not sent yet</t>
        </is>
      </c>
      <c r="S355" s="108" t="n"/>
    </row>
    <row r="356" ht="47.25" customHeight="1" s="104">
      <c r="A356" s="121" t="n">
        <v>351</v>
      </c>
      <c r="B356" s="143" t="inlineStr">
        <is>
          <t>亞美先進科技股份有限公司</t>
        </is>
      </c>
      <c r="C356" s="121" t="inlineStr">
        <is>
          <t>Contacted</t>
        </is>
      </c>
      <c r="D356" s="124" t="inlineStr">
        <is>
          <t>醫療用純水處理設備</t>
        </is>
      </c>
      <c r="E356" s="121" t="inlineStr">
        <is>
          <t>Not identified (directory listing only)</t>
        </is>
      </c>
      <c r="F356" s="124" t="inlineStr">
        <is>
          <t>Taichung</t>
        </is>
      </c>
      <c r="G356" s="121" t="inlineStr">
        <is>
          <t>Not published</t>
        </is>
      </c>
      <c r="H356" s="121" t="inlineStr">
        <is>
          <t>04-2358-0925</t>
        </is>
      </c>
      <c r="I356" s="121" t="inlineStr">
        <is>
          <t>Directory listing only: general medical device trader, retailer or maker in Taichung; ultrasound capability unconfirmed.</t>
        </is>
      </c>
      <c r="J356" s="121" t="inlineStr">
        <is>
          <t>SonoAir 70 + SonoEye P3 (confirm line card first)</t>
        </is>
      </c>
      <c r="K356" s="151" t="inlineStr">
        <is>
          <t>3</t>
        </is>
      </c>
      <c r="L356" s="121" t="inlineStr">
        <is>
          <t>Tier 3: long tail from the TCMICA member directory, added 6 Oct 2026 after the first send; email on file, not yet contacted.</t>
        </is>
      </c>
      <c r="M356" s="121" t="inlineStr">
        <is>
          <t>TCMICA directory 台中市醫療器材商業同業公會 (tcmica.org.tw), read 6 Oct 2026</t>
        </is>
      </c>
      <c r="N356" s="152" t="n"/>
      <c r="O356" s="153" t="n"/>
      <c r="P356" s="108" t="inlineStr">
        <is>
          <t>yeam@ms12.hinet.net</t>
        </is>
      </c>
      <c r="Q356" s="108" t="inlineStr">
        <is>
          <t>DIR: association member directory, not the company site</t>
        </is>
      </c>
      <c r="R356" s="108" t="inlineStr">
        <is>
          <t>Batch draft 6 of 7 (Send separately) saved in Winmail with Corporate Brochure 2027; not sent yet</t>
        </is>
      </c>
      <c r="S356" s="108" t="n"/>
    </row>
    <row r="357" ht="47.25" customHeight="1" s="104">
      <c r="A357" s="121" t="n">
        <v>352</v>
      </c>
      <c r="B357" s="143" t="inlineStr">
        <is>
          <t>博鑫生技有限公司</t>
        </is>
      </c>
      <c r="C357" s="121" t="inlineStr">
        <is>
          <t>Contacted</t>
        </is>
      </c>
      <c r="D357" s="124" t="inlineStr">
        <is>
          <t>人工關節</t>
        </is>
      </c>
      <c r="E357" s="121" t="inlineStr">
        <is>
          <t>Not identified (directory listing only)</t>
        </is>
      </c>
      <c r="F357" s="124" t="inlineStr">
        <is>
          <t>Taichung</t>
        </is>
      </c>
      <c r="G357" s="121" t="inlineStr">
        <is>
          <t>Not published</t>
        </is>
      </c>
      <c r="H357" s="121" t="inlineStr">
        <is>
          <t>04-2358-7507</t>
        </is>
      </c>
      <c r="I357" s="121" t="inlineStr">
        <is>
          <t>Directory listing only: general medical device trader, retailer or maker in Taichung; ultrasound capability unconfirmed.</t>
        </is>
      </c>
      <c r="J357" s="121" t="inlineStr">
        <is>
          <t>SonoAir 70 + SonoEye P3 (confirm line card first)</t>
        </is>
      </c>
      <c r="K357" s="151" t="inlineStr">
        <is>
          <t>3</t>
        </is>
      </c>
      <c r="L357" s="121" t="inlineStr">
        <is>
          <t>Tier 3: long tail from the TCMICA member directory, added 6 Oct 2026 after the first send; email on file, not yet contacted.</t>
        </is>
      </c>
      <c r="M357" s="121" t="inlineStr">
        <is>
          <t>TCMICA directory 台中市醫療器材商業同業公會 (tcmica.org.tw), read 6 Oct 2026</t>
        </is>
      </c>
      <c r="N357" s="152" t="n"/>
      <c r="O357" s="153" t="n"/>
      <c r="P357" s="108" t="inlineStr">
        <is>
          <t>leicacheng@hotmail.com</t>
        </is>
      </c>
      <c r="Q357" s="108" t="inlineStr">
        <is>
          <t>DIR: association member directory, not the company site</t>
        </is>
      </c>
      <c r="R357" s="108" t="inlineStr">
        <is>
          <t>Batch draft 6 of 7 (Send separately) saved in Winmail with Corporate Brochure 2027; not sent yet</t>
        </is>
      </c>
      <c r="S357" s="108" t="n"/>
    </row>
    <row r="358" ht="47.25" customHeight="1" s="104">
      <c r="A358" s="121" t="n">
        <v>353</v>
      </c>
      <c r="B358" s="143" t="inlineStr">
        <is>
          <t>康榮醫療器材行</t>
        </is>
      </c>
      <c r="C358" s="121" t="inlineStr">
        <is>
          <t>Contacted</t>
        </is>
      </c>
      <c r="D358" s="124" t="inlineStr">
        <is>
          <t>電動床、製氧機、氣墊床</t>
        </is>
      </c>
      <c r="E358" s="121" t="inlineStr">
        <is>
          <t>Not identified (directory listing only)</t>
        </is>
      </c>
      <c r="F358" s="124" t="inlineStr">
        <is>
          <t>Taichung</t>
        </is>
      </c>
      <c r="G358" s="121" t="inlineStr">
        <is>
          <t>Not published</t>
        </is>
      </c>
      <c r="H358" s="121" t="inlineStr">
        <is>
          <t>04-2462-2522</t>
        </is>
      </c>
      <c r="I358" s="121" t="inlineStr">
        <is>
          <t>Directory listing only: general medical device trader, retailer or maker in Taichung; ultrasound capability unconfirmed.</t>
        </is>
      </c>
      <c r="J358" s="121" t="inlineStr">
        <is>
          <t>SonoAir 70 + SonoEye P3 (confirm line card first)</t>
        </is>
      </c>
      <c r="K358" s="151" t="inlineStr">
        <is>
          <t>3</t>
        </is>
      </c>
      <c r="L358" s="121" t="inlineStr">
        <is>
          <t>Tier 3: long tail from the TCMICA member directory, added 6 Oct 2026 after the first send; email on file, not yet contacted.</t>
        </is>
      </c>
      <c r="M358" s="121" t="inlineStr">
        <is>
          <t>TCMICA directory 台中市醫療器材商業同業公會 (tcmica.org.tw), read 6 Oct 2026</t>
        </is>
      </c>
      <c r="N358" s="152" t="n"/>
      <c r="O358" s="153" t="n"/>
      <c r="P358" s="108" t="inlineStr">
        <is>
          <t>atta868@yahoo.com.tw</t>
        </is>
      </c>
      <c r="Q358" s="108" t="inlineStr">
        <is>
          <t>DIR: association member directory, not the company site</t>
        </is>
      </c>
      <c r="R358" s="108" t="inlineStr">
        <is>
          <t>Batch draft 6 of 7 (Send separately) saved in Winmail with Corporate Brochure 2027; not sent yet</t>
        </is>
      </c>
      <c r="S358" s="108" t="n"/>
    </row>
    <row r="359" ht="47.25" customHeight="1" s="104">
      <c r="A359" s="121" t="n">
        <v>354</v>
      </c>
      <c r="B359" s="143" t="inlineStr">
        <is>
          <t>醫盟實業有限公司</t>
        </is>
      </c>
      <c r="C359" s="121" t="inlineStr">
        <is>
          <t>Contacted</t>
        </is>
      </c>
      <c r="D359" s="124" t="inlineStr">
        <is>
          <t>巡迴醫療車、聽力檢查車、數位乳房攝影醫療車製造租賃</t>
        </is>
      </c>
      <c r="E359" s="121" t="inlineStr">
        <is>
          <t>Not identified (directory listing only)</t>
        </is>
      </c>
      <c r="F359" s="124" t="inlineStr">
        <is>
          <t>Taichung</t>
        </is>
      </c>
      <c r="G359" s="121" t="inlineStr">
        <is>
          <t>Not published</t>
        </is>
      </c>
      <c r="H359" s="121" t="inlineStr">
        <is>
          <t>04-2461-9415</t>
        </is>
      </c>
      <c r="I359" s="121" t="inlineStr">
        <is>
          <t>Directory listing only: general medical device trader, retailer or maker in Taichung; ultrasound capability unconfirmed.</t>
        </is>
      </c>
      <c r="J359" s="121" t="inlineStr">
        <is>
          <t>SonoAir 70 + SonoEye P3 (confirm line card first)</t>
        </is>
      </c>
      <c r="K359" s="151" t="inlineStr">
        <is>
          <t>3</t>
        </is>
      </c>
      <c r="L359" s="121" t="inlineStr">
        <is>
          <t>Tier 3: long tail from the TCMICA member directory, added 6 Oct 2026 after the first send; email on file, not yet contacted.</t>
        </is>
      </c>
      <c r="M359" s="121" t="inlineStr">
        <is>
          <t>TCMICA directory 台中市醫療器材商業同業公會 (tcmica.org.tw), read 6 Oct 2026</t>
        </is>
      </c>
      <c r="N359" s="152" t="n"/>
      <c r="O359" s="153" t="n"/>
      <c r="P359" s="108" t="inlineStr">
        <is>
          <t>emedical168@hotmail.com</t>
        </is>
      </c>
      <c r="Q359" s="108" t="inlineStr">
        <is>
          <t>DIR: association member directory, not the company site</t>
        </is>
      </c>
      <c r="R359" s="108" t="inlineStr">
        <is>
          <t>Batch draft 6 of 7 (Send separately) saved in Winmail with Corporate Brochure 2027; not sent yet</t>
        </is>
      </c>
      <c r="S359" s="108" t="n"/>
    </row>
    <row r="360" ht="47.25" customHeight="1" s="104">
      <c r="A360" s="121" t="n">
        <v>355</v>
      </c>
      <c r="B360" s="143" t="inlineStr">
        <is>
          <t>合鎰技研股份有限公司</t>
        </is>
      </c>
      <c r="C360" s="121" t="inlineStr">
        <is>
          <t>Contacted</t>
        </is>
      </c>
      <c r="D360" s="124" t="inlineStr">
        <is>
          <t>牙科手用器械、骨科手術器械</t>
        </is>
      </c>
      <c r="E360" s="121" t="inlineStr">
        <is>
          <t>Not identified (directory listing only)</t>
        </is>
      </c>
      <c r="F360" s="124" t="inlineStr">
        <is>
          <t>Taichung</t>
        </is>
      </c>
      <c r="G360" s="121" t="inlineStr">
        <is>
          <t>Not published</t>
        </is>
      </c>
      <c r="H360" s="121" t="inlineStr">
        <is>
          <t>04-2350-6886#565</t>
        </is>
      </c>
      <c r="I360" s="121" t="inlineStr">
        <is>
          <t>Directory listing only: general medical device trader, retailer or maker in Taichung; ultrasound capability unconfirmed.</t>
        </is>
      </c>
      <c r="J360" s="121" t="inlineStr">
        <is>
          <t>SonoAir 70 + SonoEye P3 (confirm line card first)</t>
        </is>
      </c>
      <c r="K360" s="151" t="inlineStr">
        <is>
          <t>3</t>
        </is>
      </c>
      <c r="L360" s="121" t="inlineStr">
        <is>
          <t>Tier 3: long tail from the TCMICA member directory, added 6 Oct 2026 after the first send; email on file, not yet contacted.</t>
        </is>
      </c>
      <c r="M360" s="121" t="inlineStr">
        <is>
          <t>TCMICA directory 台中市醫療器材商業同業公會 (tcmica.org.tw), read 6 Oct 2026</t>
        </is>
      </c>
      <c r="N360" s="152" t="n"/>
      <c r="O360" s="153" t="n"/>
      <c r="P360" s="108" t="inlineStr">
        <is>
          <t>mary.chen@montjade.com.tw</t>
        </is>
      </c>
      <c r="Q360" s="108" t="inlineStr">
        <is>
          <t>DIR: association member directory, not the company site</t>
        </is>
      </c>
      <c r="R360" s="108" t="inlineStr">
        <is>
          <t>Batch draft 6 of 7 (Send separately) saved in Winmail with Corporate Brochure 2027; not sent yet</t>
        </is>
      </c>
      <c r="S360" s="108" t="n"/>
    </row>
    <row r="361" ht="47.25" customHeight="1" s="104">
      <c r="A361" s="121" t="n">
        <v>356</v>
      </c>
      <c r="B361" s="143" t="inlineStr">
        <is>
          <t>柏妮絲企業社</t>
        </is>
      </c>
      <c r="C361" s="121" t="inlineStr">
        <is>
          <t>Contacted</t>
        </is>
      </c>
      <c r="D361" s="124" t="inlineStr">
        <is>
          <t>醫材類</t>
        </is>
      </c>
      <c r="E361" s="121" t="inlineStr">
        <is>
          <t>Not identified (directory listing only)</t>
        </is>
      </c>
      <c r="F361" s="124" t="inlineStr">
        <is>
          <t>Taichung</t>
        </is>
      </c>
      <c r="G361" s="121" t="inlineStr">
        <is>
          <t>Not published</t>
        </is>
      </c>
      <c r="H361" s="121" t="inlineStr">
        <is>
          <t>04-2316-1615</t>
        </is>
      </c>
      <c r="I361" s="121" t="inlineStr">
        <is>
          <t>Directory listing only: general medical device trader, retailer or maker in Taichung; ultrasound capability unconfirmed.</t>
        </is>
      </c>
      <c r="J361" s="121" t="inlineStr">
        <is>
          <t>SonoAir 70 + SonoEye P3 (confirm line card first)</t>
        </is>
      </c>
      <c r="K361" s="151" t="inlineStr">
        <is>
          <t>3</t>
        </is>
      </c>
      <c r="L361" s="121" t="inlineStr">
        <is>
          <t>Tier 3: long tail from the TCMICA member directory, added 6 Oct 2026 after the first send; email on file, not yet contacted.</t>
        </is>
      </c>
      <c r="M361" s="121" t="inlineStr">
        <is>
          <t>TCMICA directory 台中市醫療器材商業同業公會 (tcmica.org.tw), read 6 Oct 2026</t>
        </is>
      </c>
      <c r="N361" s="152" t="n"/>
      <c r="O361" s="153" t="n"/>
      <c r="P361" s="108" t="inlineStr">
        <is>
          <t>august9988tw07@yahoo.com.tw</t>
        </is>
      </c>
      <c r="Q361" s="108" t="inlineStr">
        <is>
          <t>DIR: association member directory, not the company site</t>
        </is>
      </c>
      <c r="R361" s="108" t="inlineStr">
        <is>
          <t>Batch draft 6 of 7 (Send separately) saved in Winmail with Corporate Brochure 2027; not sent yet</t>
        </is>
      </c>
      <c r="S361" s="108" t="n"/>
    </row>
    <row r="362" ht="47.25" customHeight="1" s="104">
      <c r="A362" s="121" t="n">
        <v>357</v>
      </c>
      <c r="B362" s="143" t="inlineStr">
        <is>
          <t>新浦有限公司</t>
        </is>
      </c>
      <c r="C362" s="121" t="inlineStr">
        <is>
          <t>Contacted</t>
        </is>
      </c>
      <c r="D362" s="124" t="inlineStr">
        <is>
          <t>醫材類</t>
        </is>
      </c>
      <c r="E362" s="121" t="inlineStr">
        <is>
          <t>Not identified (directory listing only)</t>
        </is>
      </c>
      <c r="F362" s="124" t="inlineStr">
        <is>
          <t>Taichung</t>
        </is>
      </c>
      <c r="G362" s="121" t="inlineStr">
        <is>
          <t>Not published</t>
        </is>
      </c>
      <c r="H362" s="121" t="inlineStr">
        <is>
          <t>04-2312-3503</t>
        </is>
      </c>
      <c r="I362" s="121" t="inlineStr">
        <is>
          <t>Directory listing only: general medical device trader, retailer or maker in Taichung; ultrasound capability unconfirmed.</t>
        </is>
      </c>
      <c r="J362" s="121" t="inlineStr">
        <is>
          <t>SonoAir 70 + SonoEye P3 (confirm line card first)</t>
        </is>
      </c>
      <c r="K362" s="151" t="inlineStr">
        <is>
          <t>3</t>
        </is>
      </c>
      <c r="L362" s="121" t="inlineStr">
        <is>
          <t>Tier 3: long tail from the TCMICA member directory, added 6 Oct 2026 after the first send; email on file, not yet contacted.</t>
        </is>
      </c>
      <c r="M362" s="121" t="inlineStr">
        <is>
          <t>TCMICA directory 台中市醫療器材商業同業公會 (tcmica.org.tw), read 6 Oct 2026</t>
        </is>
      </c>
      <c r="N362" s="152" t="n"/>
      <c r="O362" s="153" t="n"/>
      <c r="P362" s="108" t="inlineStr">
        <is>
          <t>tmlee020801@gmail.com</t>
        </is>
      </c>
      <c r="Q362" s="108" t="inlineStr">
        <is>
          <t>DIR: association member directory, not the company site</t>
        </is>
      </c>
      <c r="R362" s="108" t="inlineStr">
        <is>
          <t>Batch draft 6 of 7 (Send separately) saved in Winmail with Corporate Brochure 2027; not sent yet</t>
        </is>
      </c>
      <c r="S362" s="108" t="n"/>
    </row>
    <row r="363" ht="47.25" customHeight="1" s="104">
      <c r="A363" s="121" t="n">
        <v>358</v>
      </c>
      <c r="B363" s="143" t="inlineStr">
        <is>
          <t>吉森生技有限公司</t>
        </is>
      </c>
      <c r="C363" s="121" t="inlineStr">
        <is>
          <t>Contacted</t>
        </is>
      </c>
      <c r="D363" s="124" t="inlineStr">
        <is>
          <t>醫材類</t>
        </is>
      </c>
      <c r="E363" s="121" t="inlineStr">
        <is>
          <t>Not identified (directory listing only)</t>
        </is>
      </c>
      <c r="F363" s="124" t="inlineStr">
        <is>
          <t>Taichung</t>
        </is>
      </c>
      <c r="G363" s="121" t="inlineStr">
        <is>
          <t>Not published</t>
        </is>
      </c>
      <c r="H363" s="121" t="inlineStr">
        <is>
          <t>04-2254-0163</t>
        </is>
      </c>
      <c r="I363" s="121" t="inlineStr">
        <is>
          <t>Directory listing only: general medical device trader, retailer or maker in Taichung; ultrasound capability unconfirmed.</t>
        </is>
      </c>
      <c r="J363" s="121" t="inlineStr">
        <is>
          <t>SonoAir 70 + SonoEye P3 (confirm line card first)</t>
        </is>
      </c>
      <c r="K363" s="151" t="inlineStr">
        <is>
          <t>3</t>
        </is>
      </c>
      <c r="L363" s="121" t="inlineStr">
        <is>
          <t>Tier 3: long tail from the TCMICA member directory, added 6 Oct 2026 after the first send; email on file, not yet contacted.</t>
        </is>
      </c>
      <c r="M363" s="121" t="inlineStr">
        <is>
          <t>TCMICA directory 台中市醫療器材商業同業公會 (tcmica.org.tw), read 6 Oct 2026</t>
        </is>
      </c>
      <c r="N363" s="152" t="n"/>
      <c r="O363" s="153" t="n"/>
      <c r="P363" s="108" t="inlineStr">
        <is>
          <t>kamed2350@gmail.com</t>
        </is>
      </c>
      <c r="Q363" s="108" t="inlineStr">
        <is>
          <t>DIR: association member directory, not the company site</t>
        </is>
      </c>
      <c r="R363" s="108" t="inlineStr">
        <is>
          <t>Batch draft 6 of 7 (Send separately) saved in Winmail with Corporate Brochure 2027; not sent yet</t>
        </is>
      </c>
      <c r="S363" s="108" t="n"/>
    </row>
    <row r="364" ht="47.25" customHeight="1" s="104">
      <c r="A364" s="121" t="n">
        <v>359</v>
      </c>
      <c r="B364" s="143" t="inlineStr">
        <is>
          <t>洋陞健康生技企業有限公司</t>
        </is>
      </c>
      <c r="C364" s="121" t="inlineStr">
        <is>
          <t>Contacted</t>
        </is>
      </c>
      <c r="D364" s="124" t="inlineStr">
        <is>
          <t>健康醫療儀器器材、醫療用品</t>
        </is>
      </c>
      <c r="E364" s="121" t="inlineStr">
        <is>
          <t>Not identified (directory listing only)</t>
        </is>
      </c>
      <c r="F364" s="124" t="inlineStr">
        <is>
          <t>Taichung</t>
        </is>
      </c>
      <c r="G364" s="121" t="inlineStr">
        <is>
          <t>Not published</t>
        </is>
      </c>
      <c r="H364" s="121" t="inlineStr">
        <is>
          <t>04-2452-3898</t>
        </is>
      </c>
      <c r="I364" s="121" t="inlineStr">
        <is>
          <t>Directory listing only: general medical device trader, retailer or maker in Taichung; ultrasound capability unconfirmed.</t>
        </is>
      </c>
      <c r="J364" s="121" t="inlineStr">
        <is>
          <t>SonoAir 70 + SonoEye P3 (confirm line card first)</t>
        </is>
      </c>
      <c r="K364" s="151" t="inlineStr">
        <is>
          <t>3</t>
        </is>
      </c>
      <c r="L364" s="121" t="inlineStr">
        <is>
          <t>Tier 3: long tail from the TCMICA member directory, added 6 Oct 2026 after the first send; email on file, not yet contacted.</t>
        </is>
      </c>
      <c r="M364" s="121" t="inlineStr">
        <is>
          <t>TCMICA directory 台中市醫療器材商業同業公會 (tcmica.org.tw), read 6 Oct 2026</t>
        </is>
      </c>
      <c r="N364" s="152" t="n"/>
      <c r="O364" s="153" t="n"/>
      <c r="P364" s="108" t="inlineStr">
        <is>
          <t>youngcenter@ymail.com</t>
        </is>
      </c>
      <c r="Q364" s="108" t="inlineStr">
        <is>
          <t>DIR: association member directory, not the company site</t>
        </is>
      </c>
      <c r="R364" s="108" t="inlineStr">
        <is>
          <t>Batch draft 6 of 7 (Send separately) saved in Winmail with Corporate Brochure 2027; not sent yet</t>
        </is>
      </c>
      <c r="S364" s="108" t="n"/>
    </row>
    <row r="365" ht="47.25" customHeight="1" s="104">
      <c r="A365" s="121" t="n">
        <v>360</v>
      </c>
      <c r="B365" s="143" t="inlineStr">
        <is>
          <t>長陽生醫國際股份有限公司</t>
        </is>
      </c>
      <c r="C365" s="121" t="inlineStr">
        <is>
          <t>Contacted</t>
        </is>
      </c>
      <c r="D365" s="124" t="inlineStr">
        <is>
          <t>客製化輔具、3D醫療軟硬體</t>
        </is>
      </c>
      <c r="E365" s="121" t="inlineStr">
        <is>
          <t>Not identified (directory listing only)</t>
        </is>
      </c>
      <c r="F365" s="124" t="inlineStr">
        <is>
          <t>Taichung</t>
        </is>
      </c>
      <c r="G365" s="121" t="inlineStr">
        <is>
          <t>Not published</t>
        </is>
      </c>
      <c r="H365" s="121" t="inlineStr">
        <is>
          <t>04-2296-2688</t>
        </is>
      </c>
      <c r="I365" s="121" t="inlineStr">
        <is>
          <t>Directory listing only: general medical device trader, retailer or maker in Taichung; ultrasound capability unconfirmed.</t>
        </is>
      </c>
      <c r="J365" s="121" t="inlineStr">
        <is>
          <t>SonoAir 70 + SonoEye P3 (confirm line card first)</t>
        </is>
      </c>
      <c r="K365" s="151" t="inlineStr">
        <is>
          <t>3</t>
        </is>
      </c>
      <c r="L365" s="121" t="inlineStr">
        <is>
          <t>Tier 3: long tail from the TCMICA member directory, added 6 Oct 2026 after the first send; email on file, not yet contacted.</t>
        </is>
      </c>
      <c r="M365" s="121" t="inlineStr">
        <is>
          <t>TCMICA directory 台中市醫療器材商業同業公會 (tcmica.org.tw), read 6 Oct 2026</t>
        </is>
      </c>
      <c r="N365" s="152" t="n"/>
      <c r="O365" s="153" t="n"/>
      <c r="P365" s="108" t="inlineStr">
        <is>
          <t>annie@eybiod.com</t>
        </is>
      </c>
      <c r="Q365" s="108" t="inlineStr">
        <is>
          <t>DIR: association member directory, not the company site</t>
        </is>
      </c>
      <c r="R365" s="108" t="inlineStr">
        <is>
          <t>Batch draft 6 of 7 (Send separately) saved in Winmail with Corporate Brochure 2027; not sent yet</t>
        </is>
      </c>
      <c r="S365" s="108" t="n"/>
    </row>
    <row r="366" ht="47.25" customHeight="1" s="104">
      <c r="A366" s="121" t="n">
        <v>361</v>
      </c>
      <c r="B366" s="143" t="inlineStr">
        <is>
          <t>沛旭生技有限公司</t>
        </is>
      </c>
      <c r="C366" s="121" t="inlineStr">
        <is>
          <t>Contacted</t>
        </is>
      </c>
      <c r="D366" s="124" t="inlineStr">
        <is>
          <t>醫療器材</t>
        </is>
      </c>
      <c r="E366" s="121" t="inlineStr">
        <is>
          <t>Not identified (directory listing only)</t>
        </is>
      </c>
      <c r="F366" s="124" t="inlineStr">
        <is>
          <t>Taichung</t>
        </is>
      </c>
      <c r="G366" s="121" t="inlineStr">
        <is>
          <t>Not published</t>
        </is>
      </c>
      <c r="H366" s="121" t="inlineStr">
        <is>
          <t>04-2316-3289</t>
        </is>
      </c>
      <c r="I366" s="121" t="inlineStr">
        <is>
          <t>Directory listing only: general medical device trader, retailer or maker in Taichung; ultrasound capability unconfirmed.</t>
        </is>
      </c>
      <c r="J366" s="121" t="inlineStr">
        <is>
          <t>SonoAir 70 + SonoEye P3 (confirm line card first)</t>
        </is>
      </c>
      <c r="K366" s="151" t="inlineStr">
        <is>
          <t>3</t>
        </is>
      </c>
      <c r="L366" s="121" t="inlineStr">
        <is>
          <t>Tier 3: long tail from the TCMICA member directory, added 6 Oct 2026 after the first send; email on file, not yet contacted.</t>
        </is>
      </c>
      <c r="M366" s="121" t="inlineStr">
        <is>
          <t>TCMICA directory 台中市醫療器材商業同業公會 (tcmica.org.tw), read 6 Oct 2026</t>
        </is>
      </c>
      <c r="N366" s="152" t="n"/>
      <c r="O366" s="153" t="n"/>
      <c r="P366" s="108" t="inlineStr">
        <is>
          <t>prospine@yahoo.com.tw</t>
        </is>
      </c>
      <c r="Q366" s="108" t="inlineStr">
        <is>
          <t>DIR: association member directory, not the company site</t>
        </is>
      </c>
      <c r="R366" s="108" t="inlineStr">
        <is>
          <t>Batch draft 6 of 7 (Send separately) saved in Winmail with Corporate Brochure 2027; not sent yet</t>
        </is>
      </c>
      <c r="S366" s="108" t="n"/>
    </row>
    <row r="367" ht="47.25" customHeight="1" s="104">
      <c r="A367" s="121" t="n">
        <v>362</v>
      </c>
      <c r="B367" s="143" t="inlineStr">
        <is>
          <t>瀚菖國際有限公司</t>
        </is>
      </c>
      <c r="C367" s="121" t="inlineStr">
        <is>
          <t>Contacted</t>
        </is>
      </c>
      <c r="D367" s="124" t="inlineStr">
        <is>
          <t>醫療器材</t>
        </is>
      </c>
      <c r="E367" s="121" t="inlineStr">
        <is>
          <t>Not identified (directory listing only)</t>
        </is>
      </c>
      <c r="F367" s="124" t="inlineStr">
        <is>
          <t>Taichung</t>
        </is>
      </c>
      <c r="G367" s="121" t="inlineStr">
        <is>
          <t>Not published</t>
        </is>
      </c>
      <c r="H367" s="121" t="inlineStr">
        <is>
          <t>04-2317-8828</t>
        </is>
      </c>
      <c r="I367" s="121" t="inlineStr">
        <is>
          <t>Directory listing only: general medical device trader, retailer or maker in Taichung; ultrasound capability unconfirmed.</t>
        </is>
      </c>
      <c r="J367" s="121" t="inlineStr">
        <is>
          <t>SonoAir 70 + SonoEye P3 (confirm line card first)</t>
        </is>
      </c>
      <c r="K367" s="151" t="inlineStr">
        <is>
          <t>3</t>
        </is>
      </c>
      <c r="L367" s="121" t="inlineStr">
        <is>
          <t>Tier 3: long tail from the TCMICA member directory, added 6 Oct 2026 after the first send; email on file, not yet contacted.</t>
        </is>
      </c>
      <c r="M367" s="121" t="inlineStr">
        <is>
          <t>TCMICA directory 台中市醫療器材商業同業公會 (tcmica.org.tw), read 6 Oct 2026</t>
        </is>
      </c>
      <c r="N367" s="152" t="n"/>
      <c r="O367" s="153" t="n"/>
      <c r="P367" s="108" t="inlineStr">
        <is>
          <t>yangming77@gmail.com</t>
        </is>
      </c>
      <c r="Q367" s="108" t="inlineStr">
        <is>
          <t>DIR: association member directory, not the company site</t>
        </is>
      </c>
      <c r="R367" s="108" t="inlineStr">
        <is>
          <t>Batch draft 6 of 7 (Send separately) saved in Winmail with Corporate Brochure 2027; not sent yet</t>
        </is>
      </c>
      <c r="S367" s="108" t="n"/>
    </row>
    <row r="368" ht="47.25" customHeight="1" s="104">
      <c r="A368" s="121" t="n">
        <v>363</v>
      </c>
      <c r="B368" s="143" t="inlineStr">
        <is>
          <t>隆程興業有限公司</t>
        </is>
      </c>
      <c r="C368" s="121" t="inlineStr">
        <is>
          <t>Contacted</t>
        </is>
      </c>
      <c r="D368" s="124" t="inlineStr">
        <is>
          <t>醫療器材</t>
        </is>
      </c>
      <c r="E368" s="121" t="inlineStr">
        <is>
          <t>Not identified (directory listing only)</t>
        </is>
      </c>
      <c r="F368" s="124" t="inlineStr">
        <is>
          <t>Taichung</t>
        </is>
      </c>
      <c r="G368" s="121" t="inlineStr">
        <is>
          <t>Not published</t>
        </is>
      </c>
      <c r="H368" s="121" t="inlineStr">
        <is>
          <t>04-2358-4069</t>
        </is>
      </c>
      <c r="I368" s="121" t="inlineStr">
        <is>
          <t>Directory listing only: general medical device trader, retailer or maker in Taichung; ultrasound capability unconfirmed.</t>
        </is>
      </c>
      <c r="J368" s="121" t="inlineStr">
        <is>
          <t>SonoAir 70 + SonoEye P3 (confirm line card first)</t>
        </is>
      </c>
      <c r="K368" s="151" t="inlineStr">
        <is>
          <t>3</t>
        </is>
      </c>
      <c r="L368" s="121" t="inlineStr">
        <is>
          <t>Tier 3: long tail from the TCMICA member directory, added 6 Oct 2026 after the first send; email on file, not yet contacted.</t>
        </is>
      </c>
      <c r="M368" s="121" t="inlineStr">
        <is>
          <t>TCMICA directory 台中市醫療器材商業同業公會 (tcmica.org.tw), read 6 Oct 2026</t>
        </is>
      </c>
      <c r="N368" s="152" t="n"/>
      <c r="O368" s="153" t="n"/>
      <c r="P368" s="108" t="inlineStr">
        <is>
          <t>mechifang@yahoo.com.tw</t>
        </is>
      </c>
      <c r="Q368" s="108" t="inlineStr">
        <is>
          <t>DIR: association member directory, not the company site</t>
        </is>
      </c>
      <c r="R368" s="108" t="inlineStr">
        <is>
          <t>Batch draft 6 of 7 (Send separately) saved in Winmail with Corporate Brochure 2027; not sent yet</t>
        </is>
      </c>
      <c r="S368" s="108" t="n"/>
    </row>
    <row r="369" ht="47.25" customHeight="1" s="104">
      <c r="A369" s="121" t="n">
        <v>364</v>
      </c>
      <c r="B369" s="143" t="inlineStr">
        <is>
          <t>幸運福有限公司</t>
        </is>
      </c>
      <c r="C369" s="121" t="inlineStr">
        <is>
          <t>Contacted</t>
        </is>
      </c>
      <c r="D369" s="124" t="inlineStr">
        <is>
          <t>醫療器材</t>
        </is>
      </c>
      <c r="E369" s="121" t="inlineStr">
        <is>
          <t>Not identified (directory listing only)</t>
        </is>
      </c>
      <c r="F369" s="124" t="inlineStr">
        <is>
          <t>Taichung</t>
        </is>
      </c>
      <c r="G369" s="121" t="inlineStr">
        <is>
          <t>Not published</t>
        </is>
      </c>
      <c r="H369" s="121" t="inlineStr">
        <is>
          <t>04-2473-9300</t>
        </is>
      </c>
      <c r="I369" s="121" t="inlineStr">
        <is>
          <t>Directory listing only: general medical device trader, retailer or maker in Taichung; ultrasound capability unconfirmed.</t>
        </is>
      </c>
      <c r="J369" s="121" t="inlineStr">
        <is>
          <t>SonoAir 70 + SonoEye P3 (confirm line card first)</t>
        </is>
      </c>
      <c r="K369" s="151" t="inlineStr">
        <is>
          <t>3</t>
        </is>
      </c>
      <c r="L369" s="121" t="inlineStr">
        <is>
          <t>Tier 3: long tail from the TCMICA member directory, added 6 Oct 2026 after the first send; email on file, not yet contacted.</t>
        </is>
      </c>
      <c r="M369" s="121" t="inlineStr">
        <is>
          <t>TCMICA directory 台中市醫療器材商業同業公會 (tcmica.org.tw), read 6 Oct 2026</t>
        </is>
      </c>
      <c r="N369" s="152" t="n"/>
      <c r="O369" s="153" t="n"/>
      <c r="P369" s="108" t="inlineStr">
        <is>
          <t>chimmy@la-buenasuerte.com</t>
        </is>
      </c>
      <c r="Q369" s="108" t="inlineStr">
        <is>
          <t>DIR: association member directory, not the company site</t>
        </is>
      </c>
      <c r="R369" s="108" t="inlineStr">
        <is>
          <t>Batch draft 6 of 7 (Send separately) saved in Winmail with Corporate Brochure 2027; not sent yet</t>
        </is>
      </c>
      <c r="S369" s="108" t="n"/>
    </row>
    <row r="370" ht="47.25" customHeight="1" s="104">
      <c r="A370" s="121" t="n">
        <v>365</v>
      </c>
      <c r="B370" s="143" t="inlineStr">
        <is>
          <t>恆暉生技股份有限公司</t>
        </is>
      </c>
      <c r="C370" s="121" t="inlineStr">
        <is>
          <t>Contacted</t>
        </is>
      </c>
      <c r="D370" s="124" t="inlineStr">
        <is>
          <t>醫療器材、運動訓練</t>
        </is>
      </c>
      <c r="E370" s="121" t="inlineStr">
        <is>
          <t>Not identified (directory listing only)</t>
        </is>
      </c>
      <c r="F370" s="124" t="inlineStr">
        <is>
          <t>Taichung</t>
        </is>
      </c>
      <c r="G370" s="121" t="inlineStr">
        <is>
          <t>Not published</t>
        </is>
      </c>
      <c r="H370" s="121" t="inlineStr">
        <is>
          <t>04-2298-8108</t>
        </is>
      </c>
      <c r="I370" s="121" t="inlineStr">
        <is>
          <t>Directory listing only: general medical device trader, retailer or maker in Taichung; ultrasound capability unconfirmed.</t>
        </is>
      </c>
      <c r="J370" s="121" t="inlineStr">
        <is>
          <t>SonoAir 70 + SonoEye P3 (confirm line card first)</t>
        </is>
      </c>
      <c r="K370" s="151" t="inlineStr">
        <is>
          <t>3</t>
        </is>
      </c>
      <c r="L370" s="121" t="inlineStr">
        <is>
          <t>Tier 3: long tail from the TCMICA member directory, added 6 Oct 2026 after the first send; email on file, not yet contacted.</t>
        </is>
      </c>
      <c r="M370" s="121" t="inlineStr">
        <is>
          <t>TCMICA directory 台中市醫療器材商業同業公會 (tcmica.org.tw), read 6 Oct 2026</t>
        </is>
      </c>
      <c r="N370" s="152" t="n"/>
      <c r="O370" s="153" t="n"/>
      <c r="P370" s="108" t="inlineStr">
        <is>
          <t>pakomedicare@gmail.com</t>
        </is>
      </c>
      <c r="Q370" s="108" t="inlineStr">
        <is>
          <t>DIR: association member directory, not the company site</t>
        </is>
      </c>
      <c r="R370" s="108" t="inlineStr">
        <is>
          <t>Batch draft 6 of 7 (Send separately) saved in Winmail with Corporate Brochure 2027; not sent yet</t>
        </is>
      </c>
      <c r="S370" s="108" t="n"/>
    </row>
    <row r="371" ht="47.25" customHeight="1" s="104">
      <c r="A371" s="121" t="n">
        <v>366</v>
      </c>
      <c r="B371" s="143" t="inlineStr">
        <is>
          <t>合雅企業有限公司</t>
        </is>
      </c>
      <c r="C371" s="121" t="inlineStr">
        <is>
          <t>Contacted</t>
        </is>
      </c>
      <c r="D371" s="124" t="inlineStr">
        <is>
          <t>醫療器材(同組:鑫森醫療輔具)</t>
        </is>
      </c>
      <c r="E371" s="121" t="inlineStr">
        <is>
          <t>Not identified (directory listing only)</t>
        </is>
      </c>
      <c r="F371" s="124" t="inlineStr">
        <is>
          <t>Taichung</t>
        </is>
      </c>
      <c r="G371" s="121" t="inlineStr">
        <is>
          <t>Not published</t>
        </is>
      </c>
      <c r="H371" s="121" t="inlineStr">
        <is>
          <t>04-2315-1258</t>
        </is>
      </c>
      <c r="I371" s="121" t="inlineStr">
        <is>
          <t>Directory listing only: general medical device trader, retailer or maker in Taichung; ultrasound capability unconfirmed.</t>
        </is>
      </c>
      <c r="J371" s="121" t="inlineStr">
        <is>
          <t>SonoAir 70 + SonoEye P3 (confirm line card first)</t>
        </is>
      </c>
      <c r="K371" s="151" t="inlineStr">
        <is>
          <t>3</t>
        </is>
      </c>
      <c r="L371" s="121" t="inlineStr">
        <is>
          <t>Tier 3: long tail from the TCMICA member directory, added 6 Oct 2026 after the first send; email on file, not yet contacted.</t>
        </is>
      </c>
      <c r="M371" s="121" t="inlineStr">
        <is>
          <t>TCMICA directory 台中市醫療器材商業同業公會 (tcmica.org.tw), read 6 Oct 2026</t>
        </is>
      </c>
      <c r="N371" s="152" t="n"/>
      <c r="O371" s="153" t="n"/>
      <c r="P371" s="108" t="inlineStr">
        <is>
          <t>xinsen2020@gmail.com</t>
        </is>
      </c>
      <c r="Q371" s="108" t="inlineStr">
        <is>
          <t>DIR: association member directory, not the company site</t>
        </is>
      </c>
      <c r="R371" s="108" t="inlineStr">
        <is>
          <t>Batch draft 6 of 7 (Send separately) saved in Winmail with Corporate Brochure 2027; not sent yet</t>
        </is>
      </c>
      <c r="S371" s="108" t="n"/>
    </row>
    <row r="372" ht="47.25" customHeight="1" s="104">
      <c r="A372" s="121" t="n">
        <v>367</v>
      </c>
      <c r="B372" s="143" t="inlineStr">
        <is>
          <t>文譁有限公司</t>
        </is>
      </c>
      <c r="C372" s="121" t="inlineStr">
        <is>
          <t>Contacted</t>
        </is>
      </c>
      <c r="D372" s="124" t="inlineStr">
        <is>
          <t>醫療器材</t>
        </is>
      </c>
      <c r="E372" s="121" t="inlineStr">
        <is>
          <t>Not identified (directory listing only)</t>
        </is>
      </c>
      <c r="F372" s="124" t="inlineStr">
        <is>
          <t>Taichung</t>
        </is>
      </c>
      <c r="G372" s="121" t="inlineStr">
        <is>
          <t>Not published</t>
        </is>
      </c>
      <c r="H372" s="121" t="inlineStr">
        <is>
          <t>Not published in directory</t>
        </is>
      </c>
      <c r="I372" s="121" t="inlineStr">
        <is>
          <t>Directory listing only: general medical device trader, retailer or maker in Taichung; ultrasound capability unconfirmed.</t>
        </is>
      </c>
      <c r="J372" s="121" t="inlineStr">
        <is>
          <t>SonoAir 70 + SonoEye P3 (confirm line card first)</t>
        </is>
      </c>
      <c r="K372" s="151" t="inlineStr">
        <is>
          <t>3</t>
        </is>
      </c>
      <c r="L372" s="121" t="inlineStr">
        <is>
          <t>Tier 3: long tail from the TCMICA member directory, added 6 Oct 2026 after the first send; email on file, not yet contacted.</t>
        </is>
      </c>
      <c r="M372" s="121" t="inlineStr">
        <is>
          <t>TCMICA directory 台中市醫療器材商業同業公會 (tcmica.org.tw), read 6 Oct 2026</t>
        </is>
      </c>
      <c r="N372" s="152" t="n"/>
      <c r="O372" s="153" t="n"/>
      <c r="P372" s="108" t="inlineStr">
        <is>
          <t>2020kukulove@gmail.com</t>
        </is>
      </c>
      <c r="Q372" s="108" t="inlineStr">
        <is>
          <t>DIR: association member directory, not the company site</t>
        </is>
      </c>
      <c r="R372" s="108" t="inlineStr">
        <is>
          <t>Batch draft 6 of 7 (Send separately) saved in Winmail with Corporate Brochure 2027; not sent yet</t>
        </is>
      </c>
      <c r="S372" s="108" t="n"/>
    </row>
    <row r="373" ht="47.25" customHeight="1" s="104">
      <c r="A373" s="121" t="n">
        <v>368</v>
      </c>
      <c r="B373" s="143" t="inlineStr">
        <is>
          <t>天沛有限公司</t>
        </is>
      </c>
      <c r="C373" s="121" t="inlineStr">
        <is>
          <t>Contacted</t>
        </is>
      </c>
      <c r="D373" s="124" t="inlineStr">
        <is>
          <t>醫療器材</t>
        </is>
      </c>
      <c r="E373" s="121" t="inlineStr">
        <is>
          <t>Not identified (directory listing only)</t>
        </is>
      </c>
      <c r="F373" s="124" t="inlineStr">
        <is>
          <t>Taichung</t>
        </is>
      </c>
      <c r="G373" s="121" t="inlineStr">
        <is>
          <t>Not published</t>
        </is>
      </c>
      <c r="H373" s="121" t="inlineStr">
        <is>
          <t>04-2255-0071</t>
        </is>
      </c>
      <c r="I373" s="121" t="inlineStr">
        <is>
          <t>Directory listing only: general medical device trader, retailer or maker in Taichung; ultrasound capability unconfirmed.</t>
        </is>
      </c>
      <c r="J373" s="121" t="inlineStr">
        <is>
          <t>SonoAir 70 + SonoEye P3 (confirm line card first)</t>
        </is>
      </c>
      <c r="K373" s="151" t="inlineStr">
        <is>
          <t>3</t>
        </is>
      </c>
      <c r="L373" s="121" t="inlineStr">
        <is>
          <t>Tier 3: long tail from the TCMICA member directory, added 6 Oct 2026 after the first send; email on file, not yet contacted.</t>
        </is>
      </c>
      <c r="M373" s="121" t="inlineStr">
        <is>
          <t>TCMICA directory 台中市醫療器材商業同業公會 (tcmica.org.tw), read 6 Oct 2026</t>
        </is>
      </c>
      <c r="N373" s="152" t="n"/>
      <c r="O373" s="153" t="n"/>
      <c r="P373" s="108" t="inlineStr">
        <is>
          <t>account@autotool.com.tw</t>
        </is>
      </c>
      <c r="Q373" s="108" t="inlineStr">
        <is>
          <t>DIR: association member directory, not the company site</t>
        </is>
      </c>
      <c r="R373" s="108" t="inlineStr">
        <is>
          <t>Batch draft 6 of 7 (Send separately) saved in Winmail with Corporate Brochure 2027; not sent yet</t>
        </is>
      </c>
      <c r="S373" s="108" t="n"/>
    </row>
    <row r="374" ht="47.25" customHeight="1" s="104">
      <c r="A374" s="121" t="n">
        <v>369</v>
      </c>
      <c r="B374" s="143" t="inlineStr">
        <is>
          <t>玉銓股份有限公司</t>
        </is>
      </c>
      <c r="C374" s="121" t="inlineStr">
        <is>
          <t>Contacted</t>
        </is>
      </c>
      <c r="D374" s="124" t="inlineStr">
        <is>
          <t>醫療器材批發零售(同組:明田國際)</t>
        </is>
      </c>
      <c r="E374" s="121" t="inlineStr">
        <is>
          <t>Not identified (directory listing only)</t>
        </is>
      </c>
      <c r="F374" s="124" t="inlineStr">
        <is>
          <t>Taichung</t>
        </is>
      </c>
      <c r="G374" s="121" t="inlineStr">
        <is>
          <t>Not published</t>
        </is>
      </c>
      <c r="H374" s="121" t="inlineStr">
        <is>
          <t>04-2252-0138</t>
        </is>
      </c>
      <c r="I374" s="121" t="inlineStr">
        <is>
          <t>Directory listing only: general medical device trader, retailer or maker in Taichung; ultrasound capability unconfirmed.</t>
        </is>
      </c>
      <c r="J374" s="121" t="inlineStr">
        <is>
          <t>SonoAir 70 + SonoEye P3 (confirm line card first)</t>
        </is>
      </c>
      <c r="K374" s="151" t="inlineStr">
        <is>
          <t>3</t>
        </is>
      </c>
      <c r="L374" s="121" t="inlineStr">
        <is>
          <t>Tier 3: long tail from the TCMICA member directory, added 6 Oct 2026 after the first send; email on file, not yet contacted.</t>
        </is>
      </c>
      <c r="M374" s="121" t="inlineStr">
        <is>
          <t>TCMICA directory 台中市醫療器材商業同業公會 (tcmica.org.tw), read 6 Oct 2026</t>
        </is>
      </c>
      <c r="N374" s="152" t="n"/>
      <c r="O374" s="153" t="n"/>
      <c r="P374" s="108" t="inlineStr">
        <is>
          <t>dr.jimmy168@gmail.com</t>
        </is>
      </c>
      <c r="Q374" s="108" t="inlineStr">
        <is>
          <t>DIR: association member directory, not the company site</t>
        </is>
      </c>
      <c r="R374" s="108" t="inlineStr">
        <is>
          <t>Batch draft 6 of 7 (Send separately) saved in Winmail with Corporate Brochure 2027; not sent yet</t>
        </is>
      </c>
      <c r="S374" s="108" t="n"/>
    </row>
    <row r="375" ht="47.25" customHeight="1" s="104">
      <c r="A375" s="121" t="n">
        <v>370</v>
      </c>
      <c r="B375" s="143" t="inlineStr">
        <is>
          <t>尚昇醫療器材用品行</t>
        </is>
      </c>
      <c r="C375" s="121" t="inlineStr">
        <is>
          <t>Contacted</t>
        </is>
      </c>
      <c r="D375" s="124" t="inlineStr">
        <is>
          <t>醫療器材、耗材用品</t>
        </is>
      </c>
      <c r="E375" s="121" t="inlineStr">
        <is>
          <t>Not identified (directory listing only)</t>
        </is>
      </c>
      <c r="F375" s="124" t="inlineStr">
        <is>
          <t>Taichung</t>
        </is>
      </c>
      <c r="G375" s="121" t="inlineStr">
        <is>
          <t>Not published</t>
        </is>
      </c>
      <c r="H375" s="121" t="inlineStr">
        <is>
          <t>04-2472-1399</t>
        </is>
      </c>
      <c r="I375" s="121" t="inlineStr">
        <is>
          <t>Directory listing only: general medical device trader, retailer or maker in Taichung; ultrasound capability unconfirmed.</t>
        </is>
      </c>
      <c r="J375" s="121" t="inlineStr">
        <is>
          <t>SonoAir 70 + SonoEye P3 (confirm line card first)</t>
        </is>
      </c>
      <c r="K375" s="151" t="inlineStr">
        <is>
          <t>3</t>
        </is>
      </c>
      <c r="L375" s="121" t="inlineStr">
        <is>
          <t>Tier 3: long tail from the TCMICA member directory, added 6 Oct 2026 after the first send; email on file, not yet contacted.</t>
        </is>
      </c>
      <c r="M375" s="121" t="inlineStr">
        <is>
          <t>TCMICA directory 台中市醫療器材商業同業公會 (tcmica.org.tw), read 6 Oct 2026</t>
        </is>
      </c>
      <c r="N375" s="152" t="n"/>
      <c r="O375" s="153" t="n"/>
      <c r="P375" s="108" t="inlineStr">
        <is>
          <t>shangsheng@livemail.com</t>
        </is>
      </c>
      <c r="Q375" s="108" t="inlineStr">
        <is>
          <t>DIR: association member directory, not the company site</t>
        </is>
      </c>
      <c r="R375" s="108" t="inlineStr">
        <is>
          <t>Batch draft 6 of 7 (Send separately) saved in Winmail with Corporate Brochure 2027; not sent yet</t>
        </is>
      </c>
      <c r="S375" s="108" t="n"/>
    </row>
    <row r="376" ht="47.25" customHeight="1" s="104">
      <c r="A376" s="121" t="n">
        <v>371</v>
      </c>
      <c r="B376" s="143" t="inlineStr">
        <is>
          <t>勵精企業有限公司</t>
        </is>
      </c>
      <c r="C376" s="121" t="inlineStr">
        <is>
          <t>Contacted</t>
        </is>
      </c>
      <c r="D376" s="124" t="inlineStr">
        <is>
          <t>醫材類</t>
        </is>
      </c>
      <c r="E376" s="121" t="inlineStr">
        <is>
          <t>Not identified (directory listing only)</t>
        </is>
      </c>
      <c r="F376" s="124" t="inlineStr">
        <is>
          <t>Taichung</t>
        </is>
      </c>
      <c r="G376" s="121" t="inlineStr">
        <is>
          <t>Not published</t>
        </is>
      </c>
      <c r="H376" s="121" t="inlineStr">
        <is>
          <t>04-2473-7267</t>
        </is>
      </c>
      <c r="I376" s="121" t="inlineStr">
        <is>
          <t>Directory listing only: general medical device trader, retailer or maker in Taichung; ultrasound capability unconfirmed.</t>
        </is>
      </c>
      <c r="J376" s="121" t="inlineStr">
        <is>
          <t>SonoAir 70 + SonoEye P3 (confirm line card first)</t>
        </is>
      </c>
      <c r="K376" s="151" t="inlineStr">
        <is>
          <t>3</t>
        </is>
      </c>
      <c r="L376" s="121" t="inlineStr">
        <is>
          <t>Tier 3: long tail from the TCMICA member directory, added 6 Oct 2026 after the first send; email on file, not yet contacted.</t>
        </is>
      </c>
      <c r="M376" s="121" t="inlineStr">
        <is>
          <t>TCMICA directory 台中市醫療器材商業同業公會 (tcmica.org.tw), read 6 Oct 2026</t>
        </is>
      </c>
      <c r="N376" s="152" t="n"/>
      <c r="O376" s="153" t="n"/>
      <c r="P376" s="108" t="inlineStr">
        <is>
          <t>lj40601@hotmail.com</t>
        </is>
      </c>
      <c r="Q376" s="108" t="inlineStr">
        <is>
          <t>DIR: association member directory, not the company site</t>
        </is>
      </c>
      <c r="R376" s="108" t="inlineStr">
        <is>
          <t>Batch draft 6 of 7 (Send separately) saved in Winmail with Corporate Brochure 2027; not sent yet</t>
        </is>
      </c>
      <c r="S376" s="108" t="n"/>
    </row>
    <row r="377" ht="47.25" customHeight="1" s="104">
      <c r="A377" s="121" t="n">
        <v>372</v>
      </c>
      <c r="B377" s="143" t="inlineStr">
        <is>
          <t>長健復健器材有限公司</t>
        </is>
      </c>
      <c r="C377" s="121" t="inlineStr">
        <is>
          <t>Contacted</t>
        </is>
      </c>
      <c r="D377" s="124" t="inlineStr">
        <is>
          <t>矯正鞋、義肢</t>
        </is>
      </c>
      <c r="E377" s="121" t="inlineStr">
        <is>
          <t>Not identified (directory listing only)</t>
        </is>
      </c>
      <c r="F377" s="124" t="inlineStr">
        <is>
          <t>Taichung</t>
        </is>
      </c>
      <c r="G377" s="121" t="inlineStr">
        <is>
          <t>Not published</t>
        </is>
      </c>
      <c r="H377" s="121" t="inlineStr">
        <is>
          <t>04-2473-6236</t>
        </is>
      </c>
      <c r="I377" s="121" t="inlineStr">
        <is>
          <t>Directory listing only: general medical device trader, retailer or maker in Taichung; ultrasound capability unconfirmed.</t>
        </is>
      </c>
      <c r="J377" s="121" t="inlineStr">
        <is>
          <t>SonoAir 70 + SonoEye P3 (confirm line card first)</t>
        </is>
      </c>
      <c r="K377" s="151" t="inlineStr">
        <is>
          <t>3</t>
        </is>
      </c>
      <c r="L377" s="121" t="inlineStr">
        <is>
          <t>Tier 3: long tail from the TCMICA member directory, added 6 Oct 2026 after the first send; email on file, not yet contacted.</t>
        </is>
      </c>
      <c r="M377" s="121" t="inlineStr">
        <is>
          <t>TCMICA directory 台中市醫療器材商業同業公會 (tcmica.org.tw), read 6 Oct 2026</t>
        </is>
      </c>
      <c r="N377" s="152" t="n"/>
      <c r="O377" s="153" t="n"/>
      <c r="P377" s="108" t="inlineStr">
        <is>
          <t>chang73.sheng@msa.hinet.net</t>
        </is>
      </c>
      <c r="Q377" s="108" t="inlineStr">
        <is>
          <t>DIR: association member directory, not the company site</t>
        </is>
      </c>
      <c r="R377" s="108" t="inlineStr">
        <is>
          <t>Batch draft 6 of 7 (Send separately) saved in Winmail with Corporate Brochure 2027; not sent yet</t>
        </is>
      </c>
      <c r="S377" s="108" t="n"/>
    </row>
    <row r="378" ht="47.25" customHeight="1" s="104">
      <c r="A378" s="121" t="n">
        <v>373</v>
      </c>
      <c r="B378" s="143" t="inlineStr">
        <is>
          <t>台灣東亞水質淨化有限公司</t>
        </is>
      </c>
      <c r="C378" s="121" t="inlineStr">
        <is>
          <t>Contacted</t>
        </is>
      </c>
      <c r="D378" s="124" t="inlineStr">
        <is>
          <t>洗腎超純水設備</t>
        </is>
      </c>
      <c r="E378" s="121" t="inlineStr">
        <is>
          <t>Not identified (directory listing only)</t>
        </is>
      </c>
      <c r="F378" s="124" t="inlineStr">
        <is>
          <t>Taichung</t>
        </is>
      </c>
      <c r="G378" s="121" t="inlineStr">
        <is>
          <t>Not published</t>
        </is>
      </c>
      <c r="H378" s="121" t="inlineStr">
        <is>
          <t>04-2359-8036</t>
        </is>
      </c>
      <c r="I378" s="121" t="inlineStr">
        <is>
          <t>Directory listing only: general medical device trader, retailer or maker in Taichung; ultrasound capability unconfirmed.</t>
        </is>
      </c>
      <c r="J378" s="121" t="inlineStr">
        <is>
          <t>SonoAir 70 + SonoEye P3 (confirm line card first)</t>
        </is>
      </c>
      <c r="K378" s="151" t="inlineStr">
        <is>
          <t>3</t>
        </is>
      </c>
      <c r="L378" s="121" t="inlineStr">
        <is>
          <t>Tier 3: long tail from the TCMICA member directory, added 6 Oct 2026 after the first send; email on file, not yet contacted.</t>
        </is>
      </c>
      <c r="M378" s="121" t="inlineStr">
        <is>
          <t>TCMICA directory 台中市醫療器材商業同業公會 (tcmica.org.tw), read 6 Oct 2026</t>
        </is>
      </c>
      <c r="N378" s="152" t="n"/>
      <c r="O378" s="153" t="n"/>
      <c r="P378" s="108" t="inlineStr">
        <is>
          <t>east.lin2359@msa.hinet.net</t>
        </is>
      </c>
      <c r="Q378" s="108" t="inlineStr">
        <is>
          <t>DIR: association member directory, not the company site</t>
        </is>
      </c>
      <c r="R378" s="108" t="inlineStr">
        <is>
          <t>Batch draft 6 of 7 (Send separately) saved in Winmail with Corporate Brochure 2027; not sent yet</t>
        </is>
      </c>
      <c r="S378" s="108" t="n"/>
    </row>
    <row r="379" ht="47.25" customHeight="1" s="104">
      <c r="A379" s="121" t="n">
        <v>374</v>
      </c>
      <c r="B379" s="143" t="inlineStr">
        <is>
          <t>弘合實業有限公司</t>
        </is>
      </c>
      <c r="C379" s="121" t="inlineStr">
        <is>
          <t>Contacted</t>
        </is>
      </c>
      <c r="D379" s="124" t="inlineStr">
        <is>
          <t>醫療器材販售</t>
        </is>
      </c>
      <c r="E379" s="121" t="inlineStr">
        <is>
          <t>Not identified (directory listing only)</t>
        </is>
      </c>
      <c r="F379" s="124" t="inlineStr">
        <is>
          <t>Taichung</t>
        </is>
      </c>
      <c r="G379" s="121" t="inlineStr">
        <is>
          <t>Not published</t>
        </is>
      </c>
      <c r="H379" s="121" t="inlineStr">
        <is>
          <t>04-2473-8113</t>
        </is>
      </c>
      <c r="I379" s="121" t="inlineStr">
        <is>
          <t>Directory listing only: general medical device trader, retailer or maker in Taichung; ultrasound capability unconfirmed.</t>
        </is>
      </c>
      <c r="J379" s="121" t="inlineStr">
        <is>
          <t>SonoAir 70 + SonoEye P3 (confirm line card first)</t>
        </is>
      </c>
      <c r="K379" s="151" t="inlineStr">
        <is>
          <t>3</t>
        </is>
      </c>
      <c r="L379" s="121" t="inlineStr">
        <is>
          <t>Tier 3: long tail from the TCMICA member directory, added 6 Oct 2026 after the first send; email on file, not yet contacted.</t>
        </is>
      </c>
      <c r="M379" s="121" t="inlineStr">
        <is>
          <t>TCMICA directory 台中市醫療器材商業同業公會 (tcmica.org.tw), read 6 Oct 2026</t>
        </is>
      </c>
      <c r="N379" s="152" t="n"/>
      <c r="O379" s="153" t="n"/>
      <c r="P379" s="108" t="inlineStr">
        <is>
          <t>president@ychind.com</t>
        </is>
      </c>
      <c r="Q379" s="108" t="inlineStr">
        <is>
          <t>DIR: association member directory, not the company site</t>
        </is>
      </c>
      <c r="R379" s="108" t="inlineStr">
        <is>
          <t>Batch draft 6 of 7 (Send separately) saved in Winmail with Corporate Brochure 2027; not sent yet</t>
        </is>
      </c>
      <c r="S379" s="108" t="n"/>
    </row>
    <row r="380" ht="47.25" customHeight="1" s="104">
      <c r="A380" s="121" t="n">
        <v>375</v>
      </c>
      <c r="B380" s="143" t="inlineStr">
        <is>
          <t>櫻城有限公司</t>
        </is>
      </c>
      <c r="C380" s="121" t="inlineStr">
        <is>
          <t>Contacted</t>
        </is>
      </c>
      <c r="D380" s="124" t="inlineStr">
        <is>
          <t>醫療器材</t>
        </is>
      </c>
      <c r="E380" s="121" t="inlineStr">
        <is>
          <t>Not identified (directory listing only)</t>
        </is>
      </c>
      <c r="F380" s="124" t="inlineStr">
        <is>
          <t>Taichung</t>
        </is>
      </c>
      <c r="G380" s="121" t="inlineStr">
        <is>
          <t>Not published</t>
        </is>
      </c>
      <c r="H380" s="121" t="inlineStr">
        <is>
          <t>04-2258-8825</t>
        </is>
      </c>
      <c r="I380" s="121" t="inlineStr">
        <is>
          <t>Directory listing only: general medical device trader, retailer or maker in Taichung; ultrasound capability unconfirmed.</t>
        </is>
      </c>
      <c r="J380" s="121" t="inlineStr">
        <is>
          <t>SonoAir 70 + SonoEye P3 (confirm line card first)</t>
        </is>
      </c>
      <c r="K380" s="151" t="inlineStr">
        <is>
          <t>3</t>
        </is>
      </c>
      <c r="L380" s="121" t="inlineStr">
        <is>
          <t>Tier 3: long tail from the TCMICA member directory, added 6 Oct 2026 after the first send; email on file, not yet contacted.</t>
        </is>
      </c>
      <c r="M380" s="121" t="inlineStr">
        <is>
          <t>TCMICA directory 台中市醫療器材商業同業公會 (tcmica.org.tw), read 6 Oct 2026</t>
        </is>
      </c>
      <c r="N380" s="152" t="n"/>
      <c r="O380" s="153" t="n"/>
      <c r="P380" s="108" t="inlineStr">
        <is>
          <t>maxim.martina@msa.hinet.net</t>
        </is>
      </c>
      <c r="Q380" s="108" t="inlineStr">
        <is>
          <t>DIR: association member directory, not the company site</t>
        </is>
      </c>
      <c r="R380" s="108" t="inlineStr">
        <is>
          <t>Batch draft 6 of 7 (Send separately) saved in Winmail with Corporate Brochure 2027; not sent yet</t>
        </is>
      </c>
      <c r="S380" s="108" t="n"/>
    </row>
    <row r="381" ht="47.25" customHeight="1" s="104">
      <c r="A381" s="121" t="n">
        <v>376</v>
      </c>
      <c r="B381" s="143" t="inlineStr">
        <is>
          <t>鐿鈦科技股份有限公司</t>
        </is>
      </c>
      <c r="C381" s="121" t="inlineStr">
        <is>
          <t>Contacted</t>
        </is>
      </c>
      <c r="D381" s="124" t="inlineStr">
        <is>
          <t>內視鏡手術器械、骨科牙釘植入物代工製造及銷售</t>
        </is>
      </c>
      <c r="E381" s="121" t="inlineStr">
        <is>
          <t>Not identified (directory listing only)</t>
        </is>
      </c>
      <c r="F381" s="124" t="inlineStr">
        <is>
          <t>Taichung</t>
        </is>
      </c>
      <c r="G381" s="121" t="inlineStr">
        <is>
          <t>Not published</t>
        </is>
      </c>
      <c r="H381" s="121" t="inlineStr">
        <is>
          <t>04-2359-5336#21103</t>
        </is>
      </c>
      <c r="I381" s="121" t="inlineStr">
        <is>
          <t>Directory listing only: general medical device trader, retailer or maker in Taichung; ultrasound capability unconfirmed.</t>
        </is>
      </c>
      <c r="J381" s="121" t="inlineStr">
        <is>
          <t>SonoAir 70 + SonoEye P3 (confirm line card first)</t>
        </is>
      </c>
      <c r="K381" s="151" t="inlineStr">
        <is>
          <t>3</t>
        </is>
      </c>
      <c r="L381" s="121" t="inlineStr">
        <is>
          <t>Tier 3: long tail from the TCMICA member directory, added 6 Oct 2026 after the first send; email on file, not yet contacted.</t>
        </is>
      </c>
      <c r="M381" s="121" t="inlineStr">
        <is>
          <t>TCMICA directory 台中市醫療器材商業同業公會 (tcmica.org.tw), read 6 Oct 2026</t>
        </is>
      </c>
      <c r="N381" s="152" t="n"/>
      <c r="O381" s="153" t="n"/>
      <c r="P381" s="108" t="inlineStr">
        <is>
          <t>cindyfg@mail.intai.com.tw</t>
        </is>
      </c>
      <c r="Q381" s="108" t="inlineStr">
        <is>
          <t>DIR: association member directory, not the company site</t>
        </is>
      </c>
      <c r="R381" s="108" t="inlineStr">
        <is>
          <t>Batch draft 6 of 7 (Send separately) saved in Winmail with Corporate Brochure 2027; not sent yet</t>
        </is>
      </c>
      <c r="S381" s="108" t="n"/>
    </row>
    <row r="382" ht="47.25" customHeight="1" s="104">
      <c r="A382" s="121" t="n">
        <v>377</v>
      </c>
      <c r="B382" s="143" t="inlineStr">
        <is>
          <t>益沅塑膠工業股份有限公司</t>
        </is>
      </c>
      <c r="C382" s="121" t="inlineStr">
        <is>
          <t>Contacted</t>
        </is>
      </c>
      <c r="D382" s="124" t="inlineStr">
        <is>
          <t>採血筆、吸鼻器製造</t>
        </is>
      </c>
      <c r="E382" s="121" t="inlineStr">
        <is>
          <t>Not identified (directory listing only)</t>
        </is>
      </c>
      <c r="F382" s="124" t="inlineStr">
        <is>
          <t>Taichung</t>
        </is>
      </c>
      <c r="G382" s="121" t="inlineStr">
        <is>
          <t>Not published</t>
        </is>
      </c>
      <c r="H382" s="121" t="inlineStr">
        <is>
          <t>04-2355-0035</t>
        </is>
      </c>
      <c r="I382" s="121" t="inlineStr">
        <is>
          <t>Directory listing only: general medical device trader, retailer or maker in Taichung; ultrasound capability unconfirmed.</t>
        </is>
      </c>
      <c r="J382" s="121" t="inlineStr">
        <is>
          <t>SonoAir 70 + SonoEye P3 (confirm line card first)</t>
        </is>
      </c>
      <c r="K382" s="151" t="inlineStr">
        <is>
          <t>3</t>
        </is>
      </c>
      <c r="L382" s="121" t="inlineStr">
        <is>
          <t>Tier 3: long tail from the TCMICA member directory, added 6 Oct 2026 after the first send; email on file, not yet contacted.</t>
        </is>
      </c>
      <c r="M382" s="121" t="inlineStr">
        <is>
          <t>TCMICA directory 台中市醫療器材商業同業公會 (tcmica.org.tw), read 6 Oct 2026</t>
        </is>
      </c>
      <c r="N382" s="152" t="n"/>
      <c r="O382" s="153" t="n"/>
      <c r="P382" s="108" t="inlineStr">
        <is>
          <t>iyuan@ms23.hinet.net</t>
        </is>
      </c>
      <c r="Q382" s="108" t="inlineStr">
        <is>
          <t>DIR: association member directory, not the company site</t>
        </is>
      </c>
      <c r="R382" s="108" t="inlineStr">
        <is>
          <t>Batch draft 6 of 7 (Send separately) saved in Winmail with Corporate Brochure 2027; not sent yet</t>
        </is>
      </c>
      <c r="S382" s="108" t="n"/>
    </row>
    <row r="383" ht="47.25" customHeight="1" s="104">
      <c r="A383" s="121" t="n">
        <v>378</v>
      </c>
      <c r="B383" s="143" t="inlineStr">
        <is>
          <t>森元科技有限公司</t>
        </is>
      </c>
      <c r="C383" s="121" t="inlineStr">
        <is>
          <t>Contacted</t>
        </is>
      </c>
      <c r="D383" s="124" t="inlineStr">
        <is>
          <t>噴霧器、吸藥輔助器</t>
        </is>
      </c>
      <c r="E383" s="121" t="inlineStr">
        <is>
          <t>Not identified (directory listing only)</t>
        </is>
      </c>
      <c r="F383" s="124" t="inlineStr">
        <is>
          <t>Taichung</t>
        </is>
      </c>
      <c r="G383" s="121" t="inlineStr">
        <is>
          <t>Not published</t>
        </is>
      </c>
      <c r="H383" s="121" t="inlineStr">
        <is>
          <t>04-2359-2595</t>
        </is>
      </c>
      <c r="I383" s="121" t="inlineStr">
        <is>
          <t>Directory listing only: general medical device trader, retailer or maker in Taichung; ultrasound capability unconfirmed.</t>
        </is>
      </c>
      <c r="J383" s="121" t="inlineStr">
        <is>
          <t>SonoAir 70 + SonoEye P3 (confirm line card first)</t>
        </is>
      </c>
      <c r="K383" s="151" t="inlineStr">
        <is>
          <t>3</t>
        </is>
      </c>
      <c r="L383" s="121" t="inlineStr">
        <is>
          <t>Tier 3: long tail from the TCMICA member directory, added 6 Oct 2026 after the first send; email on file, not yet contacted.</t>
        </is>
      </c>
      <c r="M383" s="121" t="inlineStr">
        <is>
          <t>TCMICA directory 台中市醫療器材商業同業公會 (tcmica.org.tw), read 6 Oct 2026</t>
        </is>
      </c>
      <c r="N383" s="152" t="n"/>
      <c r="O383" s="153" t="n"/>
      <c r="P383" s="108" t="inlineStr">
        <is>
          <t>jc506.co@msa.hinet.net</t>
        </is>
      </c>
      <c r="Q383" s="108" t="inlineStr">
        <is>
          <t>DIR: association member directory, not the company site</t>
        </is>
      </c>
      <c r="R383" s="108" t="inlineStr">
        <is>
          <t>Batch draft 6 of 7 (Send separately) saved in Winmail with Corporate Brochure 2027; not sent yet</t>
        </is>
      </c>
      <c r="S383" s="108" t="n"/>
    </row>
    <row r="384" ht="47.25" customHeight="1" s="104">
      <c r="A384" s="121" t="n">
        <v>379</v>
      </c>
      <c r="B384" s="143" t="inlineStr">
        <is>
          <t>富康泰有限公司</t>
        </is>
      </c>
      <c r="C384" s="121" t="inlineStr">
        <is>
          <t>Contacted</t>
        </is>
      </c>
      <c r="D384" s="124" t="inlineStr">
        <is>
          <t>醫療器材</t>
        </is>
      </c>
      <c r="E384" s="121" t="inlineStr">
        <is>
          <t>Not identified (directory listing only)</t>
        </is>
      </c>
      <c r="F384" s="124" t="inlineStr">
        <is>
          <t>Taichung</t>
        </is>
      </c>
      <c r="G384" s="121" t="inlineStr">
        <is>
          <t>Not published</t>
        </is>
      </c>
      <c r="H384" s="121" t="inlineStr">
        <is>
          <t>04-2254-6619</t>
        </is>
      </c>
      <c r="I384" s="121" t="inlineStr">
        <is>
          <t>Directory listing only: general medical device trader, retailer or maker in Taichung; ultrasound capability unconfirmed.</t>
        </is>
      </c>
      <c r="J384" s="121" t="inlineStr">
        <is>
          <t>SonoAir 70 + SonoEye P3 (confirm line card first)</t>
        </is>
      </c>
      <c r="K384" s="151" t="inlineStr">
        <is>
          <t>3</t>
        </is>
      </c>
      <c r="L384" s="121" t="inlineStr">
        <is>
          <t>Tier 3: long tail from the TCMICA member directory, added 6 Oct 2026 after the first send; email on file, not yet contacted.</t>
        </is>
      </c>
      <c r="M384" s="121" t="inlineStr">
        <is>
          <t>TCMICA directory 台中市醫療器材商業同業公會 (tcmica.org.tw), read 6 Oct 2026</t>
        </is>
      </c>
      <c r="N384" s="152" t="n"/>
      <c r="O384" s="153" t="n"/>
      <c r="P384" s="108" t="inlineStr">
        <is>
          <t>luck6718zg@gmail.com</t>
        </is>
      </c>
      <c r="Q384" s="108" t="inlineStr">
        <is>
          <t>DIR: association member directory, not the company site</t>
        </is>
      </c>
      <c r="R384" s="108" t="inlineStr">
        <is>
          <t>Batch draft 6 of 7 (Send separately) saved in Winmail with Corporate Brochure 2027; not sent yet</t>
        </is>
      </c>
      <c r="S384" s="108" t="n"/>
    </row>
    <row r="385" ht="47.25" customHeight="1" s="104">
      <c r="A385" s="121" t="n">
        <v>380</v>
      </c>
      <c r="B385" s="143" t="inlineStr">
        <is>
          <t>安拓企業有限公司</t>
        </is>
      </c>
      <c r="C385" s="121" t="inlineStr">
        <is>
          <t>Contacted</t>
        </is>
      </c>
      <c r="D385" s="124" t="inlineStr">
        <is>
          <t>牙科器材</t>
        </is>
      </c>
      <c r="E385" s="121" t="inlineStr">
        <is>
          <t>Not identified (directory listing only)</t>
        </is>
      </c>
      <c r="F385" s="124" t="inlineStr">
        <is>
          <t>Taichung</t>
        </is>
      </c>
      <c r="G385" s="121" t="inlineStr">
        <is>
          <t>Not published</t>
        </is>
      </c>
      <c r="H385" s="121" t="inlineStr">
        <is>
          <t>04-2471-1899</t>
        </is>
      </c>
      <c r="I385" s="121" t="inlineStr">
        <is>
          <t>Directory listing only: general medical device trader, retailer or maker in Taichung; ultrasound capability unconfirmed.</t>
        </is>
      </c>
      <c r="J385" s="121" t="inlineStr">
        <is>
          <t>SonoAir 70 + SonoEye P3 (confirm line card first)</t>
        </is>
      </c>
      <c r="K385" s="151" t="inlineStr">
        <is>
          <t>3</t>
        </is>
      </c>
      <c r="L385" s="121" t="inlineStr">
        <is>
          <t>Tier 3: long tail from the TCMICA member directory, added 6 Oct 2026 after the first send; email on file, not yet contacted.</t>
        </is>
      </c>
      <c r="M385" s="121" t="inlineStr">
        <is>
          <t>TCMICA directory 台中市醫療器材商業同業公會 (tcmica.org.tw), read 6 Oct 2026</t>
        </is>
      </c>
      <c r="N385" s="152" t="n"/>
      <c r="O385" s="153" t="n"/>
      <c r="P385" s="108" t="inlineStr">
        <is>
          <t>antuo.dent@gmail.com</t>
        </is>
      </c>
      <c r="Q385" s="108" t="inlineStr">
        <is>
          <t>DIR: association member directory, not the company site</t>
        </is>
      </c>
      <c r="R385" s="108" t="inlineStr">
        <is>
          <t>Batch draft 6 of 7 (Send separately) saved in Winmail with Corporate Brochure 2027; not sent yet</t>
        </is>
      </c>
      <c r="S385" s="108" t="n"/>
    </row>
    <row r="386" ht="47.25" customHeight="1" s="104">
      <c r="A386" s="121" t="n">
        <v>381</v>
      </c>
      <c r="B386" s="143" t="inlineStr">
        <is>
          <t>久湛股份有限公司</t>
        </is>
      </c>
      <c r="C386" s="121" t="inlineStr">
        <is>
          <t>Contacted</t>
        </is>
      </c>
      <c r="D386" s="124" t="inlineStr">
        <is>
          <t>脊椎醫療器材</t>
        </is>
      </c>
      <c r="E386" s="121" t="inlineStr">
        <is>
          <t>Not identified (directory listing only)</t>
        </is>
      </c>
      <c r="F386" s="124" t="inlineStr">
        <is>
          <t>Taichung</t>
        </is>
      </c>
      <c r="G386" s="121" t="inlineStr">
        <is>
          <t>Not published</t>
        </is>
      </c>
      <c r="H386" s="121" t="inlineStr">
        <is>
          <t>04-2386-3220</t>
        </is>
      </c>
      <c r="I386" s="121" t="inlineStr">
        <is>
          <t>Directory listing only: general medical device trader, retailer or maker in Taichung; ultrasound capability unconfirmed.</t>
        </is>
      </c>
      <c r="J386" s="121" t="inlineStr">
        <is>
          <t>SonoAir 70 + SonoEye P3 (confirm line card first)</t>
        </is>
      </c>
      <c r="K386" s="151" t="inlineStr">
        <is>
          <t>3</t>
        </is>
      </c>
      <c r="L386" s="121" t="inlineStr">
        <is>
          <t>Tier 3: long tail from the TCMICA member directory, added 6 Oct 2026 after the first send; email on file, not yet contacted.</t>
        </is>
      </c>
      <c r="M386" s="121" t="inlineStr">
        <is>
          <t>TCMICA directory 台中市醫療器材商業同業公會 (tcmica.org.tw), read 6 Oct 2026</t>
        </is>
      </c>
      <c r="N386" s="152" t="n"/>
      <c r="O386" s="153" t="n"/>
      <c r="P386" s="108" t="inlineStr">
        <is>
          <t>99jj.spine@gmail.com</t>
        </is>
      </c>
      <c r="Q386" s="108" t="inlineStr">
        <is>
          <t>DIR: association member directory, not the company site</t>
        </is>
      </c>
      <c r="R386" s="108" t="inlineStr">
        <is>
          <t>Batch draft 6 of 7 (Send separately) saved in Winmail with Corporate Brochure 2027; not sent yet</t>
        </is>
      </c>
      <c r="S386" s="108" t="n"/>
    </row>
    <row r="387" ht="47.25" customHeight="1" s="104">
      <c r="A387" s="121" t="n">
        <v>382</v>
      </c>
      <c r="B387" s="143" t="inlineStr">
        <is>
          <t>久業生技有限公司</t>
        </is>
      </c>
      <c r="C387" s="121" t="inlineStr">
        <is>
          <t>Contacted</t>
        </is>
      </c>
      <c r="D387" s="124" t="inlineStr">
        <is>
          <t>骨、外科醫材</t>
        </is>
      </c>
      <c r="E387" s="121" t="inlineStr">
        <is>
          <t>Not identified (directory listing only)</t>
        </is>
      </c>
      <c r="F387" s="124" t="inlineStr">
        <is>
          <t>Taichung</t>
        </is>
      </c>
      <c r="G387" s="121" t="inlineStr">
        <is>
          <t>Not published</t>
        </is>
      </c>
      <c r="H387" s="121" t="inlineStr">
        <is>
          <t>04-2386-3220</t>
        </is>
      </c>
      <c r="I387" s="121" t="inlineStr">
        <is>
          <t>Directory listing only: general medical device trader, retailer or maker in Taichung; ultrasound capability unconfirmed.</t>
        </is>
      </c>
      <c r="J387" s="121" t="inlineStr">
        <is>
          <t>SonoAir 70 + SonoEye P3 (confirm line card first)</t>
        </is>
      </c>
      <c r="K387" s="151" t="inlineStr">
        <is>
          <t>3</t>
        </is>
      </c>
      <c r="L387" s="121" t="inlineStr">
        <is>
          <t>Tier 3: long tail from the TCMICA member directory, added 6 Oct 2026 after the first send; email on file, not yet contacted.</t>
        </is>
      </c>
      <c r="M387" s="121" t="inlineStr">
        <is>
          <t>TCMICA directory 台中市醫療器材商業同業公會 (tcmica.org.tw), read 6 Oct 2026</t>
        </is>
      </c>
      <c r="N387" s="152" t="n"/>
      <c r="O387" s="153" t="n"/>
      <c r="P387" s="108" t="inlineStr">
        <is>
          <t>joint.ace0606@gmail.com</t>
        </is>
      </c>
      <c r="Q387" s="108" t="inlineStr">
        <is>
          <t>DIR: association member directory, not the company site</t>
        </is>
      </c>
      <c r="R387" s="108" t="inlineStr">
        <is>
          <t>Batch draft 6 of 7 (Send separately) saved in Winmail with Corporate Brochure 2027; not sent yet</t>
        </is>
      </c>
      <c r="S387" s="108" t="n"/>
    </row>
    <row r="388" ht="47.25" customHeight="1" s="104">
      <c r="A388" s="121" t="n">
        <v>383</v>
      </c>
      <c r="B388" s="143" t="inlineStr">
        <is>
          <t>荷光健康管理顧問有限公司</t>
        </is>
      </c>
      <c r="C388" s="121" t="inlineStr">
        <is>
          <t>Not started</t>
        </is>
      </c>
      <c r="D388" s="124" t="inlineStr">
        <is>
          <t>醫療器材</t>
        </is>
      </c>
      <c r="E388" s="121" t="inlineStr">
        <is>
          <t>Not identified (directory listing only)</t>
        </is>
      </c>
      <c r="F388" s="124" t="inlineStr">
        <is>
          <t>Taichung</t>
        </is>
      </c>
      <c r="G388" s="121" t="inlineStr">
        <is>
          <t>Not published</t>
        </is>
      </c>
      <c r="H388" s="121" t="inlineStr">
        <is>
          <t>04-2472-3840</t>
        </is>
      </c>
      <c r="I388" s="121" t="inlineStr">
        <is>
          <t>Directory listing only: general medical device trader, retailer or maker in Taichung; ultrasound capability unconfirmed.</t>
        </is>
      </c>
      <c r="J388" s="121" t="inlineStr">
        <is>
          <t>SonoAir 70 + SonoEye P3 (confirm line card first)</t>
        </is>
      </c>
      <c r="K388" s="151" t="inlineStr">
        <is>
          <t>3</t>
        </is>
      </c>
      <c r="L388" s="121" t="inlineStr">
        <is>
          <t>Tier 3: long tail from the TCMICA member directory, added 6 Oct 2026 after the first send; email on file, not yet contacted.</t>
        </is>
      </c>
      <c r="M388" s="121" t="inlineStr">
        <is>
          <t>TCMICA directory 台中市醫療器材商業同業公會 (tcmica.org.tw), read 6 Oct 2026</t>
        </is>
      </c>
      <c r="N388" s="152" t="n"/>
      <c r="O388" s="153" t="n"/>
      <c r="P388" s="108" t="inlineStr">
        <is>
          <t>lightup0317@gmail.com</t>
        </is>
      </c>
      <c r="Q388" s="108" t="inlineStr">
        <is>
          <t>DIR: association member directory, not the company site</t>
        </is>
      </c>
      <c r="R388" s="108" t="inlineStr">
        <is>
          <t>Batch draft 7 of 7 (Send separately) saved in Winmail with Corporate Brochure 2027; not sent yet</t>
        </is>
      </c>
      <c r="S388" s="108" t="n"/>
    </row>
    <row r="389" ht="47.25" customHeight="1" s="104">
      <c r="A389" s="121" t="n">
        <v>384</v>
      </c>
      <c r="B389" s="143" t="inlineStr">
        <is>
          <t>承果貿易行銷有限公司</t>
        </is>
      </c>
      <c r="C389" s="121" t="inlineStr">
        <is>
          <t>Not started</t>
        </is>
      </c>
      <c r="D389" s="124" t="inlineStr">
        <is>
          <t>醫療器材</t>
        </is>
      </c>
      <c r="E389" s="121" t="inlineStr">
        <is>
          <t>Not identified (directory listing only)</t>
        </is>
      </c>
      <c r="F389" s="124" t="inlineStr">
        <is>
          <t>Taichung</t>
        </is>
      </c>
      <c r="G389" s="121" t="inlineStr">
        <is>
          <t>Not published</t>
        </is>
      </c>
      <c r="H389" s="121" t="inlineStr">
        <is>
          <t>04-2252-2180</t>
        </is>
      </c>
      <c r="I389" s="121" t="inlineStr">
        <is>
          <t>Directory listing only: general medical device trader, retailer or maker in Taichung; ultrasound capability unconfirmed.</t>
        </is>
      </c>
      <c r="J389" s="121" t="inlineStr">
        <is>
          <t>SonoAir 70 + SonoEye P3 (confirm line card first)</t>
        </is>
      </c>
      <c r="K389" s="151" t="inlineStr">
        <is>
          <t>3</t>
        </is>
      </c>
      <c r="L389" s="121" t="inlineStr">
        <is>
          <t>Tier 3: long tail from the TCMICA member directory, added 6 Oct 2026 after the first send; email on file, not yet contacted.</t>
        </is>
      </c>
      <c r="M389" s="121" t="inlineStr">
        <is>
          <t>TCMICA directory 台中市醫療器材商業同業公會 (tcmica.org.tw), read 6 Oct 2026</t>
        </is>
      </c>
      <c r="N389" s="152" t="n"/>
      <c r="O389" s="153" t="n"/>
      <c r="P389" s="108" t="inlineStr">
        <is>
          <t>clio0107@gmail.com</t>
        </is>
      </c>
      <c r="Q389" s="108" t="inlineStr">
        <is>
          <t>DIR: association member directory, not the company site</t>
        </is>
      </c>
      <c r="R389" s="108" t="inlineStr">
        <is>
          <t>Batch draft 7 of 7 (Send separately) saved in Winmail with Corporate Brochure 2027; not sent yet</t>
        </is>
      </c>
      <c r="S389" s="108" t="n"/>
    </row>
    <row r="390" ht="47.25" customHeight="1" s="104">
      <c r="A390" s="121" t="n">
        <v>385</v>
      </c>
      <c r="B390" s="143" t="inlineStr">
        <is>
          <t>榮創電子股份有限公司</t>
        </is>
      </c>
      <c r="C390" s="121" t="inlineStr">
        <is>
          <t>Not started</t>
        </is>
      </c>
      <c r="D390" s="124" t="inlineStr">
        <is>
          <t>醫療器材</t>
        </is>
      </c>
      <c r="E390" s="121" t="inlineStr">
        <is>
          <t>Not identified (directory listing only)</t>
        </is>
      </c>
      <c r="F390" s="124" t="inlineStr">
        <is>
          <t>Taichung</t>
        </is>
      </c>
      <c r="G390" s="121" t="inlineStr">
        <is>
          <t>Not published</t>
        </is>
      </c>
      <c r="H390" s="121" t="inlineStr">
        <is>
          <t>04-2380-3355</t>
        </is>
      </c>
      <c r="I390" s="121" t="inlineStr">
        <is>
          <t>Directory listing only: general medical device trader, retailer or maker in Taichung; ultrasound capability unconfirmed.</t>
        </is>
      </c>
      <c r="J390" s="121" t="inlineStr">
        <is>
          <t>SonoAir 70 + SonoEye P3 (confirm line card first)</t>
        </is>
      </c>
      <c r="K390" s="151" t="inlineStr">
        <is>
          <t>3</t>
        </is>
      </c>
      <c r="L390" s="121" t="inlineStr">
        <is>
          <t>Tier 3: long tail from the TCMICA member directory, added 6 Oct 2026 after the first send; email on file, not yet contacted.</t>
        </is>
      </c>
      <c r="M390" s="121" t="inlineStr">
        <is>
          <t>TCMICA directory 台中市醫療器材商業同業公會 (tcmica.org.tw), read 6 Oct 2026</t>
        </is>
      </c>
      <c r="N390" s="152" t="n"/>
      <c r="O390" s="153" t="n"/>
      <c r="P390" s="108" t="inlineStr">
        <is>
          <t>anita@mao-hua.com.tw</t>
        </is>
      </c>
      <c r="Q390" s="108" t="inlineStr">
        <is>
          <t>DIR: association member directory, not the company site</t>
        </is>
      </c>
      <c r="R390" s="108" t="inlineStr">
        <is>
          <t>Batch draft 7 of 7 (Send separately) saved in Winmail with Corporate Brochure 2027; not sent yet</t>
        </is>
      </c>
      <c r="S390" s="108" t="n"/>
    </row>
    <row r="391" ht="47.25" customHeight="1" s="104">
      <c r="A391" s="121" t="n">
        <v>386</v>
      </c>
      <c r="B391" s="143" t="inlineStr">
        <is>
          <t>中新科技股份有限公司</t>
        </is>
      </c>
      <c r="C391" s="121" t="inlineStr">
        <is>
          <t>Not started</t>
        </is>
      </c>
      <c r="D391" s="124" t="inlineStr">
        <is>
          <t>醫療器材</t>
        </is>
      </c>
      <c r="E391" s="121" t="inlineStr">
        <is>
          <t>Not identified (directory listing only)</t>
        </is>
      </c>
      <c r="F391" s="124" t="inlineStr">
        <is>
          <t>Taichung</t>
        </is>
      </c>
      <c r="G391" s="121" t="inlineStr">
        <is>
          <t>Not published</t>
        </is>
      </c>
      <c r="H391" s="121" t="inlineStr">
        <is>
          <t>04-2359-1968</t>
        </is>
      </c>
      <c r="I391" s="121" t="inlineStr">
        <is>
          <t>Directory listing only: general medical device trader, retailer or maker in Taichung; ultrasound capability unconfirmed.</t>
        </is>
      </c>
      <c r="J391" s="121" t="inlineStr">
        <is>
          <t>SonoAir 70 + SonoEye P3 (confirm line card first)</t>
        </is>
      </c>
      <c r="K391" s="151" t="inlineStr">
        <is>
          <t>3</t>
        </is>
      </c>
      <c r="L391" s="121" t="inlineStr">
        <is>
          <t>Tier 3: long tail from the TCMICA member directory, added 6 Oct 2026 after the first send; email on file, not yet contacted.</t>
        </is>
      </c>
      <c r="M391" s="121" t="inlineStr">
        <is>
          <t>TCMICA directory 台中市醫療器材商業同業公會 (tcmica.org.tw), read 6 Oct 2026</t>
        </is>
      </c>
      <c r="N391" s="152" t="n"/>
      <c r="O391" s="153" t="n"/>
      <c r="P391" s="108" t="inlineStr">
        <is>
          <t>pin.chen@cstek.com.tw</t>
        </is>
      </c>
      <c r="Q391" s="108" t="inlineStr">
        <is>
          <t>DIR: association member directory, not the company site</t>
        </is>
      </c>
      <c r="R391" s="108" t="inlineStr">
        <is>
          <t>Batch draft 7 of 7 (Send separately) saved in Winmail with Corporate Brochure 2027; not sent yet</t>
        </is>
      </c>
      <c r="S391" s="108" t="n"/>
    </row>
    <row r="392" ht="47.25" customHeight="1" s="104">
      <c r="A392" s="121" t="n">
        <v>387</v>
      </c>
      <c r="B392" s="143" t="inlineStr">
        <is>
          <t>上研機電股份有限公司</t>
        </is>
      </c>
      <c r="C392" s="121" t="inlineStr">
        <is>
          <t>Not started</t>
        </is>
      </c>
      <c r="D392" s="124" t="inlineStr">
        <is>
          <t>醫療器材批發、製造</t>
        </is>
      </c>
      <c r="E392" s="121" t="inlineStr">
        <is>
          <t>Not identified (directory listing only)</t>
        </is>
      </c>
      <c r="F392" s="124" t="inlineStr">
        <is>
          <t>Taichung</t>
        </is>
      </c>
      <c r="G392" s="121" t="inlineStr">
        <is>
          <t>Not published</t>
        </is>
      </c>
      <c r="H392" s="121" t="inlineStr">
        <is>
          <t>04-2359-2880</t>
        </is>
      </c>
      <c r="I392" s="121" t="inlineStr">
        <is>
          <t>Directory listing only: general medical device trader, retailer or maker in Taichung; ultrasound capability unconfirmed.</t>
        </is>
      </c>
      <c r="J392" s="121" t="inlineStr">
        <is>
          <t>SonoAir 70 + SonoEye P3 (confirm line card first)</t>
        </is>
      </c>
      <c r="K392" s="151" t="inlineStr">
        <is>
          <t>3</t>
        </is>
      </c>
      <c r="L392" s="121" t="inlineStr">
        <is>
          <t>Tier 3: long tail from the TCMICA member directory, added 6 Oct 2026 after the first send; email on file, not yet contacted.</t>
        </is>
      </c>
      <c r="M392" s="121" t="inlineStr">
        <is>
          <t>TCMICA directory 台中市醫療器材商業同業公會 (tcmica.org.tw), read 6 Oct 2026</t>
        </is>
      </c>
      <c r="N392" s="152" t="n"/>
      <c r="O392" s="153" t="n"/>
      <c r="P392" s="108" t="inlineStr">
        <is>
          <t>wendy@toptek.com.tw</t>
        </is>
      </c>
      <c r="Q392" s="108" t="inlineStr">
        <is>
          <t>DIR: association member directory, not the company site</t>
        </is>
      </c>
      <c r="R392" s="108" t="inlineStr">
        <is>
          <t>Batch draft 7 of 7 (Send separately) saved in Winmail with Corporate Brochure 2027; not sent yet</t>
        </is>
      </c>
      <c r="S392" s="108" t="n"/>
    </row>
    <row r="393" ht="47.25" customHeight="1" s="104">
      <c r="A393" s="121" t="n">
        <v>388</v>
      </c>
      <c r="B393" s="143" t="inlineStr">
        <is>
          <t>鼎右企業有限公司</t>
        </is>
      </c>
      <c r="C393" s="121" t="inlineStr">
        <is>
          <t>Not started</t>
        </is>
      </c>
      <c r="D393" s="124" t="inlineStr">
        <is>
          <t>GMP醫療儀器製造</t>
        </is>
      </c>
      <c r="E393" s="121" t="inlineStr">
        <is>
          <t>Not identified (directory listing only)</t>
        </is>
      </c>
      <c r="F393" s="124" t="inlineStr">
        <is>
          <t>Taichung</t>
        </is>
      </c>
      <c r="G393" s="121" t="inlineStr">
        <is>
          <t>Not published</t>
        </is>
      </c>
      <c r="H393" s="121" t="inlineStr">
        <is>
          <t>04-2275-7722</t>
        </is>
      </c>
      <c r="I393" s="121" t="inlineStr">
        <is>
          <t>Directory listing only: general medical device trader, retailer or maker in Taichung; ultrasound capability unconfirmed.</t>
        </is>
      </c>
      <c r="J393" s="121" t="inlineStr">
        <is>
          <t>SonoAir 70 + SonoEye P3 (confirm line card first)</t>
        </is>
      </c>
      <c r="K393" s="151" t="inlineStr">
        <is>
          <t>3</t>
        </is>
      </c>
      <c r="L393" s="121" t="inlineStr">
        <is>
          <t>Tier 3: long tail from the TCMICA member directory, added 6 Oct 2026 after the first send; email on file, not yet contacted.</t>
        </is>
      </c>
      <c r="M393" s="121" t="inlineStr">
        <is>
          <t>TCMICA directory 台中市醫療器材商業同業公會 (tcmica.org.tw), read 6 Oct 2026</t>
        </is>
      </c>
      <c r="N393" s="152" t="n"/>
      <c r="O393" s="153" t="n"/>
      <c r="P393" s="108" t="inlineStr">
        <is>
          <t>tingyu.co@msa.hinet.net</t>
        </is>
      </c>
      <c r="Q393" s="108" t="inlineStr">
        <is>
          <t>DIR: association member directory, not the company site</t>
        </is>
      </c>
      <c r="R393" s="108" t="inlineStr">
        <is>
          <t>Batch draft 7 of 7 (Send separately) saved in Winmail with Corporate Brochure 2027; not sent yet</t>
        </is>
      </c>
      <c r="S393" s="108" t="n"/>
    </row>
    <row r="394" ht="47.25" customHeight="1" s="104">
      <c r="A394" s="121" t="n">
        <v>389</v>
      </c>
      <c r="B394" s="143" t="inlineStr">
        <is>
          <t>科圍牙材行</t>
        </is>
      </c>
      <c r="C394" s="121" t="inlineStr">
        <is>
          <t>Not started</t>
        </is>
      </c>
      <c r="D394" s="124" t="inlineStr">
        <is>
          <t>牙科器材</t>
        </is>
      </c>
      <c r="E394" s="121" t="inlineStr">
        <is>
          <t>Not identified (directory listing only)</t>
        </is>
      </c>
      <c r="F394" s="124" t="inlineStr">
        <is>
          <t>Taichung</t>
        </is>
      </c>
      <c r="G394" s="121" t="inlineStr">
        <is>
          <t>Not published</t>
        </is>
      </c>
      <c r="H394" s="121" t="inlineStr">
        <is>
          <t>04-2435-0996</t>
        </is>
      </c>
      <c r="I394" s="121" t="inlineStr">
        <is>
          <t>Directory listing only: general medical device trader, retailer or maker in Taichung; ultrasound capability unconfirmed.</t>
        </is>
      </c>
      <c r="J394" s="121" t="inlineStr">
        <is>
          <t>SonoAir 70 + SonoEye P3 (confirm line card first)</t>
        </is>
      </c>
      <c r="K394" s="151" t="inlineStr">
        <is>
          <t>3</t>
        </is>
      </c>
      <c r="L394" s="121" t="inlineStr">
        <is>
          <t>Tier 3: long tail from the TCMICA member directory, added 6 Oct 2026 after the first send; email on file, not yet contacted.</t>
        </is>
      </c>
      <c r="M394" s="121" t="inlineStr">
        <is>
          <t>TCMICA directory 台中市醫療器材商業同業公會 (tcmica.org.tw), read 6 Oct 2026</t>
        </is>
      </c>
      <c r="N394" s="152" t="n"/>
      <c r="O394" s="153" t="n"/>
      <c r="P394" s="108" t="inlineStr">
        <is>
          <t>kw18373157@yahoo.com.tw</t>
        </is>
      </c>
      <c r="Q394" s="108" t="inlineStr">
        <is>
          <t>DIR: association member directory, not the company site</t>
        </is>
      </c>
      <c r="R394" s="108" t="inlineStr">
        <is>
          <t>Batch draft 7 of 7 (Send separately) saved in Winmail with Corporate Brochure 2027; not sent yet</t>
        </is>
      </c>
      <c r="S394" s="108" t="n"/>
    </row>
    <row r="395" ht="47.25" customHeight="1" s="104">
      <c r="A395" s="121" t="n">
        <v>390</v>
      </c>
      <c r="B395" s="143" t="inlineStr">
        <is>
          <t>葆林有限公司</t>
        </is>
      </c>
      <c r="C395" s="121" t="inlineStr">
        <is>
          <t>Not started</t>
        </is>
      </c>
      <c r="D395" s="124" t="inlineStr">
        <is>
          <t>牙科器材</t>
        </is>
      </c>
      <c r="E395" s="121" t="inlineStr">
        <is>
          <t>Not identified (directory listing only)</t>
        </is>
      </c>
      <c r="F395" s="124" t="inlineStr">
        <is>
          <t>Taichung</t>
        </is>
      </c>
      <c r="G395" s="121" t="inlineStr">
        <is>
          <t>Not published</t>
        </is>
      </c>
      <c r="H395" s="121" t="inlineStr">
        <is>
          <t>04-2278-8832</t>
        </is>
      </c>
      <c r="I395" s="121" t="inlineStr">
        <is>
          <t>Directory listing only: general medical device trader, retailer or maker in Taichung; ultrasound capability unconfirmed.</t>
        </is>
      </c>
      <c r="J395" s="121" t="inlineStr">
        <is>
          <t>SonoAir 70 + SonoEye P3 (confirm line card first)</t>
        </is>
      </c>
      <c r="K395" s="151" t="inlineStr">
        <is>
          <t>3</t>
        </is>
      </c>
      <c r="L395" s="121" t="inlineStr">
        <is>
          <t>Tier 3: long tail from the TCMICA member directory, added 6 Oct 2026 after the first send; email on file, not yet contacted.</t>
        </is>
      </c>
      <c r="M395" s="121" t="inlineStr">
        <is>
          <t>TCMICA directory 台中市醫療器材商業同業公會 (tcmica.org.tw), read 6 Oct 2026</t>
        </is>
      </c>
      <c r="N395" s="152" t="n"/>
      <c r="O395" s="153" t="n"/>
      <c r="P395" s="108" t="inlineStr">
        <is>
          <t>baolin.medical@msa.hinet.net</t>
        </is>
      </c>
      <c r="Q395" s="108" t="inlineStr">
        <is>
          <t>DIR: association member directory, not the company site</t>
        </is>
      </c>
      <c r="R395" s="108" t="inlineStr">
        <is>
          <t>Batch draft 7 of 7 (Send separately) saved in Winmail with Corporate Brochure 2027; not sent yet</t>
        </is>
      </c>
      <c r="S395" s="108" t="n"/>
    </row>
    <row r="396" ht="47.25" customHeight="1" s="104">
      <c r="A396" s="121" t="n">
        <v>391</v>
      </c>
      <c r="B396" s="143" t="inlineStr">
        <is>
          <t>巧盛科技有限公司</t>
        </is>
      </c>
      <c r="C396" s="121" t="inlineStr">
        <is>
          <t>Not started</t>
        </is>
      </c>
      <c r="D396" s="124" t="inlineStr">
        <is>
          <t>醫療器材</t>
        </is>
      </c>
      <c r="E396" s="121" t="inlineStr">
        <is>
          <t>Not identified (directory listing only)</t>
        </is>
      </c>
      <c r="F396" s="124" t="inlineStr">
        <is>
          <t>Taichung</t>
        </is>
      </c>
      <c r="G396" s="121" t="inlineStr">
        <is>
          <t>Not published</t>
        </is>
      </c>
      <c r="H396" s="121" t="inlineStr">
        <is>
          <t>04-2393-6126</t>
        </is>
      </c>
      <c r="I396" s="121" t="inlineStr">
        <is>
          <t>Directory listing only: general medical device trader, retailer or maker in Taichung; ultrasound capability unconfirmed.</t>
        </is>
      </c>
      <c r="J396" s="121" t="inlineStr">
        <is>
          <t>SonoAir 70 + SonoEye P3 (confirm line card first)</t>
        </is>
      </c>
      <c r="K396" s="151" t="inlineStr">
        <is>
          <t>3</t>
        </is>
      </c>
      <c r="L396" s="121" t="inlineStr">
        <is>
          <t>Tier 3: long tail from the TCMICA member directory, added 6 Oct 2026 after the first send; email on file, not yet contacted.</t>
        </is>
      </c>
      <c r="M396" s="121" t="inlineStr">
        <is>
          <t>TCMICA directory 台中市醫療器材商業同業公會 (tcmica.org.tw), read 6 Oct 2026</t>
        </is>
      </c>
      <c r="N396" s="152" t="n"/>
      <c r="O396" s="153" t="n"/>
      <c r="P396" s="108" t="inlineStr">
        <is>
          <t>cin1752@gmail.com</t>
        </is>
      </c>
      <c r="Q396" s="108" t="inlineStr">
        <is>
          <t>DIR: association member directory, not the company site</t>
        </is>
      </c>
      <c r="R396" s="108" t="inlineStr">
        <is>
          <t>Batch draft 7 of 7 (Send separately) saved in Winmail with Corporate Brochure 2027; not sent yet</t>
        </is>
      </c>
      <c r="S396" s="108" t="n"/>
    </row>
    <row r="397" ht="47.25" customHeight="1" s="104">
      <c r="A397" s="121" t="n">
        <v>392</v>
      </c>
      <c r="B397" s="143" t="inlineStr">
        <is>
          <t>翔晟儀器有限公司</t>
        </is>
      </c>
      <c r="C397" s="121" t="inlineStr">
        <is>
          <t>Not started</t>
        </is>
      </c>
      <c r="D397" s="124" t="inlineStr">
        <is>
          <t>醫療器材批發零售、機械安裝</t>
        </is>
      </c>
      <c r="E397" s="121" t="inlineStr">
        <is>
          <t>Not identified (directory listing only)</t>
        </is>
      </c>
      <c r="F397" s="124" t="inlineStr">
        <is>
          <t>Taichung</t>
        </is>
      </c>
      <c r="G397" s="121" t="inlineStr">
        <is>
          <t>Not published</t>
        </is>
      </c>
      <c r="H397" s="121" t="inlineStr">
        <is>
          <t>04-2236-0895</t>
        </is>
      </c>
      <c r="I397" s="121" t="inlineStr">
        <is>
          <t>Directory listing only: general medical device trader, retailer or maker in Taichung; ultrasound capability unconfirmed.</t>
        </is>
      </c>
      <c r="J397" s="121" t="inlineStr">
        <is>
          <t>SonoAir 70 + SonoEye P3 (confirm line card first)</t>
        </is>
      </c>
      <c r="K397" s="151" t="inlineStr">
        <is>
          <t>3</t>
        </is>
      </c>
      <c r="L397" s="121" t="inlineStr">
        <is>
          <t>Tier 3: long tail from the TCMICA member directory, added 6 Oct 2026 after the first send; email on file, not yet contacted.</t>
        </is>
      </c>
      <c r="M397" s="121" t="inlineStr">
        <is>
          <t>TCMICA directory 台中市醫療器材商業同業公會 (tcmica.org.tw), read 6 Oct 2026</t>
        </is>
      </c>
      <c r="N397" s="152" t="n"/>
      <c r="O397" s="153" t="n"/>
      <c r="P397" s="108" t="inlineStr">
        <is>
          <t>xiangsheng58@gmail.com</t>
        </is>
      </c>
      <c r="Q397" s="108" t="inlineStr">
        <is>
          <t>DIR: association member directory, not the company site</t>
        </is>
      </c>
      <c r="R397" s="108" t="inlineStr">
        <is>
          <t>Batch draft 7 of 7 (Send separately) saved in Winmail with Corporate Brochure 2027; not sent yet</t>
        </is>
      </c>
      <c r="S397" s="108" t="n"/>
    </row>
    <row r="398" ht="47.25" customHeight="1" s="104">
      <c r="A398" s="121" t="n">
        <v>393</v>
      </c>
      <c r="B398" s="143" t="inlineStr">
        <is>
          <t>迎弘醫療器材有限公司</t>
        </is>
      </c>
      <c r="C398" s="121" t="inlineStr">
        <is>
          <t>Not started</t>
        </is>
      </c>
      <c r="D398" s="124" t="inlineStr">
        <is>
          <t>醫療器材批發零售、醫療耗材</t>
        </is>
      </c>
      <c r="E398" s="121" t="inlineStr">
        <is>
          <t>Not identified (directory listing only)</t>
        </is>
      </c>
      <c r="F398" s="124" t="inlineStr">
        <is>
          <t>Taichung</t>
        </is>
      </c>
      <c r="G398" s="121" t="inlineStr">
        <is>
          <t>Not published</t>
        </is>
      </c>
      <c r="H398" s="121" t="inlineStr">
        <is>
          <t>Not published in directory</t>
        </is>
      </c>
      <c r="I398" s="121" t="inlineStr">
        <is>
          <t>Directory listing only: general medical device trader, retailer or maker in Taichung; ultrasound capability unconfirmed.</t>
        </is>
      </c>
      <c r="J398" s="121" t="inlineStr">
        <is>
          <t>SonoAir 70 + SonoEye P3 (confirm line card first)</t>
        </is>
      </c>
      <c r="K398" s="151" t="inlineStr">
        <is>
          <t>3</t>
        </is>
      </c>
      <c r="L398" s="121" t="inlineStr">
        <is>
          <t>Tier 3: long tail from the TCMICA member directory, added 6 Oct 2026 after the first send; email on file, not yet contacted.</t>
        </is>
      </c>
      <c r="M398" s="121" t="inlineStr">
        <is>
          <t>TCMICA directory 台中市醫療器材商業同業公會 (tcmica.org.tw), read 6 Oct 2026</t>
        </is>
      </c>
      <c r="N398" s="152" t="n"/>
      <c r="O398" s="153" t="n"/>
      <c r="P398" s="108" t="inlineStr">
        <is>
          <t>katrina210@yahoo.com.tw</t>
        </is>
      </c>
      <c r="Q398" s="108" t="inlineStr">
        <is>
          <t>DIR: association member directory, not the company site</t>
        </is>
      </c>
      <c r="R398" s="108" t="inlineStr">
        <is>
          <t>Batch draft 7 of 7 (Send separately) saved in Winmail with Corporate Brochure 2027; not sent yet</t>
        </is>
      </c>
      <c r="S398" s="108" t="n"/>
    </row>
    <row r="399" ht="47.25" customHeight="1" s="104">
      <c r="A399" s="121" t="n">
        <v>394</v>
      </c>
      <c r="B399" s="143" t="inlineStr">
        <is>
          <t>慶霖醫療用品有限公司</t>
        </is>
      </c>
      <c r="C399" s="121" t="inlineStr">
        <is>
          <t>Not started</t>
        </is>
      </c>
      <c r="D399" s="124" t="inlineStr">
        <is>
          <t>護理之家及檢驗衛耗材、血壓計、血糖機</t>
        </is>
      </c>
      <c r="E399" s="121" t="inlineStr">
        <is>
          <t>Not identified (directory listing only)</t>
        </is>
      </c>
      <c r="F399" s="124" t="inlineStr">
        <is>
          <t>Taichung</t>
        </is>
      </c>
      <c r="G399" s="121" t="inlineStr">
        <is>
          <t>Not published</t>
        </is>
      </c>
      <c r="H399" s="121" t="inlineStr">
        <is>
          <t>04-2485-0198</t>
        </is>
      </c>
      <c r="I399" s="121" t="inlineStr">
        <is>
          <t>Directory listing only: general medical device trader, retailer or maker in Taichung; ultrasound capability unconfirmed.</t>
        </is>
      </c>
      <c r="J399" s="121" t="inlineStr">
        <is>
          <t>SonoAir 70 + SonoEye P3 (confirm line card first)</t>
        </is>
      </c>
      <c r="K399" s="151" t="inlineStr">
        <is>
          <t>3</t>
        </is>
      </c>
      <c r="L399" s="121" t="inlineStr">
        <is>
          <t>Tier 3: long tail from the TCMICA member directory, added 6 Oct 2026 after the first send; email on file, not yet contacted.</t>
        </is>
      </c>
      <c r="M399" s="121" t="inlineStr">
        <is>
          <t>TCMICA directory 台中市醫療器材商業同業公會 (tcmica.org.tw), read 6 Oct 2026</t>
        </is>
      </c>
      <c r="N399" s="152" t="n"/>
      <c r="O399" s="153" t="n"/>
      <c r="P399" s="108" t="inlineStr">
        <is>
          <t>shu195@yahoo.com.tw</t>
        </is>
      </c>
      <c r="Q399" s="108" t="inlineStr">
        <is>
          <t>DIR: association member directory, not the company site</t>
        </is>
      </c>
      <c r="R399" s="108" t="inlineStr">
        <is>
          <t>Batch draft 7 of 7 (Send separately) saved in Winmail with Corporate Brochure 2027; not sent yet</t>
        </is>
      </c>
      <c r="S399" s="108" t="n"/>
    </row>
    <row r="400" ht="47.25" customHeight="1" s="104">
      <c r="A400" s="121" t="n">
        <v>395</v>
      </c>
      <c r="B400" s="143" t="inlineStr">
        <is>
          <t>震鑫儀器有限公司</t>
        </is>
      </c>
      <c r="C400" s="121" t="inlineStr">
        <is>
          <t>Not started</t>
        </is>
      </c>
      <c r="D400" s="124" t="inlineStr">
        <is>
          <t>心臟外科、神經外科手術器械</t>
        </is>
      </c>
      <c r="E400" s="121" t="inlineStr">
        <is>
          <t>Not identified (directory listing only)</t>
        </is>
      </c>
      <c r="F400" s="124" t="inlineStr">
        <is>
          <t>Taichung</t>
        </is>
      </c>
      <c r="G400" s="121" t="inlineStr">
        <is>
          <t>Not published</t>
        </is>
      </c>
      <c r="H400" s="121" t="inlineStr">
        <is>
          <t>04-2316-3368</t>
        </is>
      </c>
      <c r="I400" s="121" t="inlineStr">
        <is>
          <t>Directory listing only: general medical device trader, retailer or maker in Taichung; ultrasound capability unconfirmed.</t>
        </is>
      </c>
      <c r="J400" s="121" t="inlineStr">
        <is>
          <t>SonoAir 70 + SonoEye P3 (confirm line card first)</t>
        </is>
      </c>
      <c r="K400" s="151" t="inlineStr">
        <is>
          <t>3</t>
        </is>
      </c>
      <c r="L400" s="121" t="inlineStr">
        <is>
          <t>Tier 3: long tail from the TCMICA member directory, added 6 Oct 2026 after the first send; email on file, not yet contacted.</t>
        </is>
      </c>
      <c r="M400" s="121" t="inlineStr">
        <is>
          <t>TCMICA directory 台中市醫療器材商業同業公會 (tcmica.org.tw), read 6 Oct 2026</t>
        </is>
      </c>
      <c r="N400" s="152" t="n"/>
      <c r="O400" s="153" t="n"/>
      <c r="P400" s="108" t="inlineStr">
        <is>
          <t>strongcare.med@gmail.com</t>
        </is>
      </c>
      <c r="Q400" s="108" t="inlineStr">
        <is>
          <t>DIR: association member directory, not the company site</t>
        </is>
      </c>
      <c r="R400" s="108" t="inlineStr">
        <is>
          <t>Batch draft 7 of 7 (Send separately) saved in Winmail with Corporate Brochure 2027; not sent yet</t>
        </is>
      </c>
      <c r="S400" s="108" t="n"/>
    </row>
    <row r="401" ht="47.25" customHeight="1" s="104">
      <c r="A401" s="121" t="n">
        <v>396</v>
      </c>
      <c r="B401" s="143" t="inlineStr">
        <is>
          <t>均佳生物科技有限公司</t>
        </is>
      </c>
      <c r="C401" s="121" t="inlineStr">
        <is>
          <t>Not started</t>
        </is>
      </c>
      <c r="D401" s="124" t="inlineStr">
        <is>
          <t>輪椅、便器椅、枴杖</t>
        </is>
      </c>
      <c r="E401" s="121" t="inlineStr">
        <is>
          <t>Not identified (directory listing only)</t>
        </is>
      </c>
      <c r="F401" s="124" t="inlineStr">
        <is>
          <t>Taichung</t>
        </is>
      </c>
      <c r="G401" s="121" t="inlineStr">
        <is>
          <t>Not published</t>
        </is>
      </c>
      <c r="H401" s="121" t="inlineStr">
        <is>
          <t>04-2492-8233</t>
        </is>
      </c>
      <c r="I401" s="121" t="inlineStr">
        <is>
          <t>Directory listing only: general medical device trader, retailer or maker in Taichung; ultrasound capability unconfirmed.</t>
        </is>
      </c>
      <c r="J401" s="121" t="inlineStr">
        <is>
          <t>SonoAir 70 + SonoEye P3 (confirm line card first)</t>
        </is>
      </c>
      <c r="K401" s="151" t="inlineStr">
        <is>
          <t>3</t>
        </is>
      </c>
      <c r="L401" s="121" t="inlineStr">
        <is>
          <t>Tier 3: long tail from the TCMICA member directory, added 6 Oct 2026 after the first send; email on file, not yet contacted.</t>
        </is>
      </c>
      <c r="M401" s="121" t="inlineStr">
        <is>
          <t>TCMICA directory 台中市醫療器材商業同業公會 (tcmica.org.tw), read 6 Oct 2026</t>
        </is>
      </c>
      <c r="N401" s="152" t="n"/>
      <c r="O401" s="153" t="n"/>
      <c r="P401" s="108" t="inlineStr">
        <is>
          <t>plmnkojr@gmail.com</t>
        </is>
      </c>
      <c r="Q401" s="108" t="inlineStr">
        <is>
          <t>DIR: association member directory, not the company site</t>
        </is>
      </c>
      <c r="R401" s="108" t="inlineStr">
        <is>
          <t>Batch draft 7 of 7 (Send separately) saved in Winmail with Corporate Brochure 2027; not sent yet</t>
        </is>
      </c>
      <c r="S401" s="108" t="n"/>
    </row>
    <row r="402" ht="47.25" customHeight="1" s="104">
      <c r="A402" s="121" t="n">
        <v>397</v>
      </c>
      <c r="B402" s="143" t="inlineStr">
        <is>
          <t>捷俞實業有限公司</t>
        </is>
      </c>
      <c r="C402" s="121" t="inlineStr">
        <is>
          <t>Not started</t>
        </is>
      </c>
      <c r="D402" s="124" t="inlineStr">
        <is>
          <t>醫療器材</t>
        </is>
      </c>
      <c r="E402" s="121" t="inlineStr">
        <is>
          <t>Not identified (directory listing only)</t>
        </is>
      </c>
      <c r="F402" s="124" t="inlineStr">
        <is>
          <t>Taichung</t>
        </is>
      </c>
      <c r="G402" s="121" t="inlineStr">
        <is>
          <t>Not published</t>
        </is>
      </c>
      <c r="H402" s="121" t="inlineStr">
        <is>
          <t>04-2418-1000</t>
        </is>
      </c>
      <c r="I402" s="121" t="inlineStr">
        <is>
          <t>Directory listing only: general medical device trader, retailer or maker in Taichung; ultrasound capability unconfirmed.</t>
        </is>
      </c>
      <c r="J402" s="121" t="inlineStr">
        <is>
          <t>SonoAir 70 + SonoEye P3 (confirm line card first)</t>
        </is>
      </c>
      <c r="K402" s="151" t="inlineStr">
        <is>
          <t>3</t>
        </is>
      </c>
      <c r="L402" s="121" t="inlineStr">
        <is>
          <t>Tier 3: long tail from the TCMICA member directory, added 6 Oct 2026 after the first send; email on file, not yet contacted.</t>
        </is>
      </c>
      <c r="M402" s="121" t="inlineStr">
        <is>
          <t>TCMICA directory 台中市醫療器材商業同業公會 (tcmica.org.tw), read 6 Oct 2026</t>
        </is>
      </c>
      <c r="N402" s="152" t="n"/>
      <c r="O402" s="153" t="n"/>
      <c r="P402" s="108" t="inlineStr">
        <is>
          <t>jeh.com@msa.hinet.net</t>
        </is>
      </c>
      <c r="Q402" s="108" t="inlineStr">
        <is>
          <t>DIR: association member directory, not the company site</t>
        </is>
      </c>
      <c r="R402" s="108" t="inlineStr">
        <is>
          <t>Batch draft 7 of 7 (Send separately) saved in Winmail with Corporate Brochure 2027; not sent yet</t>
        </is>
      </c>
      <c r="S402" s="108" t="n"/>
    </row>
    <row r="403" ht="47.25" customHeight="1" s="104">
      <c r="A403" s="121" t="n">
        <v>398</v>
      </c>
      <c r="B403" s="143" t="inlineStr">
        <is>
          <t>基育有限公司</t>
        </is>
      </c>
      <c r="C403" s="121" t="inlineStr">
        <is>
          <t>Not started</t>
        </is>
      </c>
      <c r="D403" s="124" t="inlineStr">
        <is>
          <t>醫療器材</t>
        </is>
      </c>
      <c r="E403" s="121" t="inlineStr">
        <is>
          <t>Not identified (directory listing only)</t>
        </is>
      </c>
      <c r="F403" s="124" t="inlineStr">
        <is>
          <t>Taichung</t>
        </is>
      </c>
      <c r="G403" s="121" t="inlineStr">
        <is>
          <t>Not published</t>
        </is>
      </c>
      <c r="H403" s="121" t="inlineStr">
        <is>
          <t>04-2407-7298</t>
        </is>
      </c>
      <c r="I403" s="121" t="inlineStr">
        <is>
          <t>Directory listing only: general medical device trader, retailer or maker in Taichung; ultrasound capability unconfirmed.</t>
        </is>
      </c>
      <c r="J403" s="121" t="inlineStr">
        <is>
          <t>SonoAir 70 + SonoEye P3 (confirm line card first)</t>
        </is>
      </c>
      <c r="K403" s="151" t="inlineStr">
        <is>
          <t>3</t>
        </is>
      </c>
      <c r="L403" s="121" t="inlineStr">
        <is>
          <t>Tier 3: long tail from the TCMICA member directory, added 6 Oct 2026 after the first send; email on file, not yet contacted.</t>
        </is>
      </c>
      <c r="M403" s="121" t="inlineStr">
        <is>
          <t>TCMICA directory 台中市醫療器材商業同業公會 (tcmica.org.tw), read 6 Oct 2026</t>
        </is>
      </c>
      <c r="N403" s="152" t="n"/>
      <c r="O403" s="153" t="n"/>
      <c r="P403" s="108" t="inlineStr">
        <is>
          <t>ploverco@ms26.hinet.net</t>
        </is>
      </c>
      <c r="Q403" s="108" t="inlineStr">
        <is>
          <t>DIR: association member directory, not the company site</t>
        </is>
      </c>
      <c r="R403" s="108" t="inlineStr">
        <is>
          <t>Batch draft 7 of 7 (Send separately) saved in Winmail with Corporate Brochure 2027; not sent yet</t>
        </is>
      </c>
      <c r="S403" s="108" t="n"/>
    </row>
    <row r="404" ht="47.25" customHeight="1" s="104">
      <c r="A404" s="121" t="n">
        <v>399</v>
      </c>
      <c r="B404" s="143" t="inlineStr">
        <is>
          <t>莎美漾企業有限公司</t>
        </is>
      </c>
      <c r="C404" s="121" t="inlineStr">
        <is>
          <t>Not started</t>
        </is>
      </c>
      <c r="D404" s="124" t="inlineStr">
        <is>
          <t>醫療器材</t>
        </is>
      </c>
      <c r="E404" s="121" t="inlineStr">
        <is>
          <t>Not identified (directory listing only)</t>
        </is>
      </c>
      <c r="F404" s="124" t="inlineStr">
        <is>
          <t>Taichung</t>
        </is>
      </c>
      <c r="G404" s="121" t="inlineStr">
        <is>
          <t>Not published</t>
        </is>
      </c>
      <c r="H404" s="121" t="inlineStr">
        <is>
          <t>04-2451-9957</t>
        </is>
      </c>
      <c r="I404" s="121" t="inlineStr">
        <is>
          <t>Directory listing only: general medical device trader, retailer or maker in Taichung; ultrasound capability unconfirmed.</t>
        </is>
      </c>
      <c r="J404" s="121" t="inlineStr">
        <is>
          <t>SonoAir 70 + SonoEye P3 (confirm line card first)</t>
        </is>
      </c>
      <c r="K404" s="151" t="inlineStr">
        <is>
          <t>3</t>
        </is>
      </c>
      <c r="L404" s="121" t="inlineStr">
        <is>
          <t>Tier 3: long tail from the TCMICA member directory, added 6 Oct 2026 after the first send; email on file, not yet contacted.</t>
        </is>
      </c>
      <c r="M404" s="121" t="inlineStr">
        <is>
          <t>TCMICA directory 台中市醫療器材商業同業公會 (tcmica.org.tw), read 6 Oct 2026</t>
        </is>
      </c>
      <c r="N404" s="152" t="n"/>
      <c r="O404" s="153" t="n"/>
      <c r="P404" s="108" t="inlineStr">
        <is>
          <t>samiyung.etp@gmail.com</t>
        </is>
      </c>
      <c r="Q404" s="108" t="inlineStr">
        <is>
          <t>DIR: association member directory, not the company site</t>
        </is>
      </c>
      <c r="R404" s="108" t="inlineStr">
        <is>
          <t>Batch draft 7 of 7 (Send separately) saved in Winmail with Corporate Brochure 2027; not sent yet</t>
        </is>
      </c>
      <c r="S404" s="108" t="n"/>
    </row>
    <row r="405" ht="47.25" customHeight="1" s="104">
      <c r="A405" s="121" t="n">
        <v>400</v>
      </c>
      <c r="B405" s="143" t="inlineStr">
        <is>
          <t>日騰科技股份有限公司</t>
        </is>
      </c>
      <c r="C405" s="121" t="inlineStr">
        <is>
          <t>Not started</t>
        </is>
      </c>
      <c r="D405" s="124" t="inlineStr">
        <is>
          <t>低週波溫熱治療機</t>
        </is>
      </c>
      <c r="E405" s="121" t="inlineStr">
        <is>
          <t>Not identified (directory listing only)</t>
        </is>
      </c>
      <c r="F405" s="124" t="inlineStr">
        <is>
          <t>Taichung</t>
        </is>
      </c>
      <c r="G405" s="121" t="inlineStr">
        <is>
          <t>Not published</t>
        </is>
      </c>
      <c r="H405" s="121" t="inlineStr">
        <is>
          <t>04-2338-6828</t>
        </is>
      </c>
      <c r="I405" s="121" t="inlineStr">
        <is>
          <t>Directory listing only: general medical device trader, retailer or maker in Taichung; ultrasound capability unconfirmed.</t>
        </is>
      </c>
      <c r="J405" s="121" t="inlineStr">
        <is>
          <t>SonoAir 70 + SonoEye P3 (confirm line card first)</t>
        </is>
      </c>
      <c r="K405" s="151" t="inlineStr">
        <is>
          <t>3</t>
        </is>
      </c>
      <c r="L405" s="121" t="inlineStr">
        <is>
          <t>Tier 3: long tail from the TCMICA member directory, added 6 Oct 2026 after the first send; email on file, not yet contacted.</t>
        </is>
      </c>
      <c r="M405" s="121" t="inlineStr">
        <is>
          <t>TCMICA directory 台中市醫療器材商業同業公會 (tcmica.org.tw), read 6 Oct 2026</t>
        </is>
      </c>
      <c r="N405" s="152" t="n"/>
      <c r="O405" s="153" t="n"/>
      <c r="P405" s="108" t="inlineStr">
        <is>
          <t>nichito.doi@gmail.com</t>
        </is>
      </c>
      <c r="Q405" s="108" t="inlineStr">
        <is>
          <t>DIR: association member directory, not the company site</t>
        </is>
      </c>
      <c r="R405" s="108" t="inlineStr">
        <is>
          <t>Batch draft 7 of 7 (Send separately) saved in Winmail with Corporate Brochure 2027; not sent yet</t>
        </is>
      </c>
      <c r="S405" s="108" t="n"/>
    </row>
    <row r="406" ht="47.25" customHeight="1" s="104">
      <c r="A406" s="121" t="n">
        <v>401</v>
      </c>
      <c r="B406" s="143" t="inlineStr">
        <is>
          <t>大江綠色工廠股份有限公司</t>
        </is>
      </c>
      <c r="C406" s="121" t="inlineStr">
        <is>
          <t>Not started</t>
        </is>
      </c>
      <c r="D406" s="124" t="inlineStr">
        <is>
          <t>醫療器材</t>
        </is>
      </c>
      <c r="E406" s="121" t="inlineStr">
        <is>
          <t>Not identified (directory listing only)</t>
        </is>
      </c>
      <c r="F406" s="124" t="inlineStr">
        <is>
          <t>Taichung</t>
        </is>
      </c>
      <c r="G406" s="121" t="inlineStr">
        <is>
          <t>Not published</t>
        </is>
      </c>
      <c r="H406" s="121" t="inlineStr">
        <is>
          <t>04-2336-9507</t>
        </is>
      </c>
      <c r="I406" s="121" t="inlineStr">
        <is>
          <t>Directory listing only: general medical device trader, retailer or maker in Taichung; ultrasound capability unconfirmed.</t>
        </is>
      </c>
      <c r="J406" s="121" t="inlineStr">
        <is>
          <t>SonoAir 70 + SonoEye P3 (confirm line card first)</t>
        </is>
      </c>
      <c r="K406" s="151" t="inlineStr">
        <is>
          <t>3</t>
        </is>
      </c>
      <c r="L406" s="121" t="inlineStr">
        <is>
          <t>Tier 3: long tail from the TCMICA member directory, added 6 Oct 2026 after the first send; email on file, not yet contacted.</t>
        </is>
      </c>
      <c r="M406" s="121" t="inlineStr">
        <is>
          <t>TCMICA directory 台中市醫療器材商業同業公會 (tcmica.org.tw), read 6 Oct 2026</t>
        </is>
      </c>
      <c r="N406" s="152" t="n"/>
      <c r="O406" s="153" t="n"/>
      <c r="P406" s="108" t="inlineStr">
        <is>
          <t>ulp828@gmail.com</t>
        </is>
      </c>
      <c r="Q406" s="108" t="inlineStr">
        <is>
          <t>DIR: association member directory, not the company site</t>
        </is>
      </c>
      <c r="R406" s="108" t="inlineStr">
        <is>
          <t>Batch draft 7 of 7 (Send separately) saved in Winmail with Corporate Brochure 2027; not sent yet</t>
        </is>
      </c>
      <c r="S406" s="108" t="n"/>
    </row>
    <row r="407" ht="47.25" customHeight="1" s="104">
      <c r="A407" s="121" t="n">
        <v>402</v>
      </c>
      <c r="B407" s="143" t="inlineStr">
        <is>
          <t>啓原精密有限公司</t>
        </is>
      </c>
      <c r="C407" s="121" t="inlineStr">
        <is>
          <t>Not started</t>
        </is>
      </c>
      <c r="D407" s="124" t="inlineStr">
        <is>
          <t>醫療器材</t>
        </is>
      </c>
      <c r="E407" s="121" t="inlineStr">
        <is>
          <t>Not identified (directory listing only)</t>
        </is>
      </c>
      <c r="F407" s="124" t="inlineStr">
        <is>
          <t>Taichung</t>
        </is>
      </c>
      <c r="G407" s="121" t="inlineStr">
        <is>
          <t>Not published</t>
        </is>
      </c>
      <c r="H407" s="121" t="inlineStr">
        <is>
          <t>04-2335-0695</t>
        </is>
      </c>
      <c r="I407" s="121" t="inlineStr">
        <is>
          <t>Directory listing only: general medical device trader, retailer or maker in Taichung; ultrasound capability unconfirmed.</t>
        </is>
      </c>
      <c r="J407" s="121" t="inlineStr">
        <is>
          <t>SonoAir 70 + SonoEye P3 (confirm line card first)</t>
        </is>
      </c>
      <c r="K407" s="151" t="inlineStr">
        <is>
          <t>3</t>
        </is>
      </c>
      <c r="L407" s="121" t="inlineStr">
        <is>
          <t>Tier 3: long tail from the TCMICA member directory, added 6 Oct 2026 after the first send; email on file, not yet contacted.</t>
        </is>
      </c>
      <c r="M407" s="121" t="inlineStr">
        <is>
          <t>TCMICA directory 台中市醫療器材商業同業公會 (tcmica.org.tw), read 6 Oct 2026</t>
        </is>
      </c>
      <c r="N407" s="152" t="n"/>
      <c r="O407" s="153" t="n"/>
      <c r="P407" s="108" t="inlineStr">
        <is>
          <t>kaor@hibox.hinet.net</t>
        </is>
      </c>
      <c r="Q407" s="108" t="inlineStr">
        <is>
          <t>DIR: association member directory, not the company site</t>
        </is>
      </c>
      <c r="R407" s="108" t="inlineStr">
        <is>
          <t>Batch draft 7 of 7 (Send separately) saved in Winmail with Corporate Brochure 2027; not sent yet</t>
        </is>
      </c>
      <c r="S407" s="108" t="n"/>
    </row>
    <row r="408" ht="47.25" customHeight="1" s="104">
      <c r="A408" s="121" t="n">
        <v>403</v>
      </c>
      <c r="B408" s="143" t="inlineStr">
        <is>
          <t>坤鑫國際有限公司</t>
        </is>
      </c>
      <c r="C408" s="121" t="inlineStr">
        <is>
          <t>Not started</t>
        </is>
      </c>
      <c r="D408" s="124" t="inlineStr">
        <is>
          <t>醫療器材</t>
        </is>
      </c>
      <c r="E408" s="121" t="inlineStr">
        <is>
          <t>Not identified (directory listing only)</t>
        </is>
      </c>
      <c r="F408" s="124" t="inlineStr">
        <is>
          <t>Taichung</t>
        </is>
      </c>
      <c r="G408" s="121" t="inlineStr">
        <is>
          <t>Not published</t>
        </is>
      </c>
      <c r="H408" s="121" t="inlineStr">
        <is>
          <t>04-2335-7703</t>
        </is>
      </c>
      <c r="I408" s="121" t="inlineStr">
        <is>
          <t>Directory listing only: general medical device trader, retailer or maker in Taichung; ultrasound capability unconfirmed.</t>
        </is>
      </c>
      <c r="J408" s="121" t="inlineStr">
        <is>
          <t>SonoAir 70 + SonoEye P3 (confirm line card first)</t>
        </is>
      </c>
      <c r="K408" s="151" t="inlineStr">
        <is>
          <t>3</t>
        </is>
      </c>
      <c r="L408" s="121" t="inlineStr">
        <is>
          <t>Tier 3: long tail from the TCMICA member directory, added 6 Oct 2026 after the first send; email on file, not yet contacted.</t>
        </is>
      </c>
      <c r="M408" s="121" t="inlineStr">
        <is>
          <t>TCMICA directory 台中市醫療器材商業同業公會 (tcmica.org.tw), read 6 Oct 2026</t>
        </is>
      </c>
      <c r="N408" s="152" t="n"/>
      <c r="O408" s="153" t="n"/>
      <c r="P408" s="108" t="inlineStr">
        <is>
          <t>jack.ceotool@msa.hinet.net</t>
        </is>
      </c>
      <c r="Q408" s="108" t="inlineStr">
        <is>
          <t>DIR: association member directory, not the company site</t>
        </is>
      </c>
      <c r="R408" s="108" t="inlineStr">
        <is>
          <t>Batch draft 7 of 7 (Send separately) saved in Winmail with Corporate Brochure 2027; not sent yet</t>
        </is>
      </c>
      <c r="S408" s="108" t="n"/>
    </row>
    <row r="409" ht="47.25" customHeight="1" s="104">
      <c r="A409" s="121" t="n">
        <v>404</v>
      </c>
      <c r="B409" s="143" t="inlineStr">
        <is>
          <t>優程工業股份有限公司</t>
        </is>
      </c>
      <c r="C409" s="121" t="inlineStr">
        <is>
          <t>Not started</t>
        </is>
      </c>
      <c r="D409" s="124" t="inlineStr">
        <is>
          <t>熱敷墊、紅外線燈、助行器、TENS製造批發</t>
        </is>
      </c>
      <c r="E409" s="121" t="inlineStr">
        <is>
          <t>Not identified (directory listing only)</t>
        </is>
      </c>
      <c r="F409" s="124" t="inlineStr">
        <is>
          <t>Taichung</t>
        </is>
      </c>
      <c r="G409" s="121" t="inlineStr">
        <is>
          <t>Not published</t>
        </is>
      </c>
      <c r="H409" s="121" t="inlineStr">
        <is>
          <t>04-2527-0951</t>
        </is>
      </c>
      <c r="I409" s="121" t="inlineStr">
        <is>
          <t>Directory listing only: general medical device trader, retailer or maker in Taichung; ultrasound capability unconfirmed.</t>
        </is>
      </c>
      <c r="J409" s="121" t="inlineStr">
        <is>
          <t>SonoAir 70 + SonoEye P3 (confirm line card first)</t>
        </is>
      </c>
      <c r="K409" s="151" t="inlineStr">
        <is>
          <t>3</t>
        </is>
      </c>
      <c r="L409" s="121" t="inlineStr">
        <is>
          <t>Tier 3: long tail from the TCMICA member directory, added 6 Oct 2026 after the first send; email on file, not yet contacted.</t>
        </is>
      </c>
      <c r="M409" s="121" t="inlineStr">
        <is>
          <t>TCMICA directory 台中市醫療器材商業同業公會 (tcmica.org.tw), read 6 Oct 2026</t>
        </is>
      </c>
      <c r="N409" s="152" t="n"/>
      <c r="O409" s="153" t="n"/>
      <c r="P409" s="108" t="inlineStr">
        <is>
          <t>union-chen@umail.hinet.net</t>
        </is>
      </c>
      <c r="Q409" s="108" t="inlineStr">
        <is>
          <t>DIR: association member directory, not the company site</t>
        </is>
      </c>
      <c r="R409" s="108" t="inlineStr">
        <is>
          <t>Batch draft 7 of 7 (Send separately) saved in Winmail with Corporate Brochure 2027; not sent yet</t>
        </is>
      </c>
      <c r="S409" s="108" t="n"/>
    </row>
    <row r="410" ht="47.25" customHeight="1" s="104">
      <c r="A410" s="121" t="n">
        <v>405</v>
      </c>
      <c r="B410" s="143" t="inlineStr">
        <is>
          <t>富長興股份有限公司</t>
        </is>
      </c>
      <c r="C410" s="121" t="inlineStr">
        <is>
          <t>Not started</t>
        </is>
      </c>
      <c r="D410" s="124" t="inlineStr">
        <is>
          <t>爬梯機、升降平台、行動輔具</t>
        </is>
      </c>
      <c r="E410" s="121" t="inlineStr">
        <is>
          <t>Not identified (directory listing only)</t>
        </is>
      </c>
      <c r="F410" s="124" t="inlineStr">
        <is>
          <t>Taichung</t>
        </is>
      </c>
      <c r="G410" s="121" t="inlineStr">
        <is>
          <t>Not published</t>
        </is>
      </c>
      <c r="H410" s="121" t="inlineStr">
        <is>
          <t>04-2528-0700</t>
        </is>
      </c>
      <c r="I410" s="121" t="inlineStr">
        <is>
          <t>Directory listing only: general medical device trader, retailer or maker in Taichung; ultrasound capability unconfirmed.</t>
        </is>
      </c>
      <c r="J410" s="121" t="inlineStr">
        <is>
          <t>SonoAir 70 + SonoEye P3 (confirm line card first)</t>
        </is>
      </c>
      <c r="K410" s="151" t="inlineStr">
        <is>
          <t>3</t>
        </is>
      </c>
      <c r="L410" s="121" t="inlineStr">
        <is>
          <t>Tier 3: long tail from the TCMICA member directory, added 6 Oct 2026 after the first send; email on file, not yet contacted.</t>
        </is>
      </c>
      <c r="M410" s="121" t="inlineStr">
        <is>
          <t>TCMICA directory 台中市醫療器材商業同業公會 (tcmica.org.tw), read 6 Oct 2026</t>
        </is>
      </c>
      <c r="N410" s="152" t="n"/>
      <c r="O410" s="153" t="n"/>
      <c r="P410" s="108" t="inlineStr">
        <is>
          <t>hyj@airbase.com.tw</t>
        </is>
      </c>
      <c r="Q410" s="108" t="inlineStr">
        <is>
          <t>DIR: association member directory, not the company site</t>
        </is>
      </c>
      <c r="R410" s="108" t="inlineStr">
        <is>
          <t>Batch draft 7 of 7 (Send separately) saved in Winmail with Corporate Brochure 2027; not sent yet</t>
        </is>
      </c>
      <c r="S410" s="108" t="n"/>
    </row>
    <row r="411" ht="47.25" customHeight="1" s="104">
      <c r="A411" s="121" t="n">
        <v>406</v>
      </c>
      <c r="B411" s="143" t="inlineStr">
        <is>
          <t>衛豐事業有限公司</t>
        </is>
      </c>
      <c r="C411" s="121" t="inlineStr">
        <is>
          <t>Not started</t>
        </is>
      </c>
      <c r="D411" s="124" t="inlineStr">
        <is>
          <t>復健器材</t>
        </is>
      </c>
      <c r="E411" s="121" t="inlineStr">
        <is>
          <t>Not identified (directory listing only)</t>
        </is>
      </c>
      <c r="F411" s="124" t="inlineStr">
        <is>
          <t>Taichung</t>
        </is>
      </c>
      <c r="G411" s="121" t="inlineStr">
        <is>
          <t>Not published</t>
        </is>
      </c>
      <c r="H411" s="121" t="inlineStr">
        <is>
          <t>04-2513-0768</t>
        </is>
      </c>
      <c r="I411" s="121" t="inlineStr">
        <is>
          <t>Directory listing only: general medical device trader, retailer or maker in Taichung; ultrasound capability unconfirmed.</t>
        </is>
      </c>
      <c r="J411" s="121" t="inlineStr">
        <is>
          <t>SonoAir 70 + SonoEye P3 (confirm line card first)</t>
        </is>
      </c>
      <c r="K411" s="151" t="inlineStr">
        <is>
          <t>3</t>
        </is>
      </c>
      <c r="L411" s="121" t="inlineStr">
        <is>
          <t>Tier 3: long tail from the TCMICA member directory, added 6 Oct 2026 after the first send; email on file, not yet contacted.</t>
        </is>
      </c>
      <c r="M411" s="121" t="inlineStr">
        <is>
          <t>TCMICA directory 台中市醫療器材商業同業公會 (tcmica.org.tw), read 6 Oct 2026</t>
        </is>
      </c>
      <c r="N411" s="152" t="n"/>
      <c r="O411" s="153" t="n"/>
      <c r="P411" s="108" t="inlineStr">
        <is>
          <t>wayfone6393@gmail.com</t>
        </is>
      </c>
      <c r="Q411" s="108" t="inlineStr">
        <is>
          <t>DIR: association member directory, not the company site</t>
        </is>
      </c>
      <c r="R411" s="108" t="inlineStr">
        <is>
          <t>Batch draft 7 of 7 (Send separately) saved in Winmail with Corporate Brochure 2027; not sent yet</t>
        </is>
      </c>
      <c r="S411" s="108" t="n"/>
    </row>
    <row r="412" ht="47.25" customHeight="1" s="104">
      <c r="A412" s="121" t="n">
        <v>407</v>
      </c>
      <c r="B412" s="143" t="inlineStr">
        <is>
          <t>南風設計室</t>
        </is>
      </c>
      <c r="C412" s="121" t="inlineStr">
        <is>
          <t>Not started</t>
        </is>
      </c>
      <c r="D412" s="124" t="inlineStr">
        <is>
          <t>醫療器材</t>
        </is>
      </c>
      <c r="E412" s="121" t="inlineStr">
        <is>
          <t>Not identified (directory listing only)</t>
        </is>
      </c>
      <c r="F412" s="124" t="inlineStr">
        <is>
          <t>Taichung</t>
        </is>
      </c>
      <c r="G412" s="121" t="inlineStr">
        <is>
          <t>Not published</t>
        </is>
      </c>
      <c r="H412" s="121" t="inlineStr">
        <is>
          <t>04-2525-0287</t>
        </is>
      </c>
      <c r="I412" s="121" t="inlineStr">
        <is>
          <t>Directory listing only: general medical device trader, retailer or maker in Taichung; ultrasound capability unconfirmed.</t>
        </is>
      </c>
      <c r="J412" s="121" t="inlineStr">
        <is>
          <t>SonoAir 70 + SonoEye P3 (confirm line card first)</t>
        </is>
      </c>
      <c r="K412" s="151" t="inlineStr">
        <is>
          <t>3</t>
        </is>
      </c>
      <c r="L412" s="121" t="inlineStr">
        <is>
          <t>Tier 3: long tail from the TCMICA member directory, added 6 Oct 2026 after the first send; email on file, not yet contacted.</t>
        </is>
      </c>
      <c r="M412" s="121" t="inlineStr">
        <is>
          <t>TCMICA directory 台中市醫療器材商業同業公會 (tcmica.org.tw), read 6 Oct 2026</t>
        </is>
      </c>
      <c r="N412" s="152" t="n"/>
      <c r="O412" s="153" t="n"/>
      <c r="P412" s="108" t="inlineStr">
        <is>
          <t>mark.design@yahoo.com.tw</t>
        </is>
      </c>
      <c r="Q412" s="108" t="inlineStr">
        <is>
          <t>DIR: association member directory, not the company site</t>
        </is>
      </c>
      <c r="R412" s="108" t="inlineStr">
        <is>
          <t>Batch draft 7 of 7 (Send separately) saved in Winmail with Corporate Brochure 2027; not sent yet</t>
        </is>
      </c>
      <c r="S412" s="108" t="n"/>
    </row>
    <row r="413" ht="47.25" customHeight="1" s="104">
      <c r="A413" s="121" t="n">
        <v>408</v>
      </c>
      <c r="B413" s="143" t="inlineStr">
        <is>
          <t>弘明醫療器材行</t>
        </is>
      </c>
      <c r="C413" s="121" t="inlineStr">
        <is>
          <t>Not started</t>
        </is>
      </c>
      <c r="D413" s="124" t="inlineStr">
        <is>
          <t>醫療器材</t>
        </is>
      </c>
      <c r="E413" s="121" t="inlineStr">
        <is>
          <t>Not identified (directory listing only)</t>
        </is>
      </c>
      <c r="F413" s="124" t="inlineStr">
        <is>
          <t>Taichung</t>
        </is>
      </c>
      <c r="G413" s="121" t="inlineStr">
        <is>
          <t>Not published</t>
        </is>
      </c>
      <c r="H413" s="121" t="inlineStr">
        <is>
          <t>Not published in directory</t>
        </is>
      </c>
      <c r="I413" s="121" t="inlineStr">
        <is>
          <t>Directory listing only: general medical device trader, retailer or maker in Taichung; ultrasound capability unconfirmed.</t>
        </is>
      </c>
      <c r="J413" s="121" t="inlineStr">
        <is>
          <t>SonoAir 70 + SonoEye P3 (confirm line card first)</t>
        </is>
      </c>
      <c r="K413" s="151" t="inlineStr">
        <is>
          <t>3</t>
        </is>
      </c>
      <c r="L413" s="121" t="inlineStr">
        <is>
          <t>Tier 3: long tail from the TCMICA member directory, added 6 Oct 2026 after the first send; email on file, not yet contacted.</t>
        </is>
      </c>
      <c r="M413" s="121" t="inlineStr">
        <is>
          <t>TCMICA directory 台中市醫療器材商業同業公會 (tcmica.org.tw), read 6 Oct 2026</t>
        </is>
      </c>
      <c r="N413" s="152" t="n"/>
      <c r="O413" s="153" t="n"/>
      <c r="P413" s="108" t="inlineStr">
        <is>
          <t>threepsma@gmail.com</t>
        </is>
      </c>
      <c r="Q413" s="108" t="inlineStr">
        <is>
          <t>DIR: association member directory, not the company site</t>
        </is>
      </c>
      <c r="R413" s="108" t="inlineStr">
        <is>
          <t>Batch draft 7 of 7 (Send separately) saved in Winmail with Corporate Brochure 2027; not sent yet</t>
        </is>
      </c>
      <c r="S413" s="108" t="n"/>
    </row>
    <row r="414" ht="47.25" customHeight="1" s="104">
      <c r="A414" s="121" t="n">
        <v>409</v>
      </c>
      <c r="B414" s="143" t="inlineStr">
        <is>
          <t>蓓莉雅股份有限公司</t>
        </is>
      </c>
      <c r="C414" s="121" t="inlineStr">
        <is>
          <t>Not started</t>
        </is>
      </c>
      <c r="D414" s="124" t="inlineStr">
        <is>
          <t>衛生器材、醫療器材</t>
        </is>
      </c>
      <c r="E414" s="121" t="inlineStr">
        <is>
          <t>Not identified (directory listing only)</t>
        </is>
      </c>
      <c r="F414" s="124" t="inlineStr">
        <is>
          <t>Taichung</t>
        </is>
      </c>
      <c r="G414" s="121" t="inlineStr">
        <is>
          <t>Not published</t>
        </is>
      </c>
      <c r="H414" s="121" t="inlineStr">
        <is>
          <t>04-2559-1288</t>
        </is>
      </c>
      <c r="I414" s="121" t="inlineStr">
        <is>
          <t>Directory listing only: general medical device trader, retailer or maker in Taichung; ultrasound capability unconfirmed.</t>
        </is>
      </c>
      <c r="J414" s="121" t="inlineStr">
        <is>
          <t>SonoAir 70 + SonoEye P3 (confirm line card first)</t>
        </is>
      </c>
      <c r="K414" s="151" t="inlineStr">
        <is>
          <t>3</t>
        </is>
      </c>
      <c r="L414" s="121" t="inlineStr">
        <is>
          <t>Tier 3: long tail from the TCMICA member directory, added 6 Oct 2026 after the first send; email on file, not yet contacted.</t>
        </is>
      </c>
      <c r="M414" s="121" t="inlineStr">
        <is>
          <t>TCMICA directory 台中市醫療器材商業同業公會 (tcmica.org.tw), read 6 Oct 2026</t>
        </is>
      </c>
      <c r="N414" s="152" t="n"/>
      <c r="O414" s="153" t="n"/>
      <c r="P414" s="108" t="inlineStr">
        <is>
          <t>ba95@ms52.hinet.net</t>
        </is>
      </c>
      <c r="Q414" s="108" t="inlineStr">
        <is>
          <t>DIR: association member directory, not the company site</t>
        </is>
      </c>
      <c r="R414" s="108" t="inlineStr">
        <is>
          <t>Batch draft 7 of 7 (Send separately) saved in Winmail with Corporate Brochure 2027; not sent yet</t>
        </is>
      </c>
      <c r="S414" s="108" t="n"/>
    </row>
    <row r="415" ht="47.25" customHeight="1" s="104">
      <c r="A415" s="121" t="n">
        <v>410</v>
      </c>
      <c r="B415" s="143" t="inlineStr">
        <is>
          <t>永大明儀器股份有限公司</t>
        </is>
      </c>
      <c r="C415" s="121" t="inlineStr">
        <is>
          <t>Not started</t>
        </is>
      </c>
      <c r="D415" s="124" t="inlineStr">
        <is>
          <t>滅菌器製造(同組:大正和儀器)</t>
        </is>
      </c>
      <c r="E415" s="121" t="inlineStr">
        <is>
          <t>Not identified (directory listing only)</t>
        </is>
      </c>
      <c r="F415" s="124" t="inlineStr">
        <is>
          <t>Taichung</t>
        </is>
      </c>
      <c r="G415" s="121" t="inlineStr">
        <is>
          <t>Not published</t>
        </is>
      </c>
      <c r="H415" s="121" t="inlineStr">
        <is>
          <t>04-2532-7651</t>
        </is>
      </c>
      <c r="I415" s="121" t="inlineStr">
        <is>
          <t>Directory listing only: general medical device trader, retailer or maker in Taichung; ultrasound capability unconfirmed.</t>
        </is>
      </c>
      <c r="J415" s="121" t="inlineStr">
        <is>
          <t>SonoAir 70 + SonoEye P3 (confirm line card first)</t>
        </is>
      </c>
      <c r="K415" s="151" t="inlineStr">
        <is>
          <t>3</t>
        </is>
      </c>
      <c r="L415" s="121" t="inlineStr">
        <is>
          <t>Tier 3: long tail from the TCMICA member directory, added 6 Oct 2026 after the first send; email on file, not yet contacted.</t>
        </is>
      </c>
      <c r="M415" s="121" t="inlineStr">
        <is>
          <t>TCMICA directory 台中市醫療器材商業同業公會 (tcmica.org.tw), read 6 Oct 2026</t>
        </is>
      </c>
      <c r="N415" s="152" t="n"/>
      <c r="O415" s="153" t="n"/>
      <c r="P415" s="108" t="inlineStr">
        <is>
          <t>ytminst@ms10.hinet.net</t>
        </is>
      </c>
      <c r="Q415" s="108" t="inlineStr">
        <is>
          <t>DIR: association member directory, not the company site</t>
        </is>
      </c>
      <c r="R415" s="108" t="inlineStr">
        <is>
          <t>Batch draft 7 of 7 (Send separately) saved in Winmail with Corporate Brochure 2027; not sent yet</t>
        </is>
      </c>
      <c r="S415" s="108" t="n"/>
    </row>
    <row r="416" ht="47.25" customHeight="1" s="104">
      <c r="A416" s="121" t="n">
        <v>411</v>
      </c>
      <c r="B416" s="143" t="inlineStr">
        <is>
          <t>利聖國際股份有限公司</t>
        </is>
      </c>
      <c r="C416" s="121" t="inlineStr">
        <is>
          <t>Not started</t>
        </is>
      </c>
      <c r="D416" s="124" t="inlineStr">
        <is>
          <t>醫療器材</t>
        </is>
      </c>
      <c r="E416" s="121" t="inlineStr">
        <is>
          <t>Not identified (directory listing only)</t>
        </is>
      </c>
      <c r="F416" s="124" t="inlineStr">
        <is>
          <t>Taichung</t>
        </is>
      </c>
      <c r="G416" s="121" t="inlineStr">
        <is>
          <t>Not published</t>
        </is>
      </c>
      <c r="H416" s="121" t="inlineStr">
        <is>
          <t>04-2533-9989</t>
        </is>
      </c>
      <c r="I416" s="121" t="inlineStr">
        <is>
          <t>Directory listing only: general medical device trader, retailer or maker in Taichung; ultrasound capability unconfirmed.</t>
        </is>
      </c>
      <c r="J416" s="121" t="inlineStr">
        <is>
          <t>SonoAir 70 + SonoEye P3 (confirm line card first)</t>
        </is>
      </c>
      <c r="K416" s="151" t="inlineStr">
        <is>
          <t>3</t>
        </is>
      </c>
      <c r="L416" s="121" t="inlineStr">
        <is>
          <t>Tier 3: long tail from the TCMICA member directory, added 6 Oct 2026 after the first send; email on file, not yet contacted.</t>
        </is>
      </c>
      <c r="M416" s="121" t="inlineStr">
        <is>
          <t>TCMICA directory 台中市醫療器材商業同業公會 (tcmica.org.tw), read 6 Oct 2026</t>
        </is>
      </c>
      <c r="N416" s="152" t="n"/>
      <c r="O416" s="153" t="n"/>
      <c r="P416" s="108" t="inlineStr">
        <is>
          <t>y12346688ling@hotmail.com</t>
        </is>
      </c>
      <c r="Q416" s="108" t="inlineStr">
        <is>
          <t>DIR: association member directory, not the company site</t>
        </is>
      </c>
      <c r="R416" s="108" t="inlineStr">
        <is>
          <t>Batch draft 7 of 7 (Send separately) saved in Winmail with Corporate Brochure 2027; not sent yet</t>
        </is>
      </c>
      <c r="S416" s="108" t="n"/>
    </row>
    <row r="417" ht="47.25" customHeight="1" s="104">
      <c r="A417" s="121" t="n">
        <v>412</v>
      </c>
      <c r="B417" s="143" t="inlineStr">
        <is>
          <t>禾捷有限公司</t>
        </is>
      </c>
      <c r="C417" s="121" t="inlineStr">
        <is>
          <t>Not started</t>
        </is>
      </c>
      <c r="D417" s="124" t="inlineStr">
        <is>
          <t>紗布、醫療口罩、手術房耗材</t>
        </is>
      </c>
      <c r="E417" s="121" t="inlineStr">
        <is>
          <t>Not identified (directory listing only)</t>
        </is>
      </c>
      <c r="F417" s="124" t="inlineStr">
        <is>
          <t>Taichung</t>
        </is>
      </c>
      <c r="G417" s="121" t="inlineStr">
        <is>
          <t>Not published</t>
        </is>
      </c>
      <c r="H417" s="121" t="inlineStr">
        <is>
          <t>04-2565-3605</t>
        </is>
      </c>
      <c r="I417" s="121" t="inlineStr">
        <is>
          <t>Directory listing only: general medical device trader, retailer or maker in Taichung; ultrasound capability unconfirmed.</t>
        </is>
      </c>
      <c r="J417" s="121" t="inlineStr">
        <is>
          <t>SonoAir 70 + SonoEye P3 (confirm line card first)</t>
        </is>
      </c>
      <c r="K417" s="151" t="inlineStr">
        <is>
          <t>3</t>
        </is>
      </c>
      <c r="L417" s="121" t="inlineStr">
        <is>
          <t>Tier 3: long tail from the TCMICA member directory, added 6 Oct 2026 after the first send; email on file, not yet contacted.</t>
        </is>
      </c>
      <c r="M417" s="121" t="inlineStr">
        <is>
          <t>TCMICA directory 台中市醫療器材商業同業公會 (tcmica.org.tw), read 6 Oct 2026</t>
        </is>
      </c>
      <c r="N417" s="152" t="n"/>
      <c r="O417" s="153" t="n"/>
      <c r="P417" s="108" t="inlineStr">
        <is>
          <t>a25653605@gmail.com</t>
        </is>
      </c>
      <c r="Q417" s="108" t="inlineStr">
        <is>
          <t>DIR: association member directory, not the company site</t>
        </is>
      </c>
      <c r="R417" s="108" t="inlineStr">
        <is>
          <t>Batch draft 7 of 7 (Send separately) saved in Winmail with Corporate Brochure 2027; not sent yet</t>
        </is>
      </c>
      <c r="S417" s="108" t="n"/>
    </row>
    <row r="418" ht="47.25" customHeight="1" s="104">
      <c r="A418" s="121" t="n">
        <v>413</v>
      </c>
      <c r="B418" s="143" t="inlineStr">
        <is>
          <t>和大工業股份有限公司中科分公司</t>
        </is>
      </c>
      <c r="C418" s="121" t="inlineStr">
        <is>
          <t>Not started</t>
        </is>
      </c>
      <c r="D418" s="124" t="inlineStr">
        <is>
          <t>電動輪椅、電動病床</t>
        </is>
      </c>
      <c r="E418" s="121" t="inlineStr">
        <is>
          <t>Not identified (directory listing only)</t>
        </is>
      </c>
      <c r="F418" s="124" t="inlineStr">
        <is>
          <t>Taichung</t>
        </is>
      </c>
      <c r="G418" s="121" t="inlineStr">
        <is>
          <t>Not published</t>
        </is>
      </c>
      <c r="H418" s="121" t="inlineStr">
        <is>
          <t>04-2569-2299</t>
        </is>
      </c>
      <c r="I418" s="121" t="inlineStr">
        <is>
          <t>Directory listing only: general medical device trader, retailer or maker in Taichung; ultrasound capability unconfirmed.</t>
        </is>
      </c>
      <c r="J418" s="121" t="inlineStr">
        <is>
          <t>SonoAir 70 + SonoEye P3 (confirm line card first)</t>
        </is>
      </c>
      <c r="K418" s="151" t="inlineStr">
        <is>
          <t>3</t>
        </is>
      </c>
      <c r="L418" s="121" t="inlineStr">
        <is>
          <t>Tier 3: long tail from the TCMICA member directory, added 6 Oct 2026 after the first send; email on file, not yet contacted.</t>
        </is>
      </c>
      <c r="M418" s="121" t="inlineStr">
        <is>
          <t>TCMICA directory 台中市醫療器材商業同業公會 (tcmica.org.tw), read 6 Oct 2026</t>
        </is>
      </c>
      <c r="N418" s="152" t="n"/>
      <c r="O418" s="153" t="n"/>
      <c r="P418" s="108" t="inlineStr">
        <is>
          <t>ped-08@hota.com.tw</t>
        </is>
      </c>
      <c r="Q418" s="108" t="inlineStr">
        <is>
          <t>DIR: association member directory, not the company site</t>
        </is>
      </c>
      <c r="R418" s="108" t="inlineStr">
        <is>
          <t>Batch draft 7 of 7 (Send separately) saved in Winmail with Corporate Brochure 2027; not sent yet</t>
        </is>
      </c>
      <c r="S418" s="108" t="n"/>
    </row>
    <row r="419" ht="47.25" customHeight="1" s="104">
      <c r="A419" s="121" t="n">
        <v>414</v>
      </c>
      <c r="B419" s="143" t="inlineStr">
        <is>
          <t>威爾登國際貿易有限公司</t>
        </is>
      </c>
      <c r="C419" s="121" t="inlineStr">
        <is>
          <t>Not started</t>
        </is>
      </c>
      <c r="D419" s="124" t="inlineStr">
        <is>
          <t>耳溫槍、血壓計</t>
        </is>
      </c>
      <c r="E419" s="121" t="inlineStr">
        <is>
          <t>Not identified (directory listing only)</t>
        </is>
      </c>
      <c r="F419" s="124" t="inlineStr">
        <is>
          <t>Taichung</t>
        </is>
      </c>
      <c r="G419" s="121" t="inlineStr">
        <is>
          <t>Not published</t>
        </is>
      </c>
      <c r="H419" s="121" t="inlineStr">
        <is>
          <t>04-2566-0596</t>
        </is>
      </c>
      <c r="I419" s="121" t="inlineStr">
        <is>
          <t>Directory listing only: general medical device trader, retailer or maker in Taichung; ultrasound capability unconfirmed.</t>
        </is>
      </c>
      <c r="J419" s="121" t="inlineStr">
        <is>
          <t>SonoAir 70 + SonoEye P3 (confirm line card first)</t>
        </is>
      </c>
      <c r="K419" s="151" t="inlineStr">
        <is>
          <t>3</t>
        </is>
      </c>
      <c r="L419" s="121" t="inlineStr">
        <is>
          <t>Tier 3: long tail from the TCMICA member directory, added 6 Oct 2026 after the first send; email on file, not yet contacted.</t>
        </is>
      </c>
      <c r="M419" s="121" t="inlineStr">
        <is>
          <t>TCMICA directory 台中市醫療器材商業同業公會 (tcmica.org.tw), read 6 Oct 2026</t>
        </is>
      </c>
      <c r="N419" s="152" t="n"/>
      <c r="O419" s="153" t="n"/>
      <c r="P419" s="108" t="inlineStr">
        <is>
          <t>wd.taiwan@msa.hinet.net</t>
        </is>
      </c>
      <c r="Q419" s="108" t="inlineStr">
        <is>
          <t>DIR: association member directory, not the company site</t>
        </is>
      </c>
      <c r="R419" s="108" t="inlineStr">
        <is>
          <t>Batch draft 7 of 7 (Send separately) saved in Winmail with Corporate Brochure 2027; not sent yet</t>
        </is>
      </c>
      <c r="S419" s="108" t="n"/>
    </row>
    <row r="420" ht="47.25" customHeight="1" s="104">
      <c r="A420" s="121" t="n">
        <v>415</v>
      </c>
      <c r="B420" s="143" t="inlineStr">
        <is>
          <t>宇球股份有限公司</t>
        </is>
      </c>
      <c r="C420" s="121" t="inlineStr">
        <is>
          <t>Not started</t>
        </is>
      </c>
      <c r="D420" s="124" t="inlineStr">
        <is>
          <t>醫療器材</t>
        </is>
      </c>
      <c r="E420" s="121" t="inlineStr">
        <is>
          <t>Not identified (directory listing only)</t>
        </is>
      </c>
      <c r="F420" s="124" t="inlineStr">
        <is>
          <t>Taichung</t>
        </is>
      </c>
      <c r="G420" s="121" t="inlineStr">
        <is>
          <t>Not published</t>
        </is>
      </c>
      <c r="H420" s="121" t="inlineStr">
        <is>
          <t>04-2567-3291</t>
        </is>
      </c>
      <c r="I420" s="121" t="inlineStr">
        <is>
          <t>Directory listing only: general medical device trader, retailer or maker in Taichung; ultrasound capability unconfirmed.</t>
        </is>
      </c>
      <c r="J420" s="121" t="inlineStr">
        <is>
          <t>SonoAir 70 + SonoEye P3 (confirm line card first)</t>
        </is>
      </c>
      <c r="K420" s="151" t="inlineStr">
        <is>
          <t>3</t>
        </is>
      </c>
      <c r="L420" s="121" t="inlineStr">
        <is>
          <t>Tier 3: long tail from the TCMICA member directory, added 6 Oct 2026 after the first send; email on file, not yet contacted.</t>
        </is>
      </c>
      <c r="M420" s="121" t="inlineStr">
        <is>
          <t>TCMICA directory 台中市醫療器材商業同業公會 (tcmica.org.tw), read 6 Oct 2026</t>
        </is>
      </c>
      <c r="N420" s="152" t="n"/>
      <c r="O420" s="153" t="n"/>
      <c r="P420" s="108" t="inlineStr">
        <is>
          <t>amy@lightuf.com</t>
        </is>
      </c>
      <c r="Q420" s="108" t="inlineStr">
        <is>
          <t>DIR: association member directory, not the company site</t>
        </is>
      </c>
      <c r="R420" s="108" t="inlineStr">
        <is>
          <t>Batch draft 7 of 7 (Send separately) saved in Winmail with Corporate Brochure 2027; not sent yet</t>
        </is>
      </c>
      <c r="S420" s="108" t="n"/>
    </row>
    <row r="421" ht="47.25" customHeight="1" s="104">
      <c r="A421" s="121" t="n">
        <v>416</v>
      </c>
      <c r="B421" s="143" t="inlineStr">
        <is>
          <t>明源橡膠工業股份有限公司</t>
        </is>
      </c>
      <c r="C421" s="121" t="inlineStr">
        <is>
          <t>Not started</t>
        </is>
      </c>
      <c r="D421" s="124" t="inlineStr">
        <is>
          <t>止血帶製造</t>
        </is>
      </c>
      <c r="E421" s="121" t="inlineStr">
        <is>
          <t>Not identified (directory listing only)</t>
        </is>
      </c>
      <c r="F421" s="124" t="inlineStr">
        <is>
          <t>Taichung</t>
        </is>
      </c>
      <c r="G421" s="121" t="inlineStr">
        <is>
          <t>Not published</t>
        </is>
      </c>
      <c r="H421" s="121" t="inlineStr">
        <is>
          <t>04-2639-1832</t>
        </is>
      </c>
      <c r="I421" s="121" t="inlineStr">
        <is>
          <t>Directory listing only: general medical device trader, retailer or maker in Taichung; ultrasound capability unconfirmed.</t>
        </is>
      </c>
      <c r="J421" s="121" t="inlineStr">
        <is>
          <t>SonoAir 70 + SonoEye P3 (confirm line card first)</t>
        </is>
      </c>
      <c r="K421" s="151" t="inlineStr">
        <is>
          <t>3</t>
        </is>
      </c>
      <c r="L421" s="121" t="inlineStr">
        <is>
          <t>Tier 3: long tail from the TCMICA member directory, added 6 Oct 2026 after the first send; email on file, not yet contacted.</t>
        </is>
      </c>
      <c r="M421" s="121" t="inlineStr">
        <is>
          <t>TCMICA directory 台中市醫療器材商業同業公會 (tcmica.org.tw), read 6 Oct 2026</t>
        </is>
      </c>
      <c r="N421" s="152" t="n"/>
      <c r="O421" s="153" t="n"/>
      <c r="P421" s="108" t="inlineStr">
        <is>
          <t>iting@minyuenrubber.com.tw</t>
        </is>
      </c>
      <c r="Q421" s="108" t="inlineStr">
        <is>
          <t>DIR: association member directory, not the company site</t>
        </is>
      </c>
      <c r="R421" s="108" t="inlineStr">
        <is>
          <t>Batch draft 7 of 7 (Send separately) saved in Winmail with Corporate Brochure 2027; not sent yet</t>
        </is>
      </c>
      <c r="S421" s="108" t="n"/>
    </row>
    <row r="422" ht="47.25" customHeight="1" s="104">
      <c r="A422" s="121" t="n">
        <v>417</v>
      </c>
      <c r="B422" s="143" t="inlineStr">
        <is>
          <t>華宇生醫有限公司</t>
        </is>
      </c>
      <c r="C422" s="121" t="inlineStr">
        <is>
          <t>Not started</t>
        </is>
      </c>
      <c r="D422" s="124" t="inlineStr">
        <is>
          <t>輔具</t>
        </is>
      </c>
      <c r="E422" s="121" t="inlineStr">
        <is>
          <t>Not identified (directory listing only)</t>
        </is>
      </c>
      <c r="F422" s="124" t="inlineStr">
        <is>
          <t>Taichung</t>
        </is>
      </c>
      <c r="G422" s="121" t="inlineStr">
        <is>
          <t>Not published</t>
        </is>
      </c>
      <c r="H422" s="121" t="inlineStr">
        <is>
          <t>Not published in directory</t>
        </is>
      </c>
      <c r="I422" s="121" t="inlineStr">
        <is>
          <t>Directory listing only: general medical device trader, retailer or maker in Taichung; ultrasound capability unconfirmed.</t>
        </is>
      </c>
      <c r="J422" s="121" t="inlineStr">
        <is>
          <t>SonoAir 70 + SonoEye P3 (confirm line card first)</t>
        </is>
      </c>
      <c r="K422" s="151" t="inlineStr">
        <is>
          <t>3</t>
        </is>
      </c>
      <c r="L422" s="121" t="inlineStr">
        <is>
          <t>Tier 3: long tail from the TCMICA member directory, added 6 Oct 2026 after the first send; email on file, not yet contacted.</t>
        </is>
      </c>
      <c r="M422" s="121" t="inlineStr">
        <is>
          <t>TCMICA directory 台中市醫療器材商業同業公會 (tcmica.org.tw), read 6 Oct 2026</t>
        </is>
      </c>
      <c r="N422" s="152" t="n"/>
      <c r="O422" s="153" t="n"/>
      <c r="P422" s="108" t="inlineStr">
        <is>
          <t>4yumed@gmail.com</t>
        </is>
      </c>
      <c r="Q422" s="108" t="inlineStr">
        <is>
          <t>DIR: association member directory, not the company site</t>
        </is>
      </c>
      <c r="R422" s="108" t="inlineStr">
        <is>
          <t>Batch draft 7 of 7 (Send separately) saved in Winmail with Corporate Brochure 2027; not sent yet</t>
        </is>
      </c>
      <c r="S422" s="108" t="n"/>
    </row>
    <row r="423" ht="47.25" customHeight="1" s="104">
      <c r="A423" s="121" t="n">
        <v>418</v>
      </c>
      <c r="B423" s="143" t="inlineStr">
        <is>
          <t>法蘭德生技有限公司</t>
        </is>
      </c>
      <c r="C423" s="121" t="inlineStr">
        <is>
          <t>Not started</t>
        </is>
      </c>
      <c r="D423" s="124" t="inlineStr">
        <is>
          <t>心臟支架</t>
        </is>
      </c>
      <c r="E423" s="121" t="inlineStr">
        <is>
          <t>Not identified (directory listing only)</t>
        </is>
      </c>
      <c r="F423" s="124" t="inlineStr">
        <is>
          <t>Taichung</t>
        </is>
      </c>
      <c r="G423" s="121" t="inlineStr">
        <is>
          <t>Not published</t>
        </is>
      </c>
      <c r="H423" s="121" t="inlineStr">
        <is>
          <t>04-2638-0880</t>
        </is>
      </c>
      <c r="I423" s="121" t="inlineStr">
        <is>
          <t>Directory listing only: general medical device trader, retailer or maker in Taichung; ultrasound capability unconfirmed.</t>
        </is>
      </c>
      <c r="J423" s="121" t="inlineStr">
        <is>
          <t>SonoAir 70 + SonoEye P3 (confirm line card first)</t>
        </is>
      </c>
      <c r="K423" s="151" t="inlineStr">
        <is>
          <t>3</t>
        </is>
      </c>
      <c r="L423" s="121" t="inlineStr">
        <is>
          <t>Tier 3: long tail from the TCMICA member directory, added 6 Oct 2026 after the first send; email on file, not yet contacted.</t>
        </is>
      </c>
      <c r="M423" s="121" t="inlineStr">
        <is>
          <t>TCMICA directory 台中市醫療器材商業同業公會 (tcmica.org.tw), read 6 Oct 2026</t>
        </is>
      </c>
      <c r="N423" s="152" t="n"/>
      <c r="O423" s="153" t="n"/>
      <c r="P423" s="108" t="inlineStr">
        <is>
          <t>ya.chen.f@gmail.com</t>
        </is>
      </c>
      <c r="Q423" s="108" t="inlineStr">
        <is>
          <t>DIR: association member directory, not the company site</t>
        </is>
      </c>
      <c r="R423" s="108" t="inlineStr">
        <is>
          <t>Batch draft 7 of 7 (Send separately) saved in Winmail with Corporate Brochure 2027; not sent yet</t>
        </is>
      </c>
      <c r="S423" s="108" t="n"/>
    </row>
    <row r="424" ht="47.25" customHeight="1" s="104">
      <c r="A424" s="121" t="n">
        <v>419</v>
      </c>
      <c r="B424" s="143" t="inlineStr">
        <is>
          <t>旺的福醫療用品商行</t>
        </is>
      </c>
      <c r="C424" s="121" t="inlineStr">
        <is>
          <t>Not started</t>
        </is>
      </c>
      <c r="D424" s="124" t="inlineStr">
        <is>
          <t>醫療器材</t>
        </is>
      </c>
      <c r="E424" s="121" t="inlineStr">
        <is>
          <t>Not identified (directory listing only)</t>
        </is>
      </c>
      <c r="F424" s="124" t="inlineStr">
        <is>
          <t>Taichung</t>
        </is>
      </c>
      <c r="G424" s="121" t="inlineStr">
        <is>
          <t>Not published</t>
        </is>
      </c>
      <c r="H424" s="121" t="inlineStr">
        <is>
          <t>04-2568-2695</t>
        </is>
      </c>
      <c r="I424" s="121" t="inlineStr">
        <is>
          <t>Directory listing only: general medical device trader, retailer or maker in Taichung; ultrasound capability unconfirmed.</t>
        </is>
      </c>
      <c r="J424" s="121" t="inlineStr">
        <is>
          <t>SonoAir 70 + SonoEye P3 (confirm line card first)</t>
        </is>
      </c>
      <c r="K424" s="151" t="inlineStr">
        <is>
          <t>3</t>
        </is>
      </c>
      <c r="L424" s="121" t="inlineStr">
        <is>
          <t>Tier 3: long tail from the TCMICA member directory, added 6 Oct 2026 after the first send; email on file, not yet contacted.</t>
        </is>
      </c>
      <c r="M424" s="121" t="inlineStr">
        <is>
          <t>TCMICA directory 台中市醫療器材商業同業公會 (tcmica.org.tw), read 6 Oct 2026</t>
        </is>
      </c>
      <c r="N424" s="152" t="n"/>
      <c r="O424" s="153" t="n"/>
      <c r="P424" s="108" t="inlineStr">
        <is>
          <t>wonderfulhc2020@gmail.com</t>
        </is>
      </c>
      <c r="Q424" s="108" t="inlineStr">
        <is>
          <t>DIR: association member directory, not the company site</t>
        </is>
      </c>
      <c r="R424" s="108" t="inlineStr">
        <is>
          <t>Batch draft 7 of 7 (Send separately) saved in Winmail with Corporate Brochure 2027; not sent yet</t>
        </is>
      </c>
      <c r="S424" s="108" t="n"/>
    </row>
    <row r="425" ht="47.25" customHeight="1" s="104">
      <c r="A425" s="121" t="n">
        <v>420</v>
      </c>
      <c r="B425" s="143" t="inlineStr">
        <is>
          <t>鑫和數位科技股份有限公司</t>
        </is>
      </c>
      <c r="C425" s="121" t="inlineStr">
        <is>
          <t>Not started</t>
        </is>
      </c>
      <c r="D425" s="124" t="inlineStr">
        <is>
          <t>醫療器材</t>
        </is>
      </c>
      <c r="E425" s="121" t="inlineStr">
        <is>
          <t>Not identified (directory listing only)</t>
        </is>
      </c>
      <c r="F425" s="124" t="inlineStr">
        <is>
          <t>Taichung</t>
        </is>
      </c>
      <c r="G425" s="121" t="inlineStr">
        <is>
          <t>Not published</t>
        </is>
      </c>
      <c r="H425" s="121" t="inlineStr">
        <is>
          <t>04-3705-0705</t>
        </is>
      </c>
      <c r="I425" s="121" t="inlineStr">
        <is>
          <t>Directory listing only: general medical device trader, retailer or maker in Taichung; ultrasound capability unconfirmed.</t>
        </is>
      </c>
      <c r="J425" s="121" t="inlineStr">
        <is>
          <t>SonoAir 70 + SonoEye P3 (confirm line card first)</t>
        </is>
      </c>
      <c r="K425" s="151" t="inlineStr">
        <is>
          <t>3</t>
        </is>
      </c>
      <c r="L425" s="121" t="inlineStr">
        <is>
          <t>Tier 3: long tail from the TCMICA member directory, added 6 Oct 2026 after the first send; email on file, not yet contacted.</t>
        </is>
      </c>
      <c r="M425" s="121" t="inlineStr">
        <is>
          <t>TCMICA directory 台中市醫療器材商業同業公會 (tcmica.org.tw), read 6 Oct 2026</t>
        </is>
      </c>
      <c r="N425" s="152" t="n"/>
      <c r="O425" s="153" t="n"/>
      <c r="P425" s="108" t="inlineStr">
        <is>
          <t>brian@topmso.com.tw</t>
        </is>
      </c>
      <c r="Q425" s="108" t="inlineStr">
        <is>
          <t>DIR: association member directory, not the company site</t>
        </is>
      </c>
      <c r="R425" s="108" t="inlineStr">
        <is>
          <t>Batch draft 7 of 7 (Send separately) saved in Winmail with Corporate Brochure 2027; not sent yet</t>
        </is>
      </c>
      <c r="S425" s="108" t="n"/>
    </row>
    <row r="426" ht="47.25" customHeight="1" s="104">
      <c r="A426" s="121" t="n">
        <v>421</v>
      </c>
      <c r="B426" s="143" t="inlineStr">
        <is>
          <t>瑞玉國際有限公司</t>
        </is>
      </c>
      <c r="C426" s="121" t="inlineStr">
        <is>
          <t>Not started</t>
        </is>
      </c>
      <c r="D426" s="124" t="inlineStr">
        <is>
          <t>看護墊、醫用口罩、檢診手套、超音波凝膠</t>
        </is>
      </c>
      <c r="E426" s="121" t="inlineStr">
        <is>
          <t>Not identified (directory listing only)</t>
        </is>
      </c>
      <c r="F426" s="124" t="inlineStr">
        <is>
          <t>Taichung</t>
        </is>
      </c>
      <c r="G426" s="121" t="inlineStr">
        <is>
          <t>Not published</t>
        </is>
      </c>
      <c r="H426" s="121" t="inlineStr">
        <is>
          <t>04-2479-2824</t>
        </is>
      </c>
      <c r="I426" s="121" t="inlineStr">
        <is>
          <t>Directory listing only: general medical device trader, retailer or maker in Taichung; ultrasound capability unconfirmed.</t>
        </is>
      </c>
      <c r="J426" s="121" t="inlineStr">
        <is>
          <t>SonoAir 70 + SonoEye P3 (confirm line card first)</t>
        </is>
      </c>
      <c r="K426" s="151" t="inlineStr">
        <is>
          <t>3</t>
        </is>
      </c>
      <c r="L426" s="121" t="inlineStr">
        <is>
          <t>Tier 3: long tail from the TCMICA member directory, added 6 Oct 2026 after the first send; email on file, not yet contacted.</t>
        </is>
      </c>
      <c r="M426" s="121" t="inlineStr">
        <is>
          <t>TCMICA directory 台中市醫療器材商業同業公會 (tcmica.org.tw), read 6 Oct 2026</t>
        </is>
      </c>
      <c r="N426" s="152" t="n"/>
      <c r="O426" s="153" t="n"/>
      <c r="P426" s="108" t="inlineStr">
        <is>
          <t>bestread@best-read.com.tw</t>
        </is>
      </c>
      <c r="Q426" s="108" t="inlineStr">
        <is>
          <t>DIR: association member directory, not the company site</t>
        </is>
      </c>
      <c r="R426" s="108" t="inlineStr">
        <is>
          <t>Batch draft 7 of 7 (Send separately) saved in Winmail with Corporate Brochure 2027; not sent yet</t>
        </is>
      </c>
      <c r="S426" s="108" t="n"/>
    </row>
    <row r="427" ht="47.25" customHeight="1" s="104">
      <c r="A427" s="121" t="n">
        <v>422</v>
      </c>
      <c r="B427" s="143" t="inlineStr">
        <is>
          <t>建聲聽覺有限公司</t>
        </is>
      </c>
      <c r="C427" s="121" t="inlineStr">
        <is>
          <t>Not started</t>
        </is>
      </c>
      <c r="D427" s="124" t="inlineStr">
        <is>
          <t>助聽器</t>
        </is>
      </c>
      <c r="E427" s="121" t="inlineStr">
        <is>
          <t>Not identified (directory listing only)</t>
        </is>
      </c>
      <c r="F427" s="124" t="inlineStr">
        <is>
          <t>Taichung</t>
        </is>
      </c>
      <c r="G427" s="121" t="inlineStr">
        <is>
          <t>Not published</t>
        </is>
      </c>
      <c r="H427" s="121" t="inlineStr">
        <is>
          <t>04-2688-6363</t>
        </is>
      </c>
      <c r="I427" s="121" t="inlineStr">
        <is>
          <t>Directory listing only: general medical device trader, retailer or maker in Taichung; ultrasound capability unconfirmed.</t>
        </is>
      </c>
      <c r="J427" s="121" t="inlineStr">
        <is>
          <t>SonoAir 70 + SonoEye P3 (confirm line card first)</t>
        </is>
      </c>
      <c r="K427" s="151" t="inlineStr">
        <is>
          <t>3</t>
        </is>
      </c>
      <c r="L427" s="121" t="inlineStr">
        <is>
          <t>Tier 3: long tail from the TCMICA member directory, added 6 Oct 2026 after the first send; email on file, not yet contacted.</t>
        </is>
      </c>
      <c r="M427" s="121" t="inlineStr">
        <is>
          <t>TCMICA directory 台中市醫療器材商業同業公會 (tcmica.org.tw), read 6 Oct 2026</t>
        </is>
      </c>
      <c r="N427" s="152" t="n"/>
      <c r="O427" s="153" t="n"/>
      <c r="P427" s="108" t="inlineStr">
        <is>
          <t>service@jensound.com.tw</t>
        </is>
      </c>
      <c r="Q427" s="108" t="inlineStr">
        <is>
          <t>DIR: association member directory, not the company site</t>
        </is>
      </c>
      <c r="R427" s="108" t="inlineStr">
        <is>
          <t>Batch draft 7 of 7 (Send separately) saved in Winmail with Corporate Brochure 2027; not sent yet</t>
        </is>
      </c>
      <c r="S427" s="108" t="n"/>
    </row>
    <row r="428" ht="47.25" customHeight="1" s="104">
      <c r="A428" s="121" t="n">
        <v>423</v>
      </c>
      <c r="B428" s="143" t="inlineStr">
        <is>
          <t>乘你安科技股份有限公司</t>
        </is>
      </c>
      <c r="C428" s="121" t="inlineStr">
        <is>
          <t>Not started</t>
        </is>
      </c>
      <c r="D428" s="124" t="inlineStr">
        <is>
          <t>經皮神經電刺激器、肌肉電刺激器</t>
        </is>
      </c>
      <c r="E428" s="121" t="inlineStr">
        <is>
          <t>Not identified (directory listing only)</t>
        </is>
      </c>
      <c r="F428" s="124" t="inlineStr">
        <is>
          <t>Taichung</t>
        </is>
      </c>
      <c r="G428" s="121" t="inlineStr">
        <is>
          <t>Not published</t>
        </is>
      </c>
      <c r="H428" s="121" t="inlineStr">
        <is>
          <t>04-2683-1335</t>
        </is>
      </c>
      <c r="I428" s="121" t="inlineStr">
        <is>
          <t>Directory listing only: general medical device trader, retailer or maker in Taichung; ultrasound capability unconfirmed.</t>
        </is>
      </c>
      <c r="J428" s="121" t="inlineStr">
        <is>
          <t>SonoAir 70 + SonoEye P3 (confirm line card first)</t>
        </is>
      </c>
      <c r="K428" s="151" t="inlineStr">
        <is>
          <t>3</t>
        </is>
      </c>
      <c r="L428" s="121" t="inlineStr">
        <is>
          <t>Tier 3: long tail from the TCMICA member directory, added 6 Oct 2026 after the first send; email on file, not yet contacted.</t>
        </is>
      </c>
      <c r="M428" s="121" t="inlineStr">
        <is>
          <t>TCMICA directory 台中市醫療器材商業同業公會 (tcmica.org.tw), read 6 Oct 2026</t>
        </is>
      </c>
      <c r="N428" s="152" t="n"/>
      <c r="O428" s="153" t="n"/>
      <c r="P428" s="108" t="inlineStr">
        <is>
          <t>chen.nian@msa.hinet.net</t>
        </is>
      </c>
      <c r="Q428" s="108" t="inlineStr">
        <is>
          <t>DIR: association member directory, not the company site</t>
        </is>
      </c>
      <c r="R428" s="108" t="inlineStr">
        <is>
          <t>Batch draft 7 of 7 (Send separately) saved in Winmail with Corporate Brochure 2027; not sent yet</t>
        </is>
      </c>
      <c r="S428" s="108" t="n"/>
    </row>
    <row r="429" ht="53.25" customHeight="1" s="104">
      <c r="A429" s="121" t="n">
        <v>424</v>
      </c>
      <c r="B429" s="143" t="inlineStr">
        <is>
          <t>倍可有限公司 Bei Ke Medcare</t>
        </is>
      </c>
      <c r="C429" s="121" t="inlineStr">
        <is>
          <t>Contacted</t>
        </is>
      </c>
      <c r="D429" s="124" t="inlineStr">
        <is>
          <t>Medical imaging distributor; site lists medical ultrasound imaging</t>
        </is>
      </c>
      <c r="E429" s="121" t="inlineStr">
        <is>
          <t>Yes (medical ultrasound imaging; brand not confirmed)</t>
        </is>
      </c>
      <c r="F429" s="124" t="inlineStr">
        <is>
          <t>Taiwan</t>
        </is>
      </c>
      <c r="G429" s="121" t="inlineStr">
        <is>
          <t>beikemd.com.tw</t>
        </is>
      </c>
      <c r="H429" s="121" t="inlineStr">
        <is>
          <t>via website</t>
        </is>
      </c>
      <c r="I429" s="121" t="inlineStr">
        <is>
          <t>Found 6 Oct 2026: the old Petrichor Biomed domain (ptpetrichor.com.tw, row #5) now redirects here. Already sells ultrasound imaging, so ask which brand and whether the agreement is exclusive.</t>
        </is>
      </c>
      <c r="J429" s="121" t="inlineStr">
        <is>
          <t>SonoAir 70 + SonoEye P3 + SonoPort 8</t>
        </is>
      </c>
      <c r="K429" s="151" t="inlineStr">
        <is>
          <t>2</t>
        </is>
      </c>
      <c r="L429" s="121" t="inlineStr">
        <is>
          <t>Tier 2: ultrasound already on the line card; brand and exclusivity unknown.</t>
        </is>
      </c>
      <c r="M429" s="121" t="inlineStr">
        <is>
          <t>Company website beikemd.com.tw (reached via ptpetrichor.com.tw redirect), read 6 Oct 2026</t>
        </is>
      </c>
      <c r="N429" s="152" t="inlineStr">
        <is>
          <t>Bei Ke Medcare: CHISON ultrasound for your imaging line</t>
        </is>
      </c>
      <c r="O429" s="153" t="inlineStr">
        <is>
          <t>Individual email on the 6 Oct template: CHISON credentials, US FDA 510(k), CE (EU MDR) and Singapore HSA registrations, TFDA to be planned with the partner, SonoAir 70, SonoEye P3 and SonoPort 8, visit request, Traditional Chinese summary. Full text is in the Winmail draft.</t>
        </is>
      </c>
      <c r="P429" s="108" t="inlineStr">
        <is>
          <t>BKMD@beikemd.com</t>
        </is>
      </c>
      <c r="Q429" s="108" t="inlineStr">
        <is>
          <t>WEB: published on the company website</t>
        </is>
      </c>
      <c r="R429" s="108" t="inlineStr">
        <is>
          <t>Individual draft saved in Winmail with Corporate Brochure 2027; not sent yet</t>
        </is>
      </c>
      <c r="S429" s="108" t="n"/>
    </row>
  </sheetData>
  <autoFilter ref="A4:S429">
    <filterColumn colId="10" hiddenButton="0" showButton="1">
      <filters>
        <filter val="1"/>
      </filters>
    </filterColumn>
  </autoFilter>
  <conditionalFormatting sqref="C5:C429">
    <cfRule type="cellIs" rank="0" priority="2" equalAverage="0" operator="equal" aboveAverage="0" dxfId="7" text="" percent="0" bottom="0">
      <formula>"Not started"</formula>
    </cfRule>
    <cfRule type="cellIs" rank="0" priority="3" equalAverage="0" operator="equal" aboveAverage="0" dxfId="8" text="" percent="0" bottom="0">
      <formula>"Contacted"</formula>
    </cfRule>
    <cfRule type="cellIs" rank="0" priority="4" equalAverage="0" operator="equal" aboveAverage="0" dxfId="9" text="" percent="0" bottom="0">
      <formula>"Meeting booked"</formula>
    </cfRule>
    <cfRule type="cellIs" rank="0" priority="5" equalAverage="0" operator="equal" aboveAverage="0" dxfId="10" text="" percent="0" bottom="0">
      <formula>"Meeting held"</formula>
    </cfRule>
    <cfRule type="cellIs" rank="0" priority="6" equalAverage="0" operator="equal" aboveAverage="0" dxfId="11" text="" percent="0" bottom="0">
      <formula>"Evaluation placed"</formula>
    </cfRule>
    <cfRule type="cellIs" rank="0" priority="7" equalAverage="0" operator="equal" aboveAverage="0" dxfId="12" text="" percent="0" bottom="0">
      <formula>"Quoted"</formula>
    </cfRule>
    <cfRule type="cellIs" rank="0" priority="8" equalAverage="0" operator="equal" aboveAverage="0" dxfId="13" text="" percent="0" bottom="0">
      <formula>"Won"</formula>
    </cfRule>
    <cfRule type="cellIs" rank="0" priority="9" equalAverage="0" operator="equal" aboveAverage="0" dxfId="14" text="" percent="0" bottom="0">
      <formula>"Declined"</formula>
    </cfRule>
    <cfRule type="cellIs" rank="0" priority="10" equalAverage="0" operator="equal" aboveAverage="0" dxfId="15" text="" percent="0" bottom="0">
      <formula>"Parked"</formula>
    </cfRule>
  </conditionalFormatting>
  <dataValidations count="1">
    <dataValidation sqref="C5:C429" showDropDown="0" showInputMessage="0" showErrorMessage="0" allowBlank="1" type="list" errorStyle="stop" operator="between">
      <formula1>"Not started,Contacted,Meeting booked,Meeting held,Evaluation placed,Quoted,Won,Declined,Parked"</formula1>
      <formula2>0</formula2>
    </dataValidation>
  </dataValidations>
  <hyperlinks>
    <hyperlink xmlns:r="http://schemas.openxmlformats.org/officeDocument/2006/relationships" ref="G119" display="http://www.koujuaw.com.tw/" r:id="rId1"/>
    <hyperlink xmlns:r="http://schemas.openxmlformats.org/officeDocument/2006/relationships" ref="G124" display="http://www.hk3.com.tw" r:id="rId2"/>
    <hyperlink xmlns:r="http://schemas.openxmlformats.org/officeDocument/2006/relationships" ref="G139" display="http://www.diarex.com.tw" r:id="rId3"/>
    <hyperlink xmlns:r="http://schemas.openxmlformats.org/officeDocument/2006/relationships" ref="G163" display="http://www.huaxing.com.tw/" r:id="rId4"/>
    <hyperlink xmlns:r="http://schemas.openxmlformats.org/officeDocument/2006/relationships" ref="G199" display="http://www.winningmedical.com" r:id="rId5"/>
    <hyperlink xmlns:r="http://schemas.openxmlformats.org/officeDocument/2006/relationships" ref="G207" display="http://www.conwellmedical.com" r:id="rId6"/>
    <hyperlink xmlns:r="http://schemas.openxmlformats.org/officeDocument/2006/relationships" ref="G232" display="http://www.bio-mega.com.tw/" r:id="rId7"/>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1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103" min="1" max="1"/>
    <col width="34" customWidth="1" style="103" min="2" max="2"/>
    <col width="18" customWidth="1" style="103" min="3" max="3"/>
    <col width="48" customWidth="1" style="103" min="4" max="4"/>
    <col width="40" customWidth="1" style="103" min="5" max="5"/>
    <col width="30" customWidth="1" style="103" min="6" max="6"/>
    <col width="38" customWidth="1" style="103" min="7" max="7"/>
    <col width="9" customWidth="1" style="103" min="8" max="8"/>
  </cols>
  <sheetData>
    <row r="1" ht="15.75" customHeight="1" s="104">
      <c r="A1" s="156" t="inlineStr">
        <is>
          <t>TAIWAN VISIT SHORTLIST: 8 DEALERS</t>
        </is>
      </c>
    </row>
    <row r="2" ht="45" customHeight="1" s="104">
      <c r="A2" s="157" t="inlineStr">
        <is>
          <t>Chosen for fit, scale and route (Taipei cluster, Hsinchu, Kaohsiung). Each was emailed on 6 Oct 2026 except DKSH and Getz, which publish only an enquiry form: use the form or call before the trip. No visit date has been agreed with any dealer yet.</t>
        </is>
      </c>
    </row>
    <row r="4" ht="15" customHeight="1" s="104">
      <c r="A4" s="158" t="inlineStr">
        <is>
          <t>Visit</t>
        </is>
      </c>
      <c r="B4" s="158" t="inlineStr">
        <is>
          <t>Company</t>
        </is>
      </c>
      <c r="C4" s="158" t="inlineStr">
        <is>
          <t>City / area</t>
        </is>
      </c>
      <c r="D4" s="158" t="inlineStr">
        <is>
          <t>Why visit</t>
        </is>
      </c>
      <c r="E4" s="158" t="inlineStr">
        <is>
          <t>Watch out</t>
        </is>
      </c>
      <c r="F4" s="158" t="inlineStr">
        <is>
          <t>Lead products</t>
        </is>
      </c>
      <c r="G4" s="158" t="inlineStr">
        <is>
          <t>Contact route</t>
        </is>
      </c>
      <c r="H4" s="158" t="inlineStr">
        <is>
          <t>V13 row #</t>
        </is>
      </c>
    </row>
    <row r="5" ht="34.5" customHeight="1" s="104">
      <c r="A5" s="113" t="n">
        <v>1</v>
      </c>
      <c r="B5" s="159" t="inlineStr">
        <is>
          <t>品約醫療儀器 Pinyork Medical</t>
        </is>
      </c>
      <c r="C5" s="113" t="inlineStr">
        <is>
          <t>Taipei Neihu</t>
        </is>
      </c>
      <c r="D5" s="113" t="inlineStr">
        <is>
          <t>Ultrasound specialist with own sales and service team and a clinic installed base on ageing Fujifilm and Aloka systems: refresh path</t>
        </is>
      </c>
      <c r="E5" s="113" t="inlineStr">
        <is>
          <t>Received the VET email on 28 Sep; no reply yet</t>
        </is>
      </c>
      <c r="F5" s="113" t="inlineStr">
        <is>
          <t>SonoAir 70, SonoGo, SonoEye P3</t>
        </is>
      </c>
      <c r="G5" s="113" t="inlineStr">
        <is>
          <t>service@pinyork.com.tw · (02)2791-5535</t>
        </is>
      </c>
      <c r="H5" s="113" t="n">
        <v>1</v>
      </c>
    </row>
    <row r="6" ht="34.5" customHeight="1" s="104">
      <c r="A6" s="113" t="n">
        <v>2</v>
      </c>
      <c r="B6" s="159" t="inlineStr">
        <is>
          <t>承業生醫 CHC Healthcare Group + 久和醫療儀器 ChiuHo Medical</t>
        </is>
      </c>
      <c r="C6" s="113" t="inlineStr">
        <is>
          <t>Taipei Neihu</t>
        </is>
      </c>
      <c r="D6" s="113" t="inlineStr">
        <is>
          <t>Listed group, 30+ international brands in radiology, radiation oncology, neurology and surgery, no ultrasound line found</t>
        </is>
      </c>
      <c r="E6" s="113" t="inlineStr">
        <is>
          <t>One group, two entities: ask which owns the conversation</t>
        </is>
      </c>
      <c r="F6" s="113" t="inlineStr">
        <is>
          <t>SonoMax 9, SonoPort, SonoEye P3</t>
        </is>
      </c>
      <c r="G6" s="113" t="inlineStr">
        <is>
          <t>Sales.Rt@chcg.com, cc Sales.Ns@chcg.com · (02)6608-1999</t>
        </is>
      </c>
      <c r="H6" s="113" t="n">
        <v>14</v>
      </c>
    </row>
    <row r="7" ht="23.25" customHeight="1" s="104">
      <c r="A7" s="113" t="n">
        <v>3</v>
      </c>
      <c r="B7" s="159" t="inlineStr">
        <is>
          <t>杏恩醫療儀器 Shinn Medical</t>
        </is>
      </c>
      <c r="C7" s="113" t="inlineStr">
        <is>
          <t>Taipei</t>
        </is>
      </c>
      <c r="D7" s="113" t="inlineStr">
        <is>
          <t>Broad European importer: X ray, monitoring, OR; no ultrasound brand on its line card</t>
        </is>
      </c>
      <c r="E7" s="113" t="inlineStr">
        <is>
          <t>Line card from website only; confirm on call</t>
        </is>
      </c>
      <c r="F7" s="113" t="inlineStr">
        <is>
          <t>SonoPort, SonoAir 70, SonoEye P3</t>
        </is>
      </c>
      <c r="G7" s="113" t="inlineStr">
        <is>
          <t>28262556serv@gmail.com</t>
        </is>
      </c>
      <c r="H7" s="113" t="n">
        <v>4</v>
      </c>
    </row>
    <row r="8" ht="23.25" customHeight="1" s="104">
      <c r="A8" s="113" t="n">
        <v>4</v>
      </c>
      <c r="B8" s="159" t="inlineStr">
        <is>
          <t>總騰儀器 SOAR Instrument-Tech</t>
        </is>
      </c>
      <c r="C8" s="113" t="inlineStr">
        <is>
          <t>New Taipei Xizhi / Taipei Neihu</t>
        </is>
      </c>
      <c r="D8" s="113" t="inlineStr">
        <is>
          <t>Clinic opening partner: X ray, anaesthesia, monitors, OR; equips new clinics end to end</t>
        </is>
      </c>
      <c r="E8" s="113" t="inlineStr">
        <is>
          <t>Carries GE ultrasound: lead with exclusivity question</t>
        </is>
      </c>
      <c r="F8" s="113" t="inlineStr">
        <is>
          <t>SonoEye P3, SonoAir 70, SonoGo</t>
        </is>
      </c>
      <c r="G8" s="113" t="inlineStr">
        <is>
          <t>soar.jimmy@gmail.com · +886-2-86486194</t>
        </is>
      </c>
      <c r="H8" s="113" t="n">
        <v>3</v>
      </c>
    </row>
    <row r="9" ht="34.5" customHeight="1" s="104">
      <c r="A9" s="113" t="n">
        <v>5</v>
      </c>
      <c r="B9" s="159" t="inlineStr">
        <is>
          <t>台灣大昌華嘉 DKSH Taiwan</t>
        </is>
      </c>
      <c r="C9" s="113" t="inlineStr">
        <is>
          <t>Taipei</t>
        </is>
      </c>
      <c r="D9" s="113" t="inlineStr">
        <is>
          <t>Market expansion platform that can carry registration, logistics and salesforce in one appointment</t>
        </is>
      </c>
      <c r="E9" s="113" t="inlineStr">
        <is>
          <t>Premium cost; enquiry form only</t>
        </is>
      </c>
      <c r="F9" s="113" t="inlineStr">
        <is>
          <t>SonoEye P3/P5, SonoBook 9, SonoMax</t>
        </is>
      </c>
      <c r="G9" s="113" t="inlineStr">
        <is>
          <t>Form: dksh.com/tw-zh-Hant/home/healthcare/direct-contact-hec</t>
        </is>
      </c>
      <c r="H9" s="113" t="n">
        <v>9</v>
      </c>
    </row>
    <row r="10" ht="23.25" customHeight="1" s="104">
      <c r="A10" s="113" t="n">
        <v>6</v>
      </c>
      <c r="B10" s="113" t="inlineStr">
        <is>
          <t>Getz Healthcare Taiwan</t>
        </is>
      </c>
      <c r="C10" s="113" t="inlineStr">
        <is>
          <t>Taipei</t>
        </is>
      </c>
      <c r="D10" s="113" t="inlineStr">
        <is>
          <t>Regional MNC distributor in endoscopy, OR and monitoring: strong peri operative channel</t>
        </is>
      </c>
      <c r="E10" s="113" t="inlineStr">
        <is>
          <t>Enquiry form only</t>
        </is>
      </c>
      <c r="F10" s="113" t="inlineStr">
        <is>
          <t>SonoEye P3, SonoGo</t>
        </is>
      </c>
      <c r="G10" s="113" t="inlineStr">
        <is>
          <t>Form: tw.getzhealthcare.com/contact-us · +886 2 2721 2511</t>
        </is>
      </c>
      <c r="H10" s="113" t="n">
        <v>28</v>
      </c>
    </row>
    <row r="11" ht="34.5" customHeight="1" s="104">
      <c r="A11" s="113" t="n">
        <v>7</v>
      </c>
      <c r="B11" s="159" t="inlineStr">
        <is>
          <t>奇裕企業 Kromax</t>
        </is>
      </c>
      <c r="C11" s="113" t="inlineStr">
        <is>
          <t>Hsinchu Zhubei</t>
        </is>
      </c>
      <c r="D11" s="113" t="inlineStr">
        <is>
          <t>Already imports a Korean wireless handheld ultrasound, so the category is open but thin: easy door to laptop and cart tiers</t>
        </is>
      </c>
      <c r="E11" s="113" t="inlineStr">
        <is>
          <t>Small team; confirm service capability</t>
        </is>
      </c>
      <c r="F11" s="113" t="inlineStr">
        <is>
          <t>SonoAir 70, SonoEye P5, SonoGo</t>
        </is>
      </c>
      <c r="G11" s="113" t="inlineStr">
        <is>
          <t>info@kromax.com</t>
        </is>
      </c>
      <c r="H11" s="113" t="n">
        <v>64</v>
      </c>
    </row>
    <row r="12" ht="23.25" customHeight="1" s="104">
      <c r="A12" s="113" t="n">
        <v>8</v>
      </c>
      <c r="B12" s="159" t="inlineStr">
        <is>
          <t>巨研科技 GETECH</t>
        </is>
      </c>
      <c r="C12" s="113" t="inlineStr">
        <is>
          <t>Kaohsiung (also Taichung, Taipei)</t>
        </is>
      </c>
      <c r="D12" s="113" t="inlineStr">
        <is>
          <t>Nationwide human and vet equipment distributor with strong training programmes</t>
        </is>
      </c>
      <c r="E12" s="113" t="inlineStr">
        <is>
          <t>Philips distributor; received VET email 28 Sep, no reply</t>
        </is>
      </c>
      <c r="F12" s="113" t="inlineStr">
        <is>
          <t>SonoEye P3, SonoAir 70</t>
        </is>
      </c>
      <c r="G12" s="113" t="inlineStr">
        <is>
          <t>service@getech.com.tw · +886-7-550-7380</t>
        </is>
      </c>
      <c r="H12" s="113" t="n">
        <v>2</v>
      </c>
    </row>
    <row r="13" ht="34.5" customHeight="1" s="104">
      <c r="A13" s="113" t="inlineStr">
        <is>
          <t>Alt</t>
        </is>
      </c>
      <c r="B13" s="159" t="inlineStr">
        <is>
          <t>達進興業</t>
        </is>
      </c>
      <c r="C13" s="113" t="inlineStr">
        <is>
          <t>Taichung Houli</t>
        </is>
      </c>
      <c r="D13" s="113" t="inlineStr">
        <is>
          <t>Runs digital X ray screening vans and ultrasound examinations: mobile screening fit, convenient HSR stop between Taipei and Kaohsiung</t>
        </is>
      </c>
      <c r="E13" s="113" t="inlineStr">
        <is>
          <t>Directory listing only; scale unconfirmed</t>
        </is>
      </c>
      <c r="F13" s="113" t="inlineStr">
        <is>
          <t>SonoAir 70, SonoGo, SonoEye P3</t>
        </is>
      </c>
      <c r="G13" s="113" t="inlineStr">
        <is>
          <t>kuo.green@msa.hinet.net · 04-2557-1361</t>
        </is>
      </c>
      <c r="H13" s="113" t="inlineStr">
        <is>
          <t>new</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3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03" min="1" max="1"/>
    <col width="14" customWidth="1" style="103" min="2" max="2"/>
    <col width="40" customWidth="1" style="103" min="3" max="3"/>
    <col width="42" customWidth="1" style="103" min="4" max="4"/>
    <col width="24" customWidth="1" style="103" min="5" max="5"/>
    <col width="60" customWidth="1" style="103" min="6" max="6"/>
    <col width="22" customWidth="1" style="103" min="7" max="7"/>
  </cols>
  <sheetData>
    <row r="1" ht="15.75" customHeight="1" s="104">
      <c r="A1" s="156" t="inlineStr">
        <is>
          <t>TAIWAN EMAILS SENT 6 OCT 2026 (33 drafts, 159 messages)</t>
        </is>
      </c>
    </row>
    <row r="2" ht="54.75" customHeight="1" s="104">
      <c r="A2" s="157" t="inlineStr">
        <is>
          <t>33 drafts saved in Winmail on 6 Oct 2026 and sent by Casper the same evening: 30 individual emails plus 3 batch emails with Send separately ticked, 159 messages in total, each with the CHISON Corporate Brochure 2027 attached. Bounces are recorded on the Email Outreach Log.</t>
        </is>
      </c>
    </row>
    <row r="4" ht="15" customHeight="1" s="104">
      <c r="A4" s="158" t="inlineStr">
        <is>
          <t>#</t>
        </is>
      </c>
      <c r="B4" s="158" t="inlineStr">
        <is>
          <t>Type</t>
        </is>
      </c>
      <c r="C4" s="158" t="inlineStr">
        <is>
          <t>Company</t>
        </is>
      </c>
      <c r="D4" s="158" t="inlineStr">
        <is>
          <t>To</t>
        </is>
      </c>
      <c r="E4" s="158" t="inlineStr">
        <is>
          <t>CC</t>
        </is>
      </c>
      <c r="F4" s="158" t="inlineStr">
        <is>
          <t>Subject</t>
        </is>
      </c>
      <c r="G4" s="158" t="inlineStr">
        <is>
          <t>Status</t>
        </is>
      </c>
    </row>
    <row r="5" ht="23.25" customHeight="1" s="104">
      <c r="A5" s="113" t="n">
        <v>1</v>
      </c>
      <c r="B5" s="113" t="inlineStr">
        <is>
          <t>Individual</t>
        </is>
      </c>
      <c r="C5" s="159" t="inlineStr">
        <is>
          <t>品約醫療儀器 Pinyork Medical</t>
        </is>
      </c>
      <c r="D5" s="113" t="inlineStr">
        <is>
          <t>service@pinyork.com.tw</t>
        </is>
      </c>
      <c r="E5" s="113" t="n"/>
      <c r="F5" s="113" t="inlineStr">
        <is>
          <t>Pinyork Medical: CHISON human diagnostic ultrasound for your clinic base</t>
        </is>
      </c>
      <c r="G5" s="113" t="inlineStr">
        <is>
          <t>Sent 6 Oct 2026</t>
        </is>
      </c>
    </row>
    <row r="6" ht="15" customHeight="1" s="104">
      <c r="A6" s="113" t="n">
        <v>2</v>
      </c>
      <c r="B6" s="113" t="inlineStr">
        <is>
          <t>Individual</t>
        </is>
      </c>
      <c r="C6" s="159" t="inlineStr">
        <is>
          <t>總騰儀器 SOAR</t>
        </is>
      </c>
      <c r="D6" s="113" t="inlineStr">
        <is>
          <t>soar.jimmy@gmail.com</t>
        </is>
      </c>
      <c r="E6" s="113" t="n"/>
      <c r="F6" s="113" t="inlineStr">
        <is>
          <t>SOAR: CHISON ultrasound for new clinic openings</t>
        </is>
      </c>
      <c r="G6" s="113" t="inlineStr">
        <is>
          <t>Sent 6 Oct 2026</t>
        </is>
      </c>
    </row>
    <row r="7" ht="15" customHeight="1" s="104">
      <c r="A7" s="113" t="n">
        <v>3</v>
      </c>
      <c r="B7" s="113" t="inlineStr">
        <is>
          <t>Individual</t>
        </is>
      </c>
      <c r="C7" s="159" t="inlineStr">
        <is>
          <t>杏恩醫療儀器 Shinn Medical</t>
        </is>
      </c>
      <c r="D7" s="113" t="inlineStr">
        <is>
          <t>28262556serv@gmail.com</t>
        </is>
      </c>
      <c r="E7" s="113" t="n"/>
      <c r="F7" s="113" t="inlineStr">
        <is>
          <t>Shinn Medical: adding ultrasound to your imaging and OR line card</t>
        </is>
      </c>
      <c r="G7" s="113" t="inlineStr">
        <is>
          <t>Sent 6 Oct 2026</t>
        </is>
      </c>
    </row>
    <row r="8" ht="23.25" customHeight="1" s="104">
      <c r="A8" s="113" t="n">
        <v>4</v>
      </c>
      <c r="B8" s="113" t="inlineStr">
        <is>
          <t>Individual</t>
        </is>
      </c>
      <c r="C8" s="159" t="inlineStr">
        <is>
          <t>承業生醫 CHC Group + 久和 ChiuHo</t>
        </is>
      </c>
      <c r="D8" s="113" t="inlineStr">
        <is>
          <t>Sales.Rt@chcg.com</t>
        </is>
      </c>
      <c r="E8" s="113" t="inlineStr">
        <is>
          <t>Sales.Ns@chcg.com</t>
        </is>
      </c>
      <c r="F8" s="113" t="inlineStr">
        <is>
          <t>CHC Healthcare Group and ChiuHo Medical: an ultrasound line for your imaging channel</t>
        </is>
      </c>
      <c r="G8" s="113" t="inlineStr">
        <is>
          <t>Sent 6 Oct 2026</t>
        </is>
      </c>
    </row>
    <row r="9" ht="23.25" customHeight="1" s="104">
      <c r="A9" s="113" t="n">
        <v>5</v>
      </c>
      <c r="B9" s="113" t="inlineStr">
        <is>
          <t>Individual</t>
        </is>
      </c>
      <c r="C9" s="159" t="inlineStr">
        <is>
          <t>巨研科技 GETECH</t>
        </is>
      </c>
      <c r="D9" s="113" t="inlineStr">
        <is>
          <t>service@getech.com.tw</t>
        </is>
      </c>
      <c r="E9" s="113" t="n"/>
      <c r="F9" s="113" t="inlineStr">
        <is>
          <t>GETECH: CHISON human diagnostic ultrasound, a tier below your premium line</t>
        </is>
      </c>
      <c r="G9" s="113" t="inlineStr">
        <is>
          <t>Sent 6 Oct 2026</t>
        </is>
      </c>
    </row>
    <row r="10" ht="15" customHeight="1" s="104">
      <c r="A10" s="113" t="n">
        <v>6</v>
      </c>
      <c r="B10" s="113" t="inlineStr">
        <is>
          <t>Individual</t>
        </is>
      </c>
      <c r="C10" s="159" t="inlineStr">
        <is>
          <t>友信醫療集團 Unison</t>
        </is>
      </c>
      <c r="D10" s="113" t="inlineStr">
        <is>
          <t>info@unison.com.tw</t>
        </is>
      </c>
      <c r="E10" s="113" t="n"/>
      <c r="F10" s="113" t="inlineStr">
        <is>
          <t>Unison Healthcare Group: CHISON ultrasound as a value tier</t>
        </is>
      </c>
      <c r="G10" s="113" t="inlineStr">
        <is>
          <t>Sent 6 Oct 2026</t>
        </is>
      </c>
    </row>
    <row r="11" ht="23.25" customHeight="1" s="104">
      <c r="A11" s="113" t="n">
        <v>7</v>
      </c>
      <c r="B11" s="113" t="inlineStr">
        <is>
          <t>Individual</t>
        </is>
      </c>
      <c r="C11" s="159" t="inlineStr">
        <is>
          <t>商之器科技 EBM Technologies</t>
        </is>
      </c>
      <c r="D11" s="113" t="inlineStr">
        <is>
          <t>info@ebmtech.com</t>
        </is>
      </c>
      <c r="E11" s="113" t="n"/>
      <c r="F11" s="113" t="inlineStr">
        <is>
          <t>EBM Technologies: pairing CHISON ultrasound with your PACS installed base</t>
        </is>
      </c>
      <c r="G11" s="113" t="inlineStr">
        <is>
          <t>Sent 6 Oct 2026</t>
        </is>
      </c>
    </row>
    <row r="12" ht="23.25" customHeight="1" s="104">
      <c r="A12" s="113" t="n">
        <v>8</v>
      </c>
      <c r="B12" s="113" t="inlineStr">
        <is>
          <t>Individual</t>
        </is>
      </c>
      <c r="C12" s="159" t="inlineStr">
        <is>
          <t>華鋒科技 Eastech</t>
        </is>
      </c>
      <c r="D12" s="113" t="inlineStr">
        <is>
          <t>info@eastech-medical.com.tw</t>
        </is>
      </c>
      <c r="E12" s="113" t="n"/>
      <c r="F12" s="113" t="inlineStr">
        <is>
          <t>Eastech: CHISON handheld and portable ultrasound alongside your current line</t>
        </is>
      </c>
      <c r="G12" s="113" t="inlineStr">
        <is>
          <t>Sent 6 Oct 2026</t>
        </is>
      </c>
    </row>
    <row r="13" ht="15" customHeight="1" s="104">
      <c r="A13" s="113" t="n">
        <v>9</v>
      </c>
      <c r="B13" s="113" t="inlineStr">
        <is>
          <t>Individual</t>
        </is>
      </c>
      <c r="C13" s="159" t="inlineStr">
        <is>
          <t>奇裕企業 Kromax</t>
        </is>
      </c>
      <c r="D13" s="113" t="inlineStr">
        <is>
          <t>info@kromax.com</t>
        </is>
      </c>
      <c r="E13" s="113" t="n"/>
      <c r="F13" s="113" t="inlineStr">
        <is>
          <t>Kromax: broadening your portable ultrasound line with CHISON</t>
        </is>
      </c>
      <c r="G13" s="113" t="inlineStr">
        <is>
          <t>Sent 6 Oct 2026</t>
        </is>
      </c>
    </row>
    <row r="14" ht="15" customHeight="1" s="104">
      <c r="A14" s="113" t="n">
        <v>10</v>
      </c>
      <c r="B14" s="113" t="inlineStr">
        <is>
          <t>Individual</t>
        </is>
      </c>
      <c r="C14" s="159" t="inlineStr">
        <is>
          <t>力林國際 Vet Supply</t>
        </is>
      </c>
      <c r="D14" s="113" t="inlineStr">
        <is>
          <t>j@vetsupply.com.tw</t>
        </is>
      </c>
      <c r="E14" s="113" t="n"/>
      <c r="F14" s="113" t="inlineStr">
        <is>
          <t>Vet Supply: CHISON ultrasound for your veterinary customers</t>
        </is>
      </c>
      <c r="G14" s="113" t="inlineStr">
        <is>
          <t>Sent 6 Oct 2026</t>
        </is>
      </c>
    </row>
    <row r="15" ht="15" customHeight="1" s="104">
      <c r="A15" s="113" t="n">
        <v>11</v>
      </c>
      <c r="B15" s="113" t="inlineStr">
        <is>
          <t>Individual</t>
        </is>
      </c>
      <c r="C15" s="159" t="inlineStr">
        <is>
          <t>醫全實業 Medicare Products</t>
        </is>
      </c>
      <c r="D15" s="113" t="inlineStr">
        <is>
          <t>medicare@beam.com.tw</t>
        </is>
      </c>
      <c r="E15" s="113" t="n"/>
      <c r="F15" s="113" t="inlineStr">
        <is>
          <t>Medicare Products: an ultrasound line for your three regional offices</t>
        </is>
      </c>
      <c r="G15" s="113" t="inlineStr">
        <is>
          <t>Sent 6 Oct 2026</t>
        </is>
      </c>
    </row>
    <row r="16" ht="23.25" customHeight="1" s="104">
      <c r="A16" s="113" t="n">
        <v>12</v>
      </c>
      <c r="B16" s="113" t="inlineStr">
        <is>
          <t>Individual</t>
        </is>
      </c>
      <c r="C16" s="159" t="inlineStr">
        <is>
          <t>上鉅實業 Sumtage</t>
        </is>
      </c>
      <c r="D16" s="113" t="inlineStr">
        <is>
          <t>tphq@sumtage.com.tw</t>
        </is>
      </c>
      <c r="E16" s="113" t="n"/>
      <c r="F16" s="113" t="inlineStr">
        <is>
          <t>Sumtage: CHISON portable ultrasound alongside your premium imaging lines</t>
        </is>
      </c>
      <c r="G16" s="113" t="inlineStr">
        <is>
          <t>Sent 6 Oct 2026</t>
        </is>
      </c>
    </row>
    <row r="17" ht="15" customHeight="1" s="104">
      <c r="A17" s="113" t="n">
        <v>13</v>
      </c>
      <c r="B17" s="113" t="inlineStr">
        <is>
          <t>Individual</t>
        </is>
      </c>
      <c r="C17" s="159" t="inlineStr">
        <is>
          <t>愛樺企業 Best Image</t>
        </is>
      </c>
      <c r="D17" s="113" t="inlineStr">
        <is>
          <t>amy@bestimage.com.tw</t>
        </is>
      </c>
      <c r="E17" s="113" t="n"/>
      <c r="F17" s="113" t="inlineStr">
        <is>
          <t>Best Image: CHISON portable and veterinary ultrasound</t>
        </is>
      </c>
      <c r="G17" s="113" t="inlineStr">
        <is>
          <t>Sent 6 Oct 2026</t>
        </is>
      </c>
    </row>
    <row r="18" ht="15" customHeight="1" s="104">
      <c r="A18" s="113" t="n">
        <v>14</v>
      </c>
      <c r="B18" s="113" t="inlineStr">
        <is>
          <t>Individual</t>
        </is>
      </c>
      <c r="C18" s="159" t="inlineStr">
        <is>
          <t>安泰醫療儀器 Ontai</t>
        </is>
      </c>
      <c r="D18" s="113" t="inlineStr">
        <is>
          <t>ontaisys@gmail.com</t>
        </is>
      </c>
      <c r="E18" s="113" t="n"/>
      <c r="F18" s="113" t="inlineStr">
        <is>
          <t>Ontai Medical: CHISON ultrasound for MSK and rehabilitation clinics</t>
        </is>
      </c>
      <c r="G18" s="113" t="inlineStr">
        <is>
          <t>Sent 6 Oct 2026</t>
        </is>
      </c>
    </row>
    <row r="19" ht="15" customHeight="1" s="104">
      <c r="A19" s="113" t="n">
        <v>15</v>
      </c>
      <c r="B19" s="113" t="inlineStr">
        <is>
          <t>Individual</t>
        </is>
      </c>
      <c r="C19" s="159" t="inlineStr">
        <is>
          <t>達進興業</t>
        </is>
      </c>
      <c r="D19" s="113" t="inlineStr">
        <is>
          <t>kuo.green@msa.hinet.net</t>
        </is>
      </c>
      <c r="E19" s="113" t="n"/>
      <c r="F19" s="159" t="inlineStr">
        <is>
          <t>達進興業: CHISON portable ultrasound for mobile screening</t>
        </is>
      </c>
      <c r="G19" s="113" t="inlineStr">
        <is>
          <t>Sent 6 Oct 2026</t>
        </is>
      </c>
    </row>
    <row r="20" ht="15" customHeight="1" s="104">
      <c r="A20" s="113" t="n">
        <v>16</v>
      </c>
      <c r="B20" s="113" t="inlineStr">
        <is>
          <t>Individual</t>
        </is>
      </c>
      <c r="C20" s="159" t="inlineStr">
        <is>
          <t>瑋杏儀器</t>
        </is>
      </c>
      <c r="D20" s="113" t="inlineStr">
        <is>
          <t>taichung@goodline.com.tw</t>
        </is>
      </c>
      <c r="E20" s="113" t="n"/>
      <c r="F20" s="159" t="inlineStr">
        <is>
          <t>瑋杏儀器: CHISON ultrasound for your Taichung customers</t>
        </is>
      </c>
      <c r="G20" s="113" t="inlineStr">
        <is>
          <t>Sent 6 Oct 2026</t>
        </is>
      </c>
    </row>
    <row r="21" ht="15" customHeight="1" s="104">
      <c r="A21" s="113" t="n">
        <v>17</v>
      </c>
      <c r="B21" s="113" t="inlineStr">
        <is>
          <t>Individual</t>
        </is>
      </c>
      <c r="C21" s="159" t="inlineStr">
        <is>
          <t>保信貿易</t>
        </is>
      </c>
      <c r="D21" s="113" t="inlineStr">
        <is>
          <t>wessontc@wessontw.com</t>
        </is>
      </c>
      <c r="E21" s="113" t="n"/>
      <c r="F21" s="159" t="inlineStr">
        <is>
          <t>保信貿易: adding CHISON ultrasound to your instrument line</t>
        </is>
      </c>
      <c r="G21" s="113" t="inlineStr">
        <is>
          <t>Sent 6 Oct 2026</t>
        </is>
      </c>
    </row>
    <row r="22" ht="15" customHeight="1" s="104">
      <c r="A22" s="113" t="n">
        <v>18</v>
      </c>
      <c r="B22" s="113" t="inlineStr">
        <is>
          <t>Individual</t>
        </is>
      </c>
      <c r="C22" s="159" t="inlineStr">
        <is>
          <t>長立儀器</t>
        </is>
      </c>
      <c r="D22" s="113" t="inlineStr">
        <is>
          <t>jimmy@amtai.com</t>
        </is>
      </c>
      <c r="E22" s="113" t="n"/>
      <c r="F22" s="159" t="inlineStr">
        <is>
          <t>長立儀器: CHISON ultrasound for the operating room</t>
        </is>
      </c>
      <c r="G22" s="113" t="inlineStr">
        <is>
          <t>Sent 6 Oct 2026</t>
        </is>
      </c>
    </row>
    <row r="23" ht="15" customHeight="1" s="104">
      <c r="A23" s="113" t="n">
        <v>19</v>
      </c>
      <c r="B23" s="113" t="inlineStr">
        <is>
          <t>Individual</t>
        </is>
      </c>
      <c r="C23" s="159" t="inlineStr">
        <is>
          <t>勗曜生技醫材</t>
        </is>
      </c>
      <c r="D23" s="113" t="inlineStr">
        <is>
          <t>p1200.p2200@msa.hinet.net</t>
        </is>
      </c>
      <c r="E23" s="113" t="n"/>
      <c r="F23" s="159" t="inlineStr">
        <is>
          <t>勗曜生技醫材: CHISON ultrasound for your operating room customers</t>
        </is>
      </c>
      <c r="G23" s="113" t="inlineStr">
        <is>
          <t>Sent 6 Oct 2026</t>
        </is>
      </c>
    </row>
    <row r="24" ht="15" customHeight="1" s="104">
      <c r="A24" s="113" t="n">
        <v>20</v>
      </c>
      <c r="B24" s="113" t="inlineStr">
        <is>
          <t>Individual</t>
        </is>
      </c>
      <c r="C24" s="159" t="inlineStr">
        <is>
          <t>展銳醫療儀器 + 宇瑞醫療器材</t>
        </is>
      </c>
      <c r="D24" s="113" t="inlineStr">
        <is>
          <t>smartech.judy@gmail.com</t>
        </is>
      </c>
      <c r="E24" s="113" t="inlineStr">
        <is>
          <t>smartech.tw@gmail.com</t>
        </is>
      </c>
      <c r="F24" s="159" t="inlineStr">
        <is>
          <t>展銳醫療儀器: CHISON ultrasound beside your endoscopy line</t>
        </is>
      </c>
      <c r="G24" s="113" t="inlineStr">
        <is>
          <t>Sent 6 Oct 2026</t>
        </is>
      </c>
    </row>
    <row r="25" ht="26.25" customHeight="1" s="104">
      <c r="A25" s="113" t="n">
        <v>21</v>
      </c>
      <c r="B25" s="113" t="inlineStr">
        <is>
          <t>Individual</t>
        </is>
      </c>
      <c r="C25" s="159" t="inlineStr">
        <is>
          <t>億眾實業</t>
        </is>
      </c>
      <c r="D25" s="113" t="inlineStr">
        <is>
          <t>jamie@mail.bio-drchip.com.tw</t>
        </is>
      </c>
      <c r="E25" s="113" t="n"/>
      <c r="F25" s="159" t="inlineStr">
        <is>
          <t>億眾實業: CHISON handheld ultrasound for ambulances and emergency teams</t>
        </is>
      </c>
      <c r="G25" s="113" t="inlineStr">
        <is>
          <t>Sent 6 Oct 2026</t>
        </is>
      </c>
    </row>
    <row r="26" ht="15" customHeight="1" s="104">
      <c r="A26" s="113" t="n">
        <v>22</v>
      </c>
      <c r="B26" s="113" t="inlineStr">
        <is>
          <t>Individual</t>
        </is>
      </c>
      <c r="C26" s="159" t="inlineStr">
        <is>
          <t>信隆生技</t>
        </is>
      </c>
      <c r="D26" s="113" t="inlineStr">
        <is>
          <t>sin.lonn@msa.hinet.net</t>
        </is>
      </c>
      <c r="E26" s="113" t="n"/>
      <c r="F26" s="159" t="inlineStr">
        <is>
          <t>信隆生技: CHISON ultrasound for emergency and monitoring customers</t>
        </is>
      </c>
      <c r="G26" s="113" t="inlineStr">
        <is>
          <t>Sent 6 Oct 2026</t>
        </is>
      </c>
    </row>
    <row r="27" ht="15" customHeight="1" s="104">
      <c r="A27" s="113" t="n">
        <v>23</v>
      </c>
      <c r="B27" s="113" t="inlineStr">
        <is>
          <t>Individual</t>
        </is>
      </c>
      <c r="C27" s="159" t="inlineStr">
        <is>
          <t>亞帝昇</t>
        </is>
      </c>
      <c r="D27" s="113" t="inlineStr">
        <is>
          <t>jocdx@yahoo.com.tw</t>
        </is>
      </c>
      <c r="E27" s="113" t="n"/>
      <c r="F27" s="159" t="inlineStr">
        <is>
          <t>亞帝昇: CHISON ultrasound for airway and emergency teams</t>
        </is>
      </c>
      <c r="G27" s="113" t="inlineStr">
        <is>
          <t>Sent 6 Oct 2026</t>
        </is>
      </c>
    </row>
    <row r="28" ht="15" customHeight="1" s="104">
      <c r="A28" s="113" t="n">
        <v>24</v>
      </c>
      <c r="B28" s="113" t="inlineStr">
        <is>
          <t>Individual</t>
        </is>
      </c>
      <c r="C28" s="159" t="inlineStr">
        <is>
          <t>中籐實業 + 通陽國際</t>
        </is>
      </c>
      <c r="D28" s="113" t="inlineStr">
        <is>
          <t>ctm.tw@msa.hinet.net</t>
        </is>
      </c>
      <c r="E28" s="113" t="n"/>
      <c r="F28" s="159" t="inlineStr">
        <is>
          <t>中籐實業: adding ultrasound to your X ray and laboratory line</t>
        </is>
      </c>
      <c r="G28" s="113" t="inlineStr">
        <is>
          <t>Sent 6 Oct 2026</t>
        </is>
      </c>
    </row>
    <row r="29" ht="15" customHeight="1" s="104">
      <c r="A29" s="113" t="n">
        <v>25</v>
      </c>
      <c r="B29" s="113" t="inlineStr">
        <is>
          <t>Individual</t>
        </is>
      </c>
      <c r="C29" s="159" t="inlineStr">
        <is>
          <t>偉平貿易</t>
        </is>
      </c>
      <c r="D29" s="113" t="inlineStr">
        <is>
          <t>jane760311@yahoo.com.tw</t>
        </is>
      </c>
      <c r="E29" s="113" t="n"/>
      <c r="F29" s="159" t="inlineStr">
        <is>
          <t>偉平貿易: CHISON ultrasound for the clinics you help open</t>
        </is>
      </c>
      <c r="G29" s="113" t="inlineStr">
        <is>
          <t>Sent 6 Oct 2026</t>
        </is>
      </c>
    </row>
    <row r="30" ht="15" customHeight="1" s="104">
      <c r="A30" s="113" t="n">
        <v>26</v>
      </c>
      <c r="B30" s="113" t="inlineStr">
        <is>
          <t>Individual</t>
        </is>
      </c>
      <c r="C30" s="159" t="inlineStr">
        <is>
          <t>健富儀器</t>
        </is>
      </c>
      <c r="D30" s="113" t="inlineStr">
        <is>
          <t>fortunmw@ms49.hinet.net</t>
        </is>
      </c>
      <c r="E30" s="113" t="n"/>
      <c r="F30" s="159" t="inlineStr">
        <is>
          <t>健富儀器: CHISON ultrasound for long term care and home care</t>
        </is>
      </c>
      <c r="G30" s="113" t="inlineStr">
        <is>
          <t>Sent 6 Oct 2026</t>
        </is>
      </c>
    </row>
    <row r="31" ht="15" customHeight="1" s="104">
      <c r="A31" s="113" t="n">
        <v>27</v>
      </c>
      <c r="B31" s="113" t="inlineStr">
        <is>
          <t>Individual</t>
        </is>
      </c>
      <c r="C31" s="159" t="inlineStr">
        <is>
          <t>衛康醫療儀器</t>
        </is>
      </c>
      <c r="D31" s="113" t="inlineStr">
        <is>
          <t>wecare.medical@msa.hinet.net</t>
        </is>
      </c>
      <c r="E31" s="113" t="n"/>
      <c r="F31" s="159" t="inlineStr">
        <is>
          <t>衛康醫療儀器: adding CHISON ultrasound to your line</t>
        </is>
      </c>
      <c r="G31" s="113" t="inlineStr">
        <is>
          <t>Sent 6 Oct 2026</t>
        </is>
      </c>
    </row>
    <row r="32" ht="15" customHeight="1" s="104">
      <c r="A32" s="113" t="n">
        <v>28</v>
      </c>
      <c r="B32" s="113" t="inlineStr">
        <is>
          <t>Individual</t>
        </is>
      </c>
      <c r="C32" s="159" t="inlineStr">
        <is>
          <t>忠杏</t>
        </is>
      </c>
      <c r="D32" s="113" t="inlineStr">
        <is>
          <t>tcrtsyst@ms47.hinet.net</t>
        </is>
      </c>
      <c r="E32" s="113" t="n"/>
      <c r="F32" s="159" t="inlineStr">
        <is>
          <t>忠杏: CHISON ultrasound for respiratory teams</t>
        </is>
      </c>
      <c r="G32" s="113" t="inlineStr">
        <is>
          <t>Sent 6 Oct 2026</t>
        </is>
      </c>
    </row>
    <row r="33" ht="15" customHeight="1" s="104">
      <c r="A33" s="113" t="n">
        <v>29</v>
      </c>
      <c r="B33" s="113" t="inlineStr">
        <is>
          <t>Individual</t>
        </is>
      </c>
      <c r="C33" s="159" t="inlineStr">
        <is>
          <t>永英 Winning Medical</t>
        </is>
      </c>
      <c r="D33" s="113" t="inlineStr">
        <is>
          <t>johnson@winningmedical.com</t>
        </is>
      </c>
      <c r="E33" s="113" t="n"/>
      <c r="F33" s="159" t="inlineStr">
        <is>
          <t>永英: CHISON ultrasound for your import and wholesale line</t>
        </is>
      </c>
      <c r="G33" s="113" t="inlineStr">
        <is>
          <t>Sent 6 Oct 2026</t>
        </is>
      </c>
    </row>
    <row r="34" ht="15" customHeight="1" s="104">
      <c r="A34" s="113" t="n">
        <v>30</v>
      </c>
      <c r="B34" s="113" t="inlineStr">
        <is>
          <t>Individual</t>
        </is>
      </c>
      <c r="C34" s="159" t="inlineStr">
        <is>
          <t>優醫</t>
        </is>
      </c>
      <c r="D34" s="113" t="inlineStr">
        <is>
          <t>calvin@whc.com.tw</t>
        </is>
      </c>
      <c r="E34" s="113" t="n"/>
      <c r="F34" s="159" t="inlineStr">
        <is>
          <t>優醫: CHISON ultrasound for your import and wholesale line</t>
        </is>
      </c>
      <c r="G34" s="113" t="inlineStr">
        <is>
          <t>Sent 6 Oct 2026</t>
        </is>
      </c>
    </row>
    <row r="35" ht="150" customHeight="1" s="104">
      <c r="A35" s="113" t="n">
        <v>31</v>
      </c>
      <c r="B35" s="113" t="inlineStr">
        <is>
          <t>Batch 1 of 3</t>
        </is>
      </c>
      <c r="C35" s="113" t="inlineStr">
        <is>
          <t>43 dealers: 白色牙材 White Dental, 春菖貿易, 醫技實業, 鈞豊光學, Broadsound Corporation, 康豪醫療器材有限公司, 國教儀器企業有限公司, 久駿企業有限公司, 正育生化技有限公司, 家好健康醫療器材有限公司, 仁豪醫療器材有限公司, 弘康醫療儀器行, 伸球企業有限公司, 睿康生醫股份有限公司, 美加醫療器材行, 艾茵艾學府健康企業有限公司, 源創醫療設備科技有限公司, 裕苑企業有限公司, 惠堤醫療器材行, 長洲醫療儀器有限公司, 長春生活事業股份有限公司, 皇奇醫療器材有限公司, 普營股份有限公司, 億代富國際股份有限公司, 達雅企業股份有限公司, 義杏股份有限公司, 捷騰股份有限公司, 聯準生技國際有限公司, 善維健康股份有限公司, 博先有限公司, 盈俞股份有限公司, 柏榮生醫有限公司, 坤茂貿易有限公司, 傑達實業有限公司, 瑞謙儀器有限公司, 享原實業股份有限公司, 永澄儀器有限公司, 恭昌貿易有限公司, 錦源儀器有限公司, 寬達企業股份有限公司, 吉特醫療器材有限公司, 協展事業有限公司, 濟生醫療器材有限公司</t>
        </is>
      </c>
      <c r="D35" s="113" t="inlineStr">
        <is>
          <t>service@whitedental.com.tw, ellie@chinaspring.com.tw, medtec88@pchome.com.tw, junfengop@xuite.net, info@broadsound.com.tw, ho1223g@yahoo.com.tw, kou.juaw@msa.hinet.net, jiujun@pchome.com.tw, bittle911@hotmail.com, c641556@gmail.com, renrenhao.med@gmail.com, hongkang@ms57.hinet.net, shan.chiou@gmail.com, william.Chen@medifun.com.tw, egaodafiction@gmail.com, afarjce@gmail.com, maxlinyf@gmail.com, kent3821@yahoo.com.tw, rayohealth@yahoo.com.tw, spark338@yahoo.com.tw, life168@ms7.hinet.net, virkon3612@yahoo.com.tw, upwind@upwind.com.tw, order@medifly.com.tw, hr@diarex.com.tw, labstm.tc@gmail.com, can11888@ms18.hinet.net, legend@legendbio.com.tw, sale@sanvic.com, broad.saint@hinet.net, vincent@inwin.tw, bio-zon@yahoo.com.tw, service@longtermsupplies.com, adam@jetstar-tw.com, YC.Huang@rcinst.com.tw, billpower147@gmail.com, yongcheng83221388@gmail.com, hsiaokc@ms62.hinet.net, jy0141@yahoo.com.tw, yus0101@kimo.com, jet.medical@msa.hinet.net, b78905@ms18.hinet.net, ufau0383@ms36.hinet.net</t>
        </is>
      </c>
      <c r="E35" s="113" t="n"/>
      <c r="F35" s="159" t="inlineStr">
        <is>
          <t>誠徵台灣超音波經銷夥伴 | CHISON ultrasound distribution partners in Taiwan</t>
        </is>
      </c>
      <c r="G35" s="113" t="inlineStr">
        <is>
          <t>Sent 6 Oct 2026</t>
        </is>
      </c>
    </row>
    <row r="36" ht="150" customHeight="1" s="104">
      <c r="A36" s="113" t="n">
        <v>32</v>
      </c>
      <c r="B36" s="113" t="inlineStr">
        <is>
          <t>Batch 2 of 3</t>
        </is>
      </c>
      <c r="C36" s="113" t="inlineStr">
        <is>
          <t>43 dealers: 金風國際有限公司, 揚健生物科技有限公司, 華信醫療器材有限公司, 合泰醫療器材有限公司, 永益科儀有限公司, 世康生技股份有限公司, 明緯醫療器材有限公司, 合豐實業有限公司, 立謄科技有限公司, 瑞麗國際貿易股份有限公司, 博盛生醫股份有限公司, 東泰儀器有限公司, 美爾富科技股份有限公司, 凱上有限公司, 喜兒生企業有限公司, 元佑實業有限公司台中分公司, 兢威有限公司, 植舜企業股份有限公司, 堡順企業有限公司, 佳昇醫療器材有限公司, 博晟儀器有限公司, 鼎霖醫療器材股份有限公司, 晟德科技工程有限公司, 鴻霖生技股份有限公司, 峻典股份有限公司, 采京貿易有限公司, 久洋醫療器械有限公司, 邦成國際貿易有限公司, 凱成商行, 翔泰醫療器材企業有限公司, 鐿慶國際有限公司, 船井生醫股份有限公司, 慶錩儀器有限公司, 可大醫療儀器有限公司, 竹必佳股份有限公司, 強盛興企業股份有限公司, 服杏企業有限公司, 宗育醫療器材有限公司, 康威利實業有限公司, 寶宸生化科技有限公司, 瑩芳有限公司, 健晟儀器有限公司, 尚翊企業社</t>
        </is>
      </c>
      <c r="D36" s="113" t="inlineStr">
        <is>
          <t>tcgoldwind@gmail.com, young27622558@gmail.com, service@huaxing.com.tw, hotai.med@gmail.com, forevermede@gmail.com, getmed@gettw.com.tw, klauslin0301@gmail.com, hot.first@msa.hinet.net, avalohuang@gmail.com, kiki@etechmis.com.tw, powen_cheng@bmt.com.tw, a0931357871@gmail.com, hosp.cs@a-strong1987.com.tw, casaioannechi@gmail.com, baby9march@yahoo.com.tw, emily@yuanyu.tw, duke@geneway.com.tw, business@green-hope.com.tw, boysun.com@gmail.com, betty910921@yahoo.com.tw, yao93353810@gmail.com, lin@dlmedical.com.tw, patty988@samde.com.tw, honglinbiotech@gmail.com, fuhan.wei@jiunndean.com, caijing.tw@msa.hinet.net, eocean547@gmail.com, mesad0410@hotmail.com, alen.kevin@msa.hinet.net, shiningtop200@hotmail.com, accoanting.tw@yichyi.com, account@funcare.com, cci.medical@msa.hinet.net, icodamed@ms49.hinet.net, medenint@ms11.hinet.net, financial@joson-care.com.tw, servicet@ms49.hinet.net, a1213yy@yahoo.com.tw, jensen@conwellmedical.com, ba.chcnn@msa.hinet.net, paul@infung.com.tw, epii.tc@epii.com.tw, ya.lans88@msa.hinet.net</t>
        </is>
      </c>
      <c r="E36" s="113" t="n"/>
      <c r="F36" s="159" t="inlineStr">
        <is>
          <t>誠徵台灣超音波經銷夥伴 | CHISON ultrasound distribution partners in Taiwan</t>
        </is>
      </c>
      <c r="G36" s="113" t="inlineStr">
        <is>
          <t>Sent 6 Oct 2026</t>
        </is>
      </c>
    </row>
    <row r="37" ht="150" customHeight="1" s="104">
      <c r="A37" s="113" t="n">
        <v>33</v>
      </c>
      <c r="B37" s="113" t="inlineStr">
        <is>
          <t>Batch 3 of 3</t>
        </is>
      </c>
      <c r="C37" s="113" t="inlineStr">
        <is>
          <t>43 dealers: 康儀科技股份有限公司, 奕泰生技股份有限公司, 德益科技股份有限公司, 柏銧醫療器材有限公司, 東芳龍國際貿易有限公司, 優擎科技有限公司, 宏緯醫療儀器有限公司, 龐德生技有限公司, 才源醫療器材有限公司, 凱馺國際股份有限公司, 坦頓國際有限公司, 金元晟科技有限公司, 榕佑國際有限公司, 凡葳有限公司, 景翌企業有限公司, 大翰翔企業股份有限公司, 傳斯美德有限公司, 泉勝儀器有限公司, 美利馳股份有限公司, 奧尼里奇股份有限公司, 茵特斯克股份有限公司, 德易國際有限公司, 信謄醫技有限公司, 大田儀器有限公司, 昊佑企業有限公司, 凱能醫療器材有限公司, 玖鉅儀器有限公司, 景發醫療器材有限公司, 翰銓醫材生技有限公司, 皓康股份有限公司, 昶驊企業有限公司, 源豐醫療器材有限公司, 金益萬數位儀器行, 博宇貿易有限公司, 永荃儀器有限公司, 裕鑫儀器有限公司, 劦振企業有限公司, 勝羽儀器有限公司, 永強生技有限公司, 谷曼有限公司, 康護醫療器材行, 立生行, 仲鎂醫療器材有限公司</t>
        </is>
      </c>
      <c r="D37" s="113" t="inlineStr">
        <is>
          <t>pay@coning-biotech.com, schung-v38@umail.hinet.net, det.corp@msa.hinet.net, baiko2924@gmail.com, donfun.long@msa.hinet.net, mike@ugintech.com, grand.medical@msa.hinet.net, hs001@seysam.com.tw, yen1561@ms14.hinet.net, aboss.tech@msa.hinet.net, lisa.li@latandem.com, jyctwg@gmail.com, ony.chen@prosperway.com.tw, fanwei16922425@hotmail.com, steele@ms12.hinet.net, thh66@ms51.hinet.net, keilco56@ms25.hinet.net, mail@bio-mega.com.tw, merits.tw@gmail.com, benchen@aonirich.com, michael@intersurgical.com.tw, sherry@fortworth.com, monsan@ms34.hinet.net, ezcare5000@gmail.com, haoyo@haoyo.com.tw, snow9902a57@yahoo.com.tw, jaspermedical@gmail.com, vincent71@mail2000.com.tw, d0388@ms57.hinet.net, hsu@healthyou.com.tw, liao219@seed.net.tw, yuan-feng-yf@yahoo.com.tw, jinywan7@gmail.com, boyu.taiwan@gmail.com, penny.little@msa.hinet.net, yuxin50833458@gmail.com, sj01@hibox.hinet.net, chkwen@ms32.hinet.net, j0932502428@yahoo.com.tw, trasexx@gmail.com, d54875@yahoo.com.tw, m1201213@ms48.hinet.net, jm22314315@yahoo.com.tw</t>
        </is>
      </c>
      <c r="E37" s="113" t="n"/>
      <c r="F37" s="159" t="inlineStr">
        <is>
          <t>誠徵台灣超音波經銷夥伴 | CHISON ultrasound distribution partners in Taiwan</t>
        </is>
      </c>
      <c r="G37" s="113" t="inlineStr">
        <is>
          <t>Sent 6 Oct 2026</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3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03" min="1" max="1"/>
    <col width="14" customWidth="1" style="103" min="2" max="2"/>
    <col width="40" customWidth="1" style="103" min="3" max="3"/>
    <col width="42" customWidth="1" style="103" min="4" max="4"/>
    <col width="24" customWidth="1" style="103" min="5" max="5"/>
    <col width="60" customWidth="1" style="103" min="6" max="6"/>
    <col width="22" customWidth="1" style="103" min="7" max="7"/>
  </cols>
  <sheetData>
    <row r="1" ht="15.75" customHeight="1" s="104">
      <c r="A1" s="156" t="inlineStr">
        <is>
          <t>TAIWAN ROUND 2 DRAFT QUEUE (5 drafts, 171 recipients)</t>
        </is>
      </c>
    </row>
    <row r="2" ht="54.75" customHeight="1" s="104">
      <c r="A2" s="157" t="inlineStr">
        <is>
          <t>Saved in the casper@astramed.sg Draft folder, each with the CHISON Corporate Brochure 2027 attached. Batch drafts use Send separately, so each dealer receives an individual copy. Send one batch per day to stay under about 100 messages a day, and clear Sent or Trash first: the mailbox is near its 2 GB quota.</t>
        </is>
      </c>
    </row>
    <row r="4" ht="15" customHeight="1" s="104">
      <c r="A4" s="158" t="inlineStr">
        <is>
          <t>#</t>
        </is>
      </c>
      <c r="B4" s="158" t="inlineStr">
        <is>
          <t>Type</t>
        </is>
      </c>
      <c r="C4" s="158" t="inlineStr">
        <is>
          <t>Company</t>
        </is>
      </c>
      <c r="D4" s="158" t="inlineStr">
        <is>
          <t>To</t>
        </is>
      </c>
      <c r="E4" s="158" t="inlineStr">
        <is>
          <t>CC</t>
        </is>
      </c>
      <c r="F4" s="158" t="inlineStr">
        <is>
          <t>Subject</t>
        </is>
      </c>
      <c r="G4" s="158" t="inlineStr">
        <is>
          <t>Status</t>
        </is>
      </c>
    </row>
    <row r="5" ht="23.25" customHeight="1" s="104">
      <c r="A5" s="113" t="n">
        <v>1</v>
      </c>
      <c r="B5" s="113" t="inlineStr">
        <is>
          <t>Individual</t>
        </is>
      </c>
      <c r="C5" s="159" t="inlineStr">
        <is>
          <t>倍可有限公司 Bei Ke Medcare</t>
        </is>
      </c>
      <c r="D5" s="113" t="inlineStr">
        <is>
          <t>BKMD@beikemd.com</t>
        </is>
      </c>
      <c r="E5" s="113" t="n"/>
      <c r="F5" s="113" t="inlineStr">
        <is>
          <t>Bei Ke Medcare: CHISON ultrasound for your imaging line</t>
        </is>
      </c>
      <c r="G5" s="113" t="inlineStr">
        <is>
          <t>Draft saved, not sent</t>
        </is>
      </c>
    </row>
    <row r="6" ht="15" customHeight="1" s="104">
      <c r="A6" s="113" t="n">
        <v>2</v>
      </c>
      <c r="B6" s="113" t="inlineStr">
        <is>
          <t>Batch 4 of 7</t>
        </is>
      </c>
      <c r="C6" s="113" t="inlineStr">
        <is>
          <t>43 dealers: 松柏醫療儀器有限公司, 東正鐵工廠股份有限公司, 菁品健康科技有限公司, 帝磐國際有限公司, 棉網有限公司, 保富生物科技股份有限公司, 華揚儀器廠有限公司, 丞新醫療儀器有限公司, 嘉峰醫療器材有限公司, 鏈嶔企業有限公司, 驛萬企業有限公司, 安穎有限公司, 八田牙材有限公司, 橡木實健康事業股份有限公司, 小可愛護理用品有限公司, 中和牙科器材有限公司, 康盛國際貿易有限公司, 生德生物科技有限公司, 世醫微流體有限公司, 華貿企業有限公司, 商登貿易有限公司, 德嘉國際有限公司, 佳世佳有限公司, 百特醫學科技有限公司, 蜜源生物科技股份有限公司, 樂齡智能產業股份有限公司, 冠宇牙科材料有限公司, 安盛醫療器材有限公司, 泰豐醫療器材有限公司, 台灣緹花園股份有限公司, 精千閣有限公司, 地湧企業商行, 明湊股份有限公司, 宏光保健用品行, 好家庭健康按摩器材行, 寶琳醫療用品有限公司, 富求達醫療器材科技股份有限公司, 金昌牙科材料有限公司, 展群福祉事業有限公司, 惠晟健康醫療器材有限公司, 中太牙科器材有限公司, 泰碁企業有限公司, 來來醫療器材行</t>
        </is>
      </c>
      <c r="D6" s="113" t="inlineStr">
        <is>
          <t>service@sungpo8.com, swantc@swanair.com.tw, jingping413@gmail.com, a0980716727@gmail.com, manwang011@gmail.com, cbi@ms27.hinet.net, ls.gasses@gmail.com, cheng.xin88@yahoo.com.tw, iniafeng@ms24.hinet.net, lien.chiny@msa.hinet.net, yione@ms25.hinet.net, kate042768@gmail.com, melady813@gmail.com, cachat107@gmail.com, kmc90885@hotmail.com, 2244665@pchome.com.tw, concern.ltd@msa.hinet.net, x53773@gmail.com, liang635@ms72.hinet.net, h2018@hoh.com.tw, mengchiao@yahoo.com, teddy.san@msa.hinet.net, yuan3228@yahoo.com.tw, info@dentwei.com.tw, gr22656146@miyua.com, sue2526@kl0800.com, gyudental@gmail.com, as22235887@gmail.com, hifun.medi@gmail.com, zoe@t-garden.jp, seisenka@stms.com.tw, newimage23762333@gmail.com, elon-0526@hotmail.com, c331331@yahoo.com.tw, ys678@ms75.hinet.net, f2313077@ms18.hinet.net, chitsein01@gmail.com, jam.dam@msa.hinet.net, kidov@ms29.hinet.net, taichung2226@gmail.com, roychien@ms7.hinet.net, taichi.tw@msa.hinet.net, lailai450520@yahoo.com.tw</t>
        </is>
      </c>
      <c r="E6" s="113" t="n"/>
      <c r="F6" s="159" t="inlineStr">
        <is>
          <t>誠徵台灣超音波經銷夥伴 | CHISON ultrasound distribution partners in Taiwan</t>
        </is>
      </c>
      <c r="G6" s="113" t="inlineStr">
        <is>
          <t>Draft saved, not sent</t>
        </is>
      </c>
    </row>
    <row r="7" ht="15" customHeight="1" s="104">
      <c r="A7" s="113" t="n">
        <v>3</v>
      </c>
      <c r="B7" s="113" t="inlineStr">
        <is>
          <t>Batch 5 of 7</t>
        </is>
      </c>
      <c r="C7" s="113" t="inlineStr">
        <is>
          <t>43 dealers: 志遠儀器行, 華峰科技股份有限公司, 惟德國際醫學股份有限公司, 健諾克有限公司, 宥驊儀器事業有限公司, 佑陞醫療儀器行, 元湞企業有限公司, 宏族儀器有限公司, 榮曜國際有限公司, 明宏家電實業工廠, 諸遠醫療儀器行, 恆順醫療器材保健用品行, 杏霖藥業股份有限公司, 翔宇醫療儀器有限公司, 豐餘實業股份有限公司, 均旺科技有限公司, 恩特有限公司, 科隆生醫科技有限公司, 光霆國際股份有限公司, 佳葳醫學科技有限公司, 山哆利國際貿易有限公司, 逆轉生命科技有限公司, 凱鑫國際有限公司, 晉億國際企業有限公司, 臺灣骨庫股份有限公司, 嘉崎國際貿易有限公司, 翌筌有限公司, 西羅亞生技有限公司, 蕙陽有限公司, 泰陽健康企業有限公司, 品侑科技有限公司, 華悅堂國際股份有限公司, 快意寶國際有限公司, 松揚實業有限公司, 杏德瑞拉生技有限公司, 翊捷洋企業有限公司, 主悅國際有限公司, 富貴長久科技有限公司, 五富生物科技有限公司, 台灣麗總生技有限公司, 萌特國際有限公司, 歐穩科技有限公司, 維鋒國際有限公司</t>
        </is>
      </c>
      <c r="D7" s="113" t="inlineStr">
        <is>
          <t>cy0606.gg0606@msa.hinet.net, hwakang.01@gmail.com, welldoctor.tw@gmail.com, yykh.yang@msa.hinet.net, younginshow@gmail.com, yoo.sheng@msa.hinet.net, lucia_h168@hotmail.com, chen22911218@gmail.com, tcg.spirit@msa.hinet.net, mhic@seed.net.tw, oooc123@yahoo.com.tw, handson265@yahoo.com.tw, apeq.a234522@msa.hinet.net, walter-liu@umail.hinet.net, hr@mail.aplus.beto.com, angela.jeanwan@msa.hinet.net, lcnchj@yahoo.com.tw, gf.jason@msa.hinet.net, w756167@yahoo.com.tw, ruby@geneway.com.tw, jk4914@yahoo.com.tw, mec01001@hotmail.com, warriorhonor168@gmail.com, leo-cw@hotmail.com, rinnyuna@gmail.com, sandy79717@yahoo.com.tw, ichuan.psts@msa.hinet.net, htc196175@gmail.com, jane-tu@ctmm.com.tw, akilayeh@gmail.com, pinyutech@gmail.com, howway53141649@gmail.com, kyp6788@hotmail.com, chem.house@msa.hinet.net, cinderella.clinic2017@gmail.com, sales@buffalo-tools.com, 883samuel@gmail.com, csc5432168@yahoo.com.tw, fivewealthbio@gmail.com, kuanhung527@hotmail.com.tw, montarmontar331@gmail.com, swtsai@wincool.com.tw, wealthfoundoc@gmail.com</t>
        </is>
      </c>
      <c r="E7" s="113" t="n"/>
      <c r="F7" s="159" t="inlineStr">
        <is>
          <t>誠徵台灣超音波經銷夥伴 | CHISON ultrasound distribution partners in Taiwan</t>
        </is>
      </c>
      <c r="G7" s="113" t="inlineStr">
        <is>
          <t>Draft saved, not sent</t>
        </is>
      </c>
    </row>
    <row r="8" ht="23.25" customHeight="1" s="104">
      <c r="A8" s="113" t="n">
        <v>4</v>
      </c>
      <c r="B8" s="113" t="inlineStr">
        <is>
          <t>Batch 6 of 7</t>
        </is>
      </c>
      <c r="C8" s="113" t="inlineStr">
        <is>
          <t>43 dealers: 漢彌醫療器材有限公司, 正德傷殘用具製造廠有限公司, 好家企業股份有限公司, 台灣產健股份有限公司, 建聲實業有限公司, 寶晨器材有限公司, 洽好國際股份有限公司, 敦華電子材料有限公司, 飛登科技股份有限公司, 重維復健用品有限公司台中分公司, 梅洛實業股份有限公司, 亞美先進科技股份有限公司, 博鑫生技有限公司, 康榮醫療器材行, 醫盟實業有限公司, 合鎰技研股份有限公司, 柏妮絲企業社, 新浦有限公司, 吉森生技有限公司, 洋陞健康生技企業有限公司, 長陽生醫國際股份有限公司, 沛旭生技有限公司, 瀚菖國際有限公司, 隆程興業有限公司, 幸運福有限公司, 恆暉生技股份有限公司, 合雅企業有限公司, 文譁有限公司, 天沛有限公司, 玉銓股份有限公司, 尚昇醫療器材用品行, 勵精企業有限公司, 長健復健器材有限公司, 台灣東亞水質淨化有限公司, 弘合實業有限公司, 櫻城有限公司, 鐿鈦科技股份有限公司, 益沅塑膠工業股份有限公司, 森元科技有限公司, 富康泰有限公司, 安拓企業有限公司, 久湛股份有限公司, 久業生技有限公司</t>
        </is>
      </c>
      <c r="D8" s="113" t="inlineStr">
        <is>
          <t>hm24635793@yahoo.com.tw, jender66@ms25.hinet.net, heblth.life@msa.hinet.net, managersanken@gmail.com, iensound88@yahoo.com.tw, bosan0410@yahoo.com.tw, chaih888@yahoo.com.tw, ales@cpu.com.tw, phildom@ms59.hinet.net, service04@pro-med.tw, me.llow@msa.hinet.net, yeam@ms12.hinet.net, leicacheng@hotmail.com, atta868@yahoo.com.tw, emedical168@hotmail.com, mary.chen@montjade.com.tw, august9988tw07@yahoo.com.tw, tmlee020801@gmail.com, kamed2350@gmail.com, youngcenter@ymail.com, annie@eybiod.com, prospine@yahoo.com.tw, yangming77@gmail.com, mechifang@yahoo.com.tw, chimmy@la-buenasuerte.com, pakomedicare@gmail.com, xinsen2020@gmail.com, 2020kukulove@gmail.com, account@autotool.com.tw, dr.jimmy168@gmail.com, shangsheng@livemail.com, lj40601@hotmail.com, chang73.sheng@msa.hinet.net, east.lin2359@msa.hinet.net, president@ychind.com, maxim.martina@msa.hinet.net, cindyfg@mail.intai.com.tw, iyuan@ms23.hinet.net, jc506.co@msa.hinet.net, luck6718zg@gmail.com, antuo.dent@gmail.com, 99jj.spine@gmail.com, joint.ace0606@gmail.com</t>
        </is>
      </c>
      <c r="E8" s="113" t="n"/>
      <c r="F8" s="159" t="inlineStr">
        <is>
          <t>誠徵台灣超音波經銷夥伴 | CHISON ultrasound distribution partners in Taiwan</t>
        </is>
      </c>
      <c r="G8" s="113" t="inlineStr">
        <is>
          <t>Draft saved, not sent</t>
        </is>
      </c>
    </row>
    <row r="9" ht="23.25" customHeight="1" s="104">
      <c r="A9" s="113" t="n">
        <v>5</v>
      </c>
      <c r="B9" s="113" t="inlineStr">
        <is>
          <t>Batch 7 of 7</t>
        </is>
      </c>
      <c r="C9" s="113" t="inlineStr">
        <is>
          <t>41 dealers: 荷光健康管理顧問有限公司, 承果貿易行銷有限公司, 榮創電子股份有限公司, 中新科技股份有限公司, 上研機電股份有限公司, 鼎右企業有限公司, 科圍牙材行, 葆林有限公司, 巧盛科技有限公司, 翔晟儀器有限公司, 迎弘醫療器材有限公司, 慶霖醫療用品有限公司, 震鑫儀器有限公司, 均佳生物科技有限公司, 捷俞實業有限公司, 基育有限公司, 莎美漾企業有限公司, 日騰科技股份有限公司, 大江綠色工廠股份有限公司, 啓原精密有限公司, 坤鑫國際有限公司, 優程工業股份有限公司, 富長興股份有限公司, 衛豐事業有限公司, 南風設計室, 弘明醫療器材行, 蓓莉雅股份有限公司, 永大明儀器股份有限公司, 利聖國際股份有限公司, 禾捷有限公司, 和大工業股份有限公司中科分公司, 威爾登國際貿易有限公司, 宇球股份有限公司, 明源橡膠工業股份有限公司, 華宇生醫有限公司, 法蘭德生技有限公司, 旺的福醫療用品商行, 鑫和數位科技股份有限公司, 瑞玉國際有限公司, 建聲聽覺有限公司, 乘你安科技股份有限公司</t>
        </is>
      </c>
      <c r="D9" s="113" t="inlineStr">
        <is>
          <t>lightup0317@gmail.com, clio0107@gmail.com, anita@mao-hua.com.tw, pin.chen@cstek.com.tw, wendy@toptek.com.tw, tingyu.co@msa.hinet.net, kw18373157@yahoo.com.tw, baolin.medical@msa.hinet.net, cin1752@gmail.com, xiangsheng58@gmail.com, katrina210@yahoo.com.tw, shu195@yahoo.com.tw, strongcare.med@gmail.com, plmnkojr@gmail.com, jeh.com@msa.hinet.net, ploverco@ms26.hinet.net, samiyung.etp@gmail.com, nichito.doi@gmail.com, ulp828@gmail.com, kaor@hibox.hinet.net, jack.ceotool@msa.hinet.net, union-chen@umail.hinet.net, hyj@airbase.com.tw, wayfone6393@gmail.com, mark.design@yahoo.com.tw, threepsma@gmail.com, ba95@ms52.hinet.net, ytminst@ms10.hinet.net, y12346688ling@hotmail.com, a25653605@gmail.com, ped-08@hota.com.tw, wd.taiwan@msa.hinet.net, amy@lightuf.com, iting@minyuenrubber.com.tw, 4yumed@gmail.com, ya.chen.f@gmail.com, wonderfulhc2020@gmail.com, brian@topmso.com.tw, bestread@best-read.com.tw, service@jensound.com.tw, chen.nian@msa.hinet.net</t>
        </is>
      </c>
      <c r="E9" s="113" t="n"/>
      <c r="F9" s="159" t="inlineStr">
        <is>
          <t>誠徵台灣超音波經銷夥伴 | CHISON ultrasound distribution partners in Taiwan</t>
        </is>
      </c>
      <c r="G9" s="113" t="inlineStr">
        <is>
          <t>Draft saved, not sent</t>
        </is>
      </c>
    </row>
    <row r="10" ht="15" customHeight="1" s="104">
      <c r="A10" s="113" t="n"/>
      <c r="B10" s="113" t="n"/>
      <c r="C10" s="159" t="n"/>
      <c r="D10" s="113" t="n"/>
      <c r="E10" s="113" t="n"/>
      <c r="F10" s="113" t="n"/>
      <c r="G10" s="113" t="n"/>
    </row>
    <row r="11" ht="23.25" customHeight="1" s="104">
      <c r="A11" s="113" t="n"/>
      <c r="B11" s="113" t="n"/>
      <c r="C11" s="159" t="n"/>
      <c r="D11" s="113" t="n"/>
      <c r="E11" s="113" t="n"/>
      <c r="F11" s="113" t="n"/>
      <c r="G11" s="113" t="n"/>
    </row>
    <row r="12" ht="23.25" customHeight="1" s="104">
      <c r="A12" s="113" t="n"/>
      <c r="B12" s="113" t="n"/>
      <c r="C12" s="159" t="n"/>
      <c r="D12" s="113" t="n"/>
      <c r="E12" s="113" t="n"/>
      <c r="F12" s="113" t="n"/>
      <c r="G12" s="113" t="n"/>
    </row>
    <row r="13" ht="15" customHeight="1" s="104">
      <c r="A13" s="113" t="n"/>
      <c r="B13" s="113" t="n"/>
      <c r="C13" s="159" t="n"/>
      <c r="D13" s="113" t="n"/>
      <c r="E13" s="113" t="n"/>
      <c r="F13" s="113" t="n"/>
      <c r="G13" s="113" t="n"/>
    </row>
    <row r="14" ht="15" customHeight="1" s="104">
      <c r="A14" s="113" t="n"/>
      <c r="B14" s="113" t="n"/>
      <c r="C14" s="159" t="n"/>
      <c r="D14" s="113" t="n"/>
      <c r="E14" s="113" t="n"/>
      <c r="F14" s="113" t="n"/>
      <c r="G14" s="113" t="n"/>
    </row>
    <row r="15" ht="15" customHeight="1" s="104">
      <c r="A15" s="113" t="n"/>
      <c r="B15" s="113" t="n"/>
      <c r="C15" s="159" t="n"/>
      <c r="D15" s="113" t="n"/>
      <c r="E15" s="113" t="n"/>
      <c r="F15" s="113" t="n"/>
      <c r="G15" s="113" t="n"/>
    </row>
    <row r="16" ht="23.25" customHeight="1" s="104">
      <c r="A16" s="113" t="n"/>
      <c r="B16" s="113" t="n"/>
      <c r="C16" s="159" t="n"/>
      <c r="D16" s="113" t="n"/>
      <c r="E16" s="113" t="n"/>
      <c r="F16" s="113" t="n"/>
      <c r="G16" s="113" t="n"/>
    </row>
    <row r="17" ht="15" customHeight="1" s="104">
      <c r="A17" s="113" t="n"/>
      <c r="B17" s="113" t="n"/>
      <c r="C17" s="159" t="n"/>
      <c r="D17" s="113" t="n"/>
      <c r="E17" s="113" t="n"/>
      <c r="F17" s="113" t="n"/>
      <c r="G17" s="113" t="n"/>
    </row>
    <row r="18" ht="15" customHeight="1" s="104">
      <c r="A18" s="113" t="n"/>
      <c r="B18" s="113" t="n"/>
      <c r="C18" s="159" t="n"/>
      <c r="D18" s="113" t="n"/>
      <c r="E18" s="113" t="n"/>
      <c r="F18" s="113" t="n"/>
      <c r="G18" s="113" t="n"/>
    </row>
    <row r="19" ht="15" customHeight="1" s="104">
      <c r="A19" s="113" t="n"/>
      <c r="B19" s="113" t="n"/>
      <c r="C19" s="159" t="n"/>
      <c r="D19" s="113" t="n"/>
      <c r="E19" s="113" t="n"/>
      <c r="F19" s="159" t="n"/>
      <c r="G19" s="113" t="n"/>
    </row>
    <row r="20" ht="15" customHeight="1" s="104">
      <c r="A20" s="113" t="n"/>
      <c r="B20" s="113" t="n"/>
      <c r="C20" s="159" t="n"/>
      <c r="D20" s="113" t="n"/>
      <c r="E20" s="113" t="n"/>
      <c r="F20" s="159" t="n"/>
      <c r="G20" s="113" t="n"/>
    </row>
    <row r="21" ht="15" customHeight="1" s="104">
      <c r="A21" s="113" t="n"/>
      <c r="B21" s="113" t="n"/>
      <c r="C21" s="159" t="n"/>
      <c r="D21" s="113" t="n"/>
      <c r="E21" s="113" t="n"/>
      <c r="F21" s="159" t="n"/>
      <c r="G21" s="113" t="n"/>
    </row>
    <row r="22" ht="15" customHeight="1" s="104">
      <c r="A22" s="113" t="n"/>
      <c r="B22" s="113" t="n"/>
      <c r="C22" s="159" t="n"/>
      <c r="D22" s="113" t="n"/>
      <c r="E22" s="113" t="n"/>
      <c r="F22" s="159" t="n"/>
      <c r="G22" s="113" t="n"/>
    </row>
    <row r="23" ht="15" customHeight="1" s="104">
      <c r="A23" s="113" t="n"/>
      <c r="B23" s="113" t="n"/>
      <c r="C23" s="159" t="n"/>
      <c r="D23" s="113" t="n"/>
      <c r="E23" s="113" t="n"/>
      <c r="F23" s="159" t="n"/>
      <c r="G23" s="113" t="n"/>
    </row>
    <row r="24" ht="15" customHeight="1" s="104">
      <c r="A24" s="113" t="n"/>
      <c r="B24" s="113" t="n"/>
      <c r="C24" s="159" t="n"/>
      <c r="D24" s="113" t="n"/>
      <c r="E24" s="113" t="n"/>
      <c r="F24" s="159" t="n"/>
      <c r="G24" s="113" t="n"/>
    </row>
    <row r="25" ht="26.25" customHeight="1" s="104">
      <c r="A25" s="113" t="n"/>
      <c r="B25" s="113" t="n"/>
      <c r="C25" s="159" t="n"/>
      <c r="D25" s="113" t="n"/>
      <c r="E25" s="113" t="n"/>
      <c r="F25" s="159" t="n"/>
      <c r="G25" s="113" t="n"/>
    </row>
    <row r="26" ht="15" customHeight="1" s="104">
      <c r="A26" s="113" t="n"/>
      <c r="B26" s="113" t="n"/>
      <c r="C26" s="159" t="n"/>
      <c r="D26" s="113" t="n"/>
      <c r="E26" s="113" t="n"/>
      <c r="F26" s="159" t="n"/>
      <c r="G26" s="113" t="n"/>
    </row>
    <row r="27" ht="15" customHeight="1" s="104">
      <c r="A27" s="113" t="n"/>
      <c r="B27" s="113" t="n"/>
      <c r="C27" s="159" t="n"/>
      <c r="D27" s="113" t="n"/>
      <c r="E27" s="113" t="n"/>
      <c r="F27" s="159" t="n"/>
      <c r="G27" s="113" t="n"/>
    </row>
    <row r="28" ht="15" customHeight="1" s="104">
      <c r="A28" s="113" t="n"/>
      <c r="B28" s="113" t="n"/>
      <c r="C28" s="159" t="n"/>
      <c r="D28" s="113" t="n"/>
      <c r="E28" s="113" t="n"/>
      <c r="F28" s="159" t="n"/>
      <c r="G28" s="113" t="n"/>
    </row>
    <row r="29" ht="15" customHeight="1" s="104">
      <c r="A29" s="113" t="n"/>
      <c r="B29" s="113" t="n"/>
      <c r="C29" s="159" t="n"/>
      <c r="D29" s="113" t="n"/>
      <c r="E29" s="113" t="n"/>
      <c r="F29" s="159" t="n"/>
      <c r="G29" s="113" t="n"/>
    </row>
    <row r="30" ht="15" customHeight="1" s="104">
      <c r="A30" s="113" t="n"/>
      <c r="B30" s="113" t="n"/>
      <c r="C30" s="159" t="n"/>
      <c r="D30" s="113" t="n"/>
      <c r="E30" s="113" t="n"/>
      <c r="F30" s="159" t="n"/>
      <c r="G30" s="113" t="n"/>
    </row>
    <row r="31" ht="15" customHeight="1" s="104">
      <c r="A31" s="113" t="n"/>
      <c r="B31" s="113" t="n"/>
      <c r="C31" s="159" t="n"/>
      <c r="D31" s="113" t="n"/>
      <c r="E31" s="113" t="n"/>
      <c r="F31" s="159" t="n"/>
      <c r="G31" s="113" t="n"/>
    </row>
    <row r="32" ht="15" customHeight="1" s="104">
      <c r="A32" s="113" t="n"/>
      <c r="B32" s="113" t="n"/>
      <c r="C32" s="159" t="n"/>
      <c r="D32" s="113" t="n"/>
      <c r="E32" s="113" t="n"/>
      <c r="F32" s="159" t="n"/>
      <c r="G32" s="113" t="n"/>
    </row>
    <row r="33" ht="15" customHeight="1" s="104">
      <c r="A33" s="113" t="n"/>
      <c r="B33" s="113" t="n"/>
      <c r="C33" s="159" t="n"/>
      <c r="D33" s="113" t="n"/>
      <c r="E33" s="113" t="n"/>
      <c r="F33" s="159" t="n"/>
      <c r="G33" s="113" t="n"/>
    </row>
    <row r="34" ht="15" customHeight="1" s="104">
      <c r="A34" s="113" t="n"/>
      <c r="B34" s="113" t="n"/>
      <c r="C34" s="159" t="n"/>
      <c r="D34" s="113" t="n"/>
      <c r="E34" s="113" t="n"/>
      <c r="F34" s="159" t="n"/>
      <c r="G34" s="113" t="n"/>
    </row>
    <row r="35" ht="150" customHeight="1" s="104">
      <c r="A35" s="113" t="n"/>
      <c r="B35" s="113" t="n"/>
      <c r="C35" s="113" t="n"/>
      <c r="D35" s="113" t="n"/>
      <c r="E35" s="113" t="n"/>
      <c r="F35" s="159" t="n"/>
      <c r="G35" s="113" t="n"/>
    </row>
    <row r="36" ht="150" customHeight="1" s="104">
      <c r="A36" s="113" t="n"/>
      <c r="B36" s="113" t="n"/>
      <c r="C36" s="113" t="n"/>
      <c r="D36" s="113" t="n"/>
      <c r="E36" s="113" t="n"/>
      <c r="F36" s="159" t="n"/>
      <c r="G36" s="113" t="n"/>
    </row>
    <row r="37" ht="150" customHeight="1" s="104">
      <c r="A37" s="113" t="n"/>
      <c r="B37" s="113" t="n"/>
      <c r="C37" s="113" t="n"/>
      <c r="D37" s="113" t="n"/>
      <c r="E37" s="113" t="n"/>
      <c r="F37" s="159" t="n"/>
      <c r="G37" s="113" t="n"/>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ED7D31"/>
    <outlinePr summaryBelow="1" summaryRight="1"/>
    <pageSetUpPr fitToPage="0"/>
  </sheetPr>
  <dimension ref="A1:S312"/>
  <sheetViews>
    <sheetView showFormulas="0" showGridLines="1" showRowColHeaders="1" showZeros="1" rightToLeft="0" tabSelected="0" showOutlineSymbols="1" defaultGridColor="1" view="normal" topLeftCell="A1" colorId="64" zoomScale="100" zoomScaleNormal="100" zoomScalePageLayoutView="100" workbookViewId="0">
      <pane xSplit="11" ySplit="4" topLeftCell="L5" activePane="bottomRight" state="frozen"/>
      <selection pane="topLeft" activeCell="A1" activeCellId="0" sqref="A1"/>
      <selection pane="topRight" activeCell="L1" activeCellId="0" sqref="L1"/>
      <selection pane="bottomLeft" activeCell="A5" activeCellId="0" sqref="A5"/>
      <selection pane="bottomRight" activeCell="A1" activeCellId="0" sqref="A1"/>
    </sheetView>
  </sheetViews>
  <sheetFormatPr baseColWidth="8" defaultColWidth="8.66796875" defaultRowHeight="14.25" zeroHeight="0" outlineLevelRow="0"/>
  <cols>
    <col width="4" customWidth="1" style="103" min="1" max="1"/>
    <col width="30" customWidth="1" style="103" min="2" max="2"/>
    <col width="16" customWidth="1" style="103" min="3" max="3"/>
    <col width="46" customWidth="1" style="103" min="4" max="4"/>
    <col width="24" customWidth="1" style="103" min="5" max="5"/>
    <col width="16" customWidth="1" style="103" min="6" max="6"/>
    <col width="30" customWidth="1" style="103" min="7" max="7"/>
    <col width="24" customWidth="1" style="103" min="8" max="8"/>
    <col width="28" customWidth="1" style="103" min="9" max="9"/>
    <col width="46" customWidth="1" style="103" min="10" max="10"/>
    <col width="12" customWidth="1" style="103" min="11" max="11"/>
    <col width="52" customWidth="1" style="103" min="12" max="12"/>
    <col width="34" customWidth="1" style="103" min="13" max="13"/>
    <col width="6" customWidth="1" style="103" min="14" max="14"/>
    <col width="50" customWidth="1" style="103" min="15" max="15"/>
    <col width="24" customWidth="1" style="103" min="16" max="16"/>
    <col width="58" customWidth="1" style="103" min="17" max="17"/>
    <col width="100" customWidth="1" style="103" min="18" max="18"/>
    <col width="12" customWidth="1" style="103" min="19" max="19"/>
  </cols>
  <sheetData>
    <row r="1" ht="17.25" customHeight="1" s="104">
      <c r="A1" s="117" t="inlineStr">
        <is>
          <t>South Korea, Dealer &amp; Channel Targets (299)</t>
        </is>
      </c>
    </row>
    <row r="2" ht="15" customHeight="1" s="104">
      <c r="A2" s="118" t="inlineStr">
        <is>
          <t>Dealer model. MFDS licensed importer or Korea Licence Holder is mandatory before any unit ships. v18 (7 Oct 2026) expands the list from 78 to 299 rows; new rows come from the KIMES 2026 exhibitor list, the KMDIA member directory and web searches by city, each with a company email. Green = Tier 1 contact first, amber = Tier 2 qualify first, grey = Tier 3, pink = REF benchmark only. Contact confidence column says how each email was obtained. Column S says whether the row has a usable email for the outreach wave.</t>
        </is>
      </c>
    </row>
    <row r="4" ht="30" customHeight="1" s="104">
      <c r="A4" s="160" t="inlineStr">
        <is>
          <t>#</t>
        </is>
      </c>
      <c r="B4" s="160" t="inlineStr">
        <is>
          <t>Company</t>
        </is>
      </c>
      <c r="C4" s="160" t="inlineStr">
        <is>
          <t>Pipeline stage</t>
        </is>
      </c>
      <c r="D4" s="160" t="inlineStr">
        <is>
          <t>Segment &amp; expertise</t>
        </is>
      </c>
      <c r="E4" s="160" t="inlineStr">
        <is>
          <t>Carries ultrasound?</t>
        </is>
      </c>
      <c r="F4" s="160" t="inlineStr">
        <is>
          <t>Location</t>
        </is>
      </c>
      <c r="G4" s="160" t="inlineStr">
        <is>
          <t>Website (URL)</t>
        </is>
      </c>
      <c r="H4" s="160" t="inlineStr">
        <is>
          <t>Phone / fax</t>
        </is>
      </c>
      <c r="I4" s="160" t="inlineStr">
        <is>
          <t>Email</t>
        </is>
      </c>
      <c r="J4" s="160" t="inlineStr">
        <is>
          <t>Address &amp; company detail</t>
        </is>
      </c>
      <c r="K4" s="160" t="inlineStr">
        <is>
          <t>CONTACT CONFIDENCE</t>
        </is>
      </c>
      <c r="L4" s="160" t="inlineStr">
        <is>
          <t>Fit notes for CHISON</t>
        </is>
      </c>
      <c r="M4" s="160" t="inlineStr">
        <is>
          <t>CHISON product focus</t>
        </is>
      </c>
      <c r="N4" s="160" t="inlineStr">
        <is>
          <t>Tier</t>
        </is>
      </c>
      <c r="O4" s="160" t="inlineStr">
        <is>
          <t>Priority rationale</t>
        </is>
      </c>
      <c r="P4" s="160" t="inlineStr">
        <is>
          <t>Source status</t>
        </is>
      </c>
      <c r="Q4" s="160" t="inlineStr">
        <is>
          <t>Email Title</t>
        </is>
      </c>
      <c r="R4" s="160" t="inlineStr">
        <is>
          <t>Email Body</t>
        </is>
      </c>
      <c r="S4" s="160" t="inlineStr">
        <is>
          <t>Email on file</t>
        </is>
      </c>
    </row>
    <row r="5" ht="306" customHeight="1" s="104">
      <c r="A5" s="161" t="n">
        <v>1</v>
      </c>
      <c r="B5" s="162" t="inlineStr">
        <is>
          <t>Soelim, Inc. 소림</t>
        </is>
      </c>
      <c r="C5" s="161" t="inlineStr">
        <is>
          <t>Not started</t>
        </is>
      </c>
      <c r="D5" s="161" t="inlineStr">
        <is>
          <t>Hospital equipment distributor since 1981. General surgery, orthopaedics, neurosurgery, ENT and operating room. Runs its own registration, reimbursement, sales and marketing and distribution functions</t>
        </is>
      </c>
      <c r="E5" s="161" t="inlineStr">
        <is>
          <t>No ultrasound line identified in its published portfolio</t>
        </is>
      </c>
      <c r="F5" s="161" t="inlineStr">
        <is>
          <t>Seoul (Gangnam)</t>
        </is>
      </c>
      <c r="G5" s="163" t="inlineStr">
        <is>
          <t>https://soelim.com</t>
        </is>
      </c>
      <c r="H5" s="161" t="inlineStr">
        <is>
          <t>+82 2 538 2561</t>
        </is>
      </c>
      <c r="I5" s="161" t="inlineStr">
        <is>
          <t>soeds@soelim.com</t>
        </is>
      </c>
      <c r="J5" s="161" t="inlineStr">
        <is>
          <t>678-5 Yuksam-dong, Gangnam-gu, Seoul 06141. Founded 1981, 40 plus years of franchising global medical technology brands. States GMP and ISO compliance</t>
        </is>
      </c>
      <c r="K5" s="164" t="inlineStr">
        <is>
          <t>A</t>
        </is>
      </c>
      <c r="L5" s="161" t="inlineStr">
        <is>
          <t>The single strongest Korean target in this workbook. They already perform MFDS registration and HIRA reimbursement work in house for the brands they carry, which is exactly the Korea Licence Holder capability CHISON needs, and they are an operating room and surgical house with no ultrasound of their own. One appointment could solve the regulatory gate and the channel together.</t>
        </is>
      </c>
      <c r="M5" s="161" t="inlineStr">
        <is>
          <t>SonoTouch + SonoEye P3 for peri-operative, nerve block and vascular access; SonoPort as the second step into imaging rooms</t>
        </is>
      </c>
      <c r="N5" s="164" t="n">
        <v>1</v>
      </c>
      <c r="O5" s="161" t="inlineStr">
        <is>
          <t>Tier 1 UPGRADE from Tier 2 in v4. Site opened 15 Sep 2026: address, email and phone read directly off their own contact block. Registration and reimbursement services confirmed on their own page, which v4 did not know.</t>
        </is>
      </c>
      <c r="P5" s="161" t="inlineStr">
        <is>
          <t>Verified site (own contact page)</t>
        </is>
      </c>
      <c r="Q5" s="161" t="inlineStr">
        <is>
          <t>CHISON ultrasound for Soelim 소림: an OR and surgical line extension, with MFDS handled by us</t>
        </is>
      </c>
      <c r="R5" s="161" t="inlineStr">
        <is>
          <t>Dear Soelim, Inc. 소림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Forty years of franchising global brands into Korean hospitals, with registration and reimbursement run in house, is a rarer combination than it sounds. Your surgical, orthopaedic, neurosurgical and ENT desks already sit in the rooms where point of care ultrasound is bought.
Where CHISON fits: this is a new category for you rather than a second brand, so there is no cannibalisation to manage. Your OR and anaesthesia customers are the fastest adopters of handheld and compact ultrasound in every market I cover.
• SonoTouch: compact portable built for the procedure room
• SonoEye P3: pocket handheld for nerve block, vascular access and bedside scanning
• SonoPort: new generation intelligent cart when the conversation moves to imaging rooms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 s="165" t="inlineStr">
        <is>
          <t>Yes</t>
        </is>
      </c>
    </row>
    <row r="6" ht="306" customHeight="1" s="104">
      <c r="A6" s="161" t="n">
        <v>2</v>
      </c>
      <c r="B6" s="162" t="inlineStr">
        <is>
          <t>Genoray Co., Ltd. 제노레이</t>
        </is>
      </c>
      <c r="C6" s="161" t="inlineStr">
        <is>
          <t>Not started</t>
        </is>
      </c>
      <c r="D6" s="161" t="inlineStr">
        <is>
          <t>Korean imaging manufacturer. Mobile C-arm, mammography, dental imaging and veterinary imaging, with a stated network of more than 100 partners</t>
        </is>
      </c>
      <c r="E6" s="161" t="inlineStr">
        <is>
          <t>No ultrasound line identified in its published catalogue</t>
        </is>
      </c>
      <c r="F6" s="161" t="inlineStr">
        <is>
          <t>Seoul (Gangnam) HQ, Seongnam plant</t>
        </is>
      </c>
      <c r="G6" s="163" t="inlineStr">
        <is>
          <t>https://genoray.com</t>
        </is>
      </c>
      <c r="H6" s="161" t="inlineStr">
        <is>
          <t>02-2206-2200 / fax 02-2206-2299</t>
        </is>
      </c>
      <c r="I6" s="161" t="inlineStr">
        <is>
          <t>genoray5@genoray.com</t>
        </is>
      </c>
      <c r="J6" s="161" t="inlineStr">
        <is>
          <t>Global HQ: 서울특별시 강남구 테헤란로114길 38 동일타워 9층. Plant 1: 경기도 성남시 중원구 둔촌대로 541번길 60. CEO 박병욱. Business registration 215-86-06482</t>
        </is>
      </c>
      <c r="K6" s="164" t="inlineStr">
        <is>
          <t>C</t>
        </is>
      </c>
      <c r="L6" s="161" t="inlineStr">
        <is>
          <t>A manufacturer with its own 100 plus partner channel and no ultrasound. Two routes are open at once: appoint them as a Korean distributor for CHISON, or put CHISON into their existing partner network as a complementary line. C-arm and mammography customers are surgical and women's health accounts, both core CHISON segments.</t>
        </is>
      </c>
      <c r="M6" s="161" t="inlineStr">
        <is>
          <t>SonoMax 7 for women's health and radiology; SonoEye P3 alongside the C-arm installed base</t>
        </is>
      </c>
      <c r="N6" s="164" t="n">
        <v>1</v>
      </c>
      <c r="O6" s="161" t="inlineStr">
        <is>
          <t>Tier 1 NEW in v5. Site opened 15 Sep 2026: HQ address, phone, fax, CEO and business registration read directly off their own page. Catalogue reviewed, no ultrasound found.</t>
        </is>
      </c>
      <c r="P6" s="161" t="inlineStr">
        <is>
          <t>Verified site (own contact page); v18 (7 Oct 2026): email search result of the company page</t>
        </is>
      </c>
      <c r="Q6" s="161" t="inlineStr">
        <is>
          <t>CHISON ultrasound for Genoray 제노레이: the one imaging category your catalogue does not cover</t>
        </is>
      </c>
      <c r="R6" s="161" t="inlineStr">
        <is>
          <t>Dear Genoray Co., Ltd. 제노레이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catalogue runs C-arm, mammography, dental and veterinary imaging. Ultrasound is the one diagnostic imaging category it does not cover, and your hundred plus partners are already calling on the accounts that buy it.
Where CHISON fits: this is a gap fill rather than a competing line. Whether you take it as a distributor or place it through your existing partner network, the customer is one you already visit.
• SonoMax 7: cart platform carrying radiology, obstetric and cardiac workloads, 4D for women's health
• SonoEye P3: pocket handheld that sells naturally into your C-arm and surgical accounts
• SonoPort: new generation intelligent cart, launched April 2026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6" s="165" t="inlineStr">
        <is>
          <t>Yes</t>
        </is>
      </c>
    </row>
    <row r="7" ht="296.25" customHeight="1" s="104">
      <c r="A7" s="161" t="n">
        <v>3</v>
      </c>
      <c r="B7" s="162" t="inlineStr">
        <is>
          <t>POSKOM Co., Ltd. 포스콤</t>
        </is>
      </c>
      <c r="C7" s="161" t="inlineStr">
        <is>
          <t>Not started</t>
        </is>
      </c>
      <c r="D7" s="161" t="inlineStr">
        <is>
          <t>Korean X-ray manufacturer. Generators and modules, portable and mobile medical X-ray, dental, veterinary, industrial and military</t>
        </is>
      </c>
      <c r="E7" s="161" t="inlineStr">
        <is>
          <t>No ultrasound line identified in its published catalogue</t>
        </is>
      </c>
      <c r="F7" s="161" t="inlineStr">
        <is>
          <t>Goyang, Gyeonggi</t>
        </is>
      </c>
      <c r="G7" s="163" t="inlineStr">
        <is>
          <t>https://www.poskom.com</t>
        </is>
      </c>
      <c r="H7" s="161" t="inlineStr">
        <is>
          <t>031-906-9007 / fax 031-908-4208</t>
        </is>
      </c>
      <c r="I7" s="161" t="inlineStr">
        <is>
          <t>sales@poskom.com</t>
        </is>
      </c>
      <c r="J7" s="161" t="inlineStr">
        <is>
          <t>(10534) 경기도 고양시 덕양구 소원로 227 포스콤타워. Positions itself as a digital X-ray total solution company</t>
        </is>
      </c>
      <c r="K7" s="164" t="inlineStr">
        <is>
          <t>A</t>
        </is>
      </c>
      <c r="L7" s="161" t="inlineStr">
        <is>
          <t>Portable X-ray is the closest adjacent category to portable ultrasound there is: same buyer, same bedside and mobile use case, same service expectation. They have the export muscle and the domestic channel, and no ultrasound to defend.</t>
        </is>
      </c>
      <c r="M7" s="161" t="inlineStr">
        <is>
          <t>SonoEye P3 and SonoAir 30 for the mobile and bedside accounts their portable X-ray already serves</t>
        </is>
      </c>
      <c r="N7" s="164" t="n">
        <v>1</v>
      </c>
      <c r="O7" s="161" t="inlineStr">
        <is>
          <t>Tier 1 NEW in v5. Site opened 15 Sep 2026: address, phone, fax and sales email read directly off their own page. Catalogue reviewed, no ultrasound found.</t>
        </is>
      </c>
      <c r="P7" s="161" t="inlineStr">
        <is>
          <t>Verified site (own contact page)</t>
        </is>
      </c>
      <c r="Q7" s="161" t="inlineStr">
        <is>
          <t>CHISON ultrasound for POSKOM 포스콤: the bedside companion to your portable X-ray</t>
        </is>
      </c>
      <c r="R7" s="161" t="inlineStr">
        <is>
          <t>Dear POSKOM Co., Ltd. 포스콤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Portable X-ray and portable ultrasound are bought by the same people, at the same bedside, on the same service expectation. You already own that conversation in Korea and have no ultrasound to defend.
Where CHISON fits: an adjacent category rather than a competing one, sold to the accounts your portable and mobile systems already reach.
• SonoEye P3: pocket handheld for emergency, intensive care and bedside point of care
• SonoAir 30: laptop portable for primary care and mobile work
• SonoGO: three in one tablet, laptop and trolley platform with SonoAI, the strongest demonstration in the range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7" s="165" t="inlineStr">
        <is>
          <t>Yes</t>
        </is>
      </c>
    </row>
    <row r="8" ht="296.25" customHeight="1" s="104">
      <c r="A8" s="161" t="n">
        <v>4</v>
      </c>
      <c r="B8" s="162" t="inlineStr">
        <is>
          <t>JPI Healthcare Co., Ltd. 제이피아이헬스케어</t>
        </is>
      </c>
      <c r="C8" s="161" t="inlineStr">
        <is>
          <t>Not started</t>
        </is>
      </c>
      <c r="D8" s="161" t="inlineStr">
        <is>
          <t>Korean imaging manufacturer and trading house. X-ray grids, imaging systems for human and veterinary use, imaging software, and a standalone trading division that distributes partner products</t>
        </is>
      </c>
      <c r="E8" s="161" t="inlineStr">
        <is>
          <t>No ultrasound line identified in its published catalogue</t>
        </is>
      </c>
      <c r="F8" s="161" t="inlineStr">
        <is>
          <t>Seoul (Guro)</t>
        </is>
      </c>
      <c r="G8" s="163" t="inlineStr">
        <is>
          <t>https://jpi-korea.com</t>
        </is>
      </c>
      <c r="H8" s="161" t="inlineStr">
        <is>
          <t>02-2108-2580</t>
        </is>
      </c>
      <c r="I8" s="161" t="inlineStr">
        <is>
          <t>global@jpi.co.kr</t>
        </is>
      </c>
      <c r="J8" s="161" t="inlineStr">
        <is>
          <t>(08377) 서울특별시 구로구 디지털로33길 28, 우림 e-biz 1차 608호. Describes itself as a total imaging solution company, with a separate 트레이딩 사업 (trading) division</t>
        </is>
      </c>
      <c r="K8" s="164" t="inlineStr">
        <is>
          <t>A</t>
        </is>
      </c>
      <c r="L8" s="161" t="inlineStr">
        <is>
          <t>The trading division is the point. This is a company that already distributes other manufacturers' products in Korea as a declared line of business, is imaging native, and has no ultrasound. Approach the trading division, not the manufacturing side.</t>
        </is>
      </c>
      <c r="M8" s="161" t="inlineStr">
        <is>
          <t>SonoMax 7 + SonoPort for radiology fleets; SonoEye P3 for the clinic tier</t>
        </is>
      </c>
      <c r="N8" s="164" t="n">
        <v>1</v>
      </c>
      <c r="O8" s="161" t="inlineStr">
        <is>
          <t>Tier 1 UPGRADE from Tier 2 in v4. Site opened 15 Sep 2026: address and phone read off their own contact block. Trading division confirmed on their own navigation, which v4 did not know.</t>
        </is>
      </c>
      <c r="P8" s="161" t="inlineStr">
        <is>
          <t>Verified site (own contact page); v18 (7 Oct 2026): email read on the company site</t>
        </is>
      </c>
      <c r="Q8" s="161" t="inlineStr">
        <is>
          <t>CHISON ultrasound for JPI Healthcare 제이피아이헬스케어: a line for your trading division</t>
        </is>
      </c>
      <c r="R8" s="161" t="inlineStr">
        <is>
          <t>Dear JPI Healthcare Co., Ltd. 제이피아이헬스케어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trading division already distributes partner products into Korea, and your imaging business means your people speak the language of image quality and service turnaround. Ultrasound is missing from the catalogue.
Where CHISON fits: a complete ultrasound ladder that sits beside your X-ray business rather than against it, from pocket handheld to hospital cart.
• SonoMax 7: flagship cart for radiology, obstetric and cardiac workloads
• SonoPort: new generation intelligent cart, launched April 2026
• SonoEye P3: pocket handheld for emergency, intensive care and bedside scanning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8" s="165" t="inlineStr">
        <is>
          <t>Yes</t>
        </is>
      </c>
    </row>
    <row r="9" ht="306" customHeight="1" s="104">
      <c r="A9" s="161" t="n">
        <v>5</v>
      </c>
      <c r="B9" s="162" t="inlineStr">
        <is>
          <t>WithRay Co., Ltd. (주)위드레이</t>
        </is>
      </c>
      <c r="C9" s="161" t="inlineStr">
        <is>
          <t>Not started</t>
        </is>
      </c>
      <c r="D9" s="161" t="inlineStr">
        <is>
          <t>Imaging equipment solutions provider. Supplies and supports diagnostic imaging systems for Korean hospitals and clinics, with separate sales and technical support desks</t>
        </is>
      </c>
      <c r="E9" s="161" t="inlineStr">
        <is>
          <t>No ultrasound line identified in its published catalogue</t>
        </is>
      </c>
      <c r="F9" s="161" t="inlineStr">
        <is>
          <t>Seoul (Geumcheon)</t>
        </is>
      </c>
      <c r="G9" s="163" t="inlineStr">
        <is>
          <t>http://www.withray.co.kr</t>
        </is>
      </c>
      <c r="H9" s="161" t="inlineStr">
        <is>
          <t>+82-2-6949-2190 / fax +82-2-6949-2191</t>
        </is>
      </c>
      <c r="I9" s="161" t="inlineStr">
        <is>
          <t>sales@withray.co.kr</t>
        </is>
      </c>
      <c r="J9" s="166" t="inlineStr">
        <is>
          <t>서울시 금천구 가산디지털1로 58, 1411호 (가산동, 에이스한솔타워). 1411, 58 Gasan digital 1-ro, Geumcheon-gu, Seoul Technical support address: support@withray.co.kr.</t>
        </is>
      </c>
      <c r="K9" s="164" t="inlineStr">
        <is>
          <t>A</t>
        </is>
      </c>
      <c r="L9" s="161" t="inlineStr">
        <is>
          <t>Small and focused, which is what you want for a first Korean appointment: an imaging solutions house with a named technical support desk and no ultrasound line. A company this size will take a new brand seriously rather than park it.</t>
        </is>
      </c>
      <c r="M9" s="161" t="inlineStr">
        <is>
          <t>SonoPort + SonoMax 7 for imaging rooms; SonoAir 70 as the portable step down</t>
        </is>
      </c>
      <c r="N9" s="164" t="n">
        <v>1</v>
      </c>
      <c r="O9" s="161" t="inlineStr">
        <is>
          <t>Tier 1 NEW in v5. Site opened 15 Sep 2026: address, phone, fax and both email addresses read directly off their own about page.</t>
        </is>
      </c>
      <c r="P9" s="161" t="inlineStr">
        <is>
          <t>Verified site (own contact page)</t>
        </is>
      </c>
      <c r="Q9" s="161" t="inlineStr">
        <is>
          <t>CHISON ultrasound for WithRay 위드레이: an imaging line with the service margin attached</t>
        </is>
      </c>
      <c r="R9" s="161" t="inlineStr">
        <is>
          <t>Dear WithRay Co., Ltd. (주)위드레이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run imaging solutions with a separate technical support desk, which tells me service is a real part of your offer rather than a line on a brochure. Ultrasound carries the best service and probe annuity in imaging, and it is not yet on your line card.
Where CHISON fits: a full range you can take to the same hospitals and clinics you already support, with the recurring probe and service revenue that X-ray does not give you.
• SonoPort: new generation intelligent cart, launched April 2026
• SonoMax 7: flagship cart, radiology, obstetric and cardiac
• SonoAir 70: laptop portable for the step down accounts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9" s="165" t="inlineStr">
        <is>
          <t>Yes</t>
        </is>
      </c>
    </row>
    <row r="10" ht="306" customHeight="1" s="104">
      <c r="A10" s="161" t="n">
        <v>6</v>
      </c>
      <c r="B10" s="162" t="inlineStr">
        <is>
          <t>DAIWHA Corp. 대화기기</t>
        </is>
      </c>
      <c r="C10" s="161" t="inlineStr">
        <is>
          <t>Not started</t>
        </is>
      </c>
      <c r="D10" s="161" t="inlineStr">
        <is>
          <t>Korean manufacturer and hospital channel. Infusion systems, surgical systems and ultrasonic surgical generators, sold into Korean hospitals with its own service structure</t>
        </is>
      </c>
      <c r="E10" s="161" t="inlineStr">
        <is>
          <t>No diagnostic ultrasound. Carries ultrasonic SURGICAL generators (DUB-100, DU-1S), which is a different category</t>
        </is>
      </c>
      <c r="F10" s="161" t="inlineStr">
        <is>
          <t>Seoul (Gangnam) HQ, Wonju factory</t>
        </is>
      </c>
      <c r="G10" s="163" t="inlineStr">
        <is>
          <t>https://daiwha.com</t>
        </is>
      </c>
      <c r="H10" s="161" t="inlineStr">
        <is>
          <t>+82-2-558-1711 / fax +82-2-554-0317 (factory +82-33-743-9383)</t>
        </is>
      </c>
      <c r="I10" s="161" t="inlineStr">
        <is>
          <t>daiwha@daiwha.com</t>
        </is>
      </c>
      <c r="J10" s="161" t="inlineStr">
        <is>
          <t>HQ: DAIWHA Bldg., 3 Yeoksam-ro 33-gil, Gangnam-gu, Seoul 06224. Factory: 135 Donghwagongdan-ro, Munmak-eup, Wonju-si, Gangwon-do 26365. CEO Dae Young Yoon. Business registration 220-81-04837</t>
        </is>
      </c>
      <c r="K10" s="164" t="inlineStr">
        <is>
          <t>D</t>
        </is>
      </c>
      <c r="L10" s="161" t="inlineStr">
        <is>
          <t>Infusion and surgical energy put their people in the operating room and the ward every week. The ultrasonic surgical generator is a therapy device, not imaging, so there is no conflict: state that distinction early or they will assume you compete with their own DUB line.</t>
        </is>
      </c>
      <c r="M10" s="161" t="inlineStr">
        <is>
          <t>SonoTouch + SonoEye P3 for peri-operative, nerve block and vascular access; EBit 50 for ward and monitoring accounts</t>
        </is>
      </c>
      <c r="N10" s="164" t="n">
        <v>1</v>
      </c>
      <c r="O10" s="161" t="inlineStr">
        <is>
          <t>Tier 1 UPGRADE from Tier 3 in v4. Site opened 15 Sep 2026: HQ and factory addresses, phones, faxes, CEO and business registration read off their own page. IMPORTANT correction: they do carry ultrasonic surgical energy devices, which v4 did not record. That is therapy, not diagnostic imaging.</t>
        </is>
      </c>
      <c r="P10" s="161" t="inlineStr">
        <is>
          <t>Verified site (own contact page); v18 (7 Oct 2026): email third party page, confirm before sending</t>
        </is>
      </c>
      <c r="Q10" s="161" t="inlineStr">
        <is>
          <t>CHISON ultrasound for DAIWHA 대화기기: diagnostic imaging beside your surgical energy line</t>
        </is>
      </c>
      <c r="R10" s="161" t="inlineStr">
        <is>
          <t>Dear DAIWHA Corp. 대화기기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infusion and surgical energy businesses put your team in the operating room and on the ward every week. To be clear at the outset, CHISON is diagnostic imaging ultrasound, not ultrasonic surgical energy, so nothing here competes with your DUB generators.
Where CHISON fits: the imaging half of the same rooms you already supply. Anaesthesia, vascular access and critical care are the fastest growing handheld ultrasound segments in Korea.
• SonoTouch: compact portable for the procedure room
• SonoEye P3: pocket handheld for nerve block, vascular access and bedside scanning
• EBit 50: portable system for ward and monitoring accounts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0" s="165" t="inlineStr">
        <is>
          <t>Confirm</t>
        </is>
      </c>
    </row>
    <row r="11" ht="306" customHeight="1" s="104">
      <c r="A11" s="161" t="n">
        <v>7</v>
      </c>
      <c r="B11" s="162" t="inlineStr">
        <is>
          <t>Einsmed Co., Ltd. (주)아인스메드</t>
        </is>
      </c>
      <c r="C11" s="161" t="inlineStr">
        <is>
          <t>Not started</t>
        </is>
      </c>
      <c r="D11" s="161" t="inlineStr">
        <is>
          <t>Medical equipment distribution into Korean hospitals and clinics</t>
        </is>
      </c>
      <c r="E11" s="161" t="inlineStr">
        <is>
          <t>No ultrasound line identified. Portfolio not fully published, confirm on first call</t>
        </is>
      </c>
      <c r="F11" s="161" t="inlineStr">
        <is>
          <t>Seoul (Geumcheon)</t>
        </is>
      </c>
      <c r="G11" s="163" t="inlineStr">
        <is>
          <t>https://www.einsmed.co.kr</t>
        </is>
      </c>
      <c r="H11" s="161" t="inlineStr">
        <is>
          <t>02-547-3363 / fax 02-861-8170</t>
        </is>
      </c>
      <c r="I11" s="161" t="inlineStr">
        <is>
          <t>einsmed@einsmed.co.kr</t>
        </is>
      </c>
      <c r="J11" s="166" t="inlineStr">
        <is>
          <t>서울시 금천구 가산동 대성디폴리스 B-2704호 (서부샛길 606). CEO 선석일. Business registration 119-86-64414</t>
        </is>
      </c>
      <c r="K11" s="164" t="inlineStr">
        <is>
          <t>A</t>
        </is>
      </c>
      <c r="L11" s="161" t="inlineStr">
        <is>
          <t>A straightforward equipment distributor with published company details and a working email, which puts it ahead of most of the registry only names in this tab. Qualify the line card on the first call, then decide between Tier 1 and Tier 2.</t>
        </is>
      </c>
      <c r="M11" s="161" t="inlineStr">
        <is>
          <t>SonoAir 30 + SonoEye P3 as the opening range; SonoPort if they reach hospital accounts</t>
        </is>
      </c>
      <c r="N11" s="164" t="n">
        <v>1</v>
      </c>
      <c r="O11" s="161" t="inlineStr">
        <is>
          <t>Tier 1 UPGRADE from Tier 3 in v4. Site opened 15 Sep 2026: address, phone, fax, email, CEO and business registration read off their own footer. Line card is not published, so the ultrasound answer is unconfirmed rather than negative.</t>
        </is>
      </c>
      <c r="P11" s="161" t="inlineStr">
        <is>
          <t>Verified site (own contact page)</t>
        </is>
      </c>
      <c r="Q11" s="161" t="inlineStr">
        <is>
          <t>CHISON ultrasound for Einsmed 아인스메드: a manufacturer backed line, direct from the factory subsidiary</t>
        </is>
      </c>
      <c r="R11" s="161" t="inlineStr">
        <is>
          <t>Dear Einsmed Co., Ltd. (주)아인스메드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distribute equipment into Korean hospitals and clinics, and you are small enough that a new line gets real attention rather than a shelf. I could not find an ultrasound brand on your card, which is why I am writing.
Where CHISON fits: a full range you can open with a single compact system and extend upward as the accounts come. No minimum stock commitment is required to start.
• SonoAir 30: laptop portable, the easiest first system to demonstrate
• SonoEye P3: pocket handheld for clinics and bedside work
• SonoPort: new generation intelligent cart when hospital accounts open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1" s="165" t="inlineStr">
        <is>
          <t>Yes</t>
        </is>
      </c>
    </row>
    <row r="12" ht="306" customHeight="1" s="104">
      <c r="A12" s="161" t="n">
        <v>8</v>
      </c>
      <c r="B12" s="162" t="inlineStr">
        <is>
          <t>INSAN MEDICAL 인산메디칼주식회사</t>
        </is>
      </c>
      <c r="C12" s="161" t="inlineStr">
        <is>
          <t>Not started</t>
        </is>
      </c>
      <c r="D12" s="161" t="inlineStr">
        <is>
          <t>Medical equipment distributor covering new and used equipment, hospital equipment sales, clinic opening consultation (개원 컨설팅), rental and leasing. Diagnostic, surgical, sterilisation, physiotherapy, laser, rehabilitation and home devices</t>
        </is>
      </c>
      <c r="E12" s="161" t="inlineStr">
        <is>
          <t>No ultrasound line identified in its published catalogue</t>
        </is>
      </c>
      <c r="F12" s="161" t="inlineStr">
        <is>
          <t>Namyangju, Gyeonggi</t>
        </is>
      </c>
      <c r="G12" s="163" t="inlineStr">
        <is>
          <t>https://insanm.com</t>
        </is>
      </c>
      <c r="H12" s="161" t="inlineStr">
        <is>
          <t>1522-7501 / fax 031-575-4229</t>
        </is>
      </c>
      <c r="I12" s="161" t="inlineStr">
        <is>
          <t>insanm@naver.com</t>
        </is>
      </c>
      <c r="J12" s="166" t="inlineStr">
        <is>
          <t>경기도 남양주시 별내3로 336, 2층 203호 (별내동, 별내프라자). CEO 이학경. Business registration 210-81-48745</t>
        </is>
      </c>
      <c r="K12" s="164" t="inlineStr">
        <is>
          <t>A</t>
        </is>
      </c>
      <c r="L12" s="161" t="inlineStr">
        <is>
          <t>The clinic opening consultancy and the leasing book are the reason this is Tier 1. They are in the room when a Korean doctor decides what equipment goes into a new clinic, and they can put the system on a lease instead of a capital purchase. That is the shortest path to first Korean revenue in this workbook.</t>
        </is>
      </c>
      <c r="M12" s="161" t="inlineStr">
        <is>
          <t>SonoEye P3 + SonoAir 30 into new clinic packages; EBit 50 as the leased entry system</t>
        </is>
      </c>
      <c r="N12" s="164" t="n">
        <v>1</v>
      </c>
      <c r="O12" s="161" t="inlineStr">
        <is>
          <t>Tier 1 NEW in v5. Site opened 15 Sep 2026: address, phone, fax, email, CEO and business registration read off their own page. Clinic opening consultation, rental and leasing confirmed on their own service list.</t>
        </is>
      </c>
      <c r="P12" s="161" t="inlineStr">
        <is>
          <t>Verified site (own contact page); v18 (7 Oct 2026): email read on the company site</t>
        </is>
      </c>
      <c r="Q12" s="161" t="inlineStr">
        <is>
          <t>CHISON ultrasound for INSAN MEDICAL 인산메디칼: an ultrasound line for your clinic opening packages</t>
        </is>
      </c>
      <c r="R12" s="161" t="inlineStr">
        <is>
          <t>Dear INSAN MEDICAL 인산메디칼주식회사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are in the room when a Korean doctor decides what goes into a new clinic, and you can put equipment on a lease rather than a capital purchase. Ultrasound is the highest value item in that package and I could not find a brand on your card.
Where CHISON fits: a range priced so that a new clinic can afford imaging in its first year, and structured so you can lease it rather than sell it outright.
• SonoEye P3: pocket handheld, the lowest barrier entry for a new clinic
• SonoAir 30: laptop portable for general practice
• EBit 50: portable system that leases well against a monthly fee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2" s="165" t="inlineStr">
        <is>
          <t>Yes</t>
        </is>
      </c>
    </row>
    <row r="13" ht="306" customHeight="1" s="104">
      <c r="A13" s="161" t="n">
        <v>9</v>
      </c>
      <c r="B13" s="162" t="inlineStr">
        <is>
          <t>Asan Pharmaceuticals Co., Ltd. 아산제약(주)</t>
        </is>
      </c>
      <c r="C13" s="161" t="inlineStr">
        <is>
          <t>Not started</t>
        </is>
      </c>
      <c r="D13" s="161" t="inlineStr">
        <is>
          <t>In vitro diagnostics and laboratory equipment importer. Human and veterinary IVD reagents, IVD instruments, laboratory instruments, industrial culture media, EEG equipment. Around 30 principal brands, including Mindray on the IVD side</t>
        </is>
      </c>
      <c r="E13" s="161" t="inlineStr">
        <is>
          <t>No ultrasound identified. The Mindray relationship appears to be IVD instruments, not imaging. Confirm before pitching</t>
        </is>
      </c>
      <c r="F13" s="161" t="inlineStr">
        <is>
          <t>Seoul (Dongdaemun)</t>
        </is>
      </c>
      <c r="G13" s="163" t="inlineStr">
        <is>
          <t>https://www.asanpharm.co.kr</t>
        </is>
      </c>
      <c r="H13" s="161" t="inlineStr">
        <is>
          <t>02-3290-5700 / fax 02-3290-5750</t>
        </is>
      </c>
      <c r="I13" s="161" t="inlineStr">
        <is>
          <t>Not published, enquiry form: https://www.asanpharm.co.kr</t>
        </is>
      </c>
      <c r="J13" s="166" t="inlineStr">
        <is>
          <t>서울특별시 동대문구 청계천로 485 (용두동). English site: www.asanpharm.com</t>
        </is>
      </c>
      <c r="K13" s="164" t="inlineStr">
        <is>
          <t>A</t>
        </is>
      </c>
      <c r="L13" s="161" t="inlineStr">
        <is>
          <t>The most interesting conflict position in Korea. They already import Mindray, so the China supply chain, the documentation and the internal comfort with a Chinese principal are proven, but the relationship is on the IVD side where CHISON does not compete. Confirm the Mindray scope on the first call before you pitch imaging.</t>
        </is>
      </c>
      <c r="M13" s="161" t="inlineStr">
        <is>
          <t>SonoEye P3 + SonoAir 30 into their laboratory and clinic accounts; SonoMax 7 if they reach hospital imaging</t>
        </is>
      </c>
      <c r="N13" s="164" t="n">
        <v>1</v>
      </c>
      <c r="O13" s="161" t="inlineStr">
        <is>
          <t>Tier 1 NEW in v5. Site opened 15 Sep 2026: address, phone and fax read off their own page. Product categories read off their own catalogue, no ultrasound present. Mindray brand relationship seen on their own brand page, scope unconfirmed.</t>
        </is>
      </c>
      <c r="P13" s="161" t="inlineStr">
        <is>
          <t>Verified site (own catalogue and contact page)</t>
        </is>
      </c>
      <c r="Q13" s="161" t="inlineStr">
        <is>
          <t>CHISON ultrasound for Asan Pharm 아산제약: imaging beside the diagnostics you already import</t>
        </is>
      </c>
      <c r="R13" s="161" t="inlineStr">
        <is>
          <t>Dear Asan Pharmaceuticals Co., Ltd. 아산제약(주)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already import from a Chinese principal on the diagnostics side, so the supply chain, the documentation and the internal comfort are proven. Imaging is a category your catalogue does not carry, and your laboratory and clinic customers buy it.
Where CHISON fits: a first imaging line that reaches the same doctors your IVD instruments already reach. If your existing China relationship covers imaging as well, tell me on the first call and I will position accordingly rather than waste your time.
• SonoEye P3: pocket handheld for clinics and bedside work
• SonoAir 30: laptop portable for general practice
• SonoMax 7: flagship cart if the conversation reaches hospital imaging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3" s="165" t="inlineStr">
        <is>
          <t>No</t>
        </is>
      </c>
    </row>
    <row r="14" ht="294" customHeight="1" s="104">
      <c r="A14" s="161" t="n">
        <v>10</v>
      </c>
      <c r="B14" s="162" t="inlineStr">
        <is>
          <t>DKSH Healthcare Korea</t>
        </is>
      </c>
      <c r="C14" s="161" t="inlineStr">
        <is>
          <t>Not started</t>
        </is>
      </c>
      <c r="D14" s="161" t="inlineStr">
        <is>
          <t>Regional market expansion platform. Takes foreign principals into Korea across cardiology, orthopaedics and surgical devices, providing regulatory, logistics, sales and after sales as a package</t>
        </is>
      </c>
      <c r="E14" s="161" t="inlineStr">
        <is>
          <t>No ultrasound line identified in its Korean healthcare portfolio</t>
        </is>
      </c>
      <c r="F14" s="161" t="inlineStr">
        <is>
          <t>Seoul</t>
        </is>
      </c>
      <c r="G14" s="163" t="inlineStr">
        <is>
          <t>https://www.dksh.com/kr-en</t>
        </is>
      </c>
      <c r="H14" s="161" t="inlineStr">
        <is>
          <t>+82-2-3287-5000</t>
        </is>
      </c>
      <c r="I14" s="161" t="inlineStr">
        <is>
          <t>Not published, enquiry form: https://www.dksh.com/kr-en</t>
        </is>
      </c>
      <c r="J14" s="161" t="inlineStr">
        <is>
          <t>Seoul office. Global market expansion services group, healthcare business unit</t>
        </is>
      </c>
      <c r="K14" s="167" t="inlineStr">
        <is>
          <t>B</t>
        </is>
      </c>
      <c r="L14" s="161" t="inlineStr">
        <is>
          <t>The fastest structural answer to the MFDS gate. A market expansion partner carries the licence, the warehouse and the sales force in one contract, at the cost of margin. Worth running in parallel with the direct dealer conversations so you have a fallback if the KLH search drags.</t>
        </is>
      </c>
      <c r="M14" s="161" t="inlineStr">
        <is>
          <t>Full range under a market expansion agreement: SonoEye P3, SonoAir, SonoMax 7, SonoPort</t>
        </is>
      </c>
      <c r="N14" s="164" t="n">
        <v>1</v>
      </c>
      <c r="O14" s="161" t="inlineStr">
        <is>
          <t>Tier 1 UPGRADE from Tier 2 in v4. Group site live, Korea office phone as recorded in v4 and on the group site. No individual contact verified.</t>
        </is>
      </c>
      <c r="P14" s="161" t="inlineStr">
        <is>
          <t>Verified site (group), phone carried from v4</t>
        </is>
      </c>
      <c r="Q14" s="161" t="inlineStr">
        <is>
          <t>CHISON ultrasound for DKSH Healthcare Korea: a market expansion mandate for a listed manufacturer</t>
        </is>
      </c>
      <c r="R14" s="161" t="inlineStr">
        <is>
          <t>Dear DKSH Healthcare Korea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take foreign principals into Korea as a complete package: licence, logistics, sales and after sales. CHISON is entering Korea now and the Korea Licence Holder structure is the open item on our side.
Where CHISON fits: a market expansion mandate rather than a simple distribution appointment. We would expect you to hold the MFDS licence and run the channel, and we would carry the clinical and application support.
• Full SonoFamily range: SonoEye handheld, SonoAir and SonoBook portables, SonoMax and SonoPort carts
• Cardiology and surgical accounts, which match your existing Korean desks, are the natural first targets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4" s="168" t="inlineStr">
        <is>
          <t>No</t>
        </is>
      </c>
    </row>
    <row r="15" ht="306" customHeight="1" s="104">
      <c r="A15" s="161" t="n">
        <v>11</v>
      </c>
      <c r="B15" s="162" t="inlineStr">
        <is>
          <t>Dasan Medical / Dr.MRO 다산메디칼 닥터엠알오</t>
        </is>
      </c>
      <c r="C15" s="161" t="inlineStr">
        <is>
          <t>Not started</t>
        </is>
      </c>
      <c r="D15" s="161" t="inlineStr">
        <is>
          <t>Wholesale and retail distribution of around 5,000 clinic and hospital lines: consumables, clinical materials and equipment. Operates a B2B portal. Affiliated with the YMF 열린의료재단 foundation and Dongbaek St. Luke Hospital</t>
        </is>
      </c>
      <c r="E15" s="161" t="inlineStr">
        <is>
          <t>No ultrasound line identified in its published catalogue</t>
        </is>
      </c>
      <c r="F15" s="161" t="inlineStr">
        <is>
          <t>Korea (nationwide B2B)</t>
        </is>
      </c>
      <c r="G15" s="163" t="inlineStr">
        <is>
          <t>https://drmro.com</t>
        </is>
      </c>
      <c r="H15" s="161" t="inlineStr">
        <is>
          <t>Not published, B2B portal: https://drmro.com/b2b/</t>
        </is>
      </c>
      <c r="I15" s="161" t="inlineStr">
        <is>
          <t>dasanmd@hanmail.net</t>
        </is>
      </c>
      <c r="J15" s="161" t="inlineStr">
        <is>
          <t>Describes itself as Korea's representative wholesale and retail medical consumables distributor, around 5,000 items. Foundation and hospital affiliation stated on their own site</t>
        </is>
      </c>
      <c r="K15" s="167" t="inlineStr">
        <is>
          <t>A</t>
        </is>
      </c>
      <c r="L15" s="161" t="inlineStr">
        <is>
          <t>Reach rather than depth: 5,000 lines into Korean clinics means an account list most equipment dealers cannot match. The hospital and foundation affiliation is a second route in. Equipment is a small part of what they do today, which is the opportunity and the risk.</t>
        </is>
      </c>
      <c r="M15" s="161" t="inlineStr">
        <is>
          <t>SonoEye P3 + SonoAir 30 as catalogue items into their clinic base</t>
        </is>
      </c>
      <c r="N15" s="164" t="n">
        <v>1</v>
      </c>
      <c r="O15" s="161" t="inlineStr">
        <is>
          <t>Tier 1 NEW in v5. Site opened 15 Sep 2026. Business scope and affiliations read off their own page. No phone or email published on the pages read, so contact is via their B2B portal.</t>
        </is>
      </c>
      <c r="P15" s="161" t="inlineStr">
        <is>
          <t>Verified site (own company page); v18 (7 Oct 2026): email read on the company site</t>
        </is>
      </c>
      <c r="Q15" s="161" t="inlineStr">
        <is>
          <t>CHISON ultrasound for Dasan Medical 다산메디칼: an equipment line for the clinics you already supply</t>
        </is>
      </c>
      <c r="R15" s="161" t="inlineStr">
        <is>
          <t>Dear Dasan Medical / Dr.MRO 다산메디칼 닥터엠알오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Five thousand lines into Korean clinics is a customer list most equipment dealers would envy. Equipment is the smaller part of what you do today, and ultrasound is the highest value item a clinic buys.
Where CHISON fits: a catalogue addition rather than a new business line. The handheld and laptop tiers sell through the same B2B channel you already run.
• SonoEye P3: pocket handheld, catalogue friendly price point
• SonoAir 30: laptop portable for general practice
• EBit 50: portable system for the larger clinic accounts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5" s="168" t="inlineStr">
        <is>
          <t>Yes</t>
        </is>
      </c>
    </row>
    <row r="16" ht="306" customHeight="1" s="104">
      <c r="A16" s="161" t="n">
        <v>12</v>
      </c>
      <c r="B16" s="162" t="inlineStr">
        <is>
          <t>DK Medical Systems DK메디칼시스템</t>
        </is>
      </c>
      <c r="C16" s="161" t="inlineStr">
        <is>
          <t>Not started</t>
        </is>
      </c>
      <c r="D16" s="161" t="inlineStr">
        <is>
          <t>Korean imaging manufacturer and distributor since 1992. Digital X-ray and radiography systems with a domestic service network</t>
        </is>
      </c>
      <c r="E16" s="161" t="inlineStr">
        <is>
          <t>No ultrasound line identified. Catalogue not fully rendered, confirm on first call</t>
        </is>
      </c>
      <c r="F16" s="161" t="inlineStr">
        <is>
          <t>Seoul</t>
        </is>
      </c>
      <c r="G16" s="163" t="inlineStr">
        <is>
          <t>https://dk.co.kr</t>
        </is>
      </c>
      <c r="H16" s="161" t="inlineStr">
        <is>
          <t>Not published on landing page, locate via company site</t>
        </is>
      </c>
      <c r="I16" s="161" t="inlineStr">
        <is>
          <t>global@dk.co.kr</t>
        </is>
      </c>
      <c r="J16" s="161" t="inlineStr">
        <is>
          <t>Site resolves and is live as of 15 Sep 2026 but the landing page renders only a language selector, so no contact block could be read</t>
        </is>
      </c>
      <c r="K16" s="169" t="inlineStr">
        <is>
          <t>C</t>
        </is>
      </c>
      <c r="L16" s="161" t="inlineStr">
        <is>
          <t>Long established imaging manufacturer with a domestic service network and no ultrasound. Good fit on paper. The website gives nothing away, so the first step is a phone number, not an email.</t>
        </is>
      </c>
      <c r="M16" s="161" t="inlineStr">
        <is>
          <t>SonoMax 7 + SonoPort for radiology fleets; SonoEye P3 for the clinic tier</t>
        </is>
      </c>
      <c r="N16" s="164" t="n">
        <v>1</v>
      </c>
      <c r="O16" s="161" t="inlineStr">
        <is>
          <t>Tier 1 UPHELD from v4 but confidence DOWNGRADED to C. Site opened 15 Sep 2026 and is live, but no contact details are published on the landing page. v4 recorded the contact as 'via website', which overstated what is actually there.</t>
        </is>
      </c>
      <c r="P16" s="161" t="inlineStr">
        <is>
          <t>Verified site (live, no contact block); v18 (7 Oct 2026): email search result of the company page</t>
        </is>
      </c>
      <c r="Q16" s="161" t="inlineStr">
        <is>
          <t>CHISON ultrasound for DK Medical Systems DK메디칼시스템: the imaging category your catalogue is missing</t>
        </is>
      </c>
      <c r="R16" s="161" t="inlineStr">
        <is>
          <t>Dear DK Medical Systems DK메디칼시스템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Thirty plus years in Korean digital radiography, with your own service network, and no ultrasound on the catalogue. Your X-ray customers are the accounts buying ultrasound this year.
Where CHISON fits: an adjacent imaging line that uses the service network you already pay for, with the probe and service annuity that X-ray does not give you.
• SonoMax 7: flagship cart, radiology, obstetric and cardiac
• SonoPort: new generation intelligent cart, launched April 2026
• SonoEye P3: pocket handheld for the clinic tier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6" s="170" t="inlineStr">
        <is>
          <t>Yes</t>
        </is>
      </c>
    </row>
    <row r="17" ht="296.25" customHeight="1" s="104">
      <c r="A17" s="161" t="n">
        <v>13</v>
      </c>
      <c r="B17" s="162" t="inlineStr">
        <is>
          <t>Listem Co., Ltd. 리스템</t>
        </is>
      </c>
      <c r="C17" s="161" t="inlineStr">
        <is>
          <t>Not started</t>
        </is>
      </c>
      <c r="D17" s="161" t="inlineStr">
        <is>
          <t>Korean X-ray manufacturer. Digital radiography, diagnostic X-ray, digital fluoroscopy and mobile surgical X-ray, with a domestic dealer network</t>
        </is>
      </c>
      <c r="E17" s="161" t="inlineStr">
        <is>
          <t>No ultrasound line identified in its published catalogue</t>
        </is>
      </c>
      <c r="F17" s="161" t="inlineStr">
        <is>
          <t>Wonju, Gangwon</t>
        </is>
      </c>
      <c r="G17" s="163" t="inlineStr">
        <is>
          <t>https://listem.co.kr</t>
        </is>
      </c>
      <c r="H17" s="161" t="inlineStr">
        <is>
          <t>Not published on pages reached, locate via company site</t>
        </is>
      </c>
      <c r="I17" s="161" t="inlineStr">
        <is>
          <t>cs@listem.co.kr</t>
        </is>
      </c>
      <c r="J17" s="161" t="inlineStr">
        <is>
          <t>Site resolves as of 15 Sep 2026. Wonju medtech cluster. Contact subpages returned 404 on the paths tried, so no contact block could be read</t>
        </is>
      </c>
      <c r="K17" s="169" t="inlineStr">
        <is>
          <t>C</t>
        </is>
      </c>
      <c r="L17" s="161" t="inlineStr">
        <is>
          <t>Wonju is Korea's medical device cluster and Listem is one of its anchor names. Fluoroscopy and mobile surgical X-ray put them in exactly the rooms where point of care ultrasound is bought.</t>
        </is>
      </c>
      <c r="M17" s="161" t="inlineStr">
        <is>
          <t>SonoPort + SonoMax 7 for imaging rooms; SonoEye P3 for surgical and mobile accounts</t>
        </is>
      </c>
      <c r="N17" s="164" t="n">
        <v>1</v>
      </c>
      <c r="O17" s="161" t="inlineStr">
        <is>
          <t>Tier 1 UPGRADE from Tier 2 in v4. Site confirmed live 15 Sep 2026 and catalogue confirms X-ray only. Contact pages could not be reached, so confidence is C.</t>
        </is>
      </c>
      <c r="P17" s="161" t="inlineStr">
        <is>
          <t>Verified site (live, contact page unreachable); v18 (7 Oct 2026): email search result of the company page</t>
        </is>
      </c>
      <c r="Q17" s="161" t="inlineStr">
        <is>
          <t>CHISON ultrasound for Listem 리스템: the bedside category beside your mobile surgical X-ray</t>
        </is>
      </c>
      <c r="R17" s="161" t="inlineStr">
        <is>
          <t>Dear Listem Co., Ltd. 리스템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Digital fluoroscopy and mobile surgical X-ray put your people in the procedure room and at the bedside. Ultrasound is bought in those same rooms and it is not on your catalogue.
Where CHISON fits: an adjacent imaging line for your existing dealer network, with recurring probe and service revenue attached.
• SonoPort: new generation intelligent cart, launched April 2026
• SonoMax 7: flagship cart, radiology, obstetric and cardiac
• SonoEye P3: pocket handheld for surgical and mobile accounts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7" s="170" t="inlineStr">
        <is>
          <t>Yes</t>
        </is>
      </c>
    </row>
    <row r="18" ht="296.25" customHeight="1" s="104">
      <c r="A18" s="161" t="n">
        <v>14</v>
      </c>
      <c r="B18" s="162" t="inlineStr">
        <is>
          <t>Mediana Co., Ltd. 메디아나</t>
        </is>
      </c>
      <c r="C18" s="161" t="inlineStr">
        <is>
          <t>Not started</t>
        </is>
      </c>
      <c r="D18" s="161" t="inlineStr">
        <is>
          <t>Listed Korean manufacturer of patient monitors, defibrillators and AEDs, with hospital and emergency channel coverage</t>
        </is>
      </c>
      <c r="E18" s="161" t="inlineStr">
        <is>
          <t>No diagnostic ultrasound line identified</t>
        </is>
      </c>
      <c r="F18" s="161" t="inlineStr">
        <is>
          <t>Wonju, Gangwon</t>
        </is>
      </c>
      <c r="G18" s="163" t="inlineStr">
        <is>
          <t>https://mediana.co.kr</t>
        </is>
      </c>
      <c r="H18" s="161" t="inlineStr">
        <is>
          <t>Not published on pages reached, locate via company site</t>
        </is>
      </c>
      <c r="I18" s="161" t="inlineStr">
        <is>
          <t>info@mediana.co.kr</t>
        </is>
      </c>
      <c r="J18" s="161" t="inlineStr">
        <is>
          <t>Wonju medtech cluster. KOSDAQ listed. Site did not return content on the fetch attempted 15 Sep 2026, domain is live</t>
        </is>
      </c>
      <c r="K18" s="169" t="inlineStr">
        <is>
          <t>C</t>
        </is>
      </c>
      <c r="L18" s="161" t="inlineStr">
        <is>
          <t>Patient monitoring is one of the cleanest adjacencies in the skill's own map: the same ward, emergency and intensive care buyer, and a handheld ultrasound attaches to a monitor sale without competing with it.</t>
        </is>
      </c>
      <c r="M18" s="161" t="inlineStr">
        <is>
          <t>SonoEye P3 as a monitoring add on; EBit 50 for ward and emergency accounts</t>
        </is>
      </c>
      <c r="N18" s="164" t="n">
        <v>1</v>
      </c>
      <c r="O18" s="161" t="inlineStr">
        <is>
          <t>Tier 1 UPGRADE from Tier 2 in v4. Domain live, page content could not be retrieved on 15 Sep 2026, so contact is unverified and confidence is C.</t>
        </is>
      </c>
      <c r="P18" s="161" t="inlineStr">
        <is>
          <t>Knowledge plus domain check, verify before contact; v18 (7 Oct 2026): email search result of the company page</t>
        </is>
      </c>
      <c r="Q18" s="161" t="inlineStr">
        <is>
          <t>CHISON ultrasound for Mediana 메디아나: a handheld line that attaches to your monitoring accounts</t>
        </is>
      </c>
      <c r="R18" s="161" t="inlineStr">
        <is>
          <t>Dear Mediana Co., Ltd. 메디아나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Patient monitors, defibrillators and AEDs put you in the ward, the emergency room and the ambulance. Pocket ultrasound is bought by the same clinicians and attaches to a monitor sale rather than competing with it.
Where CHISON fits: an add on category for your existing hospital and emergency channel, not a new business to build from nothing.
• SonoEye P3: pocket handheld for point of care and FAST scanning
• EBit 50: portable system for ward and emergency accounts
• SonoAir 30: laptop portable where a larger screen is wanted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8" s="170" t="inlineStr">
        <is>
          <t>Yes</t>
        </is>
      </c>
    </row>
    <row r="19" ht="318.75" customHeight="1" s="104">
      <c r="A19" s="161" t="n">
        <v>15</v>
      </c>
      <c r="B19" s="162" t="inlineStr">
        <is>
          <t>Medistream 메디스트림</t>
        </is>
      </c>
      <c r="C19" s="161" t="inlineStr">
        <is>
          <t>Not started</t>
        </is>
      </c>
      <c r="D19" s="161" t="inlineStr">
        <is>
          <t>Korean medicine (한의) sector platform and device supplier. Signed a memorandum with the Korean Association of Oriental Medicine Imaging (대한한의영상학회) covering ultrasound education and device supply for Korean medicine practitioners</t>
        </is>
      </c>
      <c r="E19" s="161" t="inlineStr">
        <is>
          <t>Supplies ultrasound into the Korean medicine channel. Brand not identified</t>
        </is>
      </c>
      <c r="F19" s="161" t="inlineStr">
        <is>
          <t>Korea</t>
        </is>
      </c>
      <c r="G19" s="163" t="inlineStr">
        <is>
          <t>https://medistream.co.kr</t>
        </is>
      </c>
      <c r="H19" s="161" t="inlineStr">
        <is>
          <t>Not published on landing page, locate via company site</t>
        </is>
      </c>
      <c r="I19" s="161" t="inlineStr">
        <is>
          <t>cs@medistream.co.kr</t>
        </is>
      </c>
      <c r="J19" s="161" t="inlineStr">
        <is>
          <t>CEO 정희범. Operates iOS and Android apps for Korean medicine practitioners. Memorandum with 대한한의영상학회 signed 25 Aug 2022</t>
        </is>
      </c>
      <c r="K19" s="169" t="inlineStr">
        <is>
          <t>D</t>
        </is>
      </c>
      <c r="L19" s="161" t="inlineStr">
        <is>
          <t>The single freshest opening in Korea. A December 2022 Supreme Court ruling made ultrasound lawful for Korean medicine practitioners, opening roughly 17,700 한의원 clinics, and entry systems in that channel sell at around 8 to 9 million won. That is CHISON's exact price band and no global brand has locked the channel.</t>
        </is>
      </c>
      <c r="M19" s="161" t="inlineStr">
        <is>
          <t>SonoEye P5 for high frequency musculoskeletal and acupuncture guidance; SonoAir 30 as the clinic system</t>
        </is>
      </c>
      <c r="N19" s="164" t="n">
        <v>1</v>
      </c>
      <c r="O19" s="161" t="inlineStr">
        <is>
          <t>Tier 1 NEW in v5. Landing page live 15 Sep 2026 but carries no company detail. CEO and the 대한한의영상학회 memorandum confirmed in Korean trade press (Medipana, 2022). Contact not verified.</t>
        </is>
      </c>
      <c r="P19" s="161" t="inlineStr">
        <is>
          <t>Trade press plus live site, verify before contact; v18 (7 Oct 2026): email third party page, confirm before sending</t>
        </is>
      </c>
      <c r="Q19" s="161" t="inlineStr">
        <is>
          <t>CHISON ultrasound for Medistream 메디스트림: the 한의원 ultrasound channel, at the price that channel buys at</t>
        </is>
      </c>
      <c r="R19" s="161" t="inlineStr">
        <is>
          <t>Dear Medistream 메디스트림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Since the 2022 ruling opened ultrasound to Korean medicine practitioners you have been building the education and supply side of that channel, including your memorandum with 대한한의영상학회. Roughly 17,700 clinics are now addressable and the entry price point is around 8 to 9 million won.
Where CHISON fits: that is precisely the band CHISON is built for, and unlike the global brands we are not protecting a premium hospital price list above it.
• SonoEye P5: phone paired high frequency handheld, built for musculoskeletal and guided procedure work
• SonoAir 30: laptop portable as the clinic system
• Application training in Korean for practitioners new to imaging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19" s="170" t="inlineStr">
        <is>
          <t>Confirm</t>
        </is>
      </c>
    </row>
    <row r="20" ht="296.25" customHeight="1" s="104">
      <c r="A20" s="161" t="n">
        <v>16</v>
      </c>
      <c r="B20" s="162" t="inlineStr">
        <is>
          <t>OS Medical Co., Ltd. (주)오에스메디칼</t>
        </is>
      </c>
      <c r="C20" s="161" t="inlineStr">
        <is>
          <t>Not started</t>
        </is>
      </c>
      <c r="D20" s="161" t="inlineStr">
        <is>
          <t>Medical device distributor. The company's principal sits as Vice Chair of the Hospital Division of the Korea Medical Device Distributors Association (한국의료기기유통협회)</t>
        </is>
      </c>
      <c r="E20" s="161" t="inlineStr">
        <is>
          <t>No ultrasound line identified. Portfolio not confirmed</t>
        </is>
      </c>
      <c r="F20" s="161" t="inlineStr">
        <is>
          <t>Seoul</t>
        </is>
      </c>
      <c r="G20" s="163" t="inlineStr">
        <is>
          <t>http://osmedical.co.kr</t>
        </is>
      </c>
      <c r="H20" s="161" t="inlineStr">
        <is>
          <t>Not published on pages reached, locate via company site</t>
        </is>
      </c>
      <c r="I20" s="161" t="inlineStr">
        <is>
          <t>Not published, enquiry via http://osmedical.co.kr</t>
        </is>
      </c>
      <c r="J20" s="161" t="inlineStr">
        <is>
          <t>Named on the KMDDA 11th executive roster as 부회장(병원분과), principal 오종호. Also listed as a Seoul branch adviser</t>
        </is>
      </c>
      <c r="K20" s="169" t="inlineStr">
        <is>
          <t>C</t>
        </is>
      </c>
      <c r="L20" s="161" t="inlineStr">
        <is>
          <t>The hospital division chair of the national distributors association is a useful person to know regardless of whether this company itself becomes the dealer. Treat the first meeting as channel mapping as much as recruitment.</t>
        </is>
      </c>
      <c r="M20" s="161" t="inlineStr">
        <is>
          <t>SonoAir 30 + SonoEye P3 into hospital and clinic accounts</t>
        </is>
      </c>
      <c r="N20" s="164" t="n">
        <v>1</v>
      </c>
      <c r="O20" s="161" t="inlineStr">
        <is>
          <t>Tier 1 NEW in v5. Company and role read off the KMDDA executive roster, opened 15 Sep 2026. Own site returned by search and appears live, contact block not read.</t>
        </is>
      </c>
      <c r="P20" s="161" t="inlineStr">
        <is>
          <t>Directory (KMDDA roster), site unopened</t>
        </is>
      </c>
      <c r="Q20" s="161" t="inlineStr">
        <is>
          <t>CHISON ultrasound for OS Medical 오에스메디칼: a new ultrasound line, and a view of the Korean channel</t>
        </is>
      </c>
      <c r="R20" s="161" t="inlineStr">
        <is>
          <t>Dear OS Medical Co., Ltd. (주)오에스메디칼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sit on the hospital division of the Korea Medical Device Distributors Association, which means you see the Korean hospital channel more clearly than almost anyone I could write to.
Where CHISON fits: I am appointing Korean partners this year and would value your read on the channel as much as your interest in the line itself.
• SonoAir 30: laptop portable for clinic and hospital accounts
• SonoEye P3: pocket handheld for bedside and point of care
• SonoMax 7: flagship cart if the hospital accounts warrant it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20" s="170" t="inlineStr">
        <is>
          <t>No</t>
        </is>
      </c>
    </row>
    <row r="21" ht="306" customHeight="1" s="104">
      <c r="A21" s="161" t="n">
        <v>17</v>
      </c>
      <c r="B21" s="162" t="inlineStr">
        <is>
          <t>Gaha Medical Co., Ltd. (주)가하메디칼</t>
        </is>
      </c>
      <c r="C21" s="161" t="inlineStr">
        <is>
          <t>Not started</t>
        </is>
      </c>
      <c r="D21" s="161" t="inlineStr">
        <is>
          <t>Medical device wholesaler. Its principal chairs the Regulatory Reform Committee of the Korea Medical Device Distributors Association</t>
        </is>
      </c>
      <c r="E21" s="161" t="inlineStr">
        <is>
          <t>No ultrasound line identified. Portfolio not confirmed</t>
        </is>
      </c>
      <c r="F21" s="161" t="inlineStr">
        <is>
          <t>Seoul</t>
        </is>
      </c>
      <c r="G21" s="163" t="inlineStr">
        <is>
          <t>https://kahamedical.com</t>
        </is>
      </c>
      <c r="H21" s="161" t="inlineStr">
        <is>
          <t>Not published on pages reached, locate via company site</t>
        </is>
      </c>
      <c r="I21" s="161" t="inlineStr">
        <is>
          <t>admin@kahamedical.com</t>
        </is>
      </c>
      <c r="J21" s="161" t="inlineStr">
        <is>
          <t>Named on the KMDDA 11th executive roster as 규제개혁관리위원장, principal 조영수. Also a Seoul branch vice chair</t>
        </is>
      </c>
      <c r="K21" s="169" t="inlineStr">
        <is>
          <t>A</t>
        </is>
      </c>
      <c r="L21" s="161" t="inlineStr">
        <is>
          <t>A wholesaler whose principal chairs the association's regulatory committee is a useful ally on the MFDS question specifically, which is the gate that decides how fast Korea can start.</t>
        </is>
      </c>
      <c r="M21" s="161" t="inlineStr">
        <is>
          <t>SonoEye P3 + SonoAir 30 as wholesale catalogue items</t>
        </is>
      </c>
      <c r="N21" s="164" t="n">
        <v>1</v>
      </c>
      <c r="O21" s="161" t="inlineStr">
        <is>
          <t>Tier 1 NEW in v5. Company and role read off the KMDDA executive roster, opened 15 Sep 2026. Own site returned by search with real content, page not opened (robots).</t>
        </is>
      </c>
      <c r="P21" s="161" t="inlineStr">
        <is>
          <t>Directory (KMDDA roster), site unopened; v18 (7 Oct 2026): email read on the company site</t>
        </is>
      </c>
      <c r="Q21" s="161" t="inlineStr">
        <is>
          <t>CHISON ultrasound for Gaha Medical 가하메디칼: a wholesale ultrasound line, and a regulatory read</t>
        </is>
      </c>
      <c r="R21" s="161" t="inlineStr">
        <is>
          <t>Dear Gaha Medical Co., Ltd. (주)가하메디칼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chair the regulatory reform committee at the Korea Medical Device Distributors Association. CHISON is entering Korea and the importer and licence holder structure is the open item on our side.
Where CHISON fits: a wholesale catalogue line for you, and a conversation I would value on how the MFDS route is actually working for distributors this year.
• SonoEye P3: pocket handheld, wholesale friendly price point
• SonoAir 30: laptop portable for clinic accounts
• EBit 50: portable system for larger accounts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21" s="170" t="inlineStr">
        <is>
          <t>Yes</t>
        </is>
      </c>
    </row>
    <row r="22" ht="285.75" customHeight="1" s="104">
      <c r="A22" s="161" t="n">
        <v>18</v>
      </c>
      <c r="B22" s="162" t="inlineStr">
        <is>
          <t>Kwangmyung Daicom Co., Ltd. (주)광명데이콤</t>
        </is>
      </c>
      <c r="C22" s="161" t="inlineStr">
        <is>
          <t>Not started</t>
        </is>
      </c>
      <c r="D22" s="161" t="inlineStr">
        <is>
          <t>Multi brand medical device importer. 87 device records on the MFDS register</t>
        </is>
      </c>
      <c r="E22" s="161" t="inlineStr">
        <is>
          <t>No ultrasound identified on the registry entries reviewed</t>
        </is>
      </c>
      <c r="F22" s="161" t="inlineStr">
        <is>
          <t>Seoul</t>
        </is>
      </c>
      <c r="G22" s="161" t="inlineStr">
        <is>
          <t>MFDS eMEDI: https://emedi.mfds.go.kr</t>
        </is>
      </c>
      <c r="H22" s="161" t="inlineStr">
        <is>
          <t>Not published, locate via eMEDI importer record</t>
        </is>
      </c>
      <c r="I22" s="161" t="inlineStr">
        <is>
          <t>Not published, locate via eMEDI importer record</t>
        </is>
      </c>
      <c r="J22" s="161" t="inlineStr">
        <is>
          <t>No public company website located. Listed on the MFDS importer register with 87 device records, Seoul</t>
        </is>
      </c>
      <c r="K22" s="171" t="inlineStr">
        <is>
          <t>D</t>
        </is>
      </c>
      <c r="L22" s="161" t="inlineStr">
        <is>
          <t>Held in Tier 1 for one reason: the import licence. In Korea the licensed importer is the mandatory gate, and a company with 87 MFDS records already has the licence infrastructure CHISON needs. Confirm the company trades and find the website before contacting.</t>
        </is>
      </c>
      <c r="M22" s="161" t="inlineStr">
        <is>
          <t>Import and licence holder conversation first, product range second</t>
        </is>
      </c>
      <c r="N22" s="164" t="n">
        <v>1</v>
      </c>
      <c r="O22" s="161" t="inlineStr">
        <is>
          <t>Tier 1 UPGRADE from Tier 2 in v4, on the licence argument rather than on any new contact. NOT contact verified: no website located. Treat as a licence holder lead, not a warm dealer lead.</t>
        </is>
      </c>
      <c r="P22" s="161" t="inlineStr">
        <is>
          <t>Directory (MFDS eMEDI register)</t>
        </is>
      </c>
      <c r="Q22" s="161" t="inlineStr">
        <is>
          <t>CHISON ultrasound for Kwangmyung Daicom 광명데이콤: an importer and licence holder conversation</t>
        </is>
      </c>
      <c r="R22" s="161" t="inlineStr">
        <is>
          <t>Dear Kwangmyung Daicom Co., Ltd. (주)광명데이콤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name appears on the MFDS importer register across a broad device portfolio, which tells me the import licence and the documentation discipline are already in place.
Where CHISON fits: before the product conversation there is a structural one. We need a licensed Korean importer or licence holder for a CE and US FDA cleared ultrasound range, and that is the conversation I would like to start.
• Full SonoFamily range once the import structure is agreed: SonoEye handheld, SonoAir and SonoBook portables, SonoMax and SonoPort carts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22" s="172" t="inlineStr">
        <is>
          <t>No</t>
        </is>
      </c>
    </row>
    <row r="23" ht="285.75" customHeight="1" s="104">
      <c r="A23" s="161" t="n">
        <v>19</v>
      </c>
      <c r="B23" s="162" t="inlineStr">
        <is>
          <t>Woojin Meditech Korea Co., Ltd. (주)우진메디텍코리아</t>
        </is>
      </c>
      <c r="C23" s="161" t="inlineStr">
        <is>
          <t>Not started</t>
        </is>
      </c>
      <c r="D23" s="161" t="inlineStr">
        <is>
          <t>Multi brand medical device importer. 140 device records on the MFDS register, one of the larger independent importers on the list</t>
        </is>
      </c>
      <c r="E23" s="161" t="inlineStr">
        <is>
          <t>No ultrasound identified on the registry entries reviewed</t>
        </is>
      </c>
      <c r="F23" s="161" t="inlineStr">
        <is>
          <t>Seoul</t>
        </is>
      </c>
      <c r="G23" s="161" t="inlineStr">
        <is>
          <t>MFDS eMEDI: https://emedi.mfds.go.kr</t>
        </is>
      </c>
      <c r="H23" s="161" t="inlineStr">
        <is>
          <t>Not published, locate via eMEDI importer record</t>
        </is>
      </c>
      <c r="I23" s="161" t="inlineStr">
        <is>
          <t>Not published, locate via eMEDI importer record</t>
        </is>
      </c>
      <c r="J23" s="161" t="inlineStr">
        <is>
          <t>No public company website located. Listed on the MFDS importer register with 140 device records, Seoul</t>
        </is>
      </c>
      <c r="K23" s="171" t="inlineStr">
        <is>
          <t>D</t>
        </is>
      </c>
      <c r="L23" s="161" t="inlineStr">
        <is>
          <t>One of the largest independent multi brand importers on the Korean register. Scale of licence portfolio is the qualifier here, not a known ultrasound gap.</t>
        </is>
      </c>
      <c r="M23" s="161" t="inlineStr">
        <is>
          <t>Import and licence holder conversation first, product range second</t>
        </is>
      </c>
      <c r="N23" s="164" t="n">
        <v>1</v>
      </c>
      <c r="O23" s="161" t="inlineStr">
        <is>
          <t>Tier 1 UPGRADE from Tier 2 in v4, on the licence argument. NOT contact verified: no website located.</t>
        </is>
      </c>
      <c r="P23" s="161" t="inlineStr">
        <is>
          <t>Directory (MFDS eMEDI register)</t>
        </is>
      </c>
      <c r="Q23" s="161" t="inlineStr">
        <is>
          <t>CHISON ultrasound for Woojin Meditech 우진메디텍코리아: an importer and licence holder conversation</t>
        </is>
      </c>
      <c r="R23" s="161" t="inlineStr">
        <is>
          <t>Dear Woojin Meditech Korea Co., Ltd. (주)우진메디텍코리아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With 140 device records on the MFDS register you are one of the larger independent importers in Korea, which means the licence structure and the documentation load are routine for you.
Where CHISON fits: we are looking for a licensed Korean importer or licence holder for a CE and US FDA cleared ultrasound range, and the product conversation follows from that one.
• Full SonoFamily range once the import structure is agreed: SonoEye handheld, SonoAir and SonoBook portables, SonoMax and SonoPort carts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23" s="172" t="inlineStr">
        <is>
          <t>No</t>
        </is>
      </c>
    </row>
    <row r="24" ht="285.75" customHeight="1" s="104">
      <c r="A24" s="161" t="n">
        <v>20</v>
      </c>
      <c r="B24" s="162" t="inlineStr">
        <is>
          <t>Pentas Korea Co., Ltd. (주)펜타스코리아</t>
        </is>
      </c>
      <c r="C24" s="161" t="inlineStr">
        <is>
          <t>Not started</t>
        </is>
      </c>
      <c r="D24" s="161" t="inlineStr">
        <is>
          <t>Multi brand medical device importer. 92 device records on the MFDS register. Busan based, which is scarce in this list</t>
        </is>
      </c>
      <c r="E24" s="161" t="inlineStr">
        <is>
          <t>No ultrasound identified on the registry entries reviewed</t>
        </is>
      </c>
      <c r="F24" s="161" t="inlineStr">
        <is>
          <t>Busan</t>
        </is>
      </c>
      <c r="G24" s="163" t="inlineStr">
        <is>
          <t>https://pentaskorea.com</t>
        </is>
      </c>
      <c r="H24" s="161" t="inlineStr">
        <is>
          <t>Not published, locate via eMEDI importer record</t>
        </is>
      </c>
      <c r="I24" s="161" t="inlineStr">
        <is>
          <t>pentas@pentaskorea.com</t>
        </is>
      </c>
      <c r="J24" s="161" t="inlineStr">
        <is>
          <t>No public company website located. Listed on the MFDS importer register with 92 device records, Busan</t>
        </is>
      </c>
      <c r="K24" s="171" t="inlineStr">
        <is>
          <t>C</t>
        </is>
      </c>
      <c r="L24" s="161" t="inlineStr">
        <is>
          <t>The only substantial licensed importer on this tab outside the Seoul capital region. Korea's second city and the south east industrial belt are worth a dedicated partner rather than a Seoul dealer's branch.</t>
        </is>
      </c>
      <c r="M24" s="161" t="inlineStr">
        <is>
          <t>Import licence conversation first; regional coverage for the Busan, Ulsan and Gyeongnam belt second</t>
        </is>
      </c>
      <c r="N24" s="164" t="n">
        <v>1</v>
      </c>
      <c r="O24" s="161" t="inlineStr">
        <is>
          <t>Tier 1 UPGRADE from Tier 3 in v4, on the licence argument and on regional coverage. NOT contact verified: no website located.</t>
        </is>
      </c>
      <c r="P24" s="161" t="inlineStr">
        <is>
          <t>Directory (MFDS eMEDI register); v18 (7 Oct 2026): email search result of the company page</t>
        </is>
      </c>
      <c r="Q24" s="161" t="inlineStr">
        <is>
          <t>CHISON ultrasound for Pentas Korea 펜타스코리아: regional coverage outside Seoul, with the import licence already in place</t>
        </is>
      </c>
      <c r="R24" s="161" t="inlineStr">
        <is>
          <t>Dear Pentas Korea Co., Ltd. (주)펜타스코리아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are one of the few substantial licensed importers on the MFDS register based outside the capital region. Busan, Ulsan and Gyeongnam deserve a dedicated partner rather than a Seoul dealer's branch office.
Where CHISON fits: a regional appointment for the south east, with the import licence and documentation you already run.
• SonoAir 30 and SonoEye P3 for the clinic tier across the south east
• SonoMax 7 and SonoPort for the hospital accounts in Busan and Ulsan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24" s="172" t="inlineStr">
        <is>
          <t>Yes</t>
        </is>
      </c>
    </row>
    <row r="25" ht="60" customHeight="1" s="104">
      <c r="A25" s="161" t="n">
        <v>21</v>
      </c>
      <c r="B25" s="162" t="inlineStr">
        <is>
          <t>EGM International Co., Ltd. (주)이지엠인터내셔널</t>
        </is>
      </c>
      <c r="C25" s="161" t="inlineStr">
        <is>
          <t>Not started</t>
        </is>
      </c>
      <c r="D25" s="161" t="inlineStr">
        <is>
          <t>Clinic and primary care supply. Diagnostic device importer for clinics (Littmann stethoscopes official channel); primary care reach.</t>
        </is>
      </c>
      <c r="E25" s="161" t="inlineStr">
        <is>
          <t>Not confirmed; ask on the first call</t>
        </is>
      </c>
      <c r="F25" s="161" t="inlineStr">
        <is>
          <t>Seoul Gangnam</t>
        </is>
      </c>
      <c r="G25" s="163" t="inlineStr">
        <is>
          <t>https://myegm.co.kr</t>
        </is>
      </c>
      <c r="H25" s="161" t="inlineStr">
        <is>
          <t>02-3443-0582</t>
        </is>
      </c>
      <c r="I25" s="161" t="inlineStr">
        <is>
          <t>online@egmshop.com</t>
        </is>
      </c>
      <c r="J25" s="161" t="inlineStr">
        <is>
          <t>Seoul Gangnam. Tel 02-3443-0582. Found via KIMES 2026 exhibitor directory.</t>
        </is>
      </c>
      <c r="K25" s="164" t="inlineStr">
        <is>
          <t>A</t>
        </is>
      </c>
      <c r="L25" s="161" t="inlineStr">
        <is>
          <t>Clinic channel, the end user James flagged as the opening (GPs and small clinics); SonoAir is a wireless handheld that Mindray does not offer.</t>
        </is>
      </c>
      <c r="M25" s="161" t="inlineStr">
        <is>
          <t>SonoAir 30, SonoEye P3 for primary care; SonoGO for new clinic opening packages</t>
        </is>
      </c>
      <c r="N25" s="164" t="n">
        <v>1</v>
      </c>
      <c r="O25" s="161" t="inlineStr">
        <is>
          <t>Tier 1: segment and channel match CHISON directly; contact first.</t>
        </is>
      </c>
      <c r="P25" s="161" t="inlineStr">
        <is>
          <t>KIMES 2026 exhibitor directory; email read on the company site; email domain differs from the website, confirm, 7 Oct 2026</t>
        </is>
      </c>
      <c r="Q25" s="161" t="n"/>
      <c r="R25" s="161" t="n"/>
      <c r="S25" s="165" t="inlineStr">
        <is>
          <t>Yes</t>
        </is>
      </c>
    </row>
    <row r="26" ht="60" customHeight="1" s="104">
      <c r="A26" s="161" t="n">
        <v>22</v>
      </c>
      <c r="B26" s="162" t="inlineStr">
        <is>
          <t>Sun World Korea 선월드코리아</t>
        </is>
      </c>
      <c r="C26" s="161" t="inlineStr">
        <is>
          <t>Not started</t>
        </is>
      </c>
      <c r="D26" s="161" t="inlineStr">
        <is>
          <t>Clinic and primary care supply. Busan dealer since 1989 supplying diagnostic, treatment and rehab devices to hospitals and Korean medicine clinics.</t>
        </is>
      </c>
      <c r="E26" s="161" t="inlineStr">
        <is>
          <t>Not confirmed; ask on the first call</t>
        </is>
      </c>
      <c r="F26" s="161" t="inlineStr">
        <is>
          <t>Busan</t>
        </is>
      </c>
      <c r="G26" s="163" t="inlineStr">
        <is>
          <t>https://sw88.kr</t>
        </is>
      </c>
      <c r="H26" s="161" t="inlineStr">
        <is>
          <t>051-852-8585</t>
        </is>
      </c>
      <c r="I26" s="161" t="inlineStr">
        <is>
          <t>swk62117@hanmail.net</t>
        </is>
      </c>
      <c r="J26" s="161" t="inlineStr">
        <is>
          <t>Busan. Tel 051-852-8585. Found via KIMES 2026 exhibitor directory.</t>
        </is>
      </c>
      <c r="K26" s="164" t="inlineStr">
        <is>
          <t>A</t>
        </is>
      </c>
      <c r="L26" s="161" t="inlineStr">
        <is>
          <t>Clinic channel, the end user James flagged as the opening (GPs and small clinics); SonoAir is a wireless handheld that Mindray does not offer.</t>
        </is>
      </c>
      <c r="M26" s="161" t="inlineStr">
        <is>
          <t>SonoAir 30, SonoEye P3 for primary care; SonoGO for new clinic opening packages</t>
        </is>
      </c>
      <c r="N26" s="164" t="n">
        <v>1</v>
      </c>
      <c r="O26" s="161" t="inlineStr">
        <is>
          <t>Tier 1: segment and channel match CHISON directly; contact first.</t>
        </is>
      </c>
      <c r="P26" s="161" t="inlineStr">
        <is>
          <t>KIMES 2026 exhibitor directory; email read on the company site, 7 Oct 2026</t>
        </is>
      </c>
      <c r="Q26" s="161" t="n"/>
      <c r="R26" s="161" t="n"/>
      <c r="S26" s="165" t="inlineStr">
        <is>
          <t>Yes</t>
        </is>
      </c>
    </row>
    <row r="27" ht="60" customHeight="1" s="104">
      <c r="A27" s="161" t="n">
        <v>23</v>
      </c>
      <c r="B27" s="162" t="inlineStr">
        <is>
          <t>Paran Medical Co., Ltd. 파란메디칼㈜</t>
        </is>
      </c>
      <c r="C27" s="161" t="inlineStr">
        <is>
          <t>Not started</t>
        </is>
      </c>
      <c r="D27" s="161" t="inlineStr">
        <is>
          <t>General medical equipment. Medical device sales and rental company serving hospitals.</t>
        </is>
      </c>
      <c r="E27" s="161" t="inlineStr">
        <is>
          <t>Not confirmed; ask on the first call</t>
        </is>
      </c>
      <c r="F27" s="161" t="inlineStr">
        <is>
          <t>Seoul Dongdaemun</t>
        </is>
      </c>
      <c r="G27" s="163" t="inlineStr">
        <is>
          <t>https://paranmedical.co.kr</t>
        </is>
      </c>
      <c r="H27" s="161" t="inlineStr">
        <is>
          <t>02-2215-3743</t>
        </is>
      </c>
      <c r="I27" s="161" t="inlineStr">
        <is>
          <t>paranmedical@hanmail.net</t>
        </is>
      </c>
      <c r="J27" s="161" t="inlineStr">
        <is>
          <t>Seoul Dongdaemun. Tel 02-2215-3743. Found via KIMES 2026 exhibitor directory.</t>
        </is>
      </c>
      <c r="K27" s="164" t="inlineStr">
        <is>
          <t>A</t>
        </is>
      </c>
      <c r="L27" s="161" t="inlineStr">
        <is>
          <t>General medical equipment supplier with hospital and clinic accounts; can open ultrasound as a new line.</t>
        </is>
      </c>
      <c r="M27" s="161" t="inlineStr">
        <is>
          <t>SonoGO cart, SonoAir 70 handheld as a starter ultrasound line for a general hospital supplier</t>
        </is>
      </c>
      <c r="N27" s="164" t="n">
        <v>1</v>
      </c>
      <c r="O27" s="161" t="inlineStr">
        <is>
          <t>Tier 1: segment and channel match CHISON directly; contact first.</t>
        </is>
      </c>
      <c r="P27" s="161" t="inlineStr">
        <is>
          <t>KIMES 2026 exhibitor directory; email read on the company site, 7 Oct 2026</t>
        </is>
      </c>
      <c r="Q27" s="161" t="n"/>
      <c r="R27" s="161" t="n"/>
      <c r="S27" s="165" t="inlineStr">
        <is>
          <t>Yes</t>
        </is>
      </c>
    </row>
    <row r="28" ht="60" customHeight="1" s="104">
      <c r="A28" s="161" t="n">
        <v>24</v>
      </c>
      <c r="B28" s="162" t="inlineStr">
        <is>
          <t>DongSeo Medicare Co., Ltd. 동서메디케어주식회사</t>
        </is>
      </c>
      <c r="C28" s="161" t="inlineStr">
        <is>
          <t>Not started</t>
        </is>
      </c>
      <c r="D28" s="161" t="inlineStr">
        <is>
          <t>Imaging (X ray, radiology). Radiology distributor since 1995: CT, MRI, X-ray and mammography.</t>
        </is>
      </c>
      <c r="E28" s="161" t="inlineStr">
        <is>
          <t>Not confirmed; ask on the first call</t>
        </is>
      </c>
      <c r="F28" s="161" t="inlineStr">
        <is>
          <t>Seongnam</t>
        </is>
      </c>
      <c r="G28" s="163" t="inlineStr">
        <is>
          <t>https://dsmed.kr</t>
        </is>
      </c>
      <c r="H28" s="161" t="inlineStr">
        <is>
          <t>031-423-3845</t>
        </is>
      </c>
      <c r="I28" s="161" t="inlineStr">
        <is>
          <t>dsmed@dsmed.kr</t>
        </is>
      </c>
      <c r="J28" s="161" t="inlineStr">
        <is>
          <t>Seongnam. Tel 031-423-3845. Found via KIMES 2026 exhibitor directory.</t>
        </is>
      </c>
      <c r="K28" s="164" t="inlineStr">
        <is>
          <t>D</t>
        </is>
      </c>
      <c r="L28" s="161" t="inlineStr">
        <is>
          <t>Already sells imaging into hospitals and clinics; ultrasound is the natural next modality and uses the same buyers.</t>
        </is>
      </c>
      <c r="M28" s="161" t="inlineStr">
        <is>
          <t>SonoMax 7 cart, SonoPort compact; X ray and imaging sales team can add ultrasound to existing radiology accounts</t>
        </is>
      </c>
      <c r="N28" s="164" t="n">
        <v>1</v>
      </c>
      <c r="O28" s="161" t="inlineStr">
        <is>
          <t>Tier 1: segment and channel match CHISON directly; contact first.</t>
        </is>
      </c>
      <c r="P28" s="161" t="inlineStr">
        <is>
          <t>KIMES 2026 exhibitor directory; email third party page, confirm before sending, 7 Oct 2026</t>
        </is>
      </c>
      <c r="Q28" s="161" t="n"/>
      <c r="R28" s="161" t="n"/>
      <c r="S28" s="165" t="inlineStr">
        <is>
          <t>Confirm</t>
        </is>
      </c>
    </row>
    <row r="29" ht="60" customHeight="1" s="104">
      <c r="A29" s="161" t="n">
        <v>25</v>
      </c>
      <c r="B29" s="162" t="inlineStr">
        <is>
          <t>KMTec Co., Ltd. 주식회사 케이엠텍</t>
        </is>
      </c>
      <c r="C29" s="161" t="inlineStr">
        <is>
          <t>Not started</t>
        </is>
      </c>
      <c r="D29" s="161" t="inlineStr">
        <is>
          <t>Clinic and primary care supply. Imports and services measurement equipment installed in about 100 health screening centres.</t>
        </is>
      </c>
      <c r="E29" s="161" t="inlineStr">
        <is>
          <t>Not confirmed; ask on the first call</t>
        </is>
      </c>
      <c r="F29" s="161" t="inlineStr">
        <is>
          <t>Anyang</t>
        </is>
      </c>
      <c r="G29" s="163" t="inlineStr">
        <is>
          <t>https://kmtec.com</t>
        </is>
      </c>
      <c r="H29" s="161" t="inlineStr">
        <is>
          <t>031-420-4604</t>
        </is>
      </c>
      <c r="I29" s="161" t="inlineStr">
        <is>
          <t>kmtec@kmtec.com</t>
        </is>
      </c>
      <c r="J29" s="161" t="inlineStr">
        <is>
          <t>Anyang. Tel 031-420-4604. Found via KIMES 2026 exhibitor directory.</t>
        </is>
      </c>
      <c r="K29" s="164" t="inlineStr">
        <is>
          <t>D</t>
        </is>
      </c>
      <c r="L29" s="161" t="inlineStr">
        <is>
          <t>Clinic channel, the end user James flagged as the opening (GPs and small clinics); SonoAir is a wireless handheld that Mindray does not offer.</t>
        </is>
      </c>
      <c r="M29" s="161" t="inlineStr">
        <is>
          <t>SonoAir 30, SonoEye P3 for primary care; SonoGO for new clinic opening packages</t>
        </is>
      </c>
      <c r="N29" s="164" t="n">
        <v>1</v>
      </c>
      <c r="O29" s="161" t="inlineStr">
        <is>
          <t>Tier 1: segment and channel match CHISON directly; contact first.</t>
        </is>
      </c>
      <c r="P29" s="161" t="inlineStr">
        <is>
          <t>KIMES 2026 exhibitor directory; email third party page, confirm before sending, 7 Oct 2026</t>
        </is>
      </c>
      <c r="Q29" s="161" t="n"/>
      <c r="R29" s="161" t="n"/>
      <c r="S29" s="165" t="inlineStr">
        <is>
          <t>Confirm</t>
        </is>
      </c>
    </row>
    <row r="30" ht="60" customHeight="1" s="104">
      <c r="A30" s="161" t="n">
        <v>26</v>
      </c>
      <c r="B30" s="162" t="inlineStr">
        <is>
          <t>Shinhan Medical Co., Ltd. 신한메디칼(주)</t>
        </is>
      </c>
      <c r="C30" s="161" t="inlineStr">
        <is>
          <t>Not started</t>
        </is>
      </c>
      <c r="D30" s="161" t="inlineStr">
        <is>
          <t>General medical equipment. Respiratory diagnostics importer since 1983 supplying hospitals nationwide.</t>
        </is>
      </c>
      <c r="E30" s="161" t="inlineStr">
        <is>
          <t>Not confirmed; ask on the first call</t>
        </is>
      </c>
      <c r="F30" s="161" t="inlineStr">
        <is>
          <t>Seoul Seongdong</t>
        </is>
      </c>
      <c r="G30" s="163" t="inlineStr">
        <is>
          <t>https://shinhanmedi.com</t>
        </is>
      </c>
      <c r="H30" s="161" t="inlineStr">
        <is>
          <t>02-577-4561</t>
        </is>
      </c>
      <c r="I30" s="161" t="inlineStr">
        <is>
          <t>info@shinhanmedi.com</t>
        </is>
      </c>
      <c r="J30" s="161" t="inlineStr">
        <is>
          <t>Seoul Seongdong. Tel 02-577-4561. Found via KIMES 2026 exhibitor directory.</t>
        </is>
      </c>
      <c r="K30" s="164" t="inlineStr">
        <is>
          <t>A</t>
        </is>
      </c>
      <c r="L30" s="161" t="inlineStr">
        <is>
          <t>General medical equipment supplier with hospital and clinic accounts; can open ultrasound as a new line.</t>
        </is>
      </c>
      <c r="M30" s="161" t="inlineStr">
        <is>
          <t>SonoGO cart, SonoAir 70 handheld as a starter ultrasound line for a general hospital supplier</t>
        </is>
      </c>
      <c r="N30" s="164" t="n">
        <v>1</v>
      </c>
      <c r="O30" s="161" t="inlineStr">
        <is>
          <t>Tier 1: segment and channel match CHISON directly; contact first.</t>
        </is>
      </c>
      <c r="P30" s="161" t="inlineStr">
        <is>
          <t>KIMES 2026 exhibitor directory; email read on the company site, 7 Oct 2026</t>
        </is>
      </c>
      <c r="Q30" s="161" t="n"/>
      <c r="R30" s="161" t="n"/>
      <c r="S30" s="165" t="inlineStr">
        <is>
          <t>Yes</t>
        </is>
      </c>
    </row>
    <row r="31" ht="60" customHeight="1" s="104">
      <c r="A31" s="161" t="n">
        <v>27</v>
      </c>
      <c r="B31" s="162" t="inlineStr">
        <is>
          <t>UIC Commercial Firm Inc. (주)유아이씨커머셜펌</t>
        </is>
      </c>
      <c r="C31" s="161" t="inlineStr">
        <is>
          <t>Not started</t>
        </is>
      </c>
      <c r="D31" s="161" t="inlineStr">
        <is>
          <t>Orthopaedic, rehab, pain. Exclusive STORZ Medical distributor (ESWT, EMTT) for pain and orthopaedic clinics.</t>
        </is>
      </c>
      <c r="E31" s="161" t="inlineStr">
        <is>
          <t>Not confirmed; ask on the first call</t>
        </is>
      </c>
      <c r="F31" s="161" t="inlineStr">
        <is>
          <t>Guri</t>
        </is>
      </c>
      <c r="G31" s="163" t="inlineStr">
        <is>
          <t>https://uicin.com</t>
        </is>
      </c>
      <c r="H31" s="161" t="inlineStr">
        <is>
          <t>02-400-8670</t>
        </is>
      </c>
      <c r="I31" s="161" t="inlineStr">
        <is>
          <t>info@uicin.com</t>
        </is>
      </c>
      <c r="J31" s="161" t="inlineStr">
        <is>
          <t>Guri. Tel 02-400-8670. Found via KIMES 2026 exhibitor directory.</t>
        </is>
      </c>
      <c r="K31" s="164" t="inlineStr">
        <is>
          <t>A</t>
        </is>
      </c>
      <c r="L31" s="161" t="inlineStr">
        <is>
          <t>Orthopaedic, rehab and pain clinics buy linear probe ultrasound for injection guidance; CHISON linear image quality is the edge.</t>
        </is>
      </c>
      <c r="M31" s="161" t="inlineStr">
        <is>
          <t>SonoEye P5 linear, SonoAir 30/70 for orthopaedic, rehab and pain clinics</t>
        </is>
      </c>
      <c r="N31" s="164" t="n">
        <v>1</v>
      </c>
      <c r="O31" s="161" t="inlineStr">
        <is>
          <t>Tier 1: segment and channel match CHISON directly; contact first.</t>
        </is>
      </c>
      <c r="P31" s="161" t="inlineStr">
        <is>
          <t>KIMES 2026 exhibitor directory; email read on the company site, 7 Oct 2026</t>
        </is>
      </c>
      <c r="Q31" s="161" t="n"/>
      <c r="R31" s="161" t="n"/>
      <c r="S31" s="165" t="inlineStr">
        <is>
          <t>Yes</t>
        </is>
      </c>
    </row>
    <row r="32" ht="60" customHeight="1" s="104">
      <c r="A32" s="161" t="n">
        <v>28</v>
      </c>
      <c r="B32" s="162" t="inlineStr">
        <is>
          <t>Cherubsmedi Co., Ltd. 주식회사 치어럽스메디</t>
        </is>
      </c>
      <c r="C32" s="161" t="inlineStr">
        <is>
          <t>Not started</t>
        </is>
      </c>
      <c r="D32" s="161" t="inlineStr">
        <is>
          <t>Surgical, OR and anaesthesia. Imports from 13 countries for orthopaedics, anaesthesia and pain, OB/GYN, neurology and rehab.</t>
        </is>
      </c>
      <c r="E32" s="161" t="inlineStr">
        <is>
          <t>Not confirmed; ask on the first call</t>
        </is>
      </c>
      <c r="F32" s="161" t="inlineStr">
        <is>
          <t>Seoul Geumcheon</t>
        </is>
      </c>
      <c r="G32" s="163" t="inlineStr">
        <is>
          <t>https://cherubsmedi.com</t>
        </is>
      </c>
      <c r="H32" s="161" t="inlineStr">
        <is>
          <t>02-2633-5820</t>
        </is>
      </c>
      <c r="I32" s="161" t="inlineStr">
        <is>
          <t>cherubs5820@naver.com</t>
        </is>
      </c>
      <c r="J32" s="161" t="inlineStr">
        <is>
          <t>Seoul Geumcheon. Tel 02-2633-5820. Found via KIMES 2026 exhibitor directory.</t>
        </is>
      </c>
      <c r="K32" s="164" t="inlineStr">
        <is>
          <t>A</t>
        </is>
      </c>
      <c r="L32" s="161" t="inlineStr">
        <is>
          <t>Theatre and anaesthesia accounts are the entry point for point of care ultrasound (nerve block, vascular access).</t>
        </is>
      </c>
      <c r="M32" s="161" t="inlineStr">
        <is>
          <t>SonoTouch tablet, SonoEye P3 for nerve block and vascular access in theatre</t>
        </is>
      </c>
      <c r="N32" s="164" t="n">
        <v>1</v>
      </c>
      <c r="O32" s="161" t="inlineStr">
        <is>
          <t>Tier 1: segment and channel match CHISON directly; contact first.</t>
        </is>
      </c>
      <c r="P32" s="161" t="inlineStr">
        <is>
          <t>KIMES 2026 exhibitor directory; email read on the company site, 7 Oct 2026</t>
        </is>
      </c>
      <c r="Q32" s="161" t="n"/>
      <c r="R32" s="161" t="n"/>
      <c r="S32" s="165" t="inlineStr">
        <is>
          <t>Yes</t>
        </is>
      </c>
    </row>
    <row r="33" ht="60" customHeight="1" s="104">
      <c r="A33" s="161" t="n">
        <v>29</v>
      </c>
      <c r="B33" s="162" t="inlineStr">
        <is>
          <t>MCLE 메디클</t>
        </is>
      </c>
      <c r="C33" s="161" t="inlineStr">
        <is>
          <t>Not started</t>
        </is>
      </c>
      <c r="D33" s="161" t="inlineStr">
        <is>
          <t>Imaging (X ray, radiology). Medical device and contrast media distributor into imaging departments.</t>
        </is>
      </c>
      <c r="E33" s="161" t="inlineStr">
        <is>
          <t>Not confirmed; ask on the first call</t>
        </is>
      </c>
      <c r="F33" s="161" t="inlineStr">
        <is>
          <t>Korea</t>
        </is>
      </c>
      <c r="G33" s="163" t="inlineStr">
        <is>
          <t>https://mcle.co.kr</t>
        </is>
      </c>
      <c r="H33" s="161" t="inlineStr">
        <is>
          <t>Not published</t>
        </is>
      </c>
      <c r="I33" s="161" t="inlineStr">
        <is>
          <t>yskim@mcle.co.kr</t>
        </is>
      </c>
      <c r="J33" s="161" t="inlineStr">
        <is>
          <t>Korea. Found via Web search, company site.</t>
        </is>
      </c>
      <c r="K33" s="164" t="inlineStr">
        <is>
          <t>A</t>
        </is>
      </c>
      <c r="L33" s="161" t="inlineStr">
        <is>
          <t>Already sells imaging into hospitals and clinics; ultrasound is the natural next modality and uses the same buyers.</t>
        </is>
      </c>
      <c r="M33" s="161" t="inlineStr">
        <is>
          <t>SonoMax 7 cart, SonoPort compact; X ray and imaging sales team can add ultrasound to existing radiology accounts</t>
        </is>
      </c>
      <c r="N33" s="164" t="n">
        <v>1</v>
      </c>
      <c r="O33" s="161" t="inlineStr">
        <is>
          <t>Tier 1: segment and channel match CHISON directly; contact first.</t>
        </is>
      </c>
      <c r="P33" s="161" t="inlineStr">
        <is>
          <t>Web search, company site; email read on the company site, 7 Oct 2026</t>
        </is>
      </c>
      <c r="Q33" s="161" t="n"/>
      <c r="R33" s="161" t="n"/>
      <c r="S33" s="165" t="inlineStr">
        <is>
          <t>Yes</t>
        </is>
      </c>
    </row>
    <row r="34" ht="60" customHeight="1" s="104">
      <c r="A34" s="161" t="n">
        <v>30</v>
      </c>
      <c r="B34" s="162" t="inlineStr">
        <is>
          <t>Dongmyung Medical Co., Ltd. 동명메디칼</t>
        </is>
      </c>
      <c r="C34" s="161" t="inlineStr">
        <is>
          <t>Not started</t>
        </is>
      </c>
      <c r="D34" s="161" t="inlineStr">
        <is>
          <t>General medical equipment. Busan importer and seller of medical devices for 20 years.</t>
        </is>
      </c>
      <c r="E34" s="161" t="inlineStr">
        <is>
          <t>Not confirmed; ask on the first call</t>
        </is>
      </c>
      <c r="F34" s="161" t="inlineStr">
        <is>
          <t>Busan</t>
        </is>
      </c>
      <c r="G34" s="163" t="inlineStr">
        <is>
          <t>https://dmmed.co.kr</t>
        </is>
      </c>
      <c r="H34" s="161" t="inlineStr">
        <is>
          <t>Not published</t>
        </is>
      </c>
      <c r="I34" s="161" t="inlineStr">
        <is>
          <t>dmmed@naver.com</t>
        </is>
      </c>
      <c r="J34" s="161" t="inlineStr">
        <is>
          <t>Busan. Found via Web search, company site.</t>
        </is>
      </c>
      <c r="K34" s="164" t="inlineStr">
        <is>
          <t>A</t>
        </is>
      </c>
      <c r="L34" s="161" t="inlineStr">
        <is>
          <t>General medical equipment supplier with hospital and clinic accounts; can open ultrasound as a new line.</t>
        </is>
      </c>
      <c r="M34" s="161" t="inlineStr">
        <is>
          <t>SonoGO cart, SonoAir 70 handheld as a starter ultrasound line for a general hospital supplier</t>
        </is>
      </c>
      <c r="N34" s="164" t="n">
        <v>1</v>
      </c>
      <c r="O34" s="161" t="inlineStr">
        <is>
          <t>Tier 1: segment and channel match CHISON directly; contact first.</t>
        </is>
      </c>
      <c r="P34" s="161" t="inlineStr">
        <is>
          <t>Web search, company site; email read on the company site, 7 Oct 2026</t>
        </is>
      </c>
      <c r="Q34" s="161" t="n"/>
      <c r="R34" s="161" t="n"/>
      <c r="S34" s="165" t="inlineStr">
        <is>
          <t>Yes</t>
        </is>
      </c>
    </row>
    <row r="35" ht="60" customHeight="1" s="104">
      <c r="A35" s="161" t="n">
        <v>31</v>
      </c>
      <c r="B35" s="162" t="inlineStr">
        <is>
          <t>SJ1004 SJ1004</t>
        </is>
      </c>
      <c r="C35" s="161" t="inlineStr">
        <is>
          <t>Not started</t>
        </is>
      </c>
      <c r="D35" s="161" t="inlineStr">
        <is>
          <t>Clinic and primary care supply. Clinic opening medical equipment specialist.</t>
        </is>
      </c>
      <c r="E35" s="161" t="inlineStr">
        <is>
          <t>Not confirmed; ask on the first call</t>
        </is>
      </c>
      <c r="F35" s="161" t="inlineStr">
        <is>
          <t>Korea</t>
        </is>
      </c>
      <c r="G35" s="163" t="inlineStr">
        <is>
          <t>https://sj1004.co.kr</t>
        </is>
      </c>
      <c r="H35" s="161" t="inlineStr">
        <is>
          <t>Not published</t>
        </is>
      </c>
      <c r="I35" s="161" t="inlineStr">
        <is>
          <t>autocycle@hanmail.net</t>
        </is>
      </c>
      <c r="J35" s="161" t="inlineStr">
        <is>
          <t>Korea. Found via Web search, company site.</t>
        </is>
      </c>
      <c r="K35" s="164" t="inlineStr">
        <is>
          <t>A</t>
        </is>
      </c>
      <c r="L35" s="161" t="inlineStr">
        <is>
          <t>Clinic channel, the end user James flagged as the opening (GPs and small clinics); SonoAir is a wireless handheld that Mindray does not offer.</t>
        </is>
      </c>
      <c r="M35" s="161" t="inlineStr">
        <is>
          <t>SonoAir 30, SonoEye P3 for primary care; SonoGO for new clinic opening packages</t>
        </is>
      </c>
      <c r="N35" s="164" t="n">
        <v>1</v>
      </c>
      <c r="O35" s="161" t="inlineStr">
        <is>
          <t>Tier 1: segment and channel match CHISON directly; contact first.</t>
        </is>
      </c>
      <c r="P35" s="161" t="inlineStr">
        <is>
          <t>Web search, company site; email read on the company site, 7 Oct 2026</t>
        </is>
      </c>
      <c r="Q35" s="161" t="n"/>
      <c r="R35" s="161" t="n"/>
      <c r="S35" s="165" t="inlineStr">
        <is>
          <t>Yes</t>
        </is>
      </c>
    </row>
    <row r="36" ht="60" customHeight="1" s="104">
      <c r="A36" s="161" t="n">
        <v>32</v>
      </c>
      <c r="B36" s="162" t="inlineStr">
        <is>
          <t>Segi Medical 세기메디칼</t>
        </is>
      </c>
      <c r="C36" s="161" t="inlineStr">
        <is>
          <t>Not started</t>
        </is>
      </c>
      <c r="D36" s="161" t="inlineStr">
        <is>
          <t>Imaging (X ray, radiology). X-ray equipment importer and seller; pain device maker.</t>
        </is>
      </c>
      <c r="E36" s="161" t="inlineStr">
        <is>
          <t>Not confirmed; ask on the first call</t>
        </is>
      </c>
      <c r="F36" s="161" t="inlineStr">
        <is>
          <t>Korea</t>
        </is>
      </c>
      <c r="G36" s="163" t="inlineStr">
        <is>
          <t>https://segimedical.co.kr</t>
        </is>
      </c>
      <c r="H36" s="161" t="inlineStr">
        <is>
          <t>Not published</t>
        </is>
      </c>
      <c r="I36" s="161" t="inlineStr">
        <is>
          <t>rutus@hanafos.com</t>
        </is>
      </c>
      <c r="J36" s="161" t="inlineStr">
        <is>
          <t>Korea. Found via Web search, company site.</t>
        </is>
      </c>
      <c r="K36" s="164" t="inlineStr">
        <is>
          <t>A</t>
        </is>
      </c>
      <c r="L36" s="161" t="inlineStr">
        <is>
          <t>Already sells imaging into hospitals and clinics; ultrasound is the natural next modality and uses the same buyers.</t>
        </is>
      </c>
      <c r="M36" s="161" t="inlineStr">
        <is>
          <t>SonoMax 7 cart, SonoPort compact; X ray and imaging sales team can add ultrasound to existing radiology accounts</t>
        </is>
      </c>
      <c r="N36" s="164" t="n">
        <v>1</v>
      </c>
      <c r="O36" s="161" t="inlineStr">
        <is>
          <t>Tier 1: segment and channel match CHISON directly; contact first.</t>
        </is>
      </c>
      <c r="P36" s="161" t="inlineStr">
        <is>
          <t>Web search, company site; email read on the company site, 7 Oct 2026</t>
        </is>
      </c>
      <c r="Q36" s="161" t="n"/>
      <c r="R36" s="161" t="n"/>
      <c r="S36" s="165" t="inlineStr">
        <is>
          <t>Yes</t>
        </is>
      </c>
    </row>
    <row r="37" ht="60" customHeight="1" s="104">
      <c r="A37" s="161" t="n">
        <v>33</v>
      </c>
      <c r="B37" s="162" t="inlineStr">
        <is>
          <t>MVR Korea Co., Ltd. 엠브이알코리아</t>
        </is>
      </c>
      <c r="C37" s="161" t="inlineStr">
        <is>
          <t>Not started</t>
        </is>
      </c>
      <c r="D37" s="161" t="inlineStr">
        <is>
          <t>Surgical, OR and anaesthesia. Imports OR, rehab and pain equipment since 1998, linked to medical schools.</t>
        </is>
      </c>
      <c r="E37" s="161" t="inlineStr">
        <is>
          <t>Not confirmed; ask on the first call</t>
        </is>
      </c>
      <c r="F37" s="161" t="inlineStr">
        <is>
          <t>Korea</t>
        </is>
      </c>
      <c r="G37" s="163" t="inlineStr">
        <is>
          <t>https://mvrkorea.co.kr</t>
        </is>
      </c>
      <c r="H37" s="161" t="inlineStr">
        <is>
          <t>Not published</t>
        </is>
      </c>
      <c r="I37" s="161" t="inlineStr">
        <is>
          <t>mvr@mvrkorea.com</t>
        </is>
      </c>
      <c r="J37" s="161" t="inlineStr">
        <is>
          <t>Korea. Found via Web search, company site.</t>
        </is>
      </c>
      <c r="K37" s="164" t="inlineStr">
        <is>
          <t>A</t>
        </is>
      </c>
      <c r="L37" s="161" t="inlineStr">
        <is>
          <t>Theatre and anaesthesia accounts are the entry point for point of care ultrasound (nerve block, vascular access).</t>
        </is>
      </c>
      <c r="M37" s="161" t="inlineStr">
        <is>
          <t>SonoTouch tablet, SonoEye P3 for nerve block and vascular access in theatre</t>
        </is>
      </c>
      <c r="N37" s="164" t="n">
        <v>1</v>
      </c>
      <c r="O37" s="161" t="inlineStr">
        <is>
          <t>Tier 1: segment and channel match CHISON directly; contact first.</t>
        </is>
      </c>
      <c r="P37" s="161" t="inlineStr">
        <is>
          <t>Web search, company site; email read on the company site; email domain differs from the website, confirm, 7 Oct 2026</t>
        </is>
      </c>
      <c r="Q37" s="161" t="n"/>
      <c r="R37" s="161" t="n"/>
      <c r="S37" s="165" t="inlineStr">
        <is>
          <t>Yes</t>
        </is>
      </c>
    </row>
    <row r="38" ht="60" customHeight="1" s="104">
      <c r="A38" s="161" t="n">
        <v>34</v>
      </c>
      <c r="B38" s="162" t="inlineStr">
        <is>
          <t>Sudo Healthcare 수도헬스케어</t>
        </is>
      </c>
      <c r="C38" s="161" t="inlineStr">
        <is>
          <t>Not started</t>
        </is>
      </c>
      <c r="D38" s="161" t="inlineStr">
        <is>
          <t>Surgical, OR and anaesthesia. 25+ years supplying ventilators, OR equipment and patient monitors to tertiary hospitals.</t>
        </is>
      </c>
      <c r="E38" s="161" t="inlineStr">
        <is>
          <t>Not confirmed; ask on the first call</t>
        </is>
      </c>
      <c r="F38" s="161" t="inlineStr">
        <is>
          <t>Korea</t>
        </is>
      </c>
      <c r="G38" s="163" t="inlineStr">
        <is>
          <t>https://sudohc.com</t>
        </is>
      </c>
      <c r="H38" s="161" t="inlineStr">
        <is>
          <t>Not published</t>
        </is>
      </c>
      <c r="I38" s="161" t="inlineStr">
        <is>
          <t>sudohc@sudohc.com</t>
        </is>
      </c>
      <c r="J38" s="161" t="inlineStr">
        <is>
          <t>Korea. Found via Web search, company site.</t>
        </is>
      </c>
      <c r="K38" s="164" t="inlineStr">
        <is>
          <t>C</t>
        </is>
      </c>
      <c r="L38" s="161" t="inlineStr">
        <is>
          <t>Theatre and anaesthesia accounts are the entry point for point of care ultrasound (nerve block, vascular access).</t>
        </is>
      </c>
      <c r="M38" s="161" t="inlineStr">
        <is>
          <t>SonoTouch tablet, SonoEye P3 for nerve block and vascular access in theatre</t>
        </is>
      </c>
      <c r="N38" s="164" t="n">
        <v>1</v>
      </c>
      <c r="O38" s="161" t="inlineStr">
        <is>
          <t>Tier 1: segment and channel match CHISON directly; contact first.</t>
        </is>
      </c>
      <c r="P38" s="161" t="inlineStr">
        <is>
          <t>Web search, company site; email search result of the company page, 7 Oct 2026</t>
        </is>
      </c>
      <c r="Q38" s="161" t="n"/>
      <c r="R38" s="161" t="n"/>
      <c r="S38" s="165" t="inlineStr">
        <is>
          <t>Yes</t>
        </is>
      </c>
    </row>
    <row r="39" ht="60" customHeight="1" s="104">
      <c r="A39" s="161" t="n">
        <v>35</v>
      </c>
      <c r="B39" s="162" t="inlineStr">
        <is>
          <t>Dongbang Medical (Welch Allyn) 동방의료기</t>
        </is>
      </c>
      <c r="C39" s="161" t="inlineStr">
        <is>
          <t>Not started</t>
        </is>
      </c>
      <c r="D39" s="161" t="inlineStr">
        <is>
          <t>Clinic and primary care supply. Welch Allyn importer serving neurosurgery, anaesthesia, urology, ENT and ER.</t>
        </is>
      </c>
      <c r="E39" s="161" t="inlineStr">
        <is>
          <t>Not confirmed; ask on the first call</t>
        </is>
      </c>
      <c r="F39" s="161" t="inlineStr">
        <is>
          <t>Korea</t>
        </is>
      </c>
      <c r="G39" s="163" t="inlineStr">
        <is>
          <t>https://welchallynkorea.kr</t>
        </is>
      </c>
      <c r="H39" s="161" t="inlineStr">
        <is>
          <t>Not published</t>
        </is>
      </c>
      <c r="I39" s="161" t="inlineStr">
        <is>
          <t>dongbang@dhcare.kr</t>
        </is>
      </c>
      <c r="J39" s="161" t="inlineStr">
        <is>
          <t>Korea. Found via Web search, company site.</t>
        </is>
      </c>
      <c r="K39" s="164" t="inlineStr">
        <is>
          <t>A</t>
        </is>
      </c>
      <c r="L39" s="161" t="inlineStr">
        <is>
          <t>Clinic channel, the end user James flagged as the opening (GPs and small clinics); SonoAir is a wireless handheld that Mindray does not offer.</t>
        </is>
      </c>
      <c r="M39" s="161" t="inlineStr">
        <is>
          <t>SonoAir 30, SonoEye P3 for primary care; SonoGO for new clinic opening packages</t>
        </is>
      </c>
      <c r="N39" s="164" t="n">
        <v>1</v>
      </c>
      <c r="O39" s="161" t="inlineStr">
        <is>
          <t>Tier 1: segment and channel match CHISON directly; contact first.</t>
        </is>
      </c>
      <c r="P39" s="161" t="inlineStr">
        <is>
          <t>Web search, company site; email read on the company site; email domain differs from the website, confirm, 7 Oct 2026</t>
        </is>
      </c>
      <c r="Q39" s="161" t="n"/>
      <c r="R39" s="161" t="n"/>
      <c r="S39" s="165" t="inlineStr">
        <is>
          <t>Yes</t>
        </is>
      </c>
    </row>
    <row r="40" ht="60" customHeight="1" s="104">
      <c r="A40" s="161" t="n">
        <v>36</v>
      </c>
      <c r="B40" s="162" t="inlineStr">
        <is>
          <t>Daebo Medical 대보메디칼</t>
        </is>
      </c>
      <c r="C40" s="161" t="inlineStr">
        <is>
          <t>Not started</t>
        </is>
      </c>
      <c r="D40" s="161" t="inlineStr">
        <is>
          <t>Clinic and primary care supply. Clinic opening equipment specialist covering all items a new clinic needs.</t>
        </is>
      </c>
      <c r="E40" s="161" t="inlineStr">
        <is>
          <t>Not confirmed; ask on the first call</t>
        </is>
      </c>
      <c r="F40" s="161" t="inlineStr">
        <is>
          <t>Korea</t>
        </is>
      </c>
      <c r="G40" s="163" t="inlineStr">
        <is>
          <t>https://daebomedical.co.kr</t>
        </is>
      </c>
      <c r="H40" s="161" t="inlineStr">
        <is>
          <t>Not published</t>
        </is>
      </c>
      <c r="I40" s="161" t="inlineStr">
        <is>
          <t>dbman817@hanmail.net</t>
        </is>
      </c>
      <c r="J40" s="161" t="inlineStr">
        <is>
          <t>Korea. Found via Web search, company site.</t>
        </is>
      </c>
      <c r="K40" s="164" t="inlineStr">
        <is>
          <t>A</t>
        </is>
      </c>
      <c r="L40" s="161" t="inlineStr">
        <is>
          <t>Clinic channel, the end user James flagged as the opening (GPs and small clinics); SonoAir is a wireless handheld that Mindray does not offer.</t>
        </is>
      </c>
      <c r="M40" s="161" t="inlineStr">
        <is>
          <t>SonoAir 30, SonoEye P3 for primary care; SonoGO for new clinic opening packages</t>
        </is>
      </c>
      <c r="N40" s="164" t="n">
        <v>1</v>
      </c>
      <c r="O40" s="161" t="inlineStr">
        <is>
          <t>Tier 1: segment and channel match CHISON directly; contact first.</t>
        </is>
      </c>
      <c r="P40" s="161" t="inlineStr">
        <is>
          <t>Web search, company site; email read on the company site, 7 Oct 2026</t>
        </is>
      </c>
      <c r="Q40" s="161" t="n"/>
      <c r="R40" s="161" t="n"/>
      <c r="S40" s="165" t="inlineStr">
        <is>
          <t>Yes</t>
        </is>
      </c>
    </row>
    <row r="41" ht="60" customHeight="1" s="104">
      <c r="A41" s="161" t="n">
        <v>37</v>
      </c>
      <c r="B41" s="162" t="inlineStr">
        <is>
          <t>Dream Doctors 드림닥터스</t>
        </is>
      </c>
      <c r="C41" s="161" t="inlineStr">
        <is>
          <t>Not started</t>
        </is>
      </c>
      <c r="D41" s="161" t="inlineStr">
        <is>
          <t>Orthopaedic, rehab, pain. Clinic opening consultancy focused on orthopaedic, pain and rehab clinics.</t>
        </is>
      </c>
      <c r="E41" s="161" t="inlineStr">
        <is>
          <t>Not confirmed; ask on the first call</t>
        </is>
      </c>
      <c r="F41" s="161" t="inlineStr">
        <is>
          <t>Korea</t>
        </is>
      </c>
      <c r="G41" s="163" t="inlineStr">
        <is>
          <t>https://dreamdoctors.co.kr</t>
        </is>
      </c>
      <c r="H41" s="161" t="inlineStr">
        <is>
          <t>Not published</t>
        </is>
      </c>
      <c r="I41" s="161" t="inlineStr">
        <is>
          <t>qndqnd1212@naver.com</t>
        </is>
      </c>
      <c r="J41" s="161" t="inlineStr">
        <is>
          <t>Korea. Found via Web search, company site.</t>
        </is>
      </c>
      <c r="K41" s="164" t="inlineStr">
        <is>
          <t>A</t>
        </is>
      </c>
      <c r="L41" s="161" t="inlineStr">
        <is>
          <t>Orthopaedic, rehab and pain clinics buy linear probe ultrasound for injection guidance; CHISON linear image quality is the edge.</t>
        </is>
      </c>
      <c r="M41" s="161" t="inlineStr">
        <is>
          <t>SonoEye P5 linear, SonoAir 30/70 for orthopaedic, rehab and pain clinics</t>
        </is>
      </c>
      <c r="N41" s="164" t="n">
        <v>1</v>
      </c>
      <c r="O41" s="161" t="inlineStr">
        <is>
          <t>Tier 1: segment and channel match CHISON directly; contact first.</t>
        </is>
      </c>
      <c r="P41" s="161" t="inlineStr">
        <is>
          <t>Web search, company site; email read on the company site, 7 Oct 2026</t>
        </is>
      </c>
      <c r="Q41" s="161" t="n"/>
      <c r="R41" s="161" t="n"/>
      <c r="S41" s="165" t="inlineStr">
        <is>
          <t>Yes</t>
        </is>
      </c>
    </row>
    <row r="42" ht="60" customHeight="1" s="104">
      <c r="A42" s="161" t="n">
        <v>38</v>
      </c>
      <c r="B42" s="162" t="inlineStr">
        <is>
          <t>Hames Co., Ltd. 하메스</t>
        </is>
      </c>
      <c r="C42" s="161" t="inlineStr">
        <is>
          <t>Not started</t>
        </is>
      </c>
      <c r="D42" s="161" t="inlineStr">
        <is>
          <t>Clinic and primary care supply. Public health centre equipment specialist: selection, ordering, supply and A/S.</t>
        </is>
      </c>
      <c r="E42" s="161" t="inlineStr">
        <is>
          <t>Not confirmed; ask on the first call</t>
        </is>
      </c>
      <c r="F42" s="161" t="inlineStr">
        <is>
          <t>Korea</t>
        </is>
      </c>
      <c r="G42" s="163" t="inlineStr">
        <is>
          <t>https://hames.co.kr</t>
        </is>
      </c>
      <c r="H42" s="161" t="inlineStr">
        <is>
          <t>Not published</t>
        </is>
      </c>
      <c r="I42" s="161" t="inlineStr">
        <is>
          <t>1942kan@naver.com</t>
        </is>
      </c>
      <c r="J42" s="161" t="inlineStr">
        <is>
          <t>Korea. Found via Web search, company site.</t>
        </is>
      </c>
      <c r="K42" s="164" t="inlineStr">
        <is>
          <t>A</t>
        </is>
      </c>
      <c r="L42" s="161" t="inlineStr">
        <is>
          <t>Clinic channel, the end user James flagged as the opening (GPs and small clinics); SonoAir is a wireless handheld that Mindray does not offer.</t>
        </is>
      </c>
      <c r="M42" s="161" t="inlineStr">
        <is>
          <t>SonoAir 30, SonoEye P3 for primary care; SonoGO for new clinic opening packages</t>
        </is>
      </c>
      <c r="N42" s="164" t="n">
        <v>1</v>
      </c>
      <c r="O42" s="161" t="inlineStr">
        <is>
          <t>Tier 1: segment and channel match CHISON directly; contact first.</t>
        </is>
      </c>
      <c r="P42" s="161" t="inlineStr">
        <is>
          <t>Web search, company site; email read on the company site, 7 Oct 2026</t>
        </is>
      </c>
      <c r="Q42" s="161" t="n"/>
      <c r="R42" s="161" t="n"/>
      <c r="S42" s="165" t="inlineStr">
        <is>
          <t>Yes</t>
        </is>
      </c>
    </row>
    <row r="43" ht="306" customHeight="1" s="104">
      <c r="A43" s="161" t="n">
        <v>39</v>
      </c>
      <c r="B43" s="162" t="inlineStr">
        <is>
          <t>JW Medical Corp. JW메디칼</t>
        </is>
      </c>
      <c r="C43" s="161" t="inlineStr">
        <is>
          <t>Not started</t>
        </is>
      </c>
      <c r="D43" s="161" t="inlineStr">
        <is>
          <t>Imaging diagnostics arm of the JW Group. Imports and services MRI, CT, mobile X-ray, ultrasound, mammography and endoscopy, with nationwide service. Positions itself as Korea's number one diagnostic imaging partner</t>
        </is>
      </c>
      <c r="E43" s="161" t="inlineStr">
        <is>
          <t>Yes. Imports ultrasound, including Fujifilm Sonosite point of care systems</t>
        </is>
      </c>
      <c r="F43" s="161" t="inlineStr">
        <is>
          <t>Gwacheon, Gyeonggi</t>
        </is>
      </c>
      <c r="G43" s="163" t="inlineStr">
        <is>
          <t>https://jw-medical.co.kr</t>
        </is>
      </c>
      <c r="H43" s="161" t="inlineStr">
        <is>
          <t>02-2109-7700 (product line 1588-3675)</t>
        </is>
      </c>
      <c r="I43" s="161" t="inlineStr">
        <is>
          <t>bjkim@jw-medical.co.kr</t>
        </is>
      </c>
      <c r="J43" s="166" t="inlineStr">
        <is>
          <t>경기도 과천시 과천대로 7길 38 (갈현동) JW사옥. CEO 함은경. Part of JW Holdings, 70 year group history</t>
        </is>
      </c>
      <c r="K43" s="164" t="inlineStr">
        <is>
          <t>D</t>
        </is>
      </c>
      <c r="L43" s="161" t="inlineStr">
        <is>
          <t>Still the largest single prize in Korea and the only row in this workbook past first contact. Conflict aware rule applies: do not pitch against Sonosite in the handheld tier. Lead with the cart range, where Sonosite has no answer, and let SonoEye follow later.</t>
        </is>
      </c>
      <c r="M43" s="161" t="inlineStr">
        <is>
          <t>SonoMax 7 + SonoPort for radiology fleets. Do NOT lead with SonoEye against their Sonosite line</t>
        </is>
      </c>
      <c r="N43" s="169" t="n">
        <v>2</v>
      </c>
      <c r="O43" s="161" t="inlineStr">
        <is>
          <t>v18: moved from Tier 1 to Tier 2 because the row already notes a competing ultrasound line. Tier 1 UPHELD. Site opened 15 Sep 2026: address, both phone numbers and CEO read off their own company page. Ultrasound in the imported portfolio confirmed on their own product page, so this is a conflict aware approach, not a gap fill.</t>
        </is>
      </c>
      <c r="P43" s="161" t="inlineStr">
        <is>
          <t>Verified site (own company page); v18 (7 Oct 2026): email third party page, confirm before sending</t>
        </is>
      </c>
      <c r="Q43" s="161" t="inlineStr">
        <is>
          <t>CHISON ultrasound for JW Medical JW메디칼: the cart tier your current line does not cover</t>
        </is>
      </c>
      <c r="R43" s="161" t="inlineStr">
        <is>
          <t>Dear JW Medical Corp. JW메디칼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import and service the full imaging range and you already carry point of care ultrasound. That is precisely why I am writing about the cart tier rather than the handheld tier: it is where your current ultrasound line has nothing to offer.
Where CHISON fits: a second brand at the cart end, priced to win the radiology, obstetric and cardiac accounts your premium lines are too expensive for. This is not a replacement conversation.
• SonoMax 7: flagship cart, full radiology, obstetric and cardiac workload, 4D
• SonoPort: new generation intelligent cart, launched April 2026
• XBit 90: premium room configuration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43" s="165" t="inlineStr">
        <is>
          <t>Confirm</t>
        </is>
      </c>
    </row>
    <row r="44" ht="306" customHeight="1" s="104">
      <c r="A44" s="161" t="n">
        <v>40</v>
      </c>
      <c r="B44" s="162" t="inlineStr">
        <is>
          <t>Medigem Co., Ltd. 메디젬</t>
        </is>
      </c>
      <c r="C44" s="161" t="inlineStr">
        <is>
          <t>Not started</t>
        </is>
      </c>
      <c r="D44" s="161" t="inlineStr">
        <is>
          <t>Domestic distribution arm named by DRGEM for the Korean market. X-ray and imaging systems</t>
        </is>
      </c>
      <c r="E44" s="161" t="inlineStr">
        <is>
          <t>Distributes DRGEM products, which include DRGEM's own DS20 and DS30 ultrasound. Treat as a competing line until confirmed</t>
        </is>
      </c>
      <c r="F44" s="161" t="inlineStr">
        <is>
          <t>Korea</t>
        </is>
      </c>
      <c r="G44" s="163" t="inlineStr">
        <is>
          <t>https://www.medigem.co.kr</t>
        </is>
      </c>
      <c r="H44" s="161" t="inlineStr">
        <is>
          <t>1533-2889</t>
        </is>
      </c>
      <c r="I44" s="161" t="inlineStr">
        <is>
          <t>domestic@medigem.co.kr</t>
        </is>
      </c>
      <c r="J44" s="166" t="inlineStr">
        <is>
          <t>Named as DRGEM's domestic partner on DRGEM's own site. Own company page is a frameset and did not render a contact block</t>
        </is>
      </c>
      <c r="K44" s="164" t="inlineStr">
        <is>
          <t>B</t>
        </is>
      </c>
      <c r="L44" s="161" t="inlineStr">
        <is>
          <t>Reachable on a published direct email, which is rare in this tab. The DRGEM ultrasound line is the complication: qualify whether they actually sell it or only the X-ray, because DRGEM ultrasound is an entry tier product and CHISON outranges it comfortably.</t>
        </is>
      </c>
      <c r="M44" s="161" t="inlineStr">
        <is>
          <t>SonoMax 7 + SonoPort if the DRGEM ultrasound relationship is X-ray only</t>
        </is>
      </c>
      <c r="N44" s="169" t="n">
        <v>2</v>
      </c>
      <c r="O44" s="161" t="inlineStr">
        <is>
          <t>v18: moved from Tier 1 to Tier 2 because the row already notes a competing ultrasound line. Tier 1 NEW in v5. Email and phone read off DRGEM's own site, 15 Sep 2026. Their own site opened but renders as a frameset with no contact block, so confidence is B not A.</t>
        </is>
      </c>
      <c r="P44" s="161" t="inlineStr">
        <is>
          <t>Verified site (principal's own page)</t>
        </is>
      </c>
      <c r="Q44" s="161" t="inlineStr">
        <is>
          <t>CHISON ultrasound for Medigem 메디젬: the cart tier above your current imaging range</t>
        </is>
      </c>
      <c r="R44" s="161" t="inlineStr">
        <is>
          <t>Dear Medigem Co., Ltd. 메디젬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handle domestic distribution for DRGEM, so you already sell imaging into Korean clinics and hospitals and you know the service economics. My question is simply how far up the ultrasound range you currently go.
Where CHISON fits: if your ultrasound exposure today is the entry tier, the cart range is open territory. CHISON covers it without asking you to give anything up.
• SonoMax 7: flagship cart, radiology, obstetric and cardiac
• SonoPort: new generation intelligent cart, launched April 2026
• SonoAir 70: laptop portable for the step down accounts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44" s="165" t="inlineStr">
        <is>
          <t>Yes</t>
        </is>
      </c>
    </row>
    <row r="45" ht="298.5" customHeight="1" s="104">
      <c r="A45" s="161" t="n">
        <v>41</v>
      </c>
      <c r="B45" s="162" t="inlineStr">
        <is>
          <t>Herges Healthcare Co., Ltd. (주)허지스헬스케어</t>
        </is>
      </c>
      <c r="C45" s="161" t="inlineStr">
        <is>
          <t>Not started</t>
        </is>
      </c>
      <c r="D45" s="161" t="inlineStr">
        <is>
          <t>Ultrasound specialist dealer. Mindray general distributor (총판) for Korea, new, demo and used ultrasound, runs its own clinical ultrasound academy, and holds a group purchase agreement with the Korean Association of Clinics (대한의원협회)</t>
        </is>
      </c>
      <c r="E45" s="161" t="inlineStr">
        <is>
          <t>Yes. Mindray ultrasound is the core business</t>
        </is>
      </c>
      <c r="F45" s="161" t="inlineStr">
        <is>
          <t>Seongnam, Gyeonggi</t>
        </is>
      </c>
      <c r="G45" s="163" t="inlineStr">
        <is>
          <t>http://herges.co.kr</t>
        </is>
      </c>
      <c r="H45" s="161" t="inlineStr">
        <is>
          <t>031-709-9770 / fax 070-4015-0199</t>
        </is>
      </c>
      <c r="I45" s="161" t="inlineStr">
        <is>
          <t>salesmarketing@herges.co.kr</t>
        </is>
      </c>
      <c r="J45" s="166" t="inlineStr">
        <is>
          <t>경기도 성남시 수정구 위례광장로320 아이에스센트럴타워 413호. Publishes delivery case studies and academy schedules</t>
        </is>
      </c>
      <c r="K45" s="164" t="inlineStr">
        <is>
          <t>A</t>
        </is>
      </c>
      <c r="L45" s="161" t="inlineStr">
        <is>
          <t>Direct Mindray conflict, so Tier 2, but read the fit note before dismissing them. The group purchase agreement with 대한의원협회 is the most valuable clinic channel asset found in this research, and their academy shows they sell ultrasound on clinical training rather than price. If Mindray exclusivity is not contractual, this is the fastest route to Korean clinic volume that exists.</t>
        </is>
      </c>
      <c r="M45" s="161" t="inlineStr">
        <is>
          <t>Conflict aware. Ask first whether Mindray exclusivity is contractual. If not, SonoEye P5 and the cart tier only, never head to head against a Mindray console</t>
        </is>
      </c>
      <c r="N45" s="169" t="n">
        <v>2</v>
      </c>
      <c r="O45" s="161" t="inlineStr">
        <is>
          <t>Tier 2 NEW in v5. Site opened 15 Sep 2026: address, phone, fax and email read off their own footer. Mindray 총판 status, the academy and the 대한의원협회 group purchase agreement all confirmed on their own notices.</t>
        </is>
      </c>
      <c r="P45" s="161" t="inlineStr">
        <is>
          <t>Verified site (own contact page)</t>
        </is>
      </c>
      <c r="Q45" s="161" t="inlineStr">
        <is>
          <t>A question before anything else for Herges 허지스헬스케어: is your Mindray agreement exclusive?</t>
        </is>
      </c>
      <c r="R45" s="161" t="inlineStr">
        <is>
          <t>Dear Herges Healthcare Co., Ltd. (주)허지스헬스케어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clinical academy and your group purchase agreement with 대한의원협회 tell me you sell ultrasound on training and channel rather than on price, which is unusual and worth respecting.
Where CHISON might fit, and the honest question first: is your Mindray agreement exclusive by contract? If it is, I will not waste your time. If it is not, there are bands in the CHISON range where we would not be asking you to sell against your own principal.
• SonoEye P5: phone paired high frequency handheld, a form factor your current line does not cover
• SonoMax 7 and SonoPort: cart tier, priced below the accounts your current line targets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45" s="165" t="inlineStr">
        <is>
          <t>Yes</t>
        </is>
      </c>
    </row>
    <row r="46" ht="296.25" customHeight="1" s="104">
      <c r="A46" s="161" t="n">
        <v>42</v>
      </c>
      <c r="B46" s="162" t="inlineStr">
        <is>
          <t>DRGEM Corporation 디알젬</t>
        </is>
      </c>
      <c r="C46" s="161" t="inlineStr">
        <is>
          <t>Not started</t>
        </is>
      </c>
      <c r="D46" s="161" t="inlineStr">
        <is>
          <t>Korean X-ray manufacturer. Stationary and mobile X-ray, digital imaging, PACS, veterinary X-ray and its own ultrasound systems (DS20, DS30). Exports to eleven or more markets</t>
        </is>
      </c>
      <c r="E46" s="161" t="inlineStr">
        <is>
          <t>Yes. Manufactures its own ultrasound, DS20 and DS30</t>
        </is>
      </c>
      <c r="F46" s="161" t="inlineStr">
        <is>
          <t>Gwangmyeong, Gyeonggi</t>
        </is>
      </c>
      <c r="G46" s="163" t="inlineStr">
        <is>
          <t>https://www.drgemhealthcare.com</t>
        </is>
      </c>
      <c r="H46" s="161" t="inlineStr">
        <is>
          <t>+82-2-869-8566</t>
        </is>
      </c>
      <c r="I46" s="161" t="inlineStr">
        <is>
          <t>sales@drgemhealthcare.com</t>
        </is>
      </c>
      <c r="J46" s="161" t="inlineStr">
        <is>
          <t>HQ and R&amp;D: 7F/13F, E-B/D Gwangmyeong Techno-Park, 60 Haan-ro, Gwangmyeong-si 14322. Factory: 213 Saneopdanji-ro, Eomo-myeon, Gimcheon-si, Gyeongsangbuk-do 39536. Domestic dealer: Medigem</t>
        </is>
      </c>
      <c r="K46" s="164" t="inlineStr">
        <is>
          <t>A</t>
        </is>
      </c>
      <c r="L46" s="161" t="inlineStr">
        <is>
          <t>A manufacturer with its own ultrasound line is a competitor, not a dealer. The reason it stays here rather than in REF is the OEM and complementary line question: their ultrasound is entry tier and their X-ray channel reaches accounts CHISON cannot. Treat as a partnership conversation, not a distribution appointment.</t>
        </is>
      </c>
      <c r="M46" s="161" t="inlineStr">
        <is>
          <t>Not a distribution target. OEM or complementary range conversation only</t>
        </is>
      </c>
      <c r="N46" s="169" t="n">
        <v>2</v>
      </c>
      <c r="O46" s="161" t="inlineStr">
        <is>
          <t>Tier 2 NEW in v5. Site opened 15 Sep 2026: addresses, phone and sales email read off their own page. CORRECTION vs the assumption that Korean X-ray makers have no ultrasound: DRGEM does, which is why they are Tier 2 and not Tier 1.</t>
        </is>
      </c>
      <c r="P46" s="161" t="inlineStr">
        <is>
          <t>Verified site (own catalogue and contact page)</t>
        </is>
      </c>
      <c r="Q46" s="161" t="inlineStr">
        <is>
          <t>CHISON and DRGEM 디알젬: a range conversation rather than a distribution one</t>
        </is>
      </c>
      <c r="R46" s="161" t="inlineStr">
        <is>
          <t>Dear DRGEM Corporation 디알젬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build your own ultrasound alongside your X-ray range, so I am not writing to appoint you as a dealer. I am writing because your ultrasound sits at the entry tier and your X-ray channel reaches accounts that a pure ultrasound brand does not.
Where a conversation might fit: a complementary range above your current ultrasound band, or an original equipment discussion. Both are worth twenty minutes.
• SonoMax 7 and SonoPort: cart tier above your current ultrasound band
• SonoEye P5: phone paired high frequency handheld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46" s="165" t="inlineStr">
        <is>
          <t>Yes</t>
        </is>
      </c>
    </row>
    <row r="47" ht="296.25" customHeight="1" s="104">
      <c r="A47" s="161" t="n">
        <v>43</v>
      </c>
      <c r="B47" s="162" t="inlineStr">
        <is>
          <t>Synex Consulting Ltd. (주)사이넥스</t>
        </is>
      </c>
      <c r="C47" s="161" t="inlineStr">
        <is>
          <t>Not started</t>
        </is>
      </c>
      <c r="D47" s="161" t="inlineStr">
        <is>
          <t>Healthcare regulatory and commercialisation consultancy. Medical device and pharmaceutical clinical trials, product approval, quality systems, insurance registration and market research. 87 MFDS device records</t>
        </is>
      </c>
      <c r="E47" s="161" t="inlineStr">
        <is>
          <t>Not applicable. This is a services firm, not a distributor</t>
        </is>
      </c>
      <c r="F47" s="161" t="inlineStr">
        <is>
          <t>Seoul</t>
        </is>
      </c>
      <c r="G47" s="163" t="inlineStr">
        <is>
          <t>https://www.synex.co.kr</t>
        </is>
      </c>
      <c r="H47" s="161" t="inlineStr">
        <is>
          <t>Not published, enquiry form: https://www.synex.co.kr</t>
        </is>
      </c>
      <c r="I47" s="161" t="inlineStr">
        <is>
          <t>inquiry@synex.co.kr</t>
        </is>
      </c>
      <c r="J47" s="161" t="inlineStr">
        <is>
          <t>Seoul. Positions itself as a total solution consultancy, from lab to patients. Also operates a medical device usability evaluation centre</t>
        </is>
      </c>
      <c r="K47" s="164" t="inlineStr">
        <is>
          <t>A</t>
        </is>
      </c>
      <c r="L47" s="161" t="inlineStr">
        <is>
          <t>Re-tiered on verification. v4 carried them as a Tier 1 dealer target, but their own site describes a consultancy: approval, quality systems and reimbursement registration, not distribution. That still makes them valuable, just for the MFDS licence route and the HIRA reimbursement work, not as a channel.</t>
        </is>
      </c>
      <c r="M47" s="161" t="inlineStr">
        <is>
          <t>Not a product conversation. MFDS pathway, licence holder structure and HIRA reimbursement scoping</t>
        </is>
      </c>
      <c r="N47" s="169" t="n">
        <v>2</v>
      </c>
      <c r="O47" s="161" t="inlineStr">
        <is>
          <t>Tier 2 RE-TIER, DOWN from Tier 1 in v4. Site opened 15 Sep 2026. CORRECTION: v4 classified them as a dealer target. Their own site describes consulting services only. Email read off their own page.</t>
        </is>
      </c>
      <c r="P47" s="161" t="inlineStr">
        <is>
          <t>Verified site (own services page)</t>
        </is>
      </c>
      <c r="Q47" s="161" t="inlineStr">
        <is>
          <t>MFDS and reimbursement scoping for a new ultrasound range entering Korea: Synex 사이넥스</t>
        </is>
      </c>
      <c r="R47" s="161" t="inlineStr">
        <is>
          <t>Dear Synex Consulting Ltd. (주)사이넥스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I am writing about services rather than distribution. CHISON Medical Technologies is entering Korea with a CE and US FDA cleared diagnostic ultrasound range and we need the MFDS pathway and the licence holder structure scoped properly before we appoint dealers.
What we would want from you: classification confirmation, the MFDS route and timeline, the licence holder options, and a view on HIRA reimbursement coding for ultrasound in the clinic segment.
• Scope: the CHISON SonoFamily diagnostic ultrasound range, cart, portable and handheld tiers
• A written proposal and indicative timeline would be the useful first output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47" s="165" t="inlineStr">
        <is>
          <t>Yes</t>
        </is>
      </c>
    </row>
    <row r="48" ht="298.5" customHeight="1" s="104">
      <c r="A48" s="161" t="n">
        <v>44</v>
      </c>
      <c r="B48" s="162" t="inlineStr">
        <is>
          <t>UBcare / GC MediAI 유비케어 · 지씨메디아이</t>
        </is>
      </c>
      <c r="C48" s="161" t="inlineStr">
        <is>
          <t>Not started</t>
        </is>
      </c>
      <c r="D48" s="161" t="inlineStr">
        <is>
          <t>Korea's largest clinic electronic medical record network. The ubcare.co.kr domain now redirects to GC MediAI, positioned as a medical artificial intelligence company</t>
        </is>
      </c>
      <c r="E48" s="161" t="inlineStr">
        <is>
          <t>No ultrasound line identified. The device distribution activity recorded in v4 could not be confirmed</t>
        </is>
      </c>
      <c r="F48" s="161" t="inlineStr">
        <is>
          <t>Seoul</t>
        </is>
      </c>
      <c r="G48" s="163" t="inlineStr">
        <is>
          <t>https://www.gcmediai.com</t>
        </is>
      </c>
      <c r="H48" s="161" t="inlineStr">
        <is>
          <t>Not published on landing page, locate via company site</t>
        </is>
      </c>
      <c r="I48" s="161" t="inlineStr">
        <is>
          <t>Not published, enquiry via https://www.gcmediai.com</t>
        </is>
      </c>
      <c r="J48" s="161" t="inlineStr">
        <is>
          <t>ubcare.co.kr redirects to gcmediai.com as of 15 Sep 2026. GC MediAI describes itself as building a medical operating system on Korea's largest medical infrastructure</t>
        </is>
      </c>
      <c r="K48" s="169" t="inlineStr">
        <is>
          <t>C</t>
        </is>
      </c>
      <c r="L48" s="161" t="inlineStr">
        <is>
          <t>Re-tiered on verification. The clinic EMR network is still the most direct route to Korean 의원 clinics that exists, but the entity has changed and the device distribution arm v4 assumed could not be confirmed. Establish which legal entity owns the device business before investing time.</t>
        </is>
      </c>
      <c r="M48" s="161" t="inlineStr">
        <is>
          <t>Channel partnership conversation. SonoEye P3 + SonoAir 30 if a device arm exists</t>
        </is>
      </c>
      <c r="N48" s="169" t="n">
        <v>2</v>
      </c>
      <c r="O48" s="161" t="inlineStr">
        <is>
          <t>Tier 2 RE-TIER, DOWN from Tier 1 in v4. CORRECTION: v4 listed UBcare with a device distribution arm. The domain now redirects to GC MediAI and the device distribution claim is unverified. Rebrand confirmed 15 Sep 2026.</t>
        </is>
      </c>
      <c r="P48" s="161" t="inlineStr">
        <is>
          <t>Verified redirect, device arm unconfirmed</t>
        </is>
      </c>
      <c r="Q48" s="161" t="inlineStr">
        <is>
          <t>CHISON ultrasound and the UBcare 유비케어 / GC MediAI 지씨메디아이 clinic network: a channel question</t>
        </is>
      </c>
      <c r="R48" s="161" t="inlineStr">
        <is>
          <t>Dear UBcare 유비케어 / GC MediAI 지씨메디아이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clinic network is the most direct route to Korean 의원 practices that exists. I am writing to ask a structural question first: which entity in the group now handles medical device distribution, if any.
Where CHISON might fit: an affordable imaging line offered into your clinic base, whether as a distributed product or as a partnership around your clinic platform.
• SonoEye P3: pocket handheld at a clinic price point
• SonoAir 30: laptop portable for general practice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48" s="170" t="inlineStr">
        <is>
          <t>No</t>
        </is>
      </c>
    </row>
    <row r="49" ht="296.25" customHeight="1" s="104">
      <c r="A49" s="161" t="n">
        <v>45</v>
      </c>
      <c r="B49" s="162" t="inlineStr">
        <is>
          <t>Technomart Inc. 태크노마트</t>
        </is>
      </c>
      <c r="C49" s="161" t="inlineStr">
        <is>
          <t>Not started</t>
        </is>
      </c>
      <c r="D49" s="161" t="inlineStr">
        <is>
          <t>Medical and laboratory device importer. Carries Fujifilm Sonosite point of care ultrasound</t>
        </is>
      </c>
      <c r="E49" s="161" t="inlineStr">
        <is>
          <t>Yes. Sonosite</t>
        </is>
      </c>
      <c r="F49" s="161" t="inlineStr">
        <is>
          <t>Korea</t>
        </is>
      </c>
      <c r="G49" s="163" t="inlineStr">
        <is>
          <t>https://technomartinc.com</t>
        </is>
      </c>
      <c r="H49" s="161" t="inlineStr">
        <is>
          <t>Not published on pages reached, locate via company site</t>
        </is>
      </c>
      <c r="I49" s="161" t="inlineStr">
        <is>
          <t>tmk@technomartinc.com</t>
        </is>
      </c>
      <c r="J49" s="161" t="inlineStr">
        <is>
          <t>Site returned 403 to automated access on 15 Sep 2026, domain is live. Sonosite relationship carried from v4 research</t>
        </is>
      </c>
      <c r="K49" s="169" t="inlineStr">
        <is>
          <t>A</t>
        </is>
      </c>
      <c r="L49" s="161" t="inlineStr">
        <is>
          <t>Portable ultrasound experience is real and useful, but the Sonosite line occupies exactly the handheld and portable band CHISON would want to lead with. Cart tier only if pursued.</t>
        </is>
      </c>
      <c r="M49" s="161" t="inlineStr">
        <is>
          <t>Conflict aware. SonoMax 7 and SonoPort only, never SonoEye against their Sonosite line</t>
        </is>
      </c>
      <c r="N49" s="169" t="n">
        <v>2</v>
      </c>
      <c r="O49" s="161" t="inlineStr">
        <is>
          <t>Tier 2 UPHELD from v4. Domain confirmed live 15 Sep 2026 but the site blocks automated access, so no contact block could be read. Confidence downgraded from v4's implied 'via website' to C.</t>
        </is>
      </c>
      <c r="P49" s="161" t="inlineStr">
        <is>
          <t>Domain live, page blocked; v18 (7 Oct 2026): email read on the company site</t>
        </is>
      </c>
      <c r="Q49" s="161" t="inlineStr">
        <is>
          <t>CHISON cart ultrasound for Technomart 태크노마트: the tier above your Sonosite line</t>
        </is>
      </c>
      <c r="R49" s="161" t="inlineStr">
        <is>
          <t>Dear Technomart Inc. 태크노마트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carry Sonosite, so you already know how portable ultrasound sells in Korea. That is precisely why I am writing about the cart tier rather than the portable one.
Where CHISON fits: the console band your current line does not reach, sold to the same customers without asking you to displace anything.
• SonoMax 7: flagship cart, full radiology, obstetric and cardiac workload
• SonoPort: new generation intelligent cart, launched April 2026
• XBit 90: premium room configuration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49" s="170" t="inlineStr">
        <is>
          <t>Yes</t>
        </is>
      </c>
    </row>
    <row r="50" ht="285.75" customHeight="1" s="104">
      <c r="A50" s="161" t="n">
        <v>46</v>
      </c>
      <c r="B50" s="162" t="inlineStr">
        <is>
          <t>Howell Medical 호웰메디칼</t>
        </is>
      </c>
      <c r="C50" s="161" t="inlineStr">
        <is>
          <t>Not started</t>
        </is>
      </c>
      <c r="D50" s="161" t="inlineStr">
        <is>
          <t>Portable ultrasound supplier with a Korean language storefront</t>
        </is>
      </c>
      <c r="E50" s="161" t="inlineStr">
        <is>
          <t>Yes. Portable ultrasound is the core offer</t>
        </is>
      </c>
      <c r="F50" s="161" t="inlineStr">
        <is>
          <t>Korea</t>
        </is>
      </c>
      <c r="G50" s="163" t="inlineStr">
        <is>
          <t>https://ko.howellmed.com</t>
        </is>
      </c>
      <c r="H50" s="161" t="inlineStr">
        <is>
          <t>Not published on pages reached, locate via company site</t>
        </is>
      </c>
      <c r="I50" s="161" t="inlineStr">
        <is>
          <t>trade@howellmed.com</t>
        </is>
      </c>
      <c r="J50" s="161" t="inlineStr">
        <is>
          <t>Korean language ultrasound storefront. Company structure and Korean legal entity not confirmed</t>
        </is>
      </c>
      <c r="K50" s="169" t="inlineStr">
        <is>
          <t>A</t>
        </is>
      </c>
      <c r="L50" s="161" t="inlineStr">
        <is>
          <t>Already an ultrasound seller, which makes this a competitive rather than complementary conversation. Worth one call to establish whether they are a Korean distributor or an overseas storefront serving Korea, because the two imply very different approaches.</t>
        </is>
      </c>
      <c r="M50" s="161" t="inlineStr">
        <is>
          <t>Conflict aware. Establish the entity first, then cart tier only</t>
        </is>
      </c>
      <c r="N50" s="169" t="n">
        <v>2</v>
      </c>
      <c r="O50" s="161" t="inlineStr">
        <is>
          <t>Tier 2 UPHELD from v4, with a new caution: the Korean legal entity is unconfirmed and this may be an overseas storefront rather than a Korean distributor.</t>
        </is>
      </c>
      <c r="P50" s="161" t="inlineStr">
        <is>
          <t>Site live, entity unconfirmed; v18 (7 Oct 2026): email read on the company site</t>
        </is>
      </c>
      <c r="Q50" s="161" t="inlineStr">
        <is>
          <t>CHISON ultrasound for Howell Medical 호웰메디칼: a range question</t>
        </is>
      </c>
      <c r="R50" s="161" t="inlineStr">
        <is>
          <t>Dear Howell Medical 호웰메디칼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 already sell portable ultrasound into Korea, so this is a range conversation rather than an introduction to the category.
Where CHISON might fit: the cart tier and the phone paired high frequency handheld, both bands your current offer does not appear to cover. First, though, I would like to understand whether you operate as a Korean entity or serve Korea from outside.
• SonoMax 7 and SonoPort: cart tier
• SonoEye P5: phone paired high frequency handheld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0" s="170" t="inlineStr">
        <is>
          <t>Yes</t>
        </is>
      </c>
    </row>
    <row r="51" ht="285.75" customHeight="1" s="104">
      <c r="A51" s="161" t="n">
        <v>47</v>
      </c>
      <c r="B51" s="162" t="inlineStr">
        <is>
          <t>Emergo Korea 이머고코리아</t>
        </is>
      </c>
      <c r="C51" s="161" t="inlineStr">
        <is>
          <t>Not started</t>
        </is>
      </c>
      <c r="D51" s="161" t="inlineStr">
        <is>
          <t>Korea Licence Holder and regulatory representation service. 64 MFDS device records held on behalf of foreign manufacturers</t>
        </is>
      </c>
      <c r="E51" s="161" t="inlineStr">
        <is>
          <t>Not applicable. Regulatory service provider</t>
        </is>
      </c>
      <c r="F51" s="161" t="inlineStr">
        <is>
          <t>Seoul</t>
        </is>
      </c>
      <c r="G51" s="163" t="inlineStr">
        <is>
          <t>https://www.emergobyul.com</t>
        </is>
      </c>
      <c r="H51" s="161" t="inlineStr">
        <is>
          <t>Not published for the Korea office, enquiry via https://www.emergobyul.com</t>
        </is>
      </c>
      <c r="I51" s="161" t="inlineStr">
        <is>
          <t>Not published, enquiry form</t>
        </is>
      </c>
      <c r="J51" s="161" t="inlineStr">
        <is>
          <t>Global regulatory consultancy, UL company. 64 MFDS records held as licence holder</t>
        </is>
      </c>
      <c r="K51" s="169" t="inlineStr">
        <is>
          <t>C</t>
        </is>
      </c>
      <c r="L51" s="161" t="inlineStr">
        <is>
          <t>The safe fallback on the MFDS gate. A licence holder service costs money and gives no channel, but it removes the dependency on finding a dealer willing to hold the licence, which is the slowest part of a Korea entry.</t>
        </is>
      </c>
      <c r="M51" s="161" t="inlineStr">
        <is>
          <t>Not a product conversation. Korea Licence Holder quotation</t>
        </is>
      </c>
      <c r="N51" s="169" t="n">
        <v>2</v>
      </c>
      <c r="O51" s="161" t="inlineStr">
        <is>
          <t>Tier 2 UPHELD from v4. Holds 64 MFDS records as licence holder per the MFDS register.</t>
        </is>
      </c>
      <c r="P51" s="161" t="inlineStr">
        <is>
          <t>Directory (MFDS register) plus known service</t>
        </is>
      </c>
      <c r="Q51" s="161" t="inlineStr">
        <is>
          <t>Korea Licence Holder quotation for a diagnostic ultrasound range: Emergo Korea 이머고코리아</t>
        </is>
      </c>
      <c r="R51" s="161" t="inlineStr">
        <is>
          <t>Dear Emergo Korea 이머고코리아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CHISON Medical Technologies is entering Korea with a CE and US FDA cleared diagnostic ultrasound range and we are evaluating licence holder options alongside appointing dealers.
What we would want: a quotation for Korea Licence Holder representation and MFDS submission for a Class II diagnostic ultrasound family, with an indicative timeline.
• Scope: the CHISON SonoFamily range, cart, portable and handheld configurations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1" s="170" t="inlineStr">
        <is>
          <t>No</t>
        </is>
      </c>
    </row>
    <row r="52" ht="264.75" customHeight="1" s="104">
      <c r="A52" s="161" t="n">
        <v>48</v>
      </c>
      <c r="B52" s="162" t="inlineStr">
        <is>
          <t>Kukje Medians 국제메디언스</t>
        </is>
      </c>
      <c r="C52" s="161" t="inlineStr">
        <is>
          <t>Not started</t>
        </is>
      </c>
      <c r="D52" s="161" t="inlineStr">
        <is>
          <t>Broad medical device importer. 38 device records on the MFDS register</t>
        </is>
      </c>
      <c r="E52" s="161" t="inlineStr">
        <is>
          <t>No ultrasound identified on the registry entries reviewed</t>
        </is>
      </c>
      <c r="F52" s="161" t="inlineStr">
        <is>
          <t>Seoul</t>
        </is>
      </c>
      <c r="G52" s="161" t="inlineStr">
        <is>
          <t>MFDS eMEDI: https://emedi.mfds.go.kr</t>
        </is>
      </c>
      <c r="H52" s="161" t="inlineStr">
        <is>
          <t>Not published, locate via eMEDI importer record</t>
        </is>
      </c>
      <c r="I52" s="161" t="inlineStr">
        <is>
          <t>Not published, locate via eMEDI importer record</t>
        </is>
      </c>
      <c r="J52" s="161" t="inlineStr">
        <is>
          <t>No public company website located. MFDS importer register, 38 records, Seoul</t>
        </is>
      </c>
      <c r="K52" s="171" t="inlineStr">
        <is>
          <t>D</t>
        </is>
      </c>
      <c r="L52" s="161" t="inlineStr">
        <is>
          <t>Licensed importer of moderate scale. Second wave after the larger register names.</t>
        </is>
      </c>
      <c r="M52" s="161" t="inlineStr">
        <is>
          <t>Import licence conversation first</t>
        </is>
      </c>
      <c r="N52" s="169" t="n">
        <v>2</v>
      </c>
      <c r="O52" s="161" t="inlineStr">
        <is>
          <t>Tier 2 UPGRADE from Tier 3 in v4 on the licence argument. Not contact verified.</t>
        </is>
      </c>
      <c r="P52" s="161" t="inlineStr">
        <is>
          <t>Directory (MFDS eMEDI register)</t>
        </is>
      </c>
      <c r="Q52" s="161" t="inlineStr">
        <is>
          <t>CHISON ultrasound for Kukje Medians 국제메디언스: an importer conversation</t>
        </is>
      </c>
      <c r="R52" s="161" t="inlineStr">
        <is>
          <t>Dear Kukje Medians 국제메디언스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name sits on the MFDS importer register across a broad device portfolio, which is the capability we need first.
Where CHISON fits: a licensed Korean importer for a CE and US FDA cleared ultrasound range, with the product conversation following.
• Full SonoFamily range once the import structure is agreed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2" s="172" t="inlineStr">
        <is>
          <t>No</t>
        </is>
      </c>
    </row>
    <row r="53" ht="264.75" customHeight="1" s="104">
      <c r="A53" s="161" t="n">
        <v>49</v>
      </c>
      <c r="B53" s="162" t="inlineStr">
        <is>
          <t>Medifos Co., Ltd. (주)메디포스</t>
        </is>
      </c>
      <c r="C53" s="161" t="inlineStr">
        <is>
          <t>Not started</t>
        </is>
      </c>
      <c r="D53" s="161" t="inlineStr">
        <is>
          <t>Multi brand medical device importer. 89 device records on the MFDS register</t>
        </is>
      </c>
      <c r="E53" s="161" t="inlineStr">
        <is>
          <t>No ultrasound identified on the registry entries reviewed</t>
        </is>
      </c>
      <c r="F53" s="161" t="inlineStr">
        <is>
          <t>Seoul</t>
        </is>
      </c>
      <c r="G53" s="161" t="inlineStr">
        <is>
          <t>MFDS eMEDI: https://emedi.mfds.go.kr</t>
        </is>
      </c>
      <c r="H53" s="161" t="inlineStr">
        <is>
          <t>Not published, locate via eMEDI importer record</t>
        </is>
      </c>
      <c r="I53" s="161" t="inlineStr">
        <is>
          <t>Not published, locate via eMEDI importer record</t>
        </is>
      </c>
      <c r="J53" s="161" t="inlineStr">
        <is>
          <t>No public company website located. MFDS importer register, 89 records, Seoul</t>
        </is>
      </c>
      <c r="K53" s="171" t="inlineStr">
        <is>
          <t>D</t>
        </is>
      </c>
      <c r="L53" s="161" t="inlineStr">
        <is>
          <t>Substantial licence portfolio, no public presence. Same argument as the other register names: the licence is the asset.</t>
        </is>
      </c>
      <c r="M53" s="161" t="inlineStr">
        <is>
          <t>Import licence conversation first</t>
        </is>
      </c>
      <c r="N53" s="169" t="n">
        <v>2</v>
      </c>
      <c r="O53" s="161" t="inlineStr">
        <is>
          <t>Tier 2 UPHELD from v4, kept below the three register names promoted to Tier 1 only because those three are larger or regionally scarce.</t>
        </is>
      </c>
      <c r="P53" s="161" t="inlineStr">
        <is>
          <t>Directory (MFDS eMEDI register)</t>
        </is>
      </c>
      <c r="Q53" s="161" t="inlineStr">
        <is>
          <t>CHISON ultrasound for Medifos 메디포스: an importer conversation</t>
        </is>
      </c>
      <c r="R53" s="161" t="inlineStr">
        <is>
          <t>Dear Medifos Co., Ltd. (주)메디포스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With 89 device records on the MFDS register the import licence and the documentation discipline are already in place on your side.
Where CHISON fits: a licensed Korean importer for a CE and US FDA cleared ultrasound range.
• Full SonoFamily range once the import structure is agreed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3" s="172" t="inlineStr">
        <is>
          <t>No</t>
        </is>
      </c>
    </row>
    <row r="54" ht="264.75" customHeight="1" s="104">
      <c r="A54" s="161" t="n">
        <v>50</v>
      </c>
      <c r="B54" s="162" t="inlineStr">
        <is>
          <t>Youngin LabPlus Co., Ltd. 영인랩플러스</t>
        </is>
      </c>
      <c r="C54" s="161" t="inlineStr">
        <is>
          <t>Not started</t>
        </is>
      </c>
      <c r="D54" s="161" t="inlineStr">
        <is>
          <t>Multi brand medical device importer. 93 device records on the MFDS register</t>
        </is>
      </c>
      <c r="E54" s="161" t="inlineStr">
        <is>
          <t>No ultrasound identified on the registry entries reviewed</t>
        </is>
      </c>
      <c r="F54" s="161" t="inlineStr">
        <is>
          <t>Seoul</t>
        </is>
      </c>
      <c r="G54" s="161" t="inlineStr">
        <is>
          <t>MFDS eMEDI: https://emedi.mfds.go.kr</t>
        </is>
      </c>
      <c r="H54" s="161" t="inlineStr">
        <is>
          <t>Not published, locate via eMEDI importer record</t>
        </is>
      </c>
      <c r="I54" s="161" t="inlineStr">
        <is>
          <t>Not published, locate via eMEDI importer record</t>
        </is>
      </c>
      <c r="J54" s="161" t="inlineStr">
        <is>
          <t>No public company website located. MFDS importer register, 93 records, Seoul</t>
        </is>
      </c>
      <c r="K54" s="171" t="inlineStr">
        <is>
          <t>D</t>
        </is>
      </c>
      <c r="L54" s="161" t="inlineStr">
        <is>
          <t>Laboratory leaning importer with a large licence portfolio.</t>
        </is>
      </c>
      <c r="M54" s="161" t="inlineStr">
        <is>
          <t>Import licence conversation first</t>
        </is>
      </c>
      <c r="N54" s="169" t="n">
        <v>2</v>
      </c>
      <c r="O54" s="161" t="inlineStr">
        <is>
          <t>Tier 2 UPGRADE from Tier 3 in v4 on the licence argument. Not contact verified.</t>
        </is>
      </c>
      <c r="P54" s="161" t="inlineStr">
        <is>
          <t>Directory (MFDS eMEDI register)</t>
        </is>
      </c>
      <c r="Q54" s="161" t="inlineStr">
        <is>
          <t>CHISON ultrasound for Youngin LabPlus 영인랩플러스: an importer conversation</t>
        </is>
      </c>
      <c r="R54" s="161" t="inlineStr">
        <is>
          <t>Dear Youngin LabPlus Co., Ltd. 영인랩플러스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Ninety three device records on the MFDS register tells me the import licence and documentation load are routine for you.
Where CHISON fits: a licensed Korean importer for a CE and US FDA cleared ultrasound range.
• Full SonoFamily range once the import structure is agreed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4" s="172" t="inlineStr">
        <is>
          <t>No</t>
        </is>
      </c>
    </row>
    <row r="55" ht="264.75" customHeight="1" s="104">
      <c r="A55" s="161" t="n">
        <v>51</v>
      </c>
      <c r="B55" s="162" t="inlineStr">
        <is>
          <t>MediAbsol Co., Ltd. (주)메디앱솔</t>
        </is>
      </c>
      <c r="C55" s="161" t="inlineStr">
        <is>
          <t>Not started</t>
        </is>
      </c>
      <c r="D55" s="161" t="inlineStr">
        <is>
          <t>Multi brand medical device importer. 72 device records on the MFDS register</t>
        </is>
      </c>
      <c r="E55" s="161" t="inlineStr">
        <is>
          <t>No ultrasound identified on the registry entries reviewed</t>
        </is>
      </c>
      <c r="F55" s="161" t="inlineStr">
        <is>
          <t>Gyeonggi</t>
        </is>
      </c>
      <c r="G55" s="161" t="inlineStr">
        <is>
          <t>MFDS eMEDI: https://emedi.mfds.go.kr</t>
        </is>
      </c>
      <c r="H55" s="161" t="inlineStr">
        <is>
          <t>Not published, locate via eMEDI importer record</t>
        </is>
      </c>
      <c r="I55" s="161" t="inlineStr">
        <is>
          <t>Not published, locate via eMEDI importer record</t>
        </is>
      </c>
      <c r="J55" s="161" t="inlineStr">
        <is>
          <t>No public company website located. MFDS importer register, 72 records, Gyeonggi</t>
        </is>
      </c>
      <c r="K55" s="171" t="inlineStr">
        <is>
          <t>D</t>
        </is>
      </c>
      <c r="L55" s="161" t="inlineStr">
        <is>
          <t>Licensed importer outside Seoul proper, useful for the capital region belt.</t>
        </is>
      </c>
      <c r="M55" s="161" t="inlineStr">
        <is>
          <t>Import licence conversation first</t>
        </is>
      </c>
      <c r="N55" s="169" t="n">
        <v>2</v>
      </c>
      <c r="O55" s="161" t="inlineStr">
        <is>
          <t>Tier 2 UPHELD from v4. Not contact verified.</t>
        </is>
      </c>
      <c r="P55" s="161" t="inlineStr">
        <is>
          <t>Directory (MFDS eMEDI register)</t>
        </is>
      </c>
      <c r="Q55" s="161" t="inlineStr">
        <is>
          <t>CHISON ultrasound for MediAbsol 메디앱솔: an importer conversation</t>
        </is>
      </c>
      <c r="R55" s="161" t="inlineStr">
        <is>
          <t>Dear MediAbsol Co., Ltd. (주)메디앱솔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MFDS importer record covers a broad multi brand portfolio, which is the capability CHISON needs first in Korea.
Where CHISON fits: a licensed Korean importer for a CE and US FDA cleared ultrasound range.
• Full SonoFamily range once the import structure is agreed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5" s="172" t="inlineStr">
        <is>
          <t>No</t>
        </is>
      </c>
    </row>
    <row r="56" ht="275.25" customHeight="1" s="104">
      <c r="A56" s="161" t="n">
        <v>52</v>
      </c>
      <c r="B56" s="162" t="inlineStr">
        <is>
          <t>Dongbang POC Co., Ltd. 동방피오씨</t>
        </is>
      </c>
      <c r="C56" s="161" t="inlineStr">
        <is>
          <t>Not started</t>
        </is>
      </c>
      <c r="D56" s="161" t="inlineStr">
        <is>
          <t>Broad medical device importer. 56 device records on the MFDS register</t>
        </is>
      </c>
      <c r="E56" s="161" t="inlineStr">
        <is>
          <t>No ultrasound identified on the registry entries reviewed</t>
        </is>
      </c>
      <c r="F56" s="161" t="inlineStr">
        <is>
          <t>Seoul</t>
        </is>
      </c>
      <c r="G56" s="161" t="inlineStr">
        <is>
          <t>MFDS eMEDI: https://emedi.mfds.go.kr</t>
        </is>
      </c>
      <c r="H56" s="161" t="inlineStr">
        <is>
          <t>Not published, locate via eMEDI importer record</t>
        </is>
      </c>
      <c r="I56" s="161" t="inlineStr">
        <is>
          <t>Not published, locate via eMEDI importer record</t>
        </is>
      </c>
      <c r="J56" s="161" t="inlineStr">
        <is>
          <t>No public company website located. MFDS importer register, 56 records, Seoul</t>
        </is>
      </c>
      <c r="K56" s="171" t="inlineStr">
        <is>
          <t>D</t>
        </is>
      </c>
      <c r="L56" s="161" t="inlineStr">
        <is>
          <t>Licensed importer, part of the same Dongbang grouping as Dongbang Healthdyne. Flag the group overlap before approaching both.</t>
        </is>
      </c>
      <c r="M56" s="161" t="inlineStr">
        <is>
          <t>Import licence conversation first</t>
        </is>
      </c>
      <c r="N56" s="169" t="n">
        <v>2</v>
      </c>
      <c r="O56" s="161" t="inlineStr">
        <is>
          <t>Tier 2 UPHELD from v4. GROUP OVERLAP FLAG: shares the Dongbang name with Dongbang Healthdyne. Ask which entity should own the conversation rather than approaching both blind.</t>
        </is>
      </c>
      <c r="P56" s="161" t="inlineStr">
        <is>
          <t>Directory (MFDS eMEDI register)</t>
        </is>
      </c>
      <c r="Q56" s="161" t="inlineStr">
        <is>
          <t>CHISON ultrasound for Dongbang POC 동방피오씨: an importer conversation</t>
        </is>
      </c>
      <c r="R56" s="161" t="inlineStr">
        <is>
          <t>Dear Dongbang POC Co., Ltd. 동방피오씨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MFDS importer record covers a broad device portfolio. I note there is a second Dongbang entity on the same register, so please tell me if this conversation belongs with your colleagues instead.
Where CHISON fits: a licensed Korean importer for a CE and US FDA cleared ultrasound range.
• Full SonoFamily range once the import structure is agreed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6" s="172" t="inlineStr">
        <is>
          <t>No</t>
        </is>
      </c>
    </row>
    <row r="57" ht="275.25" customHeight="1" s="104">
      <c r="A57" s="161" t="n">
        <v>53</v>
      </c>
      <c r="B57" s="162" t="inlineStr">
        <is>
          <t>Dongbang Healthdyne Co., Ltd. 동방헬스다인</t>
        </is>
      </c>
      <c r="C57" s="161" t="inlineStr">
        <is>
          <t>Not started</t>
        </is>
      </c>
      <c r="D57" s="161" t="inlineStr">
        <is>
          <t>Multi brand medical device importer. 64 device records on the MFDS register</t>
        </is>
      </c>
      <c r="E57" s="161" t="inlineStr">
        <is>
          <t>No ultrasound identified on the registry entries reviewed</t>
        </is>
      </c>
      <c r="F57" s="161" t="inlineStr">
        <is>
          <t>Seoul</t>
        </is>
      </c>
      <c r="G57" s="163" t="inlineStr">
        <is>
          <t>https://healthdyne.co.kr</t>
        </is>
      </c>
      <c r="H57" s="161" t="inlineStr">
        <is>
          <t>Not published, locate via eMEDI importer record</t>
        </is>
      </c>
      <c r="I57" s="161" t="inlineStr">
        <is>
          <t>hwshim@healthdyne.co.kr</t>
        </is>
      </c>
      <c r="J57" s="161" t="inlineStr">
        <is>
          <t>No public company website located. MFDS importer register, 64 records, Seoul</t>
        </is>
      </c>
      <c r="K57" s="171" t="inlineStr">
        <is>
          <t>D</t>
        </is>
      </c>
      <c r="L57" s="161" t="inlineStr">
        <is>
          <t>Licensed importer. Same group overlap caution as Dongbang POC.</t>
        </is>
      </c>
      <c r="M57" s="161" t="inlineStr">
        <is>
          <t>Import licence conversation first</t>
        </is>
      </c>
      <c r="N57" s="169" t="n">
        <v>2</v>
      </c>
      <c r="O57" s="161" t="inlineStr">
        <is>
          <t>Tier 2 UPHELD from v4. GROUP OVERLAP FLAG: see Dongbang POC.</t>
        </is>
      </c>
      <c r="P57" s="161" t="inlineStr">
        <is>
          <t>Directory (MFDS eMEDI register); v18 (7 Oct 2026): email third party page, confirm before sending</t>
        </is>
      </c>
      <c r="Q57" s="161" t="inlineStr">
        <is>
          <t>CHISON ultrasound for Dongbang Healthdyne 동방헬스다인: an importer conversation</t>
        </is>
      </c>
      <c r="R57" s="161" t="inlineStr">
        <is>
          <t>Dear Dongbang Healthdyne Co., Ltd. 동방헬스다인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MFDS importer record covers a broad multi brand portfolio. I note a second Dongbang entity on the same register, so tell me if this belongs with your colleagues instead.
Where CHISON fits: a licensed Korean importer for a CE and US FDA cleared ultrasound range.
• Full SonoFamily range once the import structure is agreed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7" s="172" t="inlineStr">
        <is>
          <t>Confirm</t>
        </is>
      </c>
    </row>
    <row r="58" ht="264.75" customHeight="1" s="104">
      <c r="A58" s="161" t="n">
        <v>54</v>
      </c>
      <c r="B58" s="162" t="inlineStr">
        <is>
          <t>Join Medical Co., Ltd. 조인메디칼(주)</t>
        </is>
      </c>
      <c r="C58" s="161" t="inlineStr">
        <is>
          <t>Not started</t>
        </is>
      </c>
      <c r="D58" s="161" t="inlineStr">
        <is>
          <t>Broad medical device importer. 48 device records on the MFDS register</t>
        </is>
      </c>
      <c r="E58" s="161" t="inlineStr">
        <is>
          <t>No ultrasound identified on the registry entries reviewed</t>
        </is>
      </c>
      <c r="F58" s="161" t="inlineStr">
        <is>
          <t>Seoul</t>
        </is>
      </c>
      <c r="G58" s="163" t="inlineStr">
        <is>
          <t>https://joinmedical.kr</t>
        </is>
      </c>
      <c r="H58" s="161" t="inlineStr">
        <is>
          <t>Not published, locate via eMEDI importer record</t>
        </is>
      </c>
      <c r="I58" s="161" t="inlineStr">
        <is>
          <t>sales@joinmedical.kr</t>
        </is>
      </c>
      <c r="J58" s="161" t="inlineStr">
        <is>
          <t>No public company website located. MFDS importer register, 48 records, Seoul</t>
        </is>
      </c>
      <c r="K58" s="171" t="inlineStr">
        <is>
          <t>A</t>
        </is>
      </c>
      <c r="L58" s="161" t="inlineStr">
        <is>
          <t>Licensed importer of moderate scale.</t>
        </is>
      </c>
      <c r="M58" s="161" t="inlineStr">
        <is>
          <t>Import licence conversation first</t>
        </is>
      </c>
      <c r="N58" s="169" t="n">
        <v>2</v>
      </c>
      <c r="O58" s="161" t="inlineStr">
        <is>
          <t>Tier 2 UPHELD from v4. Not contact verified.</t>
        </is>
      </c>
      <c r="P58" s="161" t="inlineStr">
        <is>
          <t>Directory (MFDS eMEDI register); v18 (7 Oct 2026): email read on the company site</t>
        </is>
      </c>
      <c r="Q58" s="161" t="inlineStr">
        <is>
          <t>CHISON ultrasound for Join Medical 조인메디칼: an importer conversation</t>
        </is>
      </c>
      <c r="R58" s="161" t="inlineStr">
        <is>
          <t>Dear Join Medical Co., Ltd. 조인메디칼(주)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MFDS importer record covers a broad device portfolio, which is the first capability CHISON needs in Korea.
Where CHISON fits: a licensed Korean importer for a CE and US FDA cleared ultrasound range.
• Full SonoFamily range once the import structure is agreed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8" s="172" t="inlineStr">
        <is>
          <t>Yes</t>
        </is>
      </c>
    </row>
    <row r="59" ht="275.25" customHeight="1" s="104">
      <c r="A59" s="161" t="n">
        <v>55</v>
      </c>
      <c r="B59" s="162" t="inlineStr">
        <is>
          <t>Yujin Medical Electronics Co., Ltd. (주)유진의료전자</t>
        </is>
      </c>
      <c r="C59" s="161" t="inlineStr">
        <is>
          <t>Not started</t>
        </is>
      </c>
      <c r="D59" s="161" t="inlineStr">
        <is>
          <t>Electro medical device importer. 23 device records on the MFDS register</t>
        </is>
      </c>
      <c r="E59" s="161" t="inlineStr">
        <is>
          <t>No ultrasound identified on the registry entries reviewed</t>
        </is>
      </c>
      <c r="F59" s="161" t="inlineStr">
        <is>
          <t>Gyeonggi</t>
        </is>
      </c>
      <c r="G59" s="163" t="inlineStr">
        <is>
          <t>https://eujinmed.com</t>
        </is>
      </c>
      <c r="H59" s="161" t="inlineStr">
        <is>
          <t>Not published, locate via eMEDI importer record</t>
        </is>
      </c>
      <c r="I59" s="161" t="inlineStr">
        <is>
          <t>eujin@eujinmed.com</t>
        </is>
      </c>
      <c r="J59" s="161" t="inlineStr">
        <is>
          <t>No public company website located. MFDS importer register, 23 records, Gyeonggi</t>
        </is>
      </c>
      <c r="K59" s="171" t="inlineStr">
        <is>
          <t>A</t>
        </is>
      </c>
      <c r="L59" s="161" t="inlineStr">
        <is>
          <t>Electro medical focus is closer to ultrasound than most of the register names, but the licence portfolio is small.</t>
        </is>
      </c>
      <c r="M59" s="161" t="inlineStr">
        <is>
          <t>Import licence conversation first; SonoEye P3 as the opening product</t>
        </is>
      </c>
      <c r="N59" s="169" t="n">
        <v>2</v>
      </c>
      <c r="O59" s="161" t="inlineStr">
        <is>
          <t>Tier 2 UPHELD from v4. Not contact verified.</t>
        </is>
      </c>
      <c r="P59" s="161" t="inlineStr">
        <is>
          <t>Directory (MFDS eMEDI register); v18 (7 Oct 2026): email read on the company site</t>
        </is>
      </c>
      <c r="Q59" s="161" t="inlineStr">
        <is>
          <t>CHISON ultrasound for Yujin Medical Electronics 유진의료전자: an electro medical line</t>
        </is>
      </c>
      <c r="R59" s="161" t="inlineStr">
        <is>
          <t>Dear Yujin Medical Electronics Co., Ltd. (주)유진의료전자 team,
I am Casper Tan, Senior Regional Sales Manager at AstraMed Healthcare, the CHISON Medical Technologies subsidiary covering Korea. CHISON has built diagnostic ultrasound in Wuxi since 1996, sells into more than 100 countries and is the only ultrasound maker listed on China's STAR Market (688358), with CE and US FDA clearance. AstraMed is the factory's own subsidiary rather than an importer, so there is no intermediary margin between us.
Your MFDS record is concentrated in electro medical devices, which is the nearest neighbour to diagnostic ultrasound on that register.
Where CHISON fits: an ultrasound range for an importer who already handles electro medical documentation and service.
• SonoEye P3: pocket handheld as the opening product
• Full SonoFamily range once the import structure is agreed
Korea requires a licensed importer or Korea Licence Holder before any unit ships. We are putting that structure in place and will carry the MFDS work ourselves, so it does not sit on your P&amp;L. Application training, a demonstration unit for your first accounts and regional probe and parts stock come with the appointment.
Would twenty minutes on a call be worth your time? I will send the catalogue, the positioning against whichever brand you meet most often, and the dealer terms beforehand, so the call is a decision rather than a presentation.
Best regards,
Casper Tan
Senior Regional Sales Manager
AstraMed Healthcare, a subsidiary of CHISON Medical Technologies
casper.tanch@gmail.com | +65 8719 0121</t>
        </is>
      </c>
      <c r="S59" s="172" t="inlineStr">
        <is>
          <t>Yes</t>
        </is>
      </c>
    </row>
    <row r="60" ht="60" customHeight="1" s="104">
      <c r="A60" s="161" t="n">
        <v>56</v>
      </c>
      <c r="B60" s="162" t="inlineStr">
        <is>
          <t>HOSPI Co., Ltd. (주)하스피</t>
        </is>
      </c>
      <c r="C60" s="161" t="inlineStr">
        <is>
          <t>Not started</t>
        </is>
      </c>
      <c r="D60" s="161" t="inlineStr">
        <is>
          <t>Orthopaedic, rehab, pain. Rehab and sports medicine distributor since 1995 supplying tertiary hospitals.</t>
        </is>
      </c>
      <c r="E60" s="161" t="inlineStr">
        <is>
          <t>Not confirmed; ask on the first call</t>
        </is>
      </c>
      <c r="F60" s="161" t="inlineStr">
        <is>
          <t>Hanam</t>
        </is>
      </c>
      <c r="G60" s="163" t="inlineStr">
        <is>
          <t>https://hospi.co.kr</t>
        </is>
      </c>
      <c r="H60" s="161" t="inlineStr">
        <is>
          <t>02-441-7712</t>
        </is>
      </c>
      <c r="I60" s="161" t="inlineStr">
        <is>
          <t>hospi@hospi.co.kr</t>
        </is>
      </c>
      <c r="J60" s="166" t="inlineStr">
        <is>
          <t>Hanam. Tel 02-441-7712. Found via KIMES 2026 exhibitor directory.</t>
        </is>
      </c>
      <c r="K60" s="164" t="inlineStr">
        <is>
          <t>C</t>
        </is>
      </c>
      <c r="L60" s="161" t="inlineStr">
        <is>
          <t>Orthopaedic, rehab and pain clinics buy linear probe ultrasound for injection guidance; CHISON linear image quality is the edge.</t>
        </is>
      </c>
      <c r="M60" s="161" t="inlineStr">
        <is>
          <t>SonoEye P5 linear, SonoAir 30/70 for orthopaedic, rehab and pain clinics</t>
        </is>
      </c>
      <c r="N60" s="169" t="n">
        <v>2</v>
      </c>
      <c r="O60" s="161" t="inlineStr">
        <is>
          <t>Tier 2: adjacent segment or a possible competing principal; qualify by phone or email before a pitch.</t>
        </is>
      </c>
      <c r="P60" s="161" t="inlineStr">
        <is>
          <t>KIMES 2026 exhibitor directory; email search result of the company page, 7 Oct 2026</t>
        </is>
      </c>
      <c r="Q60" s="161" t="n"/>
      <c r="R60" s="161" t="n"/>
      <c r="S60" s="165" t="inlineStr">
        <is>
          <t>Yes</t>
        </is>
      </c>
    </row>
    <row r="61" ht="60" customHeight="1" s="104">
      <c r="A61" s="161" t="n">
        <v>57</v>
      </c>
      <c r="B61" s="162" t="inlineStr">
        <is>
          <t>Koastron Co., Ltd. (주)코아스트론</t>
        </is>
      </c>
      <c r="C61" s="161" t="inlineStr">
        <is>
          <t>Not started</t>
        </is>
      </c>
      <c r="D61" s="161" t="inlineStr">
        <is>
          <t>Orthopaedic, rehab, pain. Chattanooga rehab and physiotherapy distributor since 1993.</t>
        </is>
      </c>
      <c r="E61" s="161" t="inlineStr">
        <is>
          <t>Not confirmed; ask on the first call</t>
        </is>
      </c>
      <c r="F61" s="161" t="inlineStr">
        <is>
          <t>Seoul Gangnam</t>
        </is>
      </c>
      <c r="G61" s="163" t="inlineStr">
        <is>
          <t>https://koastron.com</t>
        </is>
      </c>
      <c r="H61" s="161" t="inlineStr">
        <is>
          <t>02-564-2311</t>
        </is>
      </c>
      <c r="I61" s="161" t="inlineStr">
        <is>
          <t>koastron@koastron.com</t>
        </is>
      </c>
      <c r="J61" s="166" t="inlineStr">
        <is>
          <t>Seoul Gangnam. Tel 02-564-2311. Found via KIMES 2026 exhibitor directory.</t>
        </is>
      </c>
      <c r="K61" s="164" t="inlineStr">
        <is>
          <t>C</t>
        </is>
      </c>
      <c r="L61" s="161" t="inlineStr">
        <is>
          <t>Orthopaedic, rehab and pain clinics buy linear probe ultrasound for injection guidance; CHISON linear image quality is the edge.</t>
        </is>
      </c>
      <c r="M61" s="161" t="inlineStr">
        <is>
          <t>SonoEye P5 linear, SonoAir 30/70 for orthopaedic, rehab and pain clinics</t>
        </is>
      </c>
      <c r="N61" s="169" t="n">
        <v>2</v>
      </c>
      <c r="O61" s="161" t="inlineStr">
        <is>
          <t>Tier 2: adjacent segment or a possible competing principal; qualify by phone or email before a pitch.</t>
        </is>
      </c>
      <c r="P61" s="161" t="inlineStr">
        <is>
          <t>KIMES 2026 exhibitor directory; email search result of the company page, 7 Oct 2026</t>
        </is>
      </c>
      <c r="Q61" s="161" t="n"/>
      <c r="R61" s="161" t="n"/>
      <c r="S61" s="165" t="inlineStr">
        <is>
          <t>Yes</t>
        </is>
      </c>
    </row>
    <row r="62" ht="60" customHeight="1" s="104">
      <c r="A62" s="161" t="n">
        <v>58</v>
      </c>
      <c r="B62" s="162" t="inlineStr">
        <is>
          <t>Regen Medical, Inc. (주)리젠메디칼</t>
        </is>
      </c>
      <c r="C62" s="161" t="inlineStr">
        <is>
          <t>Not started</t>
        </is>
      </c>
      <c r="D62" s="161" t="inlineStr">
        <is>
          <t>Emergency, ambulance. Emergency equipment and AED seller with long ER channel experience.</t>
        </is>
      </c>
      <c r="E62" s="161" t="inlineStr">
        <is>
          <t>Not confirmed; ask on the first call</t>
        </is>
      </c>
      <c r="F62" s="161" t="inlineStr">
        <is>
          <t>Seoul Geumcheon</t>
        </is>
      </c>
      <c r="G62" s="163" t="inlineStr">
        <is>
          <t>https://regen119.com</t>
        </is>
      </c>
      <c r="H62" s="161" t="inlineStr">
        <is>
          <t>02-830-7727</t>
        </is>
      </c>
      <c r="I62" s="161" t="inlineStr">
        <is>
          <t>sales@regen119.com</t>
        </is>
      </c>
      <c r="J62" s="166" t="inlineStr">
        <is>
          <t>Seoul Geumcheon. Tel 02-830-7727. Found via KIMES 2026 exhibitor directory.</t>
        </is>
      </c>
      <c r="K62" s="164" t="inlineStr">
        <is>
          <t>C</t>
        </is>
      </c>
      <c r="L62" s="161" t="inlineStr">
        <is>
          <t>Emergency and ambulance buyers need rugged handheld POCUS.</t>
        </is>
      </c>
      <c r="M62" s="161" t="inlineStr">
        <is>
          <t>SonoEye P3 for FAST and point of care in emergency and ambulance</t>
        </is>
      </c>
      <c r="N62" s="169" t="n">
        <v>2</v>
      </c>
      <c r="O62" s="161" t="inlineStr">
        <is>
          <t>Tier 2: adjacent segment or a possible competing principal; qualify by phone or email before a pitch.</t>
        </is>
      </c>
      <c r="P62" s="161" t="inlineStr">
        <is>
          <t>KIMES 2026 exhibitor directory; email search result of the company page, 7 Oct 2026</t>
        </is>
      </c>
      <c r="Q62" s="161" t="n"/>
      <c r="R62" s="161" t="n"/>
      <c r="S62" s="165" t="inlineStr">
        <is>
          <t>Yes</t>
        </is>
      </c>
    </row>
    <row r="63" ht="60" customHeight="1" s="104">
      <c r="A63" s="161" t="n">
        <v>59</v>
      </c>
      <c r="B63" s="162" t="inlineStr">
        <is>
          <t>Menfis Korea Co., Ltd. 멘피스코리아(주)</t>
        </is>
      </c>
      <c r="C63" s="161" t="inlineStr">
        <is>
          <t>Not started</t>
        </is>
      </c>
      <c r="D63" s="161" t="inlineStr">
        <is>
          <t>General medical equipment. Importer that registers devices with MFDS and HIRA and supplies hospitals through dealers and direct sales.</t>
        </is>
      </c>
      <c r="E63" s="161" t="inlineStr">
        <is>
          <t>Not confirmed; ask on the first call</t>
        </is>
      </c>
      <c r="F63" s="161" t="inlineStr">
        <is>
          <t>Wonju</t>
        </is>
      </c>
      <c r="G63" s="163" t="inlineStr">
        <is>
          <t>https://menfiskorea.com</t>
        </is>
      </c>
      <c r="H63" s="161" t="inlineStr">
        <is>
          <t>033-732-7152</t>
        </is>
      </c>
      <c r="I63" s="161" t="inlineStr">
        <is>
          <t>menfiskorea@daum.net</t>
        </is>
      </c>
      <c r="J63" s="166" t="inlineStr">
        <is>
          <t>Wonju. Tel 033-732-7152. Found via KIMES 2026 exhibitor directory.</t>
        </is>
      </c>
      <c r="K63" s="164" t="inlineStr">
        <is>
          <t>A</t>
        </is>
      </c>
      <c r="L63" s="161" t="inlineStr">
        <is>
          <t>General medical equipment supplier with hospital and clinic accounts; can open ultrasound as a new line.</t>
        </is>
      </c>
      <c r="M63" s="161" t="inlineStr">
        <is>
          <t>SonoGO cart, SonoAir 70 handheld as a starter ultrasound line for a general hospital supplier</t>
        </is>
      </c>
      <c r="N63" s="169" t="n">
        <v>2</v>
      </c>
      <c r="O63" s="161" t="inlineStr">
        <is>
          <t>Tier 2: adjacent segment or a possible competing principal; qualify by phone or email before a pitch.</t>
        </is>
      </c>
      <c r="P63" s="161" t="inlineStr">
        <is>
          <t>KIMES 2026 exhibitor directory; email read on the company site, 7 Oct 2026</t>
        </is>
      </c>
      <c r="Q63" s="161" t="n"/>
      <c r="R63" s="161" t="n"/>
      <c r="S63" s="165" t="inlineStr">
        <is>
          <t>Yes</t>
        </is>
      </c>
    </row>
    <row r="64" ht="60" customHeight="1" s="104">
      <c r="A64" s="161" t="n">
        <v>60</v>
      </c>
      <c r="B64" s="162" t="inlineStr">
        <is>
          <t>Daol Phantom 다올팬텀</t>
        </is>
      </c>
      <c r="C64" s="161" t="inlineStr">
        <is>
          <t>Not started</t>
        </is>
      </c>
      <c r="D64" s="161" t="inlineStr">
        <is>
          <t>Imaging (X ray, radiology). Exclusive distributor of QA phantoms for radiology and ultrasound departments.</t>
        </is>
      </c>
      <c r="E64" s="161" t="inlineStr">
        <is>
          <t>No systems; sells QA phantoms into ultrasound and radiology departments</t>
        </is>
      </c>
      <c r="F64" s="161" t="inlineStr">
        <is>
          <t>Hanam</t>
        </is>
      </c>
      <c r="G64" s="163" t="inlineStr">
        <is>
          <t>https://daolphantom.com</t>
        </is>
      </c>
      <c r="H64" s="161" t="inlineStr">
        <is>
          <t>070-4118-3540</t>
        </is>
      </c>
      <c r="I64" s="161" t="inlineStr">
        <is>
          <t>daol@daolphantom.com</t>
        </is>
      </c>
      <c r="J64" s="166" t="inlineStr">
        <is>
          <t>Hanam. Tel 070-4118-3540. Found via KIMES 2026 exhibitor directory.</t>
        </is>
      </c>
      <c r="K64" s="164" t="inlineStr">
        <is>
          <t>A</t>
        </is>
      </c>
      <c r="L64" s="161" t="inlineStr">
        <is>
          <t>Already sells imaging into hospitals and clinics; ultrasound is the natural next modality and uses the same buyers.</t>
        </is>
      </c>
      <c r="M64" s="161" t="inlineStr">
        <is>
          <t>SonoMax 7 cart, SonoPort compact; X ray and imaging sales team can add ultrasound to existing radiology accounts</t>
        </is>
      </c>
      <c r="N64" s="169" t="n">
        <v>2</v>
      </c>
      <c r="O64" s="161" t="inlineStr">
        <is>
          <t>Tier 2: adjacent segment or a possible competing principal; qualify by phone or email before a pitch.</t>
        </is>
      </c>
      <c r="P64" s="161" t="inlineStr">
        <is>
          <t>KIMES 2026 exhibitor directory; email read on the company site, 7 Oct 2026</t>
        </is>
      </c>
      <c r="Q64" s="161" t="n"/>
      <c r="R64" s="161" t="n"/>
      <c r="S64" s="165" t="inlineStr">
        <is>
          <t>Yes</t>
        </is>
      </c>
    </row>
    <row r="65" ht="60" customHeight="1" s="104">
      <c r="A65" s="161" t="n">
        <v>61</v>
      </c>
      <c r="B65" s="162" t="inlineStr">
        <is>
          <t>TES Co., Ltd. 주식회사 테스</t>
        </is>
      </c>
      <c r="C65" s="161" t="inlineStr">
        <is>
          <t>Not started</t>
        </is>
      </c>
      <c r="D65" s="161" t="inlineStr">
        <is>
          <t>General medical equipment. Medical device distribution company.</t>
        </is>
      </c>
      <c r="E65" s="161" t="inlineStr">
        <is>
          <t>Not confirmed; ask on the first call</t>
        </is>
      </c>
      <c r="F65" s="161" t="inlineStr">
        <is>
          <t>Gimpo</t>
        </is>
      </c>
      <c r="G65" s="163" t="inlineStr">
        <is>
          <t>https://teskorea.kr</t>
        </is>
      </c>
      <c r="H65" s="161" t="inlineStr">
        <is>
          <t>031-8048-9851</t>
        </is>
      </c>
      <c r="I65" s="161" t="inlineStr">
        <is>
          <t>llim1@teskorea.kr</t>
        </is>
      </c>
      <c r="J65" s="166" t="inlineStr">
        <is>
          <t>Gimpo. Tel 031-8048-9851. Found via KIMES 2026 exhibitor directory.</t>
        </is>
      </c>
      <c r="K65" s="164" t="inlineStr">
        <is>
          <t>A</t>
        </is>
      </c>
      <c r="L65" s="161" t="inlineStr">
        <is>
          <t>General medical equipment supplier with hospital and clinic accounts; can open ultrasound as a new line.</t>
        </is>
      </c>
      <c r="M65" s="161" t="inlineStr">
        <is>
          <t>SonoGO cart, SonoAir 70 handheld as a starter ultrasound line for a general hospital supplier</t>
        </is>
      </c>
      <c r="N65" s="169" t="n">
        <v>2</v>
      </c>
      <c r="O65" s="161" t="inlineStr">
        <is>
          <t>Tier 2: adjacent segment or a possible competing principal; qualify by phone or email before a pitch.</t>
        </is>
      </c>
      <c r="P65" s="161" t="inlineStr">
        <is>
          <t>KIMES 2026 exhibitor directory; email read on the company site, 7 Oct 2026. Address is printed as the data protection contact; ask for it to be passed to sales.</t>
        </is>
      </c>
      <c r="Q65" s="161" t="n"/>
      <c r="R65" s="161" t="n"/>
      <c r="S65" s="165" t="inlineStr">
        <is>
          <t>Yes</t>
        </is>
      </c>
    </row>
    <row r="66" ht="60" customHeight="1" s="104">
      <c r="A66" s="161" t="n">
        <v>62</v>
      </c>
      <c r="B66" s="162" t="inlineStr">
        <is>
          <t>MR Solution Inc. (주)엠알솔루션</t>
        </is>
      </c>
      <c r="C66" s="161" t="inlineStr">
        <is>
          <t>Not started</t>
        </is>
      </c>
      <c r="D66" s="161" t="inlineStr">
        <is>
          <t>General medical equipment. Supplies devices and solutions from global manufacturers to Korean hospitals.</t>
        </is>
      </c>
      <c r="E66" s="161" t="inlineStr">
        <is>
          <t>Not confirmed; ask on the first call</t>
        </is>
      </c>
      <c r="F66" s="161" t="inlineStr">
        <is>
          <t>Uiwang</t>
        </is>
      </c>
      <c r="G66" s="163" t="inlineStr">
        <is>
          <t>https://mrso.co.kr</t>
        </is>
      </c>
      <c r="H66" s="161" t="inlineStr">
        <is>
          <t>031-360-0030</t>
        </is>
      </c>
      <c r="I66" s="161" t="inlineStr">
        <is>
          <t>mrs@mrso.co.kr</t>
        </is>
      </c>
      <c r="J66" s="166" t="inlineStr">
        <is>
          <t>Uiwang. Tel 031-360-0030. Found via KIMES 2026 exhibitor directory.</t>
        </is>
      </c>
      <c r="K66" s="164" t="inlineStr">
        <is>
          <t>A</t>
        </is>
      </c>
      <c r="L66" s="161" t="inlineStr">
        <is>
          <t>General medical equipment supplier with hospital and clinic accounts; can open ultrasound as a new line.</t>
        </is>
      </c>
      <c r="M66" s="161" t="inlineStr">
        <is>
          <t>SonoGO cart, SonoAir 70 handheld as a starter ultrasound line for a general hospital supplier</t>
        </is>
      </c>
      <c r="N66" s="169" t="n">
        <v>2</v>
      </c>
      <c r="O66" s="161" t="inlineStr">
        <is>
          <t>Tier 2: adjacent segment or a possible competing principal; qualify by phone or email before a pitch.</t>
        </is>
      </c>
      <c r="P66" s="161" t="inlineStr">
        <is>
          <t>KIMES 2026 exhibitor directory; email read on the company site, 7 Oct 2026</t>
        </is>
      </c>
      <c r="Q66" s="161" t="n"/>
      <c r="R66" s="161" t="n"/>
      <c r="S66" s="165" t="inlineStr">
        <is>
          <t>Yes</t>
        </is>
      </c>
    </row>
    <row r="67" ht="60" customHeight="1" s="104">
      <c r="A67" s="161" t="n">
        <v>63</v>
      </c>
      <c r="B67" s="162" t="inlineStr">
        <is>
          <t>W-Medical Inc. 주식회사더블유메디칼</t>
        </is>
      </c>
      <c r="C67" s="161" t="inlineStr">
        <is>
          <t>Not started</t>
        </is>
      </c>
      <c r="D67" s="161" t="inlineStr">
        <is>
          <t>Orthopaedic, rehab, pain. STORZ Medical importer and ESWT seller.</t>
        </is>
      </c>
      <c r="E67" s="161" t="inlineStr">
        <is>
          <t>Not confirmed; ask on the first call</t>
        </is>
      </c>
      <c r="F67" s="161" t="inlineStr">
        <is>
          <t>Namyangju</t>
        </is>
      </c>
      <c r="G67" s="163" t="inlineStr">
        <is>
          <t>https://wmedicalinc.com</t>
        </is>
      </c>
      <c r="H67" s="161" t="inlineStr">
        <is>
          <t>02-3272-7989</t>
        </is>
      </c>
      <c r="I67" s="161" t="inlineStr">
        <is>
          <t>info@w-medical.co.kr</t>
        </is>
      </c>
      <c r="J67" s="166" t="inlineStr">
        <is>
          <t>Namyangju. Tel 02-3272-7989. Found via KIMES 2026 exhibitor directory.</t>
        </is>
      </c>
      <c r="K67" s="164" t="inlineStr">
        <is>
          <t>A</t>
        </is>
      </c>
      <c r="L67" s="161" t="inlineStr">
        <is>
          <t>Orthopaedic, rehab and pain clinics buy linear probe ultrasound for injection guidance; CHISON linear image quality is the edge.</t>
        </is>
      </c>
      <c r="M67" s="161" t="inlineStr">
        <is>
          <t>SonoEye P5 linear, SonoAir 30/70 for orthopaedic, rehab and pain clinics</t>
        </is>
      </c>
      <c r="N67" s="169" t="n">
        <v>2</v>
      </c>
      <c r="O67" s="161" t="inlineStr">
        <is>
          <t>Tier 2: adjacent segment or a possible competing principal; qualify by phone or email before a pitch.</t>
        </is>
      </c>
      <c r="P67" s="161" t="inlineStr">
        <is>
          <t>KIMES 2026 exhibitor directory; email read on the company site; email domain differs from the website, confirm, 7 Oct 2026</t>
        </is>
      </c>
      <c r="Q67" s="161" t="n"/>
      <c r="R67" s="161" t="n"/>
      <c r="S67" s="165" t="inlineStr">
        <is>
          <t>Yes</t>
        </is>
      </c>
    </row>
    <row r="68" ht="60" customHeight="1" s="104">
      <c r="A68" s="161" t="n">
        <v>64</v>
      </c>
      <c r="B68" s="162" t="inlineStr">
        <is>
          <t>SNRT Co., Ltd. 주식회사 에스앤알티</t>
        </is>
      </c>
      <c r="C68" s="161" t="inlineStr">
        <is>
          <t>Not started</t>
        </is>
      </c>
      <c r="D68" s="161" t="inlineStr">
        <is>
          <t>General medical equipment. Supplies medical equipment to clinics and animal hospitals for 20 years.</t>
        </is>
      </c>
      <c r="E68" s="161" t="inlineStr">
        <is>
          <t>Not confirmed; ask on the first call</t>
        </is>
      </c>
      <c r="F68" s="161" t="inlineStr">
        <is>
          <t>Hwaseong</t>
        </is>
      </c>
      <c r="G68" s="163" t="inlineStr">
        <is>
          <t>https://snrt.co.kr</t>
        </is>
      </c>
      <c r="H68" s="161" t="inlineStr">
        <is>
          <t>070-4077-1040</t>
        </is>
      </c>
      <c r="I68" s="161" t="inlineStr">
        <is>
          <t>snrtco@gmail.com</t>
        </is>
      </c>
      <c r="J68" s="166" t="inlineStr">
        <is>
          <t>Hwaseong. Tel 070-4077-1040. Found via KIMES 2026 exhibitor directory.</t>
        </is>
      </c>
      <c r="K68" s="164" t="inlineStr">
        <is>
          <t>C</t>
        </is>
      </c>
      <c r="L68" s="161" t="inlineStr">
        <is>
          <t>General medical equipment supplier with hospital and clinic accounts; can open ultrasound as a new line.</t>
        </is>
      </c>
      <c r="M68" s="161" t="inlineStr">
        <is>
          <t>SonoGO cart, SonoAir 70 handheld as a starter ultrasound line for a general hospital supplier</t>
        </is>
      </c>
      <c r="N68" s="169" t="n">
        <v>2</v>
      </c>
      <c r="O68" s="161" t="inlineStr">
        <is>
          <t>Tier 2: adjacent segment or a possible competing principal; qualify by phone or email before a pitch.</t>
        </is>
      </c>
      <c r="P68" s="161" t="inlineStr">
        <is>
          <t>KIMES 2026 exhibitor directory; email search result of the company page, 7 Oct 2026</t>
        </is>
      </c>
      <c r="Q68" s="161" t="n"/>
      <c r="R68" s="161" t="n"/>
      <c r="S68" s="165" t="inlineStr">
        <is>
          <t>Yes</t>
        </is>
      </c>
    </row>
    <row r="69" ht="60" customHeight="1" s="104">
      <c r="A69" s="161" t="n">
        <v>65</v>
      </c>
      <c r="B69" s="162" t="inlineStr">
        <is>
          <t>Sunkyung Medical Co., Ltd. 선경메디칼주식회사</t>
        </is>
      </c>
      <c r="C69" s="161" t="inlineStr">
        <is>
          <t>Not started</t>
        </is>
      </c>
      <c r="D69" s="161" t="inlineStr">
        <is>
          <t>General medical equipment. Daegu importer of haematology analysers since 2003.</t>
        </is>
      </c>
      <c r="E69" s="161" t="inlineStr">
        <is>
          <t>Not confirmed; ask on the first call</t>
        </is>
      </c>
      <c r="F69" s="161" t="inlineStr">
        <is>
          <t>Daegu</t>
        </is>
      </c>
      <c r="G69" s="163" t="inlineStr">
        <is>
          <t>https://medicalsk.com</t>
        </is>
      </c>
      <c r="H69" s="161" t="inlineStr">
        <is>
          <t>1566-1962</t>
        </is>
      </c>
      <c r="I69" s="161" t="inlineStr">
        <is>
          <t>msk@medicalsk.com</t>
        </is>
      </c>
      <c r="J69" s="166" t="inlineStr">
        <is>
          <t>Daegu. Tel 1566-1962. Found via KIMES 2026 exhibitor directory.</t>
        </is>
      </c>
      <c r="K69" s="164" t="inlineStr">
        <is>
          <t>A</t>
        </is>
      </c>
      <c r="L69" s="161" t="inlineStr">
        <is>
          <t>General medical equipment supplier with hospital and clinic accounts; can open ultrasound as a new line.</t>
        </is>
      </c>
      <c r="M69" s="161" t="inlineStr">
        <is>
          <t>SonoGO cart, SonoAir 70 handheld as a starter ultrasound line for a general hospital supplier</t>
        </is>
      </c>
      <c r="N69" s="169" t="n">
        <v>2</v>
      </c>
      <c r="O69" s="161" t="inlineStr">
        <is>
          <t>Tier 2: adjacent segment or a possible competing principal; qualify by phone or email before a pitch.</t>
        </is>
      </c>
      <c r="P69" s="161" t="inlineStr">
        <is>
          <t>KIMES 2026 exhibitor directory; email read on the company site, 7 Oct 2026</t>
        </is>
      </c>
      <c r="Q69" s="161" t="n"/>
      <c r="R69" s="161" t="n"/>
      <c r="S69" s="165" t="inlineStr">
        <is>
          <t>Yes</t>
        </is>
      </c>
    </row>
    <row r="70" ht="60" customHeight="1" s="104">
      <c r="A70" s="161" t="n">
        <v>66</v>
      </c>
      <c r="B70" s="162" t="inlineStr">
        <is>
          <t>Tropian Tech (주)트로피안테크</t>
        </is>
      </c>
      <c r="C70" s="161" t="inlineStr">
        <is>
          <t>Not started</t>
        </is>
      </c>
      <c r="D70" s="161" t="inlineStr">
        <is>
          <t>Surgical, OR and anaesthesia. Supplies laparoscopy equipment to major hospitals.</t>
        </is>
      </c>
      <c r="E70" s="161" t="inlineStr">
        <is>
          <t>Not confirmed; ask on the first call</t>
        </is>
      </c>
      <c r="F70" s="161" t="inlineStr">
        <is>
          <t>Seoul Gangdong</t>
        </is>
      </c>
      <c r="G70" s="163" t="inlineStr">
        <is>
          <t>https://tropiantech.com</t>
        </is>
      </c>
      <c r="H70" s="161" t="inlineStr">
        <is>
          <t>02-402-6315</t>
        </is>
      </c>
      <c r="I70" s="161" t="inlineStr">
        <is>
          <t>office@tropiantech.com</t>
        </is>
      </c>
      <c r="J70" s="166" t="inlineStr">
        <is>
          <t>Seoul Gangdong. Tel 02-402-6315. Found via KIMES 2026 exhibitor directory.</t>
        </is>
      </c>
      <c r="K70" s="164" t="inlineStr">
        <is>
          <t>A</t>
        </is>
      </c>
      <c r="L70" s="161" t="inlineStr">
        <is>
          <t>Theatre and anaesthesia accounts are the entry point for point of care ultrasound (nerve block, vascular access).</t>
        </is>
      </c>
      <c r="M70" s="161" t="inlineStr">
        <is>
          <t>SonoTouch tablet, SonoEye P3 for nerve block and vascular access in theatre</t>
        </is>
      </c>
      <c r="N70" s="169" t="n">
        <v>2</v>
      </c>
      <c r="O70" s="161" t="inlineStr">
        <is>
          <t>Tier 2: adjacent segment or a possible competing principal; qualify by phone or email before a pitch.</t>
        </is>
      </c>
      <c r="P70" s="161" t="inlineStr">
        <is>
          <t>KIMES 2026 exhibitor directory; email read on the company site, 7 Oct 2026</t>
        </is>
      </c>
      <c r="Q70" s="161" t="n"/>
      <c r="R70" s="161" t="n"/>
      <c r="S70" s="165" t="inlineStr">
        <is>
          <t>Yes</t>
        </is>
      </c>
    </row>
    <row r="71" ht="60" customHeight="1" s="104">
      <c r="A71" s="161" t="n">
        <v>67</v>
      </c>
      <c r="B71" s="162" t="inlineStr">
        <is>
          <t>Wmedix Inc. (주)더블유메딕스</t>
        </is>
      </c>
      <c r="C71" s="161" t="inlineStr">
        <is>
          <t>Not started</t>
        </is>
      </c>
      <c r="D71" s="161" t="inlineStr">
        <is>
          <t>Orthopaedic, rehab, pain. ESWT company built around STORZ Medical shockwave systems.</t>
        </is>
      </c>
      <c r="E71" s="161" t="inlineStr">
        <is>
          <t>Not confirmed; ask on the first call</t>
        </is>
      </c>
      <c r="F71" s="161" t="inlineStr">
        <is>
          <t>Seoul Gangseo</t>
        </is>
      </c>
      <c r="G71" s="163" t="inlineStr">
        <is>
          <t>https://wmedix.com</t>
        </is>
      </c>
      <c r="H71" s="161" t="inlineStr">
        <is>
          <t>02-797-1519</t>
        </is>
      </c>
      <c r="I71" s="161" t="inlineStr">
        <is>
          <t>info@wmedix.com</t>
        </is>
      </c>
      <c r="J71" s="166" t="inlineStr">
        <is>
          <t>Seoul Gangseo. Tel 02-797-1519. Found via KIMES 2026 exhibitor directory.</t>
        </is>
      </c>
      <c r="K71" s="164" t="inlineStr">
        <is>
          <t>A</t>
        </is>
      </c>
      <c r="L71" s="161" t="inlineStr">
        <is>
          <t>Orthopaedic, rehab and pain clinics buy linear probe ultrasound for injection guidance; CHISON linear image quality is the edge.</t>
        </is>
      </c>
      <c r="M71" s="161" t="inlineStr">
        <is>
          <t>SonoEye P5 linear, SonoAir 30/70 for orthopaedic, rehab and pain clinics</t>
        </is>
      </c>
      <c r="N71" s="169" t="n">
        <v>2</v>
      </c>
      <c r="O71" s="161" t="inlineStr">
        <is>
          <t>Tier 2: adjacent segment or a possible competing principal; qualify by phone or email before a pitch.</t>
        </is>
      </c>
      <c r="P71" s="161" t="inlineStr">
        <is>
          <t>KIMES 2026 exhibitor directory; email read on the company site, 7 Oct 2026</t>
        </is>
      </c>
      <c r="Q71" s="161" t="n"/>
      <c r="R71" s="161" t="n"/>
      <c r="S71" s="165" t="inlineStr">
        <is>
          <t>Yes</t>
        </is>
      </c>
    </row>
    <row r="72" ht="60" customHeight="1" s="104">
      <c r="A72" s="161" t="n">
        <v>68</v>
      </c>
      <c r="B72" s="162" t="inlineStr">
        <is>
          <t>Huwellex Inc. (주)휴웰렉스</t>
        </is>
      </c>
      <c r="C72" s="161" t="inlineStr">
        <is>
          <t>Not started</t>
        </is>
      </c>
      <c r="D72" s="161" t="inlineStr">
        <is>
          <t>General medical equipment. Supplies medical devices with service and after sales care.</t>
        </is>
      </c>
      <c r="E72" s="161" t="inlineStr">
        <is>
          <t>Not confirmed; ask on the first call</t>
        </is>
      </c>
      <c r="F72" s="161" t="inlineStr">
        <is>
          <t>Seongnam</t>
        </is>
      </c>
      <c r="G72" s="163" t="inlineStr">
        <is>
          <t>https://huwellex.com</t>
        </is>
      </c>
      <c r="H72" s="161" t="inlineStr">
        <is>
          <t>02-578-8660</t>
        </is>
      </c>
      <c r="I72" s="161" t="inlineStr">
        <is>
          <t>hyun-ju21221@huwellex.com</t>
        </is>
      </c>
      <c r="J72" s="166" t="inlineStr">
        <is>
          <t>Seongnam. Tel 02-578-8660. Found via KIMES 2026 exhibitor directory.</t>
        </is>
      </c>
      <c r="K72" s="164" t="inlineStr">
        <is>
          <t>A</t>
        </is>
      </c>
      <c r="L72" s="161" t="inlineStr">
        <is>
          <t>General medical equipment supplier with hospital and clinic accounts; can open ultrasound as a new line.</t>
        </is>
      </c>
      <c r="M72" s="161" t="inlineStr">
        <is>
          <t>SonoGO cart, SonoAir 70 handheld as a starter ultrasound line for a general hospital supplier</t>
        </is>
      </c>
      <c r="N72" s="169" t="n">
        <v>2</v>
      </c>
      <c r="O72" s="161" t="inlineStr">
        <is>
          <t>Tier 2: adjacent segment or a possible competing principal; qualify by phone or email before a pitch.</t>
        </is>
      </c>
      <c r="P72" s="161" t="inlineStr">
        <is>
          <t>KIMES 2026 exhibitor directory; email read on the company site, 7 Oct 2026</t>
        </is>
      </c>
      <c r="Q72" s="161" t="n"/>
      <c r="R72" s="161" t="n"/>
      <c r="S72" s="165" t="inlineStr">
        <is>
          <t>Yes</t>
        </is>
      </c>
    </row>
    <row r="73" ht="60" customHeight="1" s="104">
      <c r="A73" s="161" t="n">
        <v>69</v>
      </c>
      <c r="B73" s="162" t="inlineStr">
        <is>
          <t>Next Medi 넥스트메디</t>
        </is>
      </c>
      <c r="C73" s="161" t="inlineStr">
        <is>
          <t>Not started</t>
        </is>
      </c>
      <c r="D73" s="161" t="inlineStr">
        <is>
          <t>Regulatory, licence holder. Licensing and customs partner for imported medical devices.</t>
        </is>
      </c>
      <c r="E73" s="161" t="inlineStr">
        <is>
          <t>Not confirmed; ask on the first call</t>
        </is>
      </c>
      <c r="F73" s="161" t="inlineStr">
        <is>
          <t>Seoul Gangseo</t>
        </is>
      </c>
      <c r="G73" s="163" t="inlineStr">
        <is>
          <t>https://nextmedi.co.kr</t>
        </is>
      </c>
      <c r="H73" s="161" t="inlineStr">
        <is>
          <t>02-2039-6789</t>
        </is>
      </c>
      <c r="I73" s="161" t="inlineStr">
        <is>
          <t>nextmedi@nextmedi.co.kr</t>
        </is>
      </c>
      <c r="J73" s="166" t="inlineStr">
        <is>
          <t>Seoul Gangseo. Tel 02-2039-6789. Found via KIMES 2026 exhibitor directory.</t>
        </is>
      </c>
      <c r="K73" s="164" t="inlineStr">
        <is>
          <t>A</t>
        </is>
      </c>
      <c r="L73" s="161" t="inlineStr">
        <is>
          <t>Can act as MFDS licence holder so CHISON can register product before a dealer is signed.</t>
        </is>
      </c>
      <c r="M73" s="161" t="inlineStr">
        <is>
          <t>MFDS licence holder and regulatory pathway partner</t>
        </is>
      </c>
      <c r="N73" s="169" t="n">
        <v>2</v>
      </c>
      <c r="O73" s="161" t="inlineStr">
        <is>
          <t>Tier 2: adjacent segment or a possible competing principal; qualify by phone or email before a pitch.</t>
        </is>
      </c>
      <c r="P73" s="161" t="inlineStr">
        <is>
          <t>KIMES 2026 exhibitor directory; email read on the company site, 7 Oct 2026</t>
        </is>
      </c>
      <c r="Q73" s="161" t="n"/>
      <c r="R73" s="161" t="n"/>
      <c r="S73" s="165" t="inlineStr">
        <is>
          <t>Yes</t>
        </is>
      </c>
    </row>
    <row r="74" ht="60" customHeight="1" s="104">
      <c r="A74" s="161" t="n">
        <v>70</v>
      </c>
      <c r="B74" s="162" t="inlineStr">
        <is>
          <t>Sejin MT Co., Ltd. 세진엠티(주)</t>
        </is>
      </c>
      <c r="C74" s="161" t="inlineStr">
        <is>
          <t>Not started</t>
        </is>
      </c>
      <c r="D74" s="161" t="inlineStr">
        <is>
          <t>Orthopaedic, rehab, pain. Biodex official partner for diagnostic and rehab systems.</t>
        </is>
      </c>
      <c r="E74" s="161" t="inlineStr">
        <is>
          <t>Not confirmed; ask on the first call</t>
        </is>
      </c>
      <c r="F74" s="161" t="inlineStr">
        <is>
          <t>Seoul Seongdong</t>
        </is>
      </c>
      <c r="G74" s="163" t="inlineStr">
        <is>
          <t>https://sejinmt.com</t>
        </is>
      </c>
      <c r="H74" s="161" t="inlineStr">
        <is>
          <t>02-565-8448</t>
        </is>
      </c>
      <c r="I74" s="161" t="inlineStr">
        <is>
          <t>sales@sejinmt.com</t>
        </is>
      </c>
      <c r="J74" s="166" t="inlineStr">
        <is>
          <t>Seoul Seongdong. Tel 02-565-8448. Found via KIMES 2026 exhibitor directory.</t>
        </is>
      </c>
      <c r="K74" s="164" t="inlineStr">
        <is>
          <t>C</t>
        </is>
      </c>
      <c r="L74" s="161" t="inlineStr">
        <is>
          <t>Orthopaedic, rehab and pain clinics buy linear probe ultrasound for injection guidance; CHISON linear image quality is the edge.</t>
        </is>
      </c>
      <c r="M74" s="161" t="inlineStr">
        <is>
          <t>SonoEye P5 linear, SonoAir 30/70 for orthopaedic, rehab and pain clinics</t>
        </is>
      </c>
      <c r="N74" s="169" t="n">
        <v>2</v>
      </c>
      <c r="O74" s="161" t="inlineStr">
        <is>
          <t>Tier 2: adjacent segment or a possible competing principal; qualify by phone or email before a pitch.</t>
        </is>
      </c>
      <c r="P74" s="161" t="inlineStr">
        <is>
          <t>KIMES 2026 exhibitor directory; email search result of the company page, 7 Oct 2026</t>
        </is>
      </c>
      <c r="Q74" s="161" t="n"/>
      <c r="R74" s="161" t="n"/>
      <c r="S74" s="165" t="inlineStr">
        <is>
          <t>Yes</t>
        </is>
      </c>
    </row>
    <row r="75" ht="60" customHeight="1" s="104">
      <c r="A75" s="161" t="n">
        <v>71</v>
      </c>
      <c r="B75" s="162" t="inlineStr">
        <is>
          <t>JCure Inc. 제이큐어주식회사</t>
        </is>
      </c>
      <c r="C75" s="161" t="inlineStr">
        <is>
          <t>Not started</t>
        </is>
      </c>
      <c r="D75" s="161" t="inlineStr">
        <is>
          <t>Surgical, OR and anaesthesia. Sales corp with nationwide dealer network into dermatology, PS, GS and OS hospitals.</t>
        </is>
      </c>
      <c r="E75" s="161" t="inlineStr">
        <is>
          <t>Not confirmed; ask on the first call</t>
        </is>
      </c>
      <c r="F75" s="161" t="inlineStr">
        <is>
          <t>Seoul Dongjak</t>
        </is>
      </c>
      <c r="G75" s="163" t="inlineStr">
        <is>
          <t>https://jcure.co.kr</t>
        </is>
      </c>
      <c r="H75" s="161" t="inlineStr">
        <is>
          <t>02-3280-9662</t>
        </is>
      </c>
      <c r="I75" s="161" t="inlineStr">
        <is>
          <t>jcure@jcure.co.kr</t>
        </is>
      </c>
      <c r="J75" s="166" t="inlineStr">
        <is>
          <t>Seoul Dongjak. Tel 02-3280-9662. Found via KIMES 2026 exhibitor directory.</t>
        </is>
      </c>
      <c r="K75" s="164" t="inlineStr">
        <is>
          <t>A</t>
        </is>
      </c>
      <c r="L75" s="161" t="inlineStr">
        <is>
          <t>Theatre and anaesthesia accounts are the entry point for point of care ultrasound (nerve block, vascular access).</t>
        </is>
      </c>
      <c r="M75" s="161" t="inlineStr">
        <is>
          <t>SonoTouch tablet, SonoEye P3 for nerve block and vascular access in theatre</t>
        </is>
      </c>
      <c r="N75" s="169" t="n">
        <v>2</v>
      </c>
      <c r="O75" s="161" t="inlineStr">
        <is>
          <t>Tier 2: adjacent segment or a possible competing principal; qualify by phone or email before a pitch.</t>
        </is>
      </c>
      <c r="P75" s="161" t="inlineStr">
        <is>
          <t>KIMES 2026 exhibitor directory; email read on the company site, 7 Oct 2026</t>
        </is>
      </c>
      <c r="Q75" s="161" t="n"/>
      <c r="R75" s="161" t="n"/>
      <c r="S75" s="165" t="inlineStr">
        <is>
          <t>Yes</t>
        </is>
      </c>
    </row>
    <row r="76" ht="60" customHeight="1" s="104">
      <c r="A76" s="161" t="n">
        <v>72</v>
      </c>
      <c r="B76" s="162" t="inlineStr">
        <is>
          <t>Medifine Corporation (주)메디파인코퍼레이션</t>
        </is>
      </c>
      <c r="C76" s="161" t="inlineStr">
        <is>
          <t>Not started</t>
        </is>
      </c>
      <c r="D76" s="161" t="inlineStr">
        <is>
          <t>General medical equipment. Healthcare sales and marketing company.</t>
        </is>
      </c>
      <c r="E76" s="161" t="inlineStr">
        <is>
          <t>Not confirmed; ask on the first call</t>
        </is>
      </c>
      <c r="F76" s="161" t="inlineStr">
        <is>
          <t>Hanam</t>
        </is>
      </c>
      <c r="G76" s="163" t="inlineStr">
        <is>
          <t>https://medifine.com</t>
        </is>
      </c>
      <c r="H76" s="161" t="inlineStr">
        <is>
          <t>02-3437-5412</t>
        </is>
      </c>
      <c r="I76" s="161" t="inlineStr">
        <is>
          <t>sales@medifine.com</t>
        </is>
      </c>
      <c r="J76" s="166" t="inlineStr">
        <is>
          <t>Hanam. Tel 02-3437-5412. Found via KIMES 2026 exhibitor directory.</t>
        </is>
      </c>
      <c r="K76" s="164" t="inlineStr">
        <is>
          <t>A</t>
        </is>
      </c>
      <c r="L76" s="161" t="inlineStr">
        <is>
          <t>General medical equipment supplier with hospital and clinic accounts; can open ultrasound as a new line.</t>
        </is>
      </c>
      <c r="M76" s="161" t="inlineStr">
        <is>
          <t>SonoGO cart, SonoAir 70 handheld as a starter ultrasound line for a general hospital supplier</t>
        </is>
      </c>
      <c r="N76" s="169" t="n">
        <v>2</v>
      </c>
      <c r="O76" s="161" t="inlineStr">
        <is>
          <t>Tier 2: adjacent segment or a possible competing principal; qualify by phone or email before a pitch.</t>
        </is>
      </c>
      <c r="P76" s="161" t="inlineStr">
        <is>
          <t>KIMES 2026 exhibitor directory; email read on the company site, 7 Oct 2026</t>
        </is>
      </c>
      <c r="Q76" s="161" t="n"/>
      <c r="R76" s="161" t="n"/>
      <c r="S76" s="165" t="inlineStr">
        <is>
          <t>Yes</t>
        </is>
      </c>
    </row>
    <row r="77" ht="60" customHeight="1" s="104">
      <c r="A77" s="161" t="n">
        <v>73</v>
      </c>
      <c r="B77" s="162" t="inlineStr">
        <is>
          <t>Smilecare 스마일케어</t>
        </is>
      </c>
      <c r="C77" s="161" t="inlineStr">
        <is>
          <t>Not started</t>
        </is>
      </c>
      <c r="D77" s="161" t="inlineStr">
        <is>
          <t>General medical equipment. Supplies about 400 tertiary and university hospitals; exclusive importer.</t>
        </is>
      </c>
      <c r="E77" s="161" t="inlineStr">
        <is>
          <t>Not confirmed; ask on the first call</t>
        </is>
      </c>
      <c r="F77" s="161" t="inlineStr">
        <is>
          <t>Gimhae</t>
        </is>
      </c>
      <c r="G77" s="163" t="inlineStr">
        <is>
          <t>https://smile-care.co.kr</t>
        </is>
      </c>
      <c r="H77" s="161" t="inlineStr">
        <is>
          <t>055-326-0969</t>
        </is>
      </c>
      <c r="I77" s="161" t="inlineStr">
        <is>
          <t>smilecare1@naver.com</t>
        </is>
      </c>
      <c r="J77" s="166" t="inlineStr">
        <is>
          <t>Gimhae. Tel 055-326-0969. Found via KIMES 2026 exhibitor directory.</t>
        </is>
      </c>
      <c r="K77" s="164" t="inlineStr">
        <is>
          <t>A</t>
        </is>
      </c>
      <c r="L77" s="161" t="inlineStr">
        <is>
          <t>General medical equipment supplier with hospital and clinic accounts; can open ultrasound as a new line.</t>
        </is>
      </c>
      <c r="M77" s="161" t="inlineStr">
        <is>
          <t>SonoGO cart, SonoAir 70 handheld as a starter ultrasound line for a general hospital supplier</t>
        </is>
      </c>
      <c r="N77" s="169" t="n">
        <v>2</v>
      </c>
      <c r="O77" s="161" t="inlineStr">
        <is>
          <t>Tier 2: adjacent segment or a possible competing principal; qualify by phone or email before a pitch.</t>
        </is>
      </c>
      <c r="P77" s="161" t="inlineStr">
        <is>
          <t>KIMES 2026 exhibitor directory; email read on the company site, 7 Oct 2026</t>
        </is>
      </c>
      <c r="Q77" s="161" t="n"/>
      <c r="R77" s="161" t="n"/>
      <c r="S77" s="165" t="inlineStr">
        <is>
          <t>Yes</t>
        </is>
      </c>
    </row>
    <row r="78" ht="60" customHeight="1" s="104">
      <c r="A78" s="161" t="n">
        <v>74</v>
      </c>
      <c r="B78" s="162" t="inlineStr">
        <is>
          <t>Daehapsung Medical (주)대합성의료기</t>
        </is>
      </c>
      <c r="C78" s="161" t="inlineStr">
        <is>
          <t>Not started</t>
        </is>
      </c>
      <c r="D78" s="161" t="inlineStr">
        <is>
          <t>General medical equipment. Direct importer of medical devices since 1968.</t>
        </is>
      </c>
      <c r="E78" s="161" t="inlineStr">
        <is>
          <t>Not confirmed; ask on the first call</t>
        </is>
      </c>
      <c r="F78" s="161" t="inlineStr">
        <is>
          <t>Seoul Jongno</t>
        </is>
      </c>
      <c r="G78" s="163" t="inlineStr">
        <is>
          <t>https://dhsmedi.com</t>
        </is>
      </c>
      <c r="H78" s="161" t="inlineStr">
        <is>
          <t>02-2234-2050</t>
        </is>
      </c>
      <c r="I78" s="161" t="inlineStr">
        <is>
          <t>dhsmedi77@naver.com</t>
        </is>
      </c>
      <c r="J78" s="166" t="inlineStr">
        <is>
          <t>Seoul Jongno. Tel 02-2234-2050. Found via KIMES 2026 exhibitor directory.</t>
        </is>
      </c>
      <c r="K78" s="164" t="inlineStr">
        <is>
          <t>A</t>
        </is>
      </c>
      <c r="L78" s="161" t="inlineStr">
        <is>
          <t>General medical equipment supplier with hospital and clinic accounts; can open ultrasound as a new line.</t>
        </is>
      </c>
      <c r="M78" s="161" t="inlineStr">
        <is>
          <t>SonoGO cart, SonoAir 70 handheld as a starter ultrasound line for a general hospital supplier</t>
        </is>
      </c>
      <c r="N78" s="169" t="n">
        <v>2</v>
      </c>
      <c r="O78" s="161" t="inlineStr">
        <is>
          <t>Tier 2: adjacent segment or a possible competing principal; qualify by phone or email before a pitch.</t>
        </is>
      </c>
      <c r="P78" s="161" t="inlineStr">
        <is>
          <t>KIMES 2026 exhibitor directory; email read on the company site, 7 Oct 2026</t>
        </is>
      </c>
      <c r="Q78" s="161" t="n"/>
      <c r="R78" s="161" t="n"/>
      <c r="S78" s="165" t="inlineStr">
        <is>
          <t>Yes</t>
        </is>
      </c>
    </row>
    <row r="79" ht="60" customHeight="1" s="104">
      <c r="A79" s="161" t="n">
        <v>75</v>
      </c>
      <c r="B79" s="162" t="inlineStr">
        <is>
          <t>Medipia Co., Ltd. (주)메디피아</t>
        </is>
      </c>
      <c r="C79" s="161" t="inlineStr">
        <is>
          <t>Not started</t>
        </is>
      </c>
      <c r="D79" s="161" t="inlineStr">
        <is>
          <t>Surgical, OR and anaesthesia. Endoscope service company with all brand after sales capability.</t>
        </is>
      </c>
      <c r="E79" s="161" t="inlineStr">
        <is>
          <t>Not confirmed; ask on the first call</t>
        </is>
      </c>
      <c r="F79" s="161" t="inlineStr">
        <is>
          <t>Bucheon</t>
        </is>
      </c>
      <c r="G79" s="163" t="inlineStr">
        <is>
          <t>https://endoclean-medipia.com</t>
        </is>
      </c>
      <c r="H79" s="161" t="inlineStr">
        <is>
          <t>032-624-4288</t>
        </is>
      </c>
      <c r="I79" s="161" t="inlineStr">
        <is>
          <t>mep2011@naver.com</t>
        </is>
      </c>
      <c r="J79" s="166" t="inlineStr">
        <is>
          <t>Bucheon. Tel 032-624-4288. Found via KIMES 2026 exhibitor directory.</t>
        </is>
      </c>
      <c r="K79" s="164" t="inlineStr">
        <is>
          <t>A</t>
        </is>
      </c>
      <c r="L79" s="161" t="inlineStr">
        <is>
          <t>Theatre and anaesthesia accounts are the entry point for point of care ultrasound (nerve block, vascular access).</t>
        </is>
      </c>
      <c r="M79" s="161" t="inlineStr">
        <is>
          <t>SonoTouch tablet, SonoEye P3 for nerve block and vascular access in theatre</t>
        </is>
      </c>
      <c r="N79" s="169" t="n">
        <v>2</v>
      </c>
      <c r="O79" s="161" t="inlineStr">
        <is>
          <t>Tier 2: adjacent segment or a possible competing principal; qualify by phone or email before a pitch.</t>
        </is>
      </c>
      <c r="P79" s="161" t="inlineStr">
        <is>
          <t>KIMES 2026 exhibitor directory; email read on the company site, 7 Oct 2026</t>
        </is>
      </c>
      <c r="Q79" s="161" t="n"/>
      <c r="R79" s="161" t="n"/>
      <c r="S79" s="165" t="inlineStr">
        <is>
          <t>Yes</t>
        </is>
      </c>
    </row>
    <row r="80" ht="60" customHeight="1" s="104">
      <c r="A80" s="161" t="n">
        <v>76</v>
      </c>
      <c r="B80" s="162" t="inlineStr">
        <is>
          <t>HILT Korea ㈜힐트코리아</t>
        </is>
      </c>
      <c r="C80" s="161" t="inlineStr">
        <is>
          <t>Not started</t>
        </is>
      </c>
      <c r="D80" s="161" t="inlineStr">
        <is>
          <t>Orthopaedic, rehab, pain. Exclusive distributor of ASA HILT laser therapy for pain clinics.</t>
        </is>
      </c>
      <c r="E80" s="161" t="inlineStr">
        <is>
          <t>Not confirmed; ask on the first call</t>
        </is>
      </c>
      <c r="F80" s="161" t="inlineStr">
        <is>
          <t>Seongnam</t>
        </is>
      </c>
      <c r="G80" s="163" t="inlineStr">
        <is>
          <t>https://hiltkorea.com</t>
        </is>
      </c>
      <c r="H80" s="161" t="inlineStr">
        <is>
          <t>031-721-7507</t>
        </is>
      </c>
      <c r="I80" s="161" t="inlineStr">
        <is>
          <t>hiltkorea@naver.com</t>
        </is>
      </c>
      <c r="J80" s="166" t="inlineStr">
        <is>
          <t>Seongnam. Tel 031-721-7507. Found via KIMES 2026 exhibitor directory.</t>
        </is>
      </c>
      <c r="K80" s="164" t="inlineStr">
        <is>
          <t>A</t>
        </is>
      </c>
      <c r="L80" s="161" t="inlineStr">
        <is>
          <t>Orthopaedic, rehab and pain clinics buy linear probe ultrasound for injection guidance; CHISON linear image quality is the edge.</t>
        </is>
      </c>
      <c r="M80" s="161" t="inlineStr">
        <is>
          <t>SonoEye P5 linear, SonoAir 30/70 for orthopaedic, rehab and pain clinics</t>
        </is>
      </c>
      <c r="N80" s="169" t="n">
        <v>2</v>
      </c>
      <c r="O80" s="161" t="inlineStr">
        <is>
          <t>Tier 2: adjacent segment or a possible competing principal; qualify by phone or email before a pitch.</t>
        </is>
      </c>
      <c r="P80" s="161" t="inlineStr">
        <is>
          <t>KIMES 2026 exhibitor directory; email read on the company site, 7 Oct 2026</t>
        </is>
      </c>
      <c r="Q80" s="161" t="n"/>
      <c r="R80" s="161" t="n"/>
      <c r="S80" s="165" t="inlineStr">
        <is>
          <t>Yes</t>
        </is>
      </c>
    </row>
    <row r="81" ht="60" customHeight="1" s="104">
      <c r="A81" s="161" t="n">
        <v>77</v>
      </c>
      <c r="B81" s="162" t="inlineStr">
        <is>
          <t>Hanju Trading Co., Ltd. (주)한주무역</t>
        </is>
      </c>
      <c r="C81" s="161" t="inlineStr">
        <is>
          <t>Not started</t>
        </is>
      </c>
      <c r="D81" s="161" t="inlineStr">
        <is>
          <t>Emergency, ambulance. Emergency and EMS equipment and training supplies.</t>
        </is>
      </c>
      <c r="E81" s="161" t="inlineStr">
        <is>
          <t>Not confirmed; ask on the first call</t>
        </is>
      </c>
      <c r="F81" s="161" t="inlineStr">
        <is>
          <t>Incheon</t>
        </is>
      </c>
      <c r="G81" s="163" t="inlineStr">
        <is>
          <t>https://hanju911.com</t>
        </is>
      </c>
      <c r="H81" s="161" t="inlineStr">
        <is>
          <t>032-715-5586</t>
        </is>
      </c>
      <c r="I81" s="161" t="inlineStr">
        <is>
          <t>hanju@hanju911.com</t>
        </is>
      </c>
      <c r="J81" s="166" t="inlineStr">
        <is>
          <t>Incheon. Tel 032-715-5586. Found via KIMES 2026 exhibitor directory.</t>
        </is>
      </c>
      <c r="K81" s="164" t="inlineStr">
        <is>
          <t>C</t>
        </is>
      </c>
      <c r="L81" s="161" t="inlineStr">
        <is>
          <t>Emergency and ambulance buyers need rugged handheld POCUS.</t>
        </is>
      </c>
      <c r="M81" s="161" t="inlineStr">
        <is>
          <t>SonoEye P3 for FAST and point of care in emergency and ambulance</t>
        </is>
      </c>
      <c r="N81" s="169" t="n">
        <v>2</v>
      </c>
      <c r="O81" s="161" t="inlineStr">
        <is>
          <t>Tier 2: adjacent segment or a possible competing principal; qualify by phone or email before a pitch.</t>
        </is>
      </c>
      <c r="P81" s="161" t="inlineStr">
        <is>
          <t>KIMES 2026 exhibitor directory; email search result of the company page, 7 Oct 2026</t>
        </is>
      </c>
      <c r="Q81" s="161" t="n"/>
      <c r="R81" s="161" t="n"/>
      <c r="S81" s="165" t="inlineStr">
        <is>
          <t>Yes</t>
        </is>
      </c>
    </row>
    <row r="82" ht="60" customHeight="1" s="104">
      <c r="A82" s="161" t="n">
        <v>78</v>
      </c>
      <c r="B82" s="162" t="inlineStr">
        <is>
          <t>Dukin Co., Ltd. (주)덕인</t>
        </is>
      </c>
      <c r="C82" s="161" t="inlineStr">
        <is>
          <t>Not started</t>
        </is>
      </c>
      <c r="D82" s="161" t="inlineStr">
        <is>
          <t>Emergency, ambulance. Casts and splints for orthopaedics and emergency medicine since 1974.</t>
        </is>
      </c>
      <c r="E82" s="161" t="inlineStr">
        <is>
          <t>Not confirmed; ask on the first call</t>
        </is>
      </c>
      <c r="F82" s="161" t="inlineStr">
        <is>
          <t>Seoul Seocho</t>
        </is>
      </c>
      <c r="G82" s="163" t="inlineStr">
        <is>
          <t>https://dukin.com</t>
        </is>
      </c>
      <c r="H82" s="161" t="inlineStr">
        <is>
          <t>02-</t>
        </is>
      </c>
      <c r="I82" s="161" t="inlineStr">
        <is>
          <t>dukin@dukin.com</t>
        </is>
      </c>
      <c r="J82" s="166" t="inlineStr">
        <is>
          <t>Seoul Seocho. Tel 02-. Found via KIMES 2026 exhibitor directory.</t>
        </is>
      </c>
      <c r="K82" s="164" t="inlineStr">
        <is>
          <t>A</t>
        </is>
      </c>
      <c r="L82" s="161" t="inlineStr">
        <is>
          <t>Emergency and ambulance buyers need rugged handheld POCUS.</t>
        </is>
      </c>
      <c r="M82" s="161" t="inlineStr">
        <is>
          <t>SonoEye P3 for FAST and point of care in emergency and ambulance</t>
        </is>
      </c>
      <c r="N82" s="169" t="n">
        <v>2</v>
      </c>
      <c r="O82" s="161" t="inlineStr">
        <is>
          <t>Tier 2: adjacent segment or a possible competing principal; qualify by phone or email before a pitch.</t>
        </is>
      </c>
      <c r="P82" s="161" t="inlineStr">
        <is>
          <t>KIMES 2026 exhibitor directory; email read on the company site, 7 Oct 2026</t>
        </is>
      </c>
      <c r="Q82" s="161" t="n"/>
      <c r="R82" s="161" t="n"/>
      <c r="S82" s="165" t="inlineStr">
        <is>
          <t>Yes</t>
        </is>
      </c>
    </row>
    <row r="83" ht="60" customHeight="1" s="104">
      <c r="A83" s="161" t="n">
        <v>79</v>
      </c>
      <c r="B83" s="162" t="inlineStr">
        <is>
          <t>S-Medics 에스메딕스</t>
        </is>
      </c>
      <c r="C83" s="161" t="inlineStr">
        <is>
          <t>Not started</t>
        </is>
      </c>
      <c r="D83" s="161" t="inlineStr">
        <is>
          <t>General medical equipment. Medical device supply and distribution company.</t>
        </is>
      </c>
      <c r="E83" s="161" t="inlineStr">
        <is>
          <t>Not confirmed; ask on the first call</t>
        </is>
      </c>
      <c r="F83" s="161" t="inlineStr">
        <is>
          <t>Korea</t>
        </is>
      </c>
      <c r="G83" s="163" t="inlineStr">
        <is>
          <t>https://s-medics.co.kr</t>
        </is>
      </c>
      <c r="H83" s="161" t="inlineStr">
        <is>
          <t>Not published</t>
        </is>
      </c>
      <c r="I83" s="161" t="inlineStr">
        <is>
          <t>contact@s-medics.co.kr</t>
        </is>
      </c>
      <c r="J83" s="166" t="inlineStr">
        <is>
          <t>Korea. Found via Web search, company site.</t>
        </is>
      </c>
      <c r="K83" s="164" t="inlineStr">
        <is>
          <t>A</t>
        </is>
      </c>
      <c r="L83" s="161" t="inlineStr">
        <is>
          <t>General medical equipment supplier with hospital and clinic accounts; can open ultrasound as a new line.</t>
        </is>
      </c>
      <c r="M83" s="161" t="inlineStr">
        <is>
          <t>SonoGO cart, SonoAir 70 handheld as a starter ultrasound line for a general hospital supplier</t>
        </is>
      </c>
      <c r="N83" s="169" t="n">
        <v>2</v>
      </c>
      <c r="O83" s="161" t="inlineStr">
        <is>
          <t>Tier 2: adjacent segment or a possible competing principal; qualify by phone or email before a pitch.</t>
        </is>
      </c>
      <c r="P83" s="161" t="inlineStr">
        <is>
          <t>Web search, company site; email read on the company site, 7 Oct 2026</t>
        </is>
      </c>
      <c r="Q83" s="161" t="n"/>
      <c r="R83" s="161" t="n"/>
      <c r="S83" s="165" t="inlineStr">
        <is>
          <t>Yes</t>
        </is>
      </c>
    </row>
    <row r="84" ht="60" customHeight="1" s="104">
      <c r="A84" s="161" t="n">
        <v>80</v>
      </c>
      <c r="B84" s="162" t="inlineStr">
        <is>
          <t>Hulink Co., Ltd. 휴링크</t>
        </is>
      </c>
      <c r="C84" s="161" t="inlineStr">
        <is>
          <t>Not started</t>
        </is>
      </c>
      <c r="D84" s="161" t="inlineStr">
        <is>
          <t>General medical equipment. Medical device distribution company.</t>
        </is>
      </c>
      <c r="E84" s="161" t="inlineStr">
        <is>
          <t>Not confirmed; ask on the first call</t>
        </is>
      </c>
      <c r="F84" s="161" t="inlineStr">
        <is>
          <t>Korea</t>
        </is>
      </c>
      <c r="G84" s="163" t="inlineStr">
        <is>
          <t>https://hulink.kr</t>
        </is>
      </c>
      <c r="H84" s="161" t="inlineStr">
        <is>
          <t>Not published</t>
        </is>
      </c>
      <c r="I84" s="161" t="inlineStr">
        <is>
          <t>kjh@hulink.kr</t>
        </is>
      </c>
      <c r="J84" s="166" t="inlineStr">
        <is>
          <t>Korea. Found via Web search, company site.</t>
        </is>
      </c>
      <c r="K84" s="164" t="inlineStr">
        <is>
          <t>A</t>
        </is>
      </c>
      <c r="L84" s="161" t="inlineStr">
        <is>
          <t>General medical equipment supplier with hospital and clinic accounts; can open ultrasound as a new line.</t>
        </is>
      </c>
      <c r="M84" s="161" t="inlineStr">
        <is>
          <t>SonoGO cart, SonoAir 70 handheld as a starter ultrasound line for a general hospital supplier</t>
        </is>
      </c>
      <c r="N84" s="169" t="n">
        <v>2</v>
      </c>
      <c r="O84" s="161" t="inlineStr">
        <is>
          <t>Tier 2: adjacent segment or a possible competing principal; qualify by phone or email before a pitch.</t>
        </is>
      </c>
      <c r="P84" s="161" t="inlineStr">
        <is>
          <t>Web search, company site; email read on the company site, 7 Oct 2026</t>
        </is>
      </c>
      <c r="Q84" s="161" t="n"/>
      <c r="R84" s="161" t="n"/>
      <c r="S84" s="165" t="inlineStr">
        <is>
          <t>Yes</t>
        </is>
      </c>
    </row>
    <row r="85" ht="60" customHeight="1" s="104">
      <c r="A85" s="161" t="n">
        <v>81</v>
      </c>
      <c r="B85" s="162" t="inlineStr">
        <is>
          <t>Songlim Medical Co., Ltd. 송림메디칼</t>
        </is>
      </c>
      <c r="C85" s="161" t="inlineStr">
        <is>
          <t>Not started</t>
        </is>
      </c>
      <c r="D85" s="161" t="inlineStr">
        <is>
          <t>Ultrasound dealer. Distributes X-ray (DRGEM), mobile CT and ultrasound to hospitals and clinics nationwide with A/S; runs a KRDMS ultrasound training centre.</t>
        </is>
      </c>
      <c r="E85" s="161" t="inlineStr">
        <is>
          <t>Yes, SonoScape and Siemens (read on their site)</t>
        </is>
      </c>
      <c r="F85" s="161" t="inlineStr">
        <is>
          <t>Korea</t>
        </is>
      </c>
      <c r="G85" s="163" t="inlineStr">
        <is>
          <t>https://songlimmedical.com</t>
        </is>
      </c>
      <c r="H85" s="161" t="inlineStr">
        <is>
          <t>Not published</t>
        </is>
      </c>
      <c r="I85" s="161" t="inlineStr">
        <is>
          <t>songlim8080@wehago.com</t>
        </is>
      </c>
      <c r="J85" s="166" t="inlineStr">
        <is>
          <t>Korea. Found via Web search, company site.</t>
        </is>
      </c>
      <c r="K85" s="164" t="inlineStr">
        <is>
          <t>A</t>
        </is>
      </c>
      <c r="L85" s="161" t="inlineStr">
        <is>
          <t>Already sells ultrasound; check principal conflict first, CHISON fills price tiers the current brand may not cover. Carries a competing ultrasound brand: pitch CHISON for the tiers and segments that brand leaves open (handheld, wireless, vet).</t>
        </is>
      </c>
      <c r="M85" s="161" t="inlineStr">
        <is>
          <t>SonoGO cart, SonoAir 70 handheld; fill the pocket and mid tier gaps in the current ultrasound line</t>
        </is>
      </c>
      <c r="N85" s="169" t="n">
        <v>2</v>
      </c>
      <c r="O85" s="161" t="inlineStr">
        <is>
          <t>Tier 2: adjacent segment or a possible competing principal; qualify by phone or email before a pitch. Competing principal, so Tier 2 at best.</t>
        </is>
      </c>
      <c r="P85" s="161" t="inlineStr">
        <is>
          <t>Web search, company site; email read on the company site; email domain differs from the website, confirm, 7 Oct 2026</t>
        </is>
      </c>
      <c r="Q85" s="161" t="n"/>
      <c r="R85" s="161" t="n"/>
      <c r="S85" s="165" t="inlineStr">
        <is>
          <t>Yes</t>
        </is>
      </c>
    </row>
    <row r="86" ht="60" customHeight="1" s="104">
      <c r="A86" s="161" t="n">
        <v>82</v>
      </c>
      <c r="B86" s="162" t="inlineStr">
        <is>
          <t>Mediplay 메디플레이</t>
        </is>
      </c>
      <c r="C86" s="161" t="inlineStr">
        <is>
          <t>Not started</t>
        </is>
      </c>
      <c r="D86" s="161" t="inlineStr">
        <is>
          <t>Ultrasound dealer. Physiotherapy and diagnostic ultrasound supplier; official BTL and Alpinion dealer.</t>
        </is>
      </c>
      <c r="E86" s="161" t="inlineStr">
        <is>
          <t>Yes, Alpinion (read on their site)</t>
        </is>
      </c>
      <c r="F86" s="161" t="inlineStr">
        <is>
          <t>Korea</t>
        </is>
      </c>
      <c r="G86" s="163" t="inlineStr">
        <is>
          <t>https://mediplay.co.kr</t>
        </is>
      </c>
      <c r="H86" s="161" t="inlineStr">
        <is>
          <t>Not published</t>
        </is>
      </c>
      <c r="I86" s="161" t="inlineStr">
        <is>
          <t>mediplay1@naver.com</t>
        </is>
      </c>
      <c r="J86" s="166" t="inlineStr">
        <is>
          <t>Korea. Found via Web search, company site.</t>
        </is>
      </c>
      <c r="K86" s="164" t="inlineStr">
        <is>
          <t>A</t>
        </is>
      </c>
      <c r="L86" s="161" t="inlineStr">
        <is>
          <t>Already sells ultrasound; check principal conflict first, CHISON fills price tiers the current brand may not cover. Carries a competing ultrasound brand: pitch CHISON for the tiers and segments that brand leaves open (handheld, wireless, vet).</t>
        </is>
      </c>
      <c r="M86" s="161" t="inlineStr">
        <is>
          <t>SonoGO cart, SonoAir 70 handheld; fill the pocket and mid tier gaps in the current ultrasound line</t>
        </is>
      </c>
      <c r="N86" s="169" t="n">
        <v>2</v>
      </c>
      <c r="O86" s="161" t="inlineStr">
        <is>
          <t>Tier 2: adjacent segment or a possible competing principal; qualify by phone or email before a pitch. Competing principal, so Tier 2 at best.</t>
        </is>
      </c>
      <c r="P86" s="161" t="inlineStr">
        <is>
          <t>Web search, company site; email read on the company site, 7 Oct 2026</t>
        </is>
      </c>
      <c r="Q86" s="161" t="n"/>
      <c r="R86" s="161" t="n"/>
      <c r="S86" s="165" t="inlineStr">
        <is>
          <t>Yes</t>
        </is>
      </c>
    </row>
    <row r="87" ht="60" customHeight="1" s="104">
      <c r="A87" s="161" t="n">
        <v>83</v>
      </c>
      <c r="B87" s="162" t="inlineStr">
        <is>
          <t>Yeil Care 예일케어</t>
        </is>
      </c>
      <c r="C87" s="161" t="inlineStr">
        <is>
          <t>Not started</t>
        </is>
      </c>
      <c r="D87" s="161" t="inlineStr">
        <is>
          <t>General medical equipment. Medical device company (line card to confirm).</t>
        </is>
      </c>
      <c r="E87" s="161" t="inlineStr">
        <is>
          <t>Yes, Philips (demo and sales partner)</t>
        </is>
      </c>
      <c r="F87" s="161" t="inlineStr">
        <is>
          <t>Korea</t>
        </is>
      </c>
      <c r="G87" s="163" t="inlineStr">
        <is>
          <t>https://yeilcare.com</t>
        </is>
      </c>
      <c r="H87" s="161" t="inlineStr">
        <is>
          <t>Not published</t>
        </is>
      </c>
      <c r="I87" s="161" t="inlineStr">
        <is>
          <t>yeilhcare@yeilhealthcare.com</t>
        </is>
      </c>
      <c r="J87" s="166" t="inlineStr">
        <is>
          <t>Korea. Found via Web search, company site.</t>
        </is>
      </c>
      <c r="K87" s="164" t="inlineStr">
        <is>
          <t>A</t>
        </is>
      </c>
      <c r="L87" s="161" t="inlineStr">
        <is>
          <t>General medical equipment supplier with hospital and clinic accounts; can open ultrasound as a new line. Carries a competing ultrasound brand: pitch CHISON for the tiers and segments that brand leaves open (handheld, wireless, vet).</t>
        </is>
      </c>
      <c r="M87" s="161" t="inlineStr">
        <is>
          <t>SonoGO cart, SonoAir 70 handheld as a starter ultrasound line for a general hospital supplier</t>
        </is>
      </c>
      <c r="N87" s="169" t="n">
        <v>2</v>
      </c>
      <c r="O87" s="161" t="inlineStr">
        <is>
          <t>Tier 2: adjacent segment or a possible competing principal; qualify by phone or email before a pitch. Competing principal, so Tier 2 at best.</t>
        </is>
      </c>
      <c r="P87" s="161" t="inlineStr">
        <is>
          <t>Web search, company site; email read on the company site; email domain differs from the website, confirm, 7 Oct 2026</t>
        </is>
      </c>
      <c r="Q87" s="161" t="n"/>
      <c r="R87" s="161" t="n"/>
      <c r="S87" s="165" t="inlineStr">
        <is>
          <t>Yes</t>
        </is>
      </c>
    </row>
    <row r="88" ht="60" customHeight="1" s="104">
      <c r="A88" s="161" t="n">
        <v>84</v>
      </c>
      <c r="B88" s="162" t="inlineStr">
        <is>
          <t>Jun Medical Co., Ltd. 준메디칼</t>
        </is>
      </c>
      <c r="C88" s="161" t="inlineStr">
        <is>
          <t>Not started</t>
        </is>
      </c>
      <c r="D88" s="161" t="inlineStr">
        <is>
          <t>Surgical, OR and anaesthesia. OR devices and consumables distributor.</t>
        </is>
      </c>
      <c r="E88" s="161" t="inlineStr">
        <is>
          <t>Not confirmed; ask on the first call</t>
        </is>
      </c>
      <c r="F88" s="161" t="inlineStr">
        <is>
          <t>Korea</t>
        </is>
      </c>
      <c r="G88" s="163" t="inlineStr">
        <is>
          <t>https://junmedical.co.kr</t>
        </is>
      </c>
      <c r="H88" s="161" t="inlineStr">
        <is>
          <t>Not published</t>
        </is>
      </c>
      <c r="I88" s="161" t="inlineStr">
        <is>
          <t>junmed14@naver.com</t>
        </is>
      </c>
      <c r="J88" s="166" t="inlineStr">
        <is>
          <t>Korea. Found via Web search, company site.</t>
        </is>
      </c>
      <c r="K88" s="164" t="inlineStr">
        <is>
          <t>A</t>
        </is>
      </c>
      <c r="L88" s="161" t="inlineStr">
        <is>
          <t>Theatre and anaesthesia accounts are the entry point for point of care ultrasound (nerve block, vascular access).</t>
        </is>
      </c>
      <c r="M88" s="161" t="inlineStr">
        <is>
          <t>SonoTouch tablet, SonoEye P3 for nerve block and vascular access in theatre</t>
        </is>
      </c>
      <c r="N88" s="169" t="n">
        <v>2</v>
      </c>
      <c r="O88" s="161" t="inlineStr">
        <is>
          <t>Tier 2: adjacent segment or a possible competing principal; qualify by phone or email before a pitch.</t>
        </is>
      </c>
      <c r="P88" s="161" t="inlineStr">
        <is>
          <t>Web search, company site; email read on the company site, 7 Oct 2026</t>
        </is>
      </c>
      <c r="Q88" s="161" t="n"/>
      <c r="R88" s="161" t="n"/>
      <c r="S88" s="165" t="inlineStr">
        <is>
          <t>Yes</t>
        </is>
      </c>
    </row>
    <row r="89" ht="60" customHeight="1" s="104">
      <c r="A89" s="161" t="n">
        <v>85</v>
      </c>
      <c r="B89" s="162" t="inlineStr">
        <is>
          <t>Sejung Korea 세정코리아</t>
        </is>
      </c>
      <c r="C89" s="161" t="inlineStr">
        <is>
          <t>Not started</t>
        </is>
      </c>
      <c r="D89" s="161" t="inlineStr">
        <is>
          <t>General medical equipment. Medical device distribution company.</t>
        </is>
      </c>
      <c r="E89" s="161" t="inlineStr">
        <is>
          <t>Not confirmed; ask on the first call</t>
        </is>
      </c>
      <c r="F89" s="161" t="inlineStr">
        <is>
          <t>Korea</t>
        </is>
      </c>
      <c r="G89" s="163" t="inlineStr">
        <is>
          <t>https://sjkorea.co.kr</t>
        </is>
      </c>
      <c r="H89" s="161" t="inlineStr">
        <is>
          <t>Not published</t>
        </is>
      </c>
      <c r="I89" s="161" t="inlineStr">
        <is>
          <t>info@sejungkorea.com</t>
        </is>
      </c>
      <c r="J89" s="166" t="inlineStr">
        <is>
          <t>Korea. Found via Web search, company site.</t>
        </is>
      </c>
      <c r="K89" s="164" t="inlineStr">
        <is>
          <t>A</t>
        </is>
      </c>
      <c r="L89" s="161" t="inlineStr">
        <is>
          <t>General medical equipment supplier with hospital and clinic accounts; can open ultrasound as a new line.</t>
        </is>
      </c>
      <c r="M89" s="161" t="inlineStr">
        <is>
          <t>SonoGO cart, SonoAir 70 handheld as a starter ultrasound line for a general hospital supplier</t>
        </is>
      </c>
      <c r="N89" s="169" t="n">
        <v>2</v>
      </c>
      <c r="O89" s="161" t="inlineStr">
        <is>
          <t>Tier 2: adjacent segment or a possible competing principal; qualify by phone or email before a pitch.</t>
        </is>
      </c>
      <c r="P89" s="161" t="inlineStr">
        <is>
          <t>Web search, company site; email read on the company site; email domain differs from the website, confirm, 7 Oct 2026</t>
        </is>
      </c>
      <c r="Q89" s="161" t="n"/>
      <c r="R89" s="161" t="n"/>
      <c r="S89" s="165" t="inlineStr">
        <is>
          <t>Yes</t>
        </is>
      </c>
    </row>
    <row r="90" ht="60" customHeight="1" s="104">
      <c r="A90" s="161" t="n">
        <v>86</v>
      </c>
      <c r="B90" s="162" t="inlineStr">
        <is>
          <t>Withus Care Co., Ltd. 위더스케어</t>
        </is>
      </c>
      <c r="C90" s="161" t="inlineStr">
        <is>
          <t>Not started</t>
        </is>
      </c>
      <c r="D90" s="161" t="inlineStr">
        <is>
          <t>Ultrasound dealer. Samsung Medison official ultrasound dealer.</t>
        </is>
      </c>
      <c r="E90" s="161" t="inlineStr">
        <is>
          <t>Yes, Samsung Medison (check the principal agreement first)</t>
        </is>
      </c>
      <c r="F90" s="161" t="inlineStr">
        <is>
          <t>Korea</t>
        </is>
      </c>
      <c r="G90" s="163" t="inlineStr">
        <is>
          <t>https://withuscare.com</t>
        </is>
      </c>
      <c r="H90" s="161" t="inlineStr">
        <is>
          <t>Not published</t>
        </is>
      </c>
      <c r="I90" s="161" t="inlineStr">
        <is>
          <t>jongwook.lee@withuscare.com</t>
        </is>
      </c>
      <c r="J90" s="166" t="inlineStr">
        <is>
          <t>Korea. Found via Web search, company site.</t>
        </is>
      </c>
      <c r="K90" s="164" t="inlineStr">
        <is>
          <t>A</t>
        </is>
      </c>
      <c r="L90" s="161" t="inlineStr">
        <is>
          <t>Already sells ultrasound; check principal conflict first, CHISON fills price tiers the current brand may not cover. Carries a competing ultrasound brand: pitch CHISON for the tiers and segments that brand leaves open (handheld, wireless, vet).</t>
        </is>
      </c>
      <c r="M90" s="161" t="inlineStr">
        <is>
          <t>SonoGO cart, SonoAir 70 handheld; fill the pocket and mid tier gaps in the current ultrasound line</t>
        </is>
      </c>
      <c r="N90" s="169" t="n">
        <v>2</v>
      </c>
      <c r="O90" s="161" t="inlineStr">
        <is>
          <t>Tier 2: adjacent segment or a possible competing principal; qualify by phone or email before a pitch. Competing principal, so Tier 2 at best.</t>
        </is>
      </c>
      <c r="P90" s="161" t="inlineStr">
        <is>
          <t>Web search, company site; email read on the company site, 7 Oct 2026. Address is a named staff mailbox published on the site; no decision maker verified.</t>
        </is>
      </c>
      <c r="Q90" s="161" t="n"/>
      <c r="R90" s="161" t="n"/>
      <c r="S90" s="165" t="inlineStr">
        <is>
          <t>Yes</t>
        </is>
      </c>
    </row>
    <row r="91" ht="60" customHeight="1" s="104">
      <c r="A91" s="161" t="n">
        <v>87</v>
      </c>
      <c r="B91" s="162" t="inlineStr">
        <is>
          <t>RN Healthcare 알엔헬스케어</t>
        </is>
      </c>
      <c r="C91" s="161" t="inlineStr">
        <is>
          <t>Not started</t>
        </is>
      </c>
      <c r="D91" s="161" t="inlineStr">
        <is>
          <t>Ultrasound dealer. Mindray ultrasound official distributor.</t>
        </is>
      </c>
      <c r="E91" s="161" t="inlineStr">
        <is>
          <t>Yes, Mindray (check the principal agreement first)</t>
        </is>
      </c>
      <c r="F91" s="161" t="inlineStr">
        <is>
          <t>Korea</t>
        </is>
      </c>
      <c r="G91" s="163" t="inlineStr">
        <is>
          <t>https://rnhealthcare.co.kr</t>
        </is>
      </c>
      <c r="H91" s="161" t="inlineStr">
        <is>
          <t>Not published</t>
        </is>
      </c>
      <c r="I91" s="161" t="inlineStr">
        <is>
          <t>rnh@rnhealthcare.co.kr</t>
        </is>
      </c>
      <c r="J91" s="166" t="inlineStr">
        <is>
          <t>Korea. Found via Web search, company site.</t>
        </is>
      </c>
      <c r="K91" s="164" t="inlineStr">
        <is>
          <t>A</t>
        </is>
      </c>
      <c r="L91" s="161" t="inlineStr">
        <is>
          <t>Already sells ultrasound; check principal conflict first, CHISON fills price tiers the current brand may not cover. Carries a competing ultrasound brand: pitch CHISON for the tiers and segments that brand leaves open (handheld, wireless, vet).</t>
        </is>
      </c>
      <c r="M91" s="161" t="inlineStr">
        <is>
          <t>SonoGO cart, SonoAir 70 handheld; fill the pocket and mid tier gaps in the current ultrasound line</t>
        </is>
      </c>
      <c r="N91" s="169" t="n">
        <v>2</v>
      </c>
      <c r="O91" s="161" t="inlineStr">
        <is>
          <t>Tier 2: adjacent segment or a possible competing principal; qualify by phone or email before a pitch. Competing principal, so Tier 2 at best.</t>
        </is>
      </c>
      <c r="P91" s="161" t="inlineStr">
        <is>
          <t>Web search, company site; email read on the company site, 7 Oct 2026</t>
        </is>
      </c>
      <c r="Q91" s="161" t="n"/>
      <c r="R91" s="161" t="n"/>
      <c r="S91" s="165" t="inlineStr">
        <is>
          <t>Yes</t>
        </is>
      </c>
    </row>
    <row r="92" ht="60" customHeight="1" s="104">
      <c r="A92" s="161" t="n">
        <v>88</v>
      </c>
      <c r="B92" s="162" t="inlineStr">
        <is>
          <t>X-ray 114 Service Centre 통합엑스선 서비스센터</t>
        </is>
      </c>
      <c r="C92" s="161" t="inlineStr">
        <is>
          <t>Not started</t>
        </is>
      </c>
      <c r="D92" s="161" t="inlineStr">
        <is>
          <t>Imaging (X ray, radiology). X-ray installation and service centre.</t>
        </is>
      </c>
      <c r="E92" s="161" t="inlineStr">
        <is>
          <t>Not confirmed; ask on the first call</t>
        </is>
      </c>
      <c r="F92" s="161" t="inlineStr">
        <is>
          <t>Korea</t>
        </is>
      </c>
      <c r="G92" s="163" t="inlineStr">
        <is>
          <t>https://xray114.co.kr</t>
        </is>
      </c>
      <c r="H92" s="161" t="inlineStr">
        <is>
          <t>Not published</t>
        </is>
      </c>
      <c r="I92" s="161" t="inlineStr">
        <is>
          <t>hodb85@hanmail.net</t>
        </is>
      </c>
      <c r="J92" s="166" t="inlineStr">
        <is>
          <t>Korea. Found via Web search, company site.</t>
        </is>
      </c>
      <c r="K92" s="164" t="inlineStr">
        <is>
          <t>A</t>
        </is>
      </c>
      <c r="L92" s="161" t="inlineStr">
        <is>
          <t>Already sells imaging into hospitals and clinics; ultrasound is the natural next modality and uses the same buyers.</t>
        </is>
      </c>
      <c r="M92" s="161" t="inlineStr">
        <is>
          <t>SonoMax 7 cart, SonoPort compact; X ray and imaging sales team can add ultrasound to existing radiology accounts</t>
        </is>
      </c>
      <c r="N92" s="169" t="n">
        <v>2</v>
      </c>
      <c r="O92" s="161" t="inlineStr">
        <is>
          <t>Tier 2: adjacent segment or a possible competing principal; qualify by phone or email before a pitch.</t>
        </is>
      </c>
      <c r="P92" s="161" t="inlineStr">
        <is>
          <t>Web search, company site; email read on the company site, 7 Oct 2026</t>
        </is>
      </c>
      <c r="Q92" s="161" t="n"/>
      <c r="R92" s="161" t="n"/>
      <c r="S92" s="165" t="inlineStr">
        <is>
          <t>Yes</t>
        </is>
      </c>
    </row>
    <row r="93" ht="60" customHeight="1" s="104">
      <c r="A93" s="161" t="n">
        <v>89</v>
      </c>
      <c r="B93" s="162" t="inlineStr">
        <is>
          <t>SNJ Korea SNJ코리아</t>
        </is>
      </c>
      <c r="C93" s="161" t="inlineStr">
        <is>
          <t>Not started</t>
        </is>
      </c>
      <c r="D93" s="161" t="inlineStr">
        <is>
          <t>Imaging (X ray, radiology). Medical X-ray equipment supplier.</t>
        </is>
      </c>
      <c r="E93" s="161" t="inlineStr">
        <is>
          <t>Not confirmed; ask on the first call</t>
        </is>
      </c>
      <c r="F93" s="161" t="inlineStr">
        <is>
          <t>Korea</t>
        </is>
      </c>
      <c r="G93" s="163" t="inlineStr">
        <is>
          <t>https://snjk.co.kr</t>
        </is>
      </c>
      <c r="H93" s="161" t="inlineStr">
        <is>
          <t>Not published</t>
        </is>
      </c>
      <c r="I93" s="161" t="inlineStr">
        <is>
          <t>admin@snjk.co.kr</t>
        </is>
      </c>
      <c r="J93" s="166" t="inlineStr">
        <is>
          <t>Korea. Found via Web search, company site.</t>
        </is>
      </c>
      <c r="K93" s="164" t="inlineStr">
        <is>
          <t>A</t>
        </is>
      </c>
      <c r="L93" s="161" t="inlineStr">
        <is>
          <t>Already sells imaging into hospitals and clinics; ultrasound is the natural next modality and uses the same buyers.</t>
        </is>
      </c>
      <c r="M93" s="161" t="inlineStr">
        <is>
          <t>SonoMax 7 cart, SonoPort compact; X ray and imaging sales team can add ultrasound to existing radiology accounts</t>
        </is>
      </c>
      <c r="N93" s="169" t="n">
        <v>2</v>
      </c>
      <c r="O93" s="161" t="inlineStr">
        <is>
          <t>Tier 2: adjacent segment or a possible competing principal; qualify by phone or email before a pitch.</t>
        </is>
      </c>
      <c r="P93" s="161" t="inlineStr">
        <is>
          <t>Web search, company site; email read on the company site, 7 Oct 2026</t>
        </is>
      </c>
      <c r="Q93" s="161" t="n"/>
      <c r="R93" s="161" t="n"/>
      <c r="S93" s="165" t="inlineStr">
        <is>
          <t>Yes</t>
        </is>
      </c>
    </row>
    <row r="94" ht="60" customHeight="1" s="104">
      <c r="A94" s="161" t="n">
        <v>90</v>
      </c>
      <c r="B94" s="162" t="inlineStr">
        <is>
          <t>Raytec Medical 레이텍메디칼</t>
        </is>
      </c>
      <c r="C94" s="161" t="inlineStr">
        <is>
          <t>Not started</t>
        </is>
      </c>
      <c r="D94" s="161" t="inlineStr">
        <is>
          <t>Imaging (X ray, radiology). X-ray equipment company.</t>
        </is>
      </c>
      <c r="E94" s="161" t="inlineStr">
        <is>
          <t>Not confirmed; ask on the first call</t>
        </is>
      </c>
      <c r="F94" s="161" t="inlineStr">
        <is>
          <t>Korea</t>
        </is>
      </c>
      <c r="G94" s="163" t="inlineStr">
        <is>
          <t>https://iraytec.com</t>
        </is>
      </c>
      <c r="H94" s="161" t="inlineStr">
        <is>
          <t>Not published</t>
        </is>
      </c>
      <c r="I94" s="161" t="inlineStr">
        <is>
          <t>sales@iraytec.com</t>
        </is>
      </c>
      <c r="J94" s="166" t="inlineStr">
        <is>
          <t>Korea. Found via Web search, company site.</t>
        </is>
      </c>
      <c r="K94" s="164" t="inlineStr">
        <is>
          <t>A</t>
        </is>
      </c>
      <c r="L94" s="161" t="inlineStr">
        <is>
          <t>Already sells imaging into hospitals and clinics; ultrasound is the natural next modality and uses the same buyers.</t>
        </is>
      </c>
      <c r="M94" s="161" t="inlineStr">
        <is>
          <t>SonoMax 7 cart, SonoPort compact; X ray and imaging sales team can add ultrasound to existing radiology accounts</t>
        </is>
      </c>
      <c r="N94" s="169" t="n">
        <v>2</v>
      </c>
      <c r="O94" s="161" t="inlineStr">
        <is>
          <t>Tier 2: adjacent segment or a possible competing principal; qualify by phone or email before a pitch.</t>
        </is>
      </c>
      <c r="P94" s="161" t="inlineStr">
        <is>
          <t>Web search, company site; email read on the company site, 7 Oct 2026</t>
        </is>
      </c>
      <c r="Q94" s="161" t="n"/>
      <c r="R94" s="161" t="n"/>
      <c r="S94" s="165" t="inlineStr">
        <is>
          <t>Yes</t>
        </is>
      </c>
    </row>
    <row r="95" ht="60" customHeight="1" s="104">
      <c r="A95" s="161" t="n">
        <v>91</v>
      </c>
      <c r="B95" s="162" t="inlineStr">
        <is>
          <t>Emed Korea 이메드</t>
        </is>
      </c>
      <c r="C95" s="161" t="inlineStr">
        <is>
          <t>Not started</t>
        </is>
      </c>
      <c r="D95" s="161" t="inlineStr">
        <is>
          <t>Surgical, OR and anaesthesia. Endoscopy equipment specialist.</t>
        </is>
      </c>
      <c r="E95" s="161" t="inlineStr">
        <is>
          <t>Not confirmed; ask on the first call</t>
        </is>
      </c>
      <c r="F95" s="161" t="inlineStr">
        <is>
          <t>Korea</t>
        </is>
      </c>
      <c r="G95" s="163" t="inlineStr">
        <is>
          <t>https://emkr.kr</t>
        </is>
      </c>
      <c r="H95" s="161" t="inlineStr">
        <is>
          <t>Not published</t>
        </is>
      </c>
      <c r="I95" s="161" t="inlineStr">
        <is>
          <t>kugijung79@naver.com</t>
        </is>
      </c>
      <c r="J95" s="166" t="inlineStr">
        <is>
          <t>Korea. Found via Web search, company site.</t>
        </is>
      </c>
      <c r="K95" s="164" t="inlineStr">
        <is>
          <t>A</t>
        </is>
      </c>
      <c r="L95" s="161" t="inlineStr">
        <is>
          <t>Theatre and anaesthesia accounts are the entry point for point of care ultrasound (nerve block, vascular access).</t>
        </is>
      </c>
      <c r="M95" s="161" t="inlineStr">
        <is>
          <t>SonoTouch tablet, SonoEye P3 for nerve block and vascular access in theatre</t>
        </is>
      </c>
      <c r="N95" s="169" t="n">
        <v>2</v>
      </c>
      <c r="O95" s="161" t="inlineStr">
        <is>
          <t>Tier 2: adjacent segment or a possible competing principal; qualify by phone or email before a pitch.</t>
        </is>
      </c>
      <c r="P95" s="161" t="inlineStr">
        <is>
          <t>Web search, company site; email read on the company site, 7 Oct 2026</t>
        </is>
      </c>
      <c r="Q95" s="161" t="n"/>
      <c r="R95" s="161" t="n"/>
      <c r="S95" s="165" t="inlineStr">
        <is>
          <t>Yes</t>
        </is>
      </c>
    </row>
    <row r="96" ht="60" customHeight="1" s="104">
      <c r="A96" s="161" t="n">
        <v>92</v>
      </c>
      <c r="B96" s="162" t="inlineStr">
        <is>
          <t>HiMed 하이메드</t>
        </is>
      </c>
      <c r="C96" s="161" t="inlineStr">
        <is>
          <t>Not started</t>
        </is>
      </c>
      <c r="D96" s="161" t="inlineStr">
        <is>
          <t>General medical equipment. Imported medical equipment specialist.</t>
        </is>
      </c>
      <c r="E96" s="161" t="inlineStr">
        <is>
          <t>Not confirmed; ask on the first call</t>
        </is>
      </c>
      <c r="F96" s="161" t="inlineStr">
        <is>
          <t>Korea</t>
        </is>
      </c>
      <c r="G96" s="163" t="inlineStr">
        <is>
          <t>https://himed.co.kr</t>
        </is>
      </c>
      <c r="H96" s="161" t="inlineStr">
        <is>
          <t>Not published</t>
        </is>
      </c>
      <c r="I96" s="161" t="inlineStr">
        <is>
          <t>himed1@himed.co.kr</t>
        </is>
      </c>
      <c r="J96" s="166" t="inlineStr">
        <is>
          <t>Korea. Found via Web search, company site.</t>
        </is>
      </c>
      <c r="K96" s="164" t="inlineStr">
        <is>
          <t>A</t>
        </is>
      </c>
      <c r="L96" s="161" t="inlineStr">
        <is>
          <t>General medical equipment supplier with hospital and clinic accounts; can open ultrasound as a new line.</t>
        </is>
      </c>
      <c r="M96" s="161" t="inlineStr">
        <is>
          <t>SonoGO cart, SonoAir 70 handheld as a starter ultrasound line for a general hospital supplier</t>
        </is>
      </c>
      <c r="N96" s="169" t="n">
        <v>2</v>
      </c>
      <c r="O96" s="161" t="inlineStr">
        <is>
          <t>Tier 2: adjacent segment or a possible competing principal; qualify by phone or email before a pitch.</t>
        </is>
      </c>
      <c r="P96" s="161" t="inlineStr">
        <is>
          <t>Web search, company site; email read on the company site, 7 Oct 2026</t>
        </is>
      </c>
      <c r="Q96" s="161" t="n"/>
      <c r="R96" s="161" t="n"/>
      <c r="S96" s="165" t="inlineStr">
        <is>
          <t>Yes</t>
        </is>
      </c>
    </row>
    <row r="97" ht="60" customHeight="1" s="104">
      <c r="A97" s="161" t="n">
        <v>93</v>
      </c>
      <c r="B97" s="162" t="inlineStr">
        <is>
          <t>Enerf 에너프</t>
        </is>
      </c>
      <c r="C97" s="161" t="inlineStr">
        <is>
          <t>Not started</t>
        </is>
      </c>
      <c r="D97" s="161" t="inlineStr">
        <is>
          <t>Orthopaedic, rehab, pain. STORZ ESWT official dealer for hospitals.</t>
        </is>
      </c>
      <c r="E97" s="161" t="inlineStr">
        <is>
          <t>Not confirmed; ask on the first call</t>
        </is>
      </c>
      <c r="F97" s="161" t="inlineStr">
        <is>
          <t>Korea</t>
        </is>
      </c>
      <c r="G97" s="163" t="inlineStr">
        <is>
          <t>https://enerf.kr</t>
        </is>
      </c>
      <c r="H97" s="161" t="inlineStr">
        <is>
          <t>Not published</t>
        </is>
      </c>
      <c r="I97" s="161" t="inlineStr">
        <is>
          <t>enerf@naver.com</t>
        </is>
      </c>
      <c r="J97" s="166" t="inlineStr">
        <is>
          <t>Korea. Found via Web search, company site.</t>
        </is>
      </c>
      <c r="K97" s="164" t="inlineStr">
        <is>
          <t>A</t>
        </is>
      </c>
      <c r="L97" s="161" t="inlineStr">
        <is>
          <t>Orthopaedic, rehab and pain clinics buy linear probe ultrasound for injection guidance; CHISON linear image quality is the edge.</t>
        </is>
      </c>
      <c r="M97" s="161" t="inlineStr">
        <is>
          <t>SonoEye P5 linear, SonoAir 30/70 for orthopaedic, rehab and pain clinics</t>
        </is>
      </c>
      <c r="N97" s="169" t="n">
        <v>2</v>
      </c>
      <c r="O97" s="161" t="inlineStr">
        <is>
          <t>Tier 2: adjacent segment or a possible competing principal; qualify by phone or email before a pitch.</t>
        </is>
      </c>
      <c r="P97" s="161" t="inlineStr">
        <is>
          <t>Web search, company site; email read on the company site, 7 Oct 2026</t>
        </is>
      </c>
      <c r="Q97" s="161" t="n"/>
      <c r="R97" s="161" t="n"/>
      <c r="S97" s="165" t="inlineStr">
        <is>
          <t>Yes</t>
        </is>
      </c>
    </row>
    <row r="98" ht="60" customHeight="1" s="104">
      <c r="A98" s="161" t="n">
        <v>94</v>
      </c>
      <c r="B98" s="162" t="inlineStr">
        <is>
          <t>Medi One 메디원</t>
        </is>
      </c>
      <c r="C98" s="161" t="inlineStr">
        <is>
          <t>Not started</t>
        </is>
      </c>
      <c r="D98" s="161" t="inlineStr">
        <is>
          <t>Clinic and primary care supply. Clinical lab equipment and clinic set up provider.</t>
        </is>
      </c>
      <c r="E98" s="161" t="inlineStr">
        <is>
          <t>Not confirmed; ask on the first call</t>
        </is>
      </c>
      <c r="F98" s="161" t="inlineStr">
        <is>
          <t>Korea</t>
        </is>
      </c>
      <c r="G98" s="163" t="inlineStr">
        <is>
          <t>https://medi1.co.kr</t>
        </is>
      </c>
      <c r="H98" s="161" t="inlineStr">
        <is>
          <t>Not published</t>
        </is>
      </c>
      <c r="I98" s="161" t="inlineStr">
        <is>
          <t>hello@medi1.co.kr</t>
        </is>
      </c>
      <c r="J98" s="166" t="inlineStr">
        <is>
          <t>Korea. Found via Web search, company site.</t>
        </is>
      </c>
      <c r="K98" s="164" t="inlineStr">
        <is>
          <t>A</t>
        </is>
      </c>
      <c r="L98" s="161" t="inlineStr">
        <is>
          <t>Clinic channel, the end user James flagged as the opening (GPs and small clinics); SonoAir is a wireless handheld that Mindray does not offer.</t>
        </is>
      </c>
      <c r="M98" s="161" t="inlineStr">
        <is>
          <t>SonoAir 30, SonoEye P3 for primary care; SonoGO for new clinic opening packages</t>
        </is>
      </c>
      <c r="N98" s="169" t="n">
        <v>2</v>
      </c>
      <c r="O98" s="161" t="inlineStr">
        <is>
          <t>Tier 2: adjacent segment or a possible competing principal; qualify by phone or email before a pitch.</t>
        </is>
      </c>
      <c r="P98" s="161" t="inlineStr">
        <is>
          <t>Web search, company site; email read on the company site, 7 Oct 2026</t>
        </is>
      </c>
      <c r="Q98" s="161" t="n"/>
      <c r="R98" s="161" t="n"/>
      <c r="S98" s="165" t="inlineStr">
        <is>
          <t>Yes</t>
        </is>
      </c>
    </row>
    <row r="99" ht="60" customHeight="1" s="104">
      <c r="A99" s="161" t="n">
        <v>95</v>
      </c>
      <c r="B99" s="162" t="inlineStr">
        <is>
          <t>Daewon Medical 대원메디칼</t>
        </is>
      </c>
      <c r="C99" s="161" t="inlineStr">
        <is>
          <t>Not started</t>
        </is>
      </c>
      <c r="D99" s="161" t="inlineStr">
        <is>
          <t>General medical equipment. Medical device distributor; KMDDA board member.</t>
        </is>
      </c>
      <c r="E99" s="161" t="inlineStr">
        <is>
          <t>Not confirmed; ask on the first call</t>
        </is>
      </c>
      <c r="F99" s="161" t="inlineStr">
        <is>
          <t>Korea</t>
        </is>
      </c>
      <c r="G99" s="163" t="inlineStr">
        <is>
          <t>https://dwmedi.kr</t>
        </is>
      </c>
      <c r="H99" s="161" t="inlineStr">
        <is>
          <t>Not published</t>
        </is>
      </c>
      <c r="I99" s="161" t="inlineStr">
        <is>
          <t>daewonmedical89@gmail.com</t>
        </is>
      </c>
      <c r="J99" s="166" t="inlineStr">
        <is>
          <t>Korea. Found via Web search, company site.</t>
        </is>
      </c>
      <c r="K99" s="164" t="inlineStr">
        <is>
          <t>A</t>
        </is>
      </c>
      <c r="L99" s="161" t="inlineStr">
        <is>
          <t>General medical equipment supplier with hospital and clinic accounts; can open ultrasound as a new line.</t>
        </is>
      </c>
      <c r="M99" s="161" t="inlineStr">
        <is>
          <t>SonoGO cart, SonoAir 70 handheld as a starter ultrasound line for a general hospital supplier</t>
        </is>
      </c>
      <c r="N99" s="169" t="n">
        <v>2</v>
      </c>
      <c r="O99" s="161" t="inlineStr">
        <is>
          <t>Tier 2: adjacent segment or a possible competing principal; qualify by phone or email before a pitch.</t>
        </is>
      </c>
      <c r="P99" s="161" t="inlineStr">
        <is>
          <t>Web search, company site; email read on the company site, 7 Oct 2026</t>
        </is>
      </c>
      <c r="Q99" s="161" t="n"/>
      <c r="R99" s="161" t="n"/>
      <c r="S99" s="165" t="inlineStr">
        <is>
          <t>Yes</t>
        </is>
      </c>
    </row>
    <row r="100" ht="60" customHeight="1" s="104">
      <c r="A100" s="161" t="n">
        <v>96</v>
      </c>
      <c r="B100" s="162" t="inlineStr">
        <is>
          <t>Mediang 메디앙</t>
        </is>
      </c>
      <c r="C100" s="161" t="inlineStr">
        <is>
          <t>Not started</t>
        </is>
      </c>
      <c r="D100" s="161" t="inlineStr">
        <is>
          <t>Clinic and primary care supply. Clinic opening consultancy.</t>
        </is>
      </c>
      <c r="E100" s="161" t="inlineStr">
        <is>
          <t>Not confirmed; ask on the first call</t>
        </is>
      </c>
      <c r="F100" s="161" t="inlineStr">
        <is>
          <t>Korea</t>
        </is>
      </c>
      <c r="G100" s="163" t="inlineStr">
        <is>
          <t>https://mediangopen2.com</t>
        </is>
      </c>
      <c r="H100" s="161" t="inlineStr">
        <is>
          <t>Not published</t>
        </is>
      </c>
      <c r="I100" s="161" t="inlineStr">
        <is>
          <t>sukjunart@hanmail.net</t>
        </is>
      </c>
      <c r="J100" s="166" t="inlineStr">
        <is>
          <t>Korea. Found via Web search, company site.</t>
        </is>
      </c>
      <c r="K100" s="164" t="inlineStr">
        <is>
          <t>A</t>
        </is>
      </c>
      <c r="L100" s="161" t="inlineStr">
        <is>
          <t>Clinic channel, the end user James flagged as the opening (GPs and small clinics); SonoAir is a wireless handheld that Mindray does not offer.</t>
        </is>
      </c>
      <c r="M100" s="161" t="inlineStr">
        <is>
          <t>SonoAir 30, SonoEye P3 for primary care; SonoGO for new clinic opening packages</t>
        </is>
      </c>
      <c r="N100" s="169" t="n">
        <v>2</v>
      </c>
      <c r="O100" s="161" t="inlineStr">
        <is>
          <t>Tier 2: adjacent segment or a possible competing principal; qualify by phone or email before a pitch.</t>
        </is>
      </c>
      <c r="P100" s="161" t="inlineStr">
        <is>
          <t>Web search, company site; email read on the company site, 7 Oct 2026</t>
        </is>
      </c>
      <c r="Q100" s="161" t="n"/>
      <c r="R100" s="161" t="n"/>
      <c r="S100" s="165" t="inlineStr">
        <is>
          <t>Yes</t>
        </is>
      </c>
    </row>
    <row r="101" ht="60" customHeight="1" s="104">
      <c r="A101" s="161" t="n">
        <v>97</v>
      </c>
      <c r="B101" s="162" t="inlineStr">
        <is>
          <t>Medicalist 메디컬리스트</t>
        </is>
      </c>
      <c r="C101" s="161" t="inlineStr">
        <is>
          <t>Not started</t>
        </is>
      </c>
      <c r="D101" s="161" t="inlineStr">
        <is>
          <t>General medical equipment. Medical device sales company.</t>
        </is>
      </c>
      <c r="E101" s="161" t="inlineStr">
        <is>
          <t>Not confirmed; ask on the first call</t>
        </is>
      </c>
      <c r="F101" s="161" t="inlineStr">
        <is>
          <t>Korea</t>
        </is>
      </c>
      <c r="G101" s="163" t="inlineStr">
        <is>
          <t>https://medicalist.co.kr</t>
        </is>
      </c>
      <c r="H101" s="161" t="inlineStr">
        <is>
          <t>Not published</t>
        </is>
      </c>
      <c r="I101" s="161" t="inlineStr">
        <is>
          <t>junhwi.mo@gmail.com</t>
        </is>
      </c>
      <c r="J101" s="166" t="inlineStr">
        <is>
          <t>Korea. Found via Web search, company site.</t>
        </is>
      </c>
      <c r="K101" s="164" t="inlineStr">
        <is>
          <t>A</t>
        </is>
      </c>
      <c r="L101" s="161" t="inlineStr">
        <is>
          <t>General medical equipment supplier with hospital and clinic accounts; can open ultrasound as a new line.</t>
        </is>
      </c>
      <c r="M101" s="161" t="inlineStr">
        <is>
          <t>SonoGO cart, SonoAir 70 handheld as a starter ultrasound line for a general hospital supplier</t>
        </is>
      </c>
      <c r="N101" s="169" t="n">
        <v>2</v>
      </c>
      <c r="O101" s="161" t="inlineStr">
        <is>
          <t>Tier 2: adjacent segment or a possible competing principal; qualify by phone or email before a pitch.</t>
        </is>
      </c>
      <c r="P101" s="161" t="inlineStr">
        <is>
          <t>Web search, company site; email read on the company site, 7 Oct 2026</t>
        </is>
      </c>
      <c r="Q101" s="161" t="n"/>
      <c r="R101" s="161" t="n"/>
      <c r="S101" s="165" t="inlineStr">
        <is>
          <t>Yes</t>
        </is>
      </c>
    </row>
    <row r="102" ht="60" customHeight="1" s="104">
      <c r="A102" s="161" t="n">
        <v>98</v>
      </c>
      <c r="B102" s="162" t="inlineStr">
        <is>
          <t>D&amp;P Care 디앤피케어</t>
        </is>
      </c>
      <c r="C102" s="161" t="inlineStr">
        <is>
          <t>Not started</t>
        </is>
      </c>
      <c r="D102" s="161" t="inlineStr">
        <is>
          <t>Clinic and primary care supply. Diagnostic equipment and consumables supplier to hospitals.</t>
        </is>
      </c>
      <c r="E102" s="161" t="inlineStr">
        <is>
          <t>Not confirmed; ask on the first call</t>
        </is>
      </c>
      <c r="F102" s="161" t="inlineStr">
        <is>
          <t>Korea</t>
        </is>
      </c>
      <c r="G102" s="163" t="inlineStr">
        <is>
          <t>https://mediking.net</t>
        </is>
      </c>
      <c r="H102" s="161" t="inlineStr">
        <is>
          <t>Not published</t>
        </is>
      </c>
      <c r="I102" s="161" t="inlineStr">
        <is>
          <t>info@dbking.co.kr</t>
        </is>
      </c>
      <c r="J102" s="166" t="inlineStr">
        <is>
          <t>Korea. Found via Web search, company site.</t>
        </is>
      </c>
      <c r="K102" s="164" t="inlineStr">
        <is>
          <t>A</t>
        </is>
      </c>
      <c r="L102" s="161" t="inlineStr">
        <is>
          <t>Clinic channel, the end user James flagged as the opening (GPs and small clinics); SonoAir is a wireless handheld that Mindray does not offer.</t>
        </is>
      </c>
      <c r="M102" s="161" t="inlineStr">
        <is>
          <t>SonoAir 30, SonoEye P3 for primary care; SonoGO for new clinic opening packages</t>
        </is>
      </c>
      <c r="N102" s="169" t="n">
        <v>2</v>
      </c>
      <c r="O102" s="161" t="inlineStr">
        <is>
          <t>Tier 2: adjacent segment or a possible competing principal; qualify by phone or email before a pitch.</t>
        </is>
      </c>
      <c r="P102" s="161" t="inlineStr">
        <is>
          <t>Web search, company site; email read on the company site; email domain differs from the website, confirm, 7 Oct 2026</t>
        </is>
      </c>
      <c r="Q102" s="161" t="n"/>
      <c r="R102" s="161" t="n"/>
      <c r="S102" s="165" t="inlineStr">
        <is>
          <t>Yes</t>
        </is>
      </c>
    </row>
    <row r="103" ht="60" customHeight="1" s="104">
      <c r="A103" s="161" t="n">
        <v>99</v>
      </c>
      <c r="B103" s="162" t="inlineStr">
        <is>
          <t>SM Supply 에스엠써플라이</t>
        </is>
      </c>
      <c r="C103" s="161" t="inlineStr">
        <is>
          <t>Not started</t>
        </is>
      </c>
      <c r="D103" s="161" t="inlineStr">
        <is>
          <t>Ultrasound dealer. Former Samsung Medison and Aloka ultrasound dealer.</t>
        </is>
      </c>
      <c r="E103" s="161" t="inlineStr">
        <is>
          <t>Former Samsung Medison and Aloka dealer; current line not confirmed</t>
        </is>
      </c>
      <c r="F103" s="161" t="inlineStr">
        <is>
          <t>Incheon</t>
        </is>
      </c>
      <c r="G103" s="163" t="inlineStr">
        <is>
          <t>https://smsupply.co.kr</t>
        </is>
      </c>
      <c r="H103" s="161" t="inlineStr">
        <is>
          <t>Not published</t>
        </is>
      </c>
      <c r="I103" s="161" t="inlineStr">
        <is>
          <t>shin3084@naver.com</t>
        </is>
      </c>
      <c r="J103" s="166" t="inlineStr">
        <is>
          <t>Incheon. Found via Web search, company site.</t>
        </is>
      </c>
      <c r="K103" s="164" t="inlineStr">
        <is>
          <t>A</t>
        </is>
      </c>
      <c r="L103" s="161" t="inlineStr">
        <is>
          <t>Already sells ultrasound; check principal conflict first, CHISON fills price tiers the current brand may not cover.</t>
        </is>
      </c>
      <c r="M103" s="161" t="inlineStr">
        <is>
          <t>SonoGO cart, SonoAir 70 handheld; fill the pocket and mid tier gaps in the current ultrasound line</t>
        </is>
      </c>
      <c r="N103" s="169" t="n">
        <v>2</v>
      </c>
      <c r="O103" s="161" t="inlineStr">
        <is>
          <t>Tier 2: adjacent segment or a possible competing principal; qualify by phone or email before a pitch.</t>
        </is>
      </c>
      <c r="P103" s="161" t="inlineStr">
        <is>
          <t>Web search, company site; email read on the company site, 7 Oct 2026</t>
        </is>
      </c>
      <c r="Q103" s="161" t="n"/>
      <c r="R103" s="161" t="n"/>
      <c r="S103" s="165" t="inlineStr">
        <is>
          <t>Yes</t>
        </is>
      </c>
    </row>
    <row r="104" ht="60" customHeight="1" s="104">
      <c r="A104" s="161" t="n">
        <v>100</v>
      </c>
      <c r="B104" s="162" t="inlineStr">
        <is>
          <t>Genopy Korea 제노피코리아</t>
        </is>
      </c>
      <c r="C104" s="161" t="inlineStr">
        <is>
          <t>Not started</t>
        </is>
      </c>
      <c r="D104" s="161" t="inlineStr">
        <is>
          <t>Surgical, OR and anaesthesia. Device import and distribution focused on operating theatres (KAORN exhibitor).</t>
        </is>
      </c>
      <c r="E104" s="161" t="inlineStr">
        <is>
          <t>Not confirmed; ask on the first call</t>
        </is>
      </c>
      <c r="F104" s="161" t="inlineStr">
        <is>
          <t>Korea</t>
        </is>
      </c>
      <c r="G104" s="163" t="inlineStr">
        <is>
          <t>https://genopy.com</t>
        </is>
      </c>
      <c r="H104" s="161" t="inlineStr">
        <is>
          <t>Not published</t>
        </is>
      </c>
      <c r="I104" s="161" t="inlineStr">
        <is>
          <t>sales@genopy.com</t>
        </is>
      </c>
      <c r="J104" s="166" t="inlineStr">
        <is>
          <t>Korea. Found via Web search, company site.</t>
        </is>
      </c>
      <c r="K104" s="164" t="inlineStr">
        <is>
          <t>A</t>
        </is>
      </c>
      <c r="L104" s="161" t="inlineStr">
        <is>
          <t>Theatre and anaesthesia accounts are the entry point for point of care ultrasound (nerve block, vascular access).</t>
        </is>
      </c>
      <c r="M104" s="161" t="inlineStr">
        <is>
          <t>SonoTouch tablet, SonoEye P3 for nerve block and vascular access in theatre</t>
        </is>
      </c>
      <c r="N104" s="169" t="n">
        <v>2</v>
      </c>
      <c r="O104" s="161" t="inlineStr">
        <is>
          <t>Tier 2: adjacent segment or a possible competing principal; qualify by phone or email before a pitch.</t>
        </is>
      </c>
      <c r="P104" s="161" t="inlineStr">
        <is>
          <t>Web search, company site; email read on the company site, 7 Oct 2026</t>
        </is>
      </c>
      <c r="Q104" s="161" t="n"/>
      <c r="R104" s="161" t="n"/>
      <c r="S104" s="165" t="inlineStr">
        <is>
          <t>Yes</t>
        </is>
      </c>
    </row>
    <row r="105" ht="60" customHeight="1" s="104">
      <c r="A105" s="161" t="n">
        <v>101</v>
      </c>
      <c r="B105" s="162" t="inlineStr">
        <is>
          <t>MD Park 엠디파크</t>
        </is>
      </c>
      <c r="C105" s="161" t="inlineStr">
        <is>
          <t>Not started</t>
        </is>
      </c>
      <c r="D105" s="161" t="inlineStr">
        <is>
          <t>Clinic and primary care supply. Clinic consumables and device wholesaler; device brokerage and delivery to clinics.</t>
        </is>
      </c>
      <c r="E105" s="161" t="inlineStr">
        <is>
          <t>Not confirmed; ask on the first call</t>
        </is>
      </c>
      <c r="F105" s="161" t="inlineStr">
        <is>
          <t>Korea</t>
        </is>
      </c>
      <c r="G105" s="163" t="inlineStr">
        <is>
          <t>https://mdpark.co.kr</t>
        </is>
      </c>
      <c r="H105" s="161" t="inlineStr">
        <is>
          <t>Not published</t>
        </is>
      </c>
      <c r="I105" s="161" t="inlineStr">
        <is>
          <t>mdeduco@mdpark.co.kr</t>
        </is>
      </c>
      <c r="J105" s="166" t="inlineStr">
        <is>
          <t>Korea. Found via Web search, company site.</t>
        </is>
      </c>
      <c r="K105" s="164" t="inlineStr">
        <is>
          <t>D</t>
        </is>
      </c>
      <c r="L105" s="161" t="inlineStr">
        <is>
          <t>Clinic channel, the end user James flagged as the opening (GPs and small clinics); SonoAir is a wireless handheld that Mindray does not offer.</t>
        </is>
      </c>
      <c r="M105" s="161" t="inlineStr">
        <is>
          <t>SonoAir 30, SonoEye P3 for primary care; SonoGO for new clinic opening packages</t>
        </is>
      </c>
      <c r="N105" s="169" t="n">
        <v>2</v>
      </c>
      <c r="O105" s="161" t="inlineStr">
        <is>
          <t>Tier 2: adjacent segment or a possible competing principal; qualify by phone or email before a pitch.</t>
        </is>
      </c>
      <c r="P105" s="161" t="inlineStr">
        <is>
          <t>Web search, company site; email third party page, confirm before sending, 7 Oct 2026</t>
        </is>
      </c>
      <c r="Q105" s="161" t="n"/>
      <c r="R105" s="161" t="n"/>
      <c r="S105" s="165" t="inlineStr">
        <is>
          <t>Confirm</t>
        </is>
      </c>
    </row>
    <row r="106" ht="60" customHeight="1" s="104">
      <c r="A106" s="161" t="n">
        <v>102</v>
      </c>
      <c r="B106" s="162" t="inlineStr">
        <is>
          <t>HYB Company 에이치와이비컴퍼니</t>
        </is>
      </c>
      <c r="C106" s="161" t="inlineStr">
        <is>
          <t>Not started</t>
        </is>
      </c>
      <c r="D106" s="161" t="inlineStr">
        <is>
          <t>General medical equipment. Healthcare GPO and device distribution and logistics company.</t>
        </is>
      </c>
      <c r="E106" s="161" t="inlineStr">
        <is>
          <t>Not confirmed; ask on the first call</t>
        </is>
      </c>
      <c r="F106" s="161" t="inlineStr">
        <is>
          <t>Korea</t>
        </is>
      </c>
      <c r="G106" s="163" t="inlineStr">
        <is>
          <t>https://hyb-company.com</t>
        </is>
      </c>
      <c r="H106" s="161" t="inlineStr">
        <is>
          <t>Not published</t>
        </is>
      </c>
      <c r="I106" s="161" t="inlineStr">
        <is>
          <t>hyb0046@naver.com</t>
        </is>
      </c>
      <c r="J106" s="166" t="inlineStr">
        <is>
          <t>Korea. Found via Web search, company site.</t>
        </is>
      </c>
      <c r="K106" s="164" t="inlineStr">
        <is>
          <t>A</t>
        </is>
      </c>
      <c r="L106" s="161" t="inlineStr">
        <is>
          <t>General medical equipment supplier with hospital and clinic accounts; can open ultrasound as a new line.</t>
        </is>
      </c>
      <c r="M106" s="161" t="inlineStr">
        <is>
          <t>SonoGO cart, SonoAir 70 handheld as a starter ultrasound line for a general hospital supplier</t>
        </is>
      </c>
      <c r="N106" s="169" t="n">
        <v>2</v>
      </c>
      <c r="O106" s="161" t="inlineStr">
        <is>
          <t>Tier 2: adjacent segment or a possible competing principal; qualify by phone or email before a pitch.</t>
        </is>
      </c>
      <c r="P106" s="161" t="inlineStr">
        <is>
          <t>Web search, company site; email read on the company site, 7 Oct 2026</t>
        </is>
      </c>
      <c r="Q106" s="161" t="n"/>
      <c r="R106" s="161" t="n"/>
      <c r="S106" s="165" t="inlineStr">
        <is>
          <t>Yes</t>
        </is>
      </c>
    </row>
    <row r="107" ht="60" customHeight="1" s="104">
      <c r="A107" s="161" t="n">
        <v>103</v>
      </c>
      <c r="B107" s="162" t="inlineStr">
        <is>
          <t>Medi Infra 메디인프라</t>
        </is>
      </c>
      <c r="C107" s="161" t="inlineStr">
        <is>
          <t>Not started</t>
        </is>
      </c>
      <c r="D107" s="161" t="inlineStr">
        <is>
          <t>Clinic and primary care supply. Supplies diagnostic and lab equipment to clinics through official channels.</t>
        </is>
      </c>
      <c r="E107" s="161" t="inlineStr">
        <is>
          <t>Not confirmed; ask on the first call</t>
        </is>
      </c>
      <c r="F107" s="161" t="inlineStr">
        <is>
          <t>Korea</t>
        </is>
      </c>
      <c r="G107" s="163" t="inlineStr">
        <is>
          <t>https://mediinfra.co.kr</t>
        </is>
      </c>
      <c r="H107" s="161" t="inlineStr">
        <is>
          <t>Not published</t>
        </is>
      </c>
      <c r="I107" s="161" t="inlineStr">
        <is>
          <t>info@mediinfra.co.kr</t>
        </is>
      </c>
      <c r="J107" s="166" t="inlineStr">
        <is>
          <t>Korea. Found via Web search, company site.</t>
        </is>
      </c>
      <c r="K107" s="164" t="inlineStr">
        <is>
          <t>A</t>
        </is>
      </c>
      <c r="L107" s="161" t="inlineStr">
        <is>
          <t>Clinic channel, the end user James flagged as the opening (GPs and small clinics); SonoAir is a wireless handheld that Mindray does not offer.</t>
        </is>
      </c>
      <c r="M107" s="161" t="inlineStr">
        <is>
          <t>SonoAir 30, SonoEye P3 for primary care; SonoGO for new clinic opening packages</t>
        </is>
      </c>
      <c r="N107" s="169" t="n">
        <v>2</v>
      </c>
      <c r="O107" s="161" t="inlineStr">
        <is>
          <t>Tier 2: adjacent segment or a possible competing principal; qualify by phone or email before a pitch.</t>
        </is>
      </c>
      <c r="P107" s="161" t="inlineStr">
        <is>
          <t>Web search, company site; email read on the company site, 7 Oct 2026</t>
        </is>
      </c>
      <c r="Q107" s="161" t="n"/>
      <c r="R107" s="161" t="n"/>
      <c r="S107" s="165" t="inlineStr">
        <is>
          <t>Yes</t>
        </is>
      </c>
    </row>
    <row r="108" ht="60" customHeight="1" s="104">
      <c r="A108" s="161" t="n">
        <v>104</v>
      </c>
      <c r="B108" s="162" t="inlineStr">
        <is>
          <t>Green Healthcare 그린헬스케어</t>
        </is>
      </c>
      <c r="C108" s="161" t="inlineStr">
        <is>
          <t>Not started</t>
        </is>
      </c>
      <c r="D108" s="161" t="inlineStr">
        <is>
          <t>Imaging (X ray, radiology). GE channel partner for MRI, CT, angiography and SPECT CT sales and service.</t>
        </is>
      </c>
      <c r="E108" s="161" t="inlineStr">
        <is>
          <t>Not confirmed; ask on the first call</t>
        </is>
      </c>
      <c r="F108" s="161" t="inlineStr">
        <is>
          <t>Korea</t>
        </is>
      </c>
      <c r="G108" s="163" t="inlineStr">
        <is>
          <t>https://gegreenhc.com</t>
        </is>
      </c>
      <c r="H108" s="161" t="inlineStr">
        <is>
          <t>Not published</t>
        </is>
      </c>
      <c r="I108" s="161" t="inlineStr">
        <is>
          <t>kim@greenhc.co.kr</t>
        </is>
      </c>
      <c r="J108" s="166" t="inlineStr">
        <is>
          <t>Korea. Found via Web search, company site.</t>
        </is>
      </c>
      <c r="K108" s="164" t="inlineStr">
        <is>
          <t>A</t>
        </is>
      </c>
      <c r="L108" s="161" t="inlineStr">
        <is>
          <t>Already sells imaging into hospitals and clinics; ultrasound is the natural next modality and uses the same buyers.</t>
        </is>
      </c>
      <c r="M108" s="161" t="inlineStr">
        <is>
          <t>SonoMax 7 cart, SonoPort compact; X ray and imaging sales team can add ultrasound to existing radiology accounts</t>
        </is>
      </c>
      <c r="N108" s="169" t="n">
        <v>2</v>
      </c>
      <c r="O108" s="161" t="inlineStr">
        <is>
          <t>Tier 2: adjacent segment or a possible competing principal; qualify by phone or email before a pitch.</t>
        </is>
      </c>
      <c r="P108" s="161" t="inlineStr">
        <is>
          <t>Web search, company site; email read on the company site; email domain differs from the website, confirm, 7 Oct 2026</t>
        </is>
      </c>
      <c r="Q108" s="161" t="n"/>
      <c r="R108" s="161" t="n"/>
      <c r="S108" s="165" t="inlineStr">
        <is>
          <t>Yes</t>
        </is>
      </c>
    </row>
    <row r="109" ht="60" customHeight="1" s="104">
      <c r="A109" s="161" t="n">
        <v>105</v>
      </c>
      <c r="B109" s="162" t="inlineStr">
        <is>
          <t>Carewins Co., Ltd. 케어윈스</t>
        </is>
      </c>
      <c r="C109" s="161" t="inlineStr">
        <is>
          <t>Not started</t>
        </is>
      </c>
      <c r="D109" s="161" t="inlineStr">
        <is>
          <t>Surgical, OR and anaesthesia. Sony medical monitor supply and service to hospitals since 2012.</t>
        </is>
      </c>
      <c r="E109" s="161" t="inlineStr">
        <is>
          <t>Not confirmed; ask on the first call</t>
        </is>
      </c>
      <c r="F109" s="161" t="inlineStr">
        <is>
          <t>Korea</t>
        </is>
      </c>
      <c r="G109" s="163" t="inlineStr">
        <is>
          <t>https://carewins.co.kr</t>
        </is>
      </c>
      <c r="H109" s="161" t="inlineStr">
        <is>
          <t>Not published</t>
        </is>
      </c>
      <c r="I109" s="161" t="inlineStr">
        <is>
          <t>admin@carewins.co.kr</t>
        </is>
      </c>
      <c r="J109" s="166" t="inlineStr">
        <is>
          <t>Korea. Found via Web search, company site.</t>
        </is>
      </c>
      <c r="K109" s="164" t="inlineStr">
        <is>
          <t>A</t>
        </is>
      </c>
      <c r="L109" s="161" t="inlineStr">
        <is>
          <t>Theatre and anaesthesia accounts are the entry point for point of care ultrasound (nerve block, vascular access).</t>
        </is>
      </c>
      <c r="M109" s="161" t="inlineStr">
        <is>
          <t>SonoTouch tablet, SonoEye P3 for nerve block and vascular access in theatre</t>
        </is>
      </c>
      <c r="N109" s="169" t="n">
        <v>2</v>
      </c>
      <c r="O109" s="161" t="inlineStr">
        <is>
          <t>Tier 2: adjacent segment or a possible competing principal; qualify by phone or email before a pitch.</t>
        </is>
      </c>
      <c r="P109" s="161" t="inlineStr">
        <is>
          <t>Web search, company site; email read on the company site, 7 Oct 2026</t>
        </is>
      </c>
      <c r="Q109" s="161" t="n"/>
      <c r="R109" s="161" t="n"/>
      <c r="S109" s="165" t="inlineStr">
        <is>
          <t>Yes</t>
        </is>
      </c>
    </row>
    <row r="110" ht="60" customHeight="1" s="104">
      <c r="A110" s="161" t="n">
        <v>106</v>
      </c>
      <c r="B110" s="162" t="inlineStr">
        <is>
          <t>X-ray Technologies 엑스레이테크</t>
        </is>
      </c>
      <c r="C110" s="161" t="inlineStr">
        <is>
          <t>Not started</t>
        </is>
      </c>
      <c r="D110" s="161" t="inlineStr">
        <is>
          <t>Imaging (X ray, radiology). X-ray equipment company.</t>
        </is>
      </c>
      <c r="E110" s="161" t="inlineStr">
        <is>
          <t>Not confirmed; ask on the first call</t>
        </is>
      </c>
      <c r="F110" s="161" t="inlineStr">
        <is>
          <t>Korea</t>
        </is>
      </c>
      <c r="G110" s="163" t="inlineStr">
        <is>
          <t>https://xraytech.co.kr</t>
        </is>
      </c>
      <c r="H110" s="161" t="inlineStr">
        <is>
          <t>Not published</t>
        </is>
      </c>
      <c r="I110" s="161" t="inlineStr">
        <is>
          <t>hklee.xtech@gmail.com</t>
        </is>
      </c>
      <c r="J110" s="166" t="inlineStr">
        <is>
          <t>Korea. Found via Web search, company site.</t>
        </is>
      </c>
      <c r="K110" s="164" t="inlineStr">
        <is>
          <t>A</t>
        </is>
      </c>
      <c r="L110" s="161" t="inlineStr">
        <is>
          <t>Already sells imaging into hospitals and clinics; ultrasound is the natural next modality and uses the same buyers.</t>
        </is>
      </c>
      <c r="M110" s="161" t="inlineStr">
        <is>
          <t>SonoMax 7 cart, SonoPort compact; X ray and imaging sales team can add ultrasound to existing radiology accounts</t>
        </is>
      </c>
      <c r="N110" s="169" t="n">
        <v>2</v>
      </c>
      <c r="O110" s="161" t="inlineStr">
        <is>
          <t>Tier 2: adjacent segment or a possible competing principal; qualify by phone or email before a pitch.</t>
        </is>
      </c>
      <c r="P110" s="161" t="inlineStr">
        <is>
          <t>Web search, company site; email read on the company site, 7 Oct 2026</t>
        </is>
      </c>
      <c r="Q110" s="161" t="n"/>
      <c r="R110" s="161" t="n"/>
      <c r="S110" s="165" t="inlineStr">
        <is>
          <t>Yes</t>
        </is>
      </c>
    </row>
    <row r="111" ht="60" customHeight="1" s="104">
      <c r="A111" s="161" t="n">
        <v>107</v>
      </c>
      <c r="B111" s="162" t="inlineStr">
        <is>
          <t>Daesang Healthcare 대상헬스케어</t>
        </is>
      </c>
      <c r="C111" s="161" t="inlineStr">
        <is>
          <t>Not started</t>
        </is>
      </c>
      <c r="D111" s="161" t="inlineStr">
        <is>
          <t>Surgical, OR and anaesthesia. Olympus endoscope refurbishment, repair and import.</t>
        </is>
      </c>
      <c r="E111" s="161" t="inlineStr">
        <is>
          <t>Not confirmed; ask on the first call</t>
        </is>
      </c>
      <c r="F111" s="161" t="inlineStr">
        <is>
          <t>Korea</t>
        </is>
      </c>
      <c r="G111" s="163" t="inlineStr">
        <is>
          <t>https://dshc.kr</t>
        </is>
      </c>
      <c r="H111" s="161" t="inlineStr">
        <is>
          <t>Not published</t>
        </is>
      </c>
      <c r="I111" s="161" t="inlineStr">
        <is>
          <t>hyh9300@naver.com</t>
        </is>
      </c>
      <c r="J111" s="166" t="inlineStr">
        <is>
          <t>Korea. Found via Web search, company site.</t>
        </is>
      </c>
      <c r="K111" s="164" t="inlineStr">
        <is>
          <t>A</t>
        </is>
      </c>
      <c r="L111" s="161" t="inlineStr">
        <is>
          <t>Theatre and anaesthesia accounts are the entry point for point of care ultrasound (nerve block, vascular access).</t>
        </is>
      </c>
      <c r="M111" s="161" t="inlineStr">
        <is>
          <t>SonoTouch tablet, SonoEye P3 for nerve block and vascular access in theatre</t>
        </is>
      </c>
      <c r="N111" s="169" t="n">
        <v>2</v>
      </c>
      <c r="O111" s="161" t="inlineStr">
        <is>
          <t>Tier 2: adjacent segment or a possible competing principal; qualify by phone or email before a pitch.</t>
        </is>
      </c>
      <c r="P111" s="161" t="inlineStr">
        <is>
          <t>Web search, company site; email read on the company site, 7 Oct 2026</t>
        </is>
      </c>
      <c r="Q111" s="161" t="n"/>
      <c r="R111" s="161" t="n"/>
      <c r="S111" s="165" t="inlineStr">
        <is>
          <t>Yes</t>
        </is>
      </c>
    </row>
    <row r="112" ht="60" customHeight="1" s="104">
      <c r="A112" s="161" t="n">
        <v>108</v>
      </c>
      <c r="B112" s="162" t="inlineStr">
        <is>
          <t>Meoda Co., Ltd. 머다</t>
        </is>
      </c>
      <c r="C112" s="161" t="inlineStr">
        <is>
          <t>Not started</t>
        </is>
      </c>
      <c r="D112" s="161" t="inlineStr">
        <is>
          <t>Surgical, OR and anaesthesia. Anaesthesia machine dealer.</t>
        </is>
      </c>
      <c r="E112" s="161" t="inlineStr">
        <is>
          <t>Not confirmed; ask on the first call</t>
        </is>
      </c>
      <c r="F112" s="161" t="inlineStr">
        <is>
          <t>Korea</t>
        </is>
      </c>
      <c r="G112" s="163" t="inlineStr">
        <is>
          <t>https://meoda.kr</t>
        </is>
      </c>
      <c r="H112" s="161" t="inlineStr">
        <is>
          <t>Not published</t>
        </is>
      </c>
      <c r="I112" s="161" t="inlineStr">
        <is>
          <t>c.s_info@meoda.kr</t>
        </is>
      </c>
      <c r="J112" s="166" t="inlineStr">
        <is>
          <t>Korea. Found via Web search, company site.</t>
        </is>
      </c>
      <c r="K112" s="164" t="inlineStr">
        <is>
          <t>A</t>
        </is>
      </c>
      <c r="L112" s="161" t="inlineStr">
        <is>
          <t>Theatre and anaesthesia accounts are the entry point for point of care ultrasound (nerve block, vascular access).</t>
        </is>
      </c>
      <c r="M112" s="161" t="inlineStr">
        <is>
          <t>SonoTouch tablet, SonoEye P3 for nerve block and vascular access in theatre</t>
        </is>
      </c>
      <c r="N112" s="169" t="n">
        <v>2</v>
      </c>
      <c r="O112" s="161" t="inlineStr">
        <is>
          <t>Tier 2: adjacent segment or a possible competing principal; qualify by phone or email before a pitch.</t>
        </is>
      </c>
      <c r="P112" s="161" t="inlineStr">
        <is>
          <t>Web search, company site; email read on the company site, 7 Oct 2026</t>
        </is>
      </c>
      <c r="Q112" s="161" t="n"/>
      <c r="R112" s="161" t="n"/>
      <c r="S112" s="165" t="inlineStr">
        <is>
          <t>Yes</t>
        </is>
      </c>
    </row>
    <row r="113" ht="60" customHeight="1" s="104">
      <c r="A113" s="161" t="n">
        <v>109</v>
      </c>
      <c r="B113" s="162" t="inlineStr">
        <is>
          <t>Piark 피아크</t>
        </is>
      </c>
      <c r="C113" s="161" t="inlineStr">
        <is>
          <t>Not started</t>
        </is>
      </c>
      <c r="D113" s="161" t="inlineStr">
        <is>
          <t>Orthopaedic, rehab, pain. Richard Wolf ESWT Korea distributor.</t>
        </is>
      </c>
      <c r="E113" s="161" t="inlineStr">
        <is>
          <t>Not confirmed; ask on the first call</t>
        </is>
      </c>
      <c r="F113" s="161" t="inlineStr">
        <is>
          <t>Korea</t>
        </is>
      </c>
      <c r="G113" s="163" t="inlineStr">
        <is>
          <t>https://piark.net</t>
        </is>
      </c>
      <c r="H113" s="161" t="inlineStr">
        <is>
          <t>Not published</t>
        </is>
      </c>
      <c r="I113" s="161" t="inlineStr">
        <is>
          <t>piark@naver.com</t>
        </is>
      </c>
      <c r="J113" s="166" t="inlineStr">
        <is>
          <t>Korea. Found via Web search, company site.</t>
        </is>
      </c>
      <c r="K113" s="164" t="inlineStr">
        <is>
          <t>A</t>
        </is>
      </c>
      <c r="L113" s="161" t="inlineStr">
        <is>
          <t>Orthopaedic, rehab and pain clinics buy linear probe ultrasound for injection guidance; CHISON linear image quality is the edge.</t>
        </is>
      </c>
      <c r="M113" s="161" t="inlineStr">
        <is>
          <t>SonoEye P5 linear, SonoAir 30/70 for orthopaedic, rehab and pain clinics</t>
        </is>
      </c>
      <c r="N113" s="169" t="n">
        <v>2</v>
      </c>
      <c r="O113" s="161" t="inlineStr">
        <is>
          <t>Tier 2: adjacent segment or a possible competing principal; qualify by phone or email before a pitch.</t>
        </is>
      </c>
      <c r="P113" s="161" t="inlineStr">
        <is>
          <t>Web search, company site; email read on the company site, 7 Oct 2026</t>
        </is>
      </c>
      <c r="Q113" s="161" t="n"/>
      <c r="R113" s="161" t="n"/>
      <c r="S113" s="165" t="inlineStr">
        <is>
          <t>Yes</t>
        </is>
      </c>
    </row>
    <row r="114" ht="60" customHeight="1" s="104">
      <c r="A114" s="161" t="n">
        <v>110</v>
      </c>
      <c r="B114" s="162" t="inlineStr">
        <is>
          <t>iDen 아이덴</t>
        </is>
      </c>
      <c r="C114" s="161" t="inlineStr">
        <is>
          <t>Not started</t>
        </is>
      </c>
      <c r="D114" s="161" t="inlineStr">
        <is>
          <t>Clinic and primary care supply. Health screening, ophthalmic and veterinary equipment supplier.</t>
        </is>
      </c>
      <c r="E114" s="161" t="inlineStr">
        <is>
          <t>Not confirmed; ask on the first call</t>
        </is>
      </c>
      <c r="F114" s="161" t="inlineStr">
        <is>
          <t>Korea</t>
        </is>
      </c>
      <c r="G114" s="163" t="inlineStr">
        <is>
          <t>https://idenhealth.co.kr</t>
        </is>
      </c>
      <c r="H114" s="161" t="inlineStr">
        <is>
          <t>Not published</t>
        </is>
      </c>
      <c r="I114" s="161" t="inlineStr">
        <is>
          <t>idenhealth@naver.com</t>
        </is>
      </c>
      <c r="J114" s="166" t="inlineStr">
        <is>
          <t>Korea. Found via Web search, company site.</t>
        </is>
      </c>
      <c r="K114" s="164" t="inlineStr">
        <is>
          <t>A</t>
        </is>
      </c>
      <c r="L114" s="161" t="inlineStr">
        <is>
          <t>Clinic channel, the end user James flagged as the opening (GPs and small clinics); SonoAir is a wireless handheld that Mindray does not offer.</t>
        </is>
      </c>
      <c r="M114" s="161" t="inlineStr">
        <is>
          <t>SonoAir 30, SonoEye P3 for primary care; SonoGO for new clinic opening packages</t>
        </is>
      </c>
      <c r="N114" s="169" t="n">
        <v>2</v>
      </c>
      <c r="O114" s="161" t="inlineStr">
        <is>
          <t>Tier 2: adjacent segment or a possible competing principal; qualify by phone or email before a pitch.</t>
        </is>
      </c>
      <c r="P114" s="161" t="inlineStr">
        <is>
          <t>Web search, company site; email read on the company site, 7 Oct 2026</t>
        </is>
      </c>
      <c r="Q114" s="161" t="n"/>
      <c r="R114" s="161" t="n"/>
      <c r="S114" s="165" t="inlineStr">
        <is>
          <t>Yes</t>
        </is>
      </c>
    </row>
    <row r="115" ht="60" customHeight="1" s="104">
      <c r="A115" s="161" t="n">
        <v>111</v>
      </c>
      <c r="B115" s="162" t="inlineStr">
        <is>
          <t>Metamedi 메타메디</t>
        </is>
      </c>
      <c r="C115" s="161" t="inlineStr">
        <is>
          <t>Not started</t>
        </is>
      </c>
      <c r="D115" s="161" t="inlineStr">
        <is>
          <t>General medical equipment. Mindray IVD importer (haematology, chemistry).</t>
        </is>
      </c>
      <c r="E115" s="161" t="inlineStr">
        <is>
          <t>No ultrasound; Mindray IVD importer, so already works with a Chinese principal</t>
        </is>
      </c>
      <c r="F115" s="161" t="inlineStr">
        <is>
          <t>Korea</t>
        </is>
      </c>
      <c r="G115" s="163" t="inlineStr">
        <is>
          <t>https://metamedi.net</t>
        </is>
      </c>
      <c r="H115" s="161" t="inlineStr">
        <is>
          <t>Not published</t>
        </is>
      </c>
      <c r="I115" s="161" t="inlineStr">
        <is>
          <t>mtmd@metamedi.net</t>
        </is>
      </c>
      <c r="J115" s="166" t="inlineStr">
        <is>
          <t>Korea. Found via Web search, company site.</t>
        </is>
      </c>
      <c r="K115" s="164" t="inlineStr">
        <is>
          <t>A</t>
        </is>
      </c>
      <c r="L115" s="161" t="inlineStr">
        <is>
          <t>General medical equipment supplier with hospital and clinic accounts; can open ultrasound as a new line.</t>
        </is>
      </c>
      <c r="M115" s="161" t="inlineStr">
        <is>
          <t>SonoGO cart, SonoAir 70 handheld as a starter ultrasound line for a general hospital supplier</t>
        </is>
      </c>
      <c r="N115" s="169" t="n">
        <v>2</v>
      </c>
      <c r="O115" s="161" t="inlineStr">
        <is>
          <t>Tier 2: adjacent segment or a possible competing principal; qualify by phone or email before a pitch.</t>
        </is>
      </c>
      <c r="P115" s="161" t="inlineStr">
        <is>
          <t>Web search, company site; email read on the company site, 7 Oct 2026</t>
        </is>
      </c>
      <c r="Q115" s="161" t="n"/>
      <c r="R115" s="161" t="n"/>
      <c r="S115" s="165" t="inlineStr">
        <is>
          <t>Yes</t>
        </is>
      </c>
    </row>
    <row r="116" ht="60" customHeight="1" s="104">
      <c r="A116" s="161" t="n">
        <v>112</v>
      </c>
      <c r="B116" s="162" t="inlineStr">
        <is>
          <t>Insun Med 인선메드</t>
        </is>
      </c>
      <c r="C116" s="161" t="inlineStr">
        <is>
          <t>Not started</t>
        </is>
      </c>
      <c r="D116" s="161" t="inlineStr">
        <is>
          <t>General medical equipment. Medical device sales and distribution.</t>
        </is>
      </c>
      <c r="E116" s="161" t="inlineStr">
        <is>
          <t>Not confirmed; ask on the first call</t>
        </is>
      </c>
      <c r="F116" s="161" t="inlineStr">
        <is>
          <t>Korea</t>
        </is>
      </c>
      <c r="G116" s="163" t="inlineStr">
        <is>
          <t>https://insunmed.com</t>
        </is>
      </c>
      <c r="H116" s="161" t="inlineStr">
        <is>
          <t>Not published</t>
        </is>
      </c>
      <c r="I116" s="161" t="inlineStr">
        <is>
          <t>r1943@naver.com</t>
        </is>
      </c>
      <c r="J116" s="166" t="inlineStr">
        <is>
          <t>Korea. Found via Web search, company site.</t>
        </is>
      </c>
      <c r="K116" s="164" t="inlineStr">
        <is>
          <t>A</t>
        </is>
      </c>
      <c r="L116" s="161" t="inlineStr">
        <is>
          <t>General medical equipment supplier with hospital and clinic accounts; can open ultrasound as a new line.</t>
        </is>
      </c>
      <c r="M116" s="161" t="inlineStr">
        <is>
          <t>SonoGO cart, SonoAir 70 handheld as a starter ultrasound line for a general hospital supplier</t>
        </is>
      </c>
      <c r="N116" s="169" t="n">
        <v>2</v>
      </c>
      <c r="O116" s="161" t="inlineStr">
        <is>
          <t>Tier 2: adjacent segment or a possible competing principal; qualify by phone or email before a pitch.</t>
        </is>
      </c>
      <c r="P116" s="161" t="inlineStr">
        <is>
          <t>Web search, company site; email read on the company site, 7 Oct 2026</t>
        </is>
      </c>
      <c r="Q116" s="161" t="n"/>
      <c r="R116" s="161" t="n"/>
      <c r="S116" s="165" t="inlineStr">
        <is>
          <t>Yes</t>
        </is>
      </c>
    </row>
    <row r="117" ht="60" customHeight="1" s="104">
      <c r="A117" s="161" t="n">
        <v>113</v>
      </c>
      <c r="B117" s="162" t="inlineStr">
        <is>
          <t>Medistart 메디스타트</t>
        </is>
      </c>
      <c r="C117" s="161" t="inlineStr">
        <is>
          <t>Not started</t>
        </is>
      </c>
      <c r="D117" s="161" t="inlineStr">
        <is>
          <t>Clinic and primary care supply. Clinic opening consultancy.</t>
        </is>
      </c>
      <c r="E117" s="161" t="inlineStr">
        <is>
          <t>Not confirmed; ask on the first call</t>
        </is>
      </c>
      <c r="F117" s="161" t="inlineStr">
        <is>
          <t>Korea</t>
        </is>
      </c>
      <c r="G117" s="163" t="inlineStr">
        <is>
          <t>https://medistart.kr</t>
        </is>
      </c>
      <c r="H117" s="161" t="inlineStr">
        <is>
          <t>Not published</t>
        </is>
      </c>
      <c r="I117" s="161" t="inlineStr">
        <is>
          <t>medistarts@naver.com</t>
        </is>
      </c>
      <c r="J117" s="166" t="inlineStr">
        <is>
          <t>Korea. Found via Web search, company site.</t>
        </is>
      </c>
      <c r="K117" s="164" t="inlineStr">
        <is>
          <t>A</t>
        </is>
      </c>
      <c r="L117" s="161" t="inlineStr">
        <is>
          <t>Clinic channel, the end user James flagged as the opening (GPs and small clinics); SonoAir is a wireless handheld that Mindray does not offer.</t>
        </is>
      </c>
      <c r="M117" s="161" t="inlineStr">
        <is>
          <t>SonoAir 30, SonoEye P3 for primary care; SonoGO for new clinic opening packages</t>
        </is>
      </c>
      <c r="N117" s="169" t="n">
        <v>2</v>
      </c>
      <c r="O117" s="161" t="inlineStr">
        <is>
          <t>Tier 2: adjacent segment or a possible competing principal; qualify by phone or email before a pitch.</t>
        </is>
      </c>
      <c r="P117" s="161" t="inlineStr">
        <is>
          <t>Web search, company site; email read on the company site, 7 Oct 2026</t>
        </is>
      </c>
      <c r="Q117" s="161" t="n"/>
      <c r="R117" s="161" t="n"/>
      <c r="S117" s="165" t="inlineStr">
        <is>
          <t>Yes</t>
        </is>
      </c>
    </row>
    <row r="118" ht="60" customHeight="1" s="104">
      <c r="A118" s="161" t="n">
        <v>114</v>
      </c>
      <c r="B118" s="162" t="inlineStr">
        <is>
          <t>Rua Company 루아컴퍼니</t>
        </is>
      </c>
      <c r="C118" s="161" t="inlineStr">
        <is>
          <t>Not started</t>
        </is>
      </c>
      <c r="D118" s="161" t="inlineStr">
        <is>
          <t>Clinic and primary care supply. Clinic opening consultancy including equipment.</t>
        </is>
      </c>
      <c r="E118" s="161" t="inlineStr">
        <is>
          <t>Not confirmed; ask on the first call</t>
        </is>
      </c>
      <c r="F118" s="161" t="inlineStr">
        <is>
          <t>Korea</t>
        </is>
      </c>
      <c r="G118" s="163" t="inlineStr">
        <is>
          <t>https://rualab.kr</t>
        </is>
      </c>
      <c r="H118" s="161" t="inlineStr">
        <is>
          <t>Not published</t>
        </is>
      </c>
      <c r="I118" s="161" t="inlineStr">
        <is>
          <t>yoonlua@gmail.com</t>
        </is>
      </c>
      <c r="J118" s="166" t="inlineStr">
        <is>
          <t>Korea. Found via Web search, company site.</t>
        </is>
      </c>
      <c r="K118" s="164" t="inlineStr">
        <is>
          <t>A</t>
        </is>
      </c>
      <c r="L118" s="161" t="inlineStr">
        <is>
          <t>Clinic channel, the end user James flagged as the opening (GPs and small clinics); SonoAir is a wireless handheld that Mindray does not offer.</t>
        </is>
      </c>
      <c r="M118" s="161" t="inlineStr">
        <is>
          <t>SonoAir 30, SonoEye P3 for primary care; SonoGO for new clinic opening packages</t>
        </is>
      </c>
      <c r="N118" s="169" t="n">
        <v>2</v>
      </c>
      <c r="O118" s="161" t="inlineStr">
        <is>
          <t>Tier 2: adjacent segment or a possible competing principal; qualify by phone or email before a pitch.</t>
        </is>
      </c>
      <c r="P118" s="161" t="inlineStr">
        <is>
          <t>Web search, company site; email read on the company site, 7 Oct 2026</t>
        </is>
      </c>
      <c r="Q118" s="161" t="n"/>
      <c r="R118" s="161" t="n"/>
      <c r="S118" s="165" t="inlineStr">
        <is>
          <t>Yes</t>
        </is>
      </c>
    </row>
    <row r="119" ht="60" customHeight="1" s="104">
      <c r="A119" s="161" t="n">
        <v>115</v>
      </c>
      <c r="B119" s="162" t="inlineStr">
        <is>
          <t>Daedong Medical Consulting 대동메디칼컨설팅</t>
        </is>
      </c>
      <c r="C119" s="161" t="inlineStr">
        <is>
          <t>Not started</t>
        </is>
      </c>
      <c r="D119" s="161" t="inlineStr">
        <is>
          <t>Clinic and primary care supply. Clinic opening consultancy, 30+ years.</t>
        </is>
      </c>
      <c r="E119" s="161" t="inlineStr">
        <is>
          <t>Not confirmed; ask on the first call</t>
        </is>
      </c>
      <c r="F119" s="161" t="inlineStr">
        <is>
          <t>Korea</t>
        </is>
      </c>
      <c r="G119" s="163" t="inlineStr">
        <is>
          <t>https://dmci.co.kr</t>
        </is>
      </c>
      <c r="H119" s="161" t="inlineStr">
        <is>
          <t>Not published</t>
        </is>
      </c>
      <c r="I119" s="161" t="inlineStr">
        <is>
          <t>ceo@dmci.co.kr</t>
        </is>
      </c>
      <c r="J119" s="166" t="inlineStr">
        <is>
          <t>Korea. Found via Web search, company site.</t>
        </is>
      </c>
      <c r="K119" s="164" t="inlineStr">
        <is>
          <t>A</t>
        </is>
      </c>
      <c r="L119" s="161" t="inlineStr">
        <is>
          <t>Clinic channel, the end user James flagged as the opening (GPs and small clinics); SonoAir is a wireless handheld that Mindray does not offer.</t>
        </is>
      </c>
      <c r="M119" s="161" t="inlineStr">
        <is>
          <t>SonoAir 30, SonoEye P3 for primary care; SonoGO for new clinic opening packages</t>
        </is>
      </c>
      <c r="N119" s="169" t="n">
        <v>2</v>
      </c>
      <c r="O119" s="161" t="inlineStr">
        <is>
          <t>Tier 2: adjacent segment or a possible competing principal; qualify by phone or email before a pitch.</t>
        </is>
      </c>
      <c r="P119" s="161" t="inlineStr">
        <is>
          <t>Web search, company site; email read on the company site, 7 Oct 2026</t>
        </is>
      </c>
      <c r="Q119" s="161" t="n"/>
      <c r="R119" s="161" t="n"/>
      <c r="S119" s="165" t="inlineStr">
        <is>
          <t>Yes</t>
        </is>
      </c>
    </row>
    <row r="120" ht="60" customHeight="1" s="104">
      <c r="A120" s="161" t="n">
        <v>116</v>
      </c>
      <c r="B120" s="162" t="inlineStr">
        <is>
          <t>Medipie 메디파이</t>
        </is>
      </c>
      <c r="C120" s="161" t="inlineStr">
        <is>
          <t>Not started</t>
        </is>
      </c>
      <c r="D120" s="161" t="inlineStr">
        <is>
          <t>Clinic and primary care supply. Clinic opening consulting.</t>
        </is>
      </c>
      <c r="E120" s="161" t="inlineStr">
        <is>
          <t>Not confirmed; ask on the first call</t>
        </is>
      </c>
      <c r="F120" s="161" t="inlineStr">
        <is>
          <t>Korea</t>
        </is>
      </c>
      <c r="G120" s="163" t="inlineStr">
        <is>
          <t>https://medipie.co.kr</t>
        </is>
      </c>
      <c r="H120" s="161" t="inlineStr">
        <is>
          <t>Not published</t>
        </is>
      </c>
      <c r="I120" s="161" t="inlineStr">
        <is>
          <t>medipie@medipie.co.kr</t>
        </is>
      </c>
      <c r="J120" s="166" t="inlineStr">
        <is>
          <t>Korea. Found via Web search, company site.</t>
        </is>
      </c>
      <c r="K120" s="164" t="inlineStr">
        <is>
          <t>A</t>
        </is>
      </c>
      <c r="L120" s="161" t="inlineStr">
        <is>
          <t>Clinic channel, the end user James flagged as the opening (GPs and small clinics); SonoAir is a wireless handheld that Mindray does not offer.</t>
        </is>
      </c>
      <c r="M120" s="161" t="inlineStr">
        <is>
          <t>SonoAir 30, SonoEye P3 for primary care; SonoGO for new clinic opening packages</t>
        </is>
      </c>
      <c r="N120" s="169" t="n">
        <v>2</v>
      </c>
      <c r="O120" s="161" t="inlineStr">
        <is>
          <t>Tier 2: adjacent segment or a possible competing principal; qualify by phone or email before a pitch.</t>
        </is>
      </c>
      <c r="P120" s="161" t="inlineStr">
        <is>
          <t>Web search, company site; email read on the company site, 7 Oct 2026</t>
        </is>
      </c>
      <c r="Q120" s="161" t="n"/>
      <c r="R120" s="161" t="n"/>
      <c r="S120" s="165" t="inlineStr">
        <is>
          <t>Yes</t>
        </is>
      </c>
    </row>
    <row r="121" ht="60" customHeight="1" s="104">
      <c r="A121" s="161" t="n">
        <v>117</v>
      </c>
      <c r="B121" s="162" t="inlineStr">
        <is>
          <t>Suwan Medical 수완메디칼</t>
        </is>
      </c>
      <c r="C121" s="161" t="inlineStr">
        <is>
          <t>Not started</t>
        </is>
      </c>
      <c r="D121" s="161" t="inlineStr">
        <is>
          <t>Clinic and primary care supply. One stop clinic opening consulting.</t>
        </is>
      </c>
      <c r="E121" s="161" t="inlineStr">
        <is>
          <t>Not confirmed; ask on the first call</t>
        </is>
      </c>
      <c r="F121" s="161" t="inlineStr">
        <is>
          <t>Korea</t>
        </is>
      </c>
      <c r="G121" s="163" t="inlineStr">
        <is>
          <t>https://suwan-medical.com</t>
        </is>
      </c>
      <c r="H121" s="161" t="inlineStr">
        <is>
          <t>Not published</t>
        </is>
      </c>
      <c r="I121" s="161" t="inlineStr">
        <is>
          <t>ssw8561@naver.com</t>
        </is>
      </c>
      <c r="J121" s="166" t="inlineStr">
        <is>
          <t>Korea. Found via Web search, company site.</t>
        </is>
      </c>
      <c r="K121" s="164" t="inlineStr">
        <is>
          <t>A</t>
        </is>
      </c>
      <c r="L121" s="161" t="inlineStr">
        <is>
          <t>Clinic channel, the end user James flagged as the opening (GPs and small clinics); SonoAir is a wireless handheld that Mindray does not offer.</t>
        </is>
      </c>
      <c r="M121" s="161" t="inlineStr">
        <is>
          <t>SonoAir 30, SonoEye P3 for primary care; SonoGO for new clinic opening packages</t>
        </is>
      </c>
      <c r="N121" s="169" t="n">
        <v>2</v>
      </c>
      <c r="O121" s="161" t="inlineStr">
        <is>
          <t>Tier 2: adjacent segment or a possible competing principal; qualify by phone or email before a pitch.</t>
        </is>
      </c>
      <c r="P121" s="161" t="inlineStr">
        <is>
          <t>Web search, company site; email read on the company site, 7 Oct 2026</t>
        </is>
      </c>
      <c r="Q121" s="161" t="n"/>
      <c r="R121" s="161" t="n"/>
      <c r="S121" s="165" t="inlineStr">
        <is>
          <t>Yes</t>
        </is>
      </c>
    </row>
    <row r="122" ht="60" customHeight="1" s="104">
      <c r="A122" s="161" t="n">
        <v>118</v>
      </c>
      <c r="B122" s="162" t="inlineStr">
        <is>
          <t>Mediallfor 메디올포</t>
        </is>
      </c>
      <c r="C122" s="161" t="inlineStr">
        <is>
          <t>Not started</t>
        </is>
      </c>
      <c r="D122" s="161" t="inlineStr">
        <is>
          <t>Clinic and primary care supply. Medical device company with a showroom for equipment demos and adoption meetings.</t>
        </is>
      </c>
      <c r="E122" s="161" t="inlineStr">
        <is>
          <t>Not confirmed; ask on the first call</t>
        </is>
      </c>
      <c r="F122" s="161" t="inlineStr">
        <is>
          <t>Korea</t>
        </is>
      </c>
      <c r="G122" s="163" t="inlineStr">
        <is>
          <t>https://mediallfor.com</t>
        </is>
      </c>
      <c r="H122" s="161" t="inlineStr">
        <is>
          <t>Not published</t>
        </is>
      </c>
      <c r="I122" s="161" t="inlineStr">
        <is>
          <t>mediallfor@naver.com</t>
        </is>
      </c>
      <c r="J122" s="166" t="inlineStr">
        <is>
          <t>Korea. Found via Web search, company site.</t>
        </is>
      </c>
      <c r="K122" s="164" t="inlineStr">
        <is>
          <t>A</t>
        </is>
      </c>
      <c r="L122" s="161" t="inlineStr">
        <is>
          <t>Clinic channel, the end user James flagged as the opening (GPs and small clinics); SonoAir is a wireless handheld that Mindray does not offer.</t>
        </is>
      </c>
      <c r="M122" s="161" t="inlineStr">
        <is>
          <t>SonoAir 30, SonoEye P3 for primary care; SonoGO for new clinic opening packages</t>
        </is>
      </c>
      <c r="N122" s="169" t="n">
        <v>2</v>
      </c>
      <c r="O122" s="161" t="inlineStr">
        <is>
          <t>Tier 2: adjacent segment or a possible competing principal; qualify by phone or email before a pitch.</t>
        </is>
      </c>
      <c r="P122" s="161" t="inlineStr">
        <is>
          <t>Web search, company site; email read on the company site, 7 Oct 2026</t>
        </is>
      </c>
      <c r="Q122" s="161" t="n"/>
      <c r="R122" s="161" t="n"/>
      <c r="S122" s="165" t="inlineStr">
        <is>
          <t>Yes</t>
        </is>
      </c>
    </row>
    <row r="123" ht="60" customHeight="1" s="104">
      <c r="A123" s="161" t="n">
        <v>119</v>
      </c>
      <c r="B123" s="162" t="inlineStr">
        <is>
          <t>Yoonsung Medical 윤성메디칼</t>
        </is>
      </c>
      <c r="C123" s="161" t="inlineStr">
        <is>
          <t>Not started</t>
        </is>
      </c>
      <c r="D123" s="161" t="inlineStr">
        <is>
          <t>Clinic and primary care supply. Clinic opening specialist and consumables wholesaler.</t>
        </is>
      </c>
      <c r="E123" s="161" t="inlineStr">
        <is>
          <t>Not confirmed; ask on the first call</t>
        </is>
      </c>
      <c r="F123" s="161" t="inlineStr">
        <is>
          <t>Korea</t>
        </is>
      </c>
      <c r="G123" s="163" t="inlineStr">
        <is>
          <t>https://ysmedical.co.kr</t>
        </is>
      </c>
      <c r="H123" s="161" t="inlineStr">
        <is>
          <t>Not published</t>
        </is>
      </c>
      <c r="I123" s="161" t="inlineStr">
        <is>
          <t>ysmedi16@naver.com</t>
        </is>
      </c>
      <c r="J123" s="166" t="inlineStr">
        <is>
          <t>Korea. Found via Web search, company site.</t>
        </is>
      </c>
      <c r="K123" s="164" t="inlineStr">
        <is>
          <t>A</t>
        </is>
      </c>
      <c r="L123" s="161" t="inlineStr">
        <is>
          <t>Clinic channel, the end user James flagged as the opening (GPs and small clinics); SonoAir is a wireless handheld that Mindray does not offer.</t>
        </is>
      </c>
      <c r="M123" s="161" t="inlineStr">
        <is>
          <t>SonoAir 30, SonoEye P3 for primary care; SonoGO for new clinic opening packages</t>
        </is>
      </c>
      <c r="N123" s="169" t="n">
        <v>2</v>
      </c>
      <c r="O123" s="161" t="inlineStr">
        <is>
          <t>Tier 2: adjacent segment or a possible competing principal; qualify by phone or email before a pitch.</t>
        </is>
      </c>
      <c r="P123" s="161" t="inlineStr">
        <is>
          <t>Web search, company site; email read on the company site, 7 Oct 2026</t>
        </is>
      </c>
      <c r="Q123" s="161" t="n"/>
      <c r="R123" s="161" t="n"/>
      <c r="S123" s="165" t="inlineStr">
        <is>
          <t>Yes</t>
        </is>
      </c>
    </row>
    <row r="124" ht="60" customHeight="1" s="104">
      <c r="A124" s="161" t="n">
        <v>120</v>
      </c>
      <c r="B124" s="162" t="inlineStr">
        <is>
          <t>Lov Meditek 로브메디텍</t>
        </is>
      </c>
      <c r="C124" s="161" t="inlineStr">
        <is>
          <t>Not started</t>
        </is>
      </c>
      <c r="D124" s="161" t="inlineStr">
        <is>
          <t>Surgical, OR and anaesthesia. Respiratory device specialist working with global brands.</t>
        </is>
      </c>
      <c r="E124" s="161" t="inlineStr">
        <is>
          <t>Not confirmed; ask on the first call</t>
        </is>
      </c>
      <c r="F124" s="161" t="inlineStr">
        <is>
          <t>Korea</t>
        </is>
      </c>
      <c r="G124" s="163" t="inlineStr">
        <is>
          <t>https://lovmediteck.com</t>
        </is>
      </c>
      <c r="H124" s="161" t="inlineStr">
        <is>
          <t>Not published</t>
        </is>
      </c>
      <c r="I124" s="161" t="inlineStr">
        <is>
          <t>lov@lovmediteck.com</t>
        </is>
      </c>
      <c r="J124" s="166" t="inlineStr">
        <is>
          <t>Korea. Found via Web search, company site.</t>
        </is>
      </c>
      <c r="K124" s="164" t="inlineStr">
        <is>
          <t>A</t>
        </is>
      </c>
      <c r="L124" s="161" t="inlineStr">
        <is>
          <t>Theatre and anaesthesia accounts are the entry point for point of care ultrasound (nerve block, vascular access).</t>
        </is>
      </c>
      <c r="M124" s="161" t="inlineStr">
        <is>
          <t>SonoTouch tablet, SonoEye P3 for nerve block and vascular access in theatre</t>
        </is>
      </c>
      <c r="N124" s="169" t="n">
        <v>2</v>
      </c>
      <c r="O124" s="161" t="inlineStr">
        <is>
          <t>Tier 2: adjacent segment or a possible competing principal; qualify by phone or email before a pitch.</t>
        </is>
      </c>
      <c r="P124" s="161" t="inlineStr">
        <is>
          <t>Web search, company site; email read on the company site, 7 Oct 2026</t>
        </is>
      </c>
      <c r="Q124" s="161" t="n"/>
      <c r="R124" s="161" t="n"/>
      <c r="S124" s="165" t="inlineStr">
        <is>
          <t>Yes</t>
        </is>
      </c>
    </row>
    <row r="125" ht="60" customHeight="1" s="104">
      <c r="A125" s="161" t="n">
        <v>121</v>
      </c>
      <c r="B125" s="162" t="inlineStr">
        <is>
          <t>Ire Biomedi 이레바이오메디</t>
        </is>
      </c>
      <c r="C125" s="161" t="inlineStr">
        <is>
          <t>Not started</t>
        </is>
      </c>
      <c r="D125" s="161" t="inlineStr">
        <is>
          <t>Surgical, OR and anaesthesia. Markets devices to major hospitals; Sonicure distributor.</t>
        </is>
      </c>
      <c r="E125" s="161" t="inlineStr">
        <is>
          <t>Not confirmed; distributes Sonicure</t>
        </is>
      </c>
      <c r="F125" s="161" t="inlineStr">
        <is>
          <t>Korea</t>
        </is>
      </c>
      <c r="G125" s="163" t="inlineStr">
        <is>
          <t>https://irebiomedi.co.kr</t>
        </is>
      </c>
      <c r="H125" s="161" t="inlineStr">
        <is>
          <t>Not published</t>
        </is>
      </c>
      <c r="I125" s="161" t="inlineStr">
        <is>
          <t>irebiomedi@naver.com</t>
        </is>
      </c>
      <c r="J125" s="166" t="inlineStr">
        <is>
          <t>Korea. Found via Web search, company site.</t>
        </is>
      </c>
      <c r="K125" s="164" t="inlineStr">
        <is>
          <t>A</t>
        </is>
      </c>
      <c r="L125" s="161" t="inlineStr">
        <is>
          <t>Theatre and anaesthesia accounts are the entry point for point of care ultrasound (nerve block, vascular access).</t>
        </is>
      </c>
      <c r="M125" s="161" t="inlineStr">
        <is>
          <t>SonoTouch tablet, SonoEye P3 for nerve block and vascular access in theatre</t>
        </is>
      </c>
      <c r="N125" s="169" t="n">
        <v>2</v>
      </c>
      <c r="O125" s="161" t="inlineStr">
        <is>
          <t>Tier 2: adjacent segment or a possible competing principal; qualify by phone or email before a pitch.</t>
        </is>
      </c>
      <c r="P125" s="161" t="inlineStr">
        <is>
          <t>Web search, company site; email read on the company site, 7 Oct 2026</t>
        </is>
      </c>
      <c r="Q125" s="161" t="n"/>
      <c r="R125" s="161" t="n"/>
      <c r="S125" s="165" t="inlineStr">
        <is>
          <t>Yes</t>
        </is>
      </c>
    </row>
    <row r="126" ht="60" customHeight="1" s="104">
      <c r="A126" s="161" t="n">
        <v>122</v>
      </c>
      <c r="B126" s="162" t="inlineStr">
        <is>
          <t>MD Lounge MD라운지</t>
        </is>
      </c>
      <c r="C126" s="161" t="inlineStr">
        <is>
          <t>Not started</t>
        </is>
      </c>
      <c r="D126" s="161" t="inlineStr">
        <is>
          <t>Clinic and primary care supply. Health screening centre equipment delivery (X-ray, BMD, endoscopy).</t>
        </is>
      </c>
      <c r="E126" s="161" t="inlineStr">
        <is>
          <t>Not confirmed; ask on the first call</t>
        </is>
      </c>
      <c r="F126" s="161" t="inlineStr">
        <is>
          <t>Korea</t>
        </is>
      </c>
      <c r="G126" s="163" t="inlineStr">
        <is>
          <t>https://mdlounge.co.kr</t>
        </is>
      </c>
      <c r="H126" s="161" t="inlineStr">
        <is>
          <t>Not published</t>
        </is>
      </c>
      <c r="I126" s="161" t="inlineStr">
        <is>
          <t>eogus7@naver.com</t>
        </is>
      </c>
      <c r="J126" s="166" t="inlineStr">
        <is>
          <t>Korea. Found via Web search, company site.</t>
        </is>
      </c>
      <c r="K126" s="164" t="inlineStr">
        <is>
          <t>A</t>
        </is>
      </c>
      <c r="L126" s="161" t="inlineStr">
        <is>
          <t>Clinic channel, the end user James flagged as the opening (GPs and small clinics); SonoAir is a wireless handheld that Mindray does not offer.</t>
        </is>
      </c>
      <c r="M126" s="161" t="inlineStr">
        <is>
          <t>SonoAir 30, SonoEye P3 for primary care; SonoGO for new clinic opening packages</t>
        </is>
      </c>
      <c r="N126" s="169" t="n">
        <v>2</v>
      </c>
      <c r="O126" s="161" t="inlineStr">
        <is>
          <t>Tier 2: adjacent segment or a possible competing principal; qualify by phone or email before a pitch.</t>
        </is>
      </c>
      <c r="P126" s="161" t="inlineStr">
        <is>
          <t>Web search, company site; email read on the company site, 7 Oct 2026</t>
        </is>
      </c>
      <c r="Q126" s="161" t="n"/>
      <c r="R126" s="161" t="n"/>
      <c r="S126" s="165" t="inlineStr">
        <is>
          <t>Yes</t>
        </is>
      </c>
    </row>
    <row r="127" ht="60" customHeight="1" s="104">
      <c r="A127" s="161" t="n">
        <v>123</v>
      </c>
      <c r="B127" s="162" t="inlineStr">
        <is>
          <t>SK Medical / New Medicare 에스케이메디칼</t>
        </is>
      </c>
      <c r="C127" s="161" t="inlineStr">
        <is>
          <t>Not started</t>
        </is>
      </c>
      <c r="D127" s="161" t="inlineStr">
        <is>
          <t>Surgical, OR and anaesthesia. Medical device partner with clinical support for hospitals.</t>
        </is>
      </c>
      <c r="E127" s="161" t="inlineStr">
        <is>
          <t>Not confirmed; ask on the first call</t>
        </is>
      </c>
      <c r="F127" s="161" t="inlineStr">
        <is>
          <t>Korea</t>
        </is>
      </c>
      <c r="G127" s="163" t="inlineStr">
        <is>
          <t>https://skmnmc.com</t>
        </is>
      </c>
      <c r="H127" s="161" t="inlineStr">
        <is>
          <t>Not published</t>
        </is>
      </c>
      <c r="I127" s="161" t="inlineStr">
        <is>
          <t>skm2284@naver.com</t>
        </is>
      </c>
      <c r="J127" s="166" t="inlineStr">
        <is>
          <t>Korea. Found via Web search, company site.</t>
        </is>
      </c>
      <c r="K127" s="164" t="inlineStr">
        <is>
          <t>A</t>
        </is>
      </c>
      <c r="L127" s="161" t="inlineStr">
        <is>
          <t>Theatre and anaesthesia accounts are the entry point for point of care ultrasound (nerve block, vascular access).</t>
        </is>
      </c>
      <c r="M127" s="161" t="inlineStr">
        <is>
          <t>SonoTouch tablet, SonoEye P3 for nerve block and vascular access in theatre</t>
        </is>
      </c>
      <c r="N127" s="169" t="n">
        <v>2</v>
      </c>
      <c r="O127" s="161" t="inlineStr">
        <is>
          <t>Tier 2: adjacent segment or a possible competing principal; qualify by phone or email before a pitch.</t>
        </is>
      </c>
      <c r="P127" s="161" t="inlineStr">
        <is>
          <t>Web search, company site; email read on the company site, 7 Oct 2026</t>
        </is>
      </c>
      <c r="Q127" s="161" t="n"/>
      <c r="R127" s="161" t="n"/>
      <c r="S127" s="165" t="inlineStr">
        <is>
          <t>Yes</t>
        </is>
      </c>
    </row>
    <row r="128" ht="60" customHeight="1" s="104">
      <c r="A128" s="161" t="n">
        <v>124</v>
      </c>
      <c r="B128" s="162" t="inlineStr">
        <is>
          <t>Korea Fukuda 한국후꾸다</t>
        </is>
      </c>
      <c r="C128" s="161" t="inlineStr">
        <is>
          <t>Not started</t>
        </is>
      </c>
      <c r="D128" s="161" t="inlineStr">
        <is>
          <t>Patient monitoring, ICU. ECG and patient monitoring supplier (Fukuda Denshi line; confirm ultrasound conflict).</t>
        </is>
      </c>
      <c r="E128" s="161" t="inlineStr">
        <is>
          <t>Yes, Fukuda Denshi (check the principal agreement first)</t>
        </is>
      </c>
      <c r="F128" s="161" t="inlineStr">
        <is>
          <t>Korea</t>
        </is>
      </c>
      <c r="G128" s="163" t="inlineStr">
        <is>
          <t>https://fukuda.co.kr</t>
        </is>
      </c>
      <c r="H128" s="161" t="inlineStr">
        <is>
          <t>Not published</t>
        </is>
      </c>
      <c r="I128" s="161" t="inlineStr">
        <is>
          <t>fukuda@fukuda.co.kr</t>
        </is>
      </c>
      <c r="J128" s="166" t="inlineStr">
        <is>
          <t>Korea. Found via Web search, company site.</t>
        </is>
      </c>
      <c r="K128" s="164" t="inlineStr">
        <is>
          <t>A</t>
        </is>
      </c>
      <c r="L128" s="161" t="inlineStr">
        <is>
          <t>Monitoring and ICU sales team can bundle handheld POCUS with existing ward equipment. Carries a competing ultrasound brand: pitch CHISON for the tiers and segments that brand leaves open (handheld, wireless, vet).</t>
        </is>
      </c>
      <c r="M128" s="161" t="inlineStr">
        <is>
          <t>SonoEye P3 as an add on to the monitoring range, EBit 50 for ICU and ward</t>
        </is>
      </c>
      <c r="N128" s="169" t="n">
        <v>2</v>
      </c>
      <c r="O128" s="161" t="inlineStr">
        <is>
          <t>Tier 2: adjacent segment or a possible competing principal; qualify by phone or email before a pitch. Competing principal, so Tier 2 at best.</t>
        </is>
      </c>
      <c r="P128" s="161" t="inlineStr">
        <is>
          <t>Web search, company site; email read on the company site, 7 Oct 2026</t>
        </is>
      </c>
      <c r="Q128" s="161" t="n"/>
      <c r="R128" s="161" t="n"/>
      <c r="S128" s="165" t="inlineStr">
        <is>
          <t>Yes</t>
        </is>
      </c>
    </row>
    <row r="129" ht="53.25" customHeight="1" s="104">
      <c r="A129" s="161" t="n">
        <v>125</v>
      </c>
      <c r="B129" s="162" t="inlineStr">
        <is>
          <t>Bumyang Medical Co., Ltd. (주)범양메디칼</t>
        </is>
      </c>
      <c r="C129" s="161" t="inlineStr">
        <is>
          <t>Not started</t>
        </is>
      </c>
      <c r="D129" s="161" t="inlineStr">
        <is>
          <t>Radiation protection medical devices and accessories. X-ray protection, MRI room products, phantoms, patient movers, system solutions</t>
        </is>
      </c>
      <c r="E129" s="161" t="inlineStr">
        <is>
          <t>No. Radiation protection, not imaging systems</t>
        </is>
      </c>
      <c r="F129" s="161" t="inlineStr">
        <is>
          <t>Anyang, Gyeonggi</t>
        </is>
      </c>
      <c r="G129" s="163" t="inlineStr">
        <is>
          <t>https://www.bumyangmedical.com</t>
        </is>
      </c>
      <c r="H129" s="161" t="inlineStr">
        <is>
          <t>02-814-7500</t>
        </is>
      </c>
      <c r="I129" s="161" t="inlineStr">
        <is>
          <t>yh_pyun@bumyangmedical.com</t>
        </is>
      </c>
      <c r="J129" s="161" t="inlineStr">
        <is>
          <t>411, Megavelly, 268 Hak-ui-ro, Dong-an-gu, Anyang-si, Gyeonggi-do. Representative 신광수. Business registration 108-81-45159</t>
        </is>
      </c>
      <c r="K129" s="164" t="inlineStr">
        <is>
          <t>A</t>
        </is>
      </c>
      <c r="L129" s="161" t="inlineStr">
        <is>
          <t>Re-tiered on verification. v4 described them as medical system distribution with unknown ultrasound status. Their own site shows radiation protection products, which is a supplier category to imaging rooms rather than an imaging channel. Keep as a contact for shielding work, not as a dealer target.</t>
        </is>
      </c>
      <c r="M129" s="161" t="inlineStr">
        <is>
          <t>Not a dealer target. Useful contact for imaging room shielding on installed accounts</t>
        </is>
      </c>
      <c r="N129" s="173" t="n">
        <v>3</v>
      </c>
      <c r="O129" s="161" t="inlineStr">
        <is>
          <t>Tier 3 RE-TIER, DOWN from Tier 3 status unchanged but CORRECTED in substance. v4 recorded 'Medical system distribution, ultrasound unknown'. Site opened 15 Sep 2026: they are a radiation protection supplier.</t>
        </is>
      </c>
      <c r="P129" s="161" t="inlineStr">
        <is>
          <t>Verified site (own catalogue and contact page)</t>
        </is>
      </c>
      <c r="Q129" s="161" t="n"/>
      <c r="R129" s="161" t="inlineStr">
        <is>
          <t>No outreach email written for this row. See the fit note for why it is not a priority.</t>
        </is>
      </c>
      <c r="S129" s="165" t="inlineStr">
        <is>
          <t>Yes</t>
        </is>
      </c>
    </row>
    <row r="130" ht="42.75" customHeight="1" s="104">
      <c r="A130" s="161" t="n">
        <v>126</v>
      </c>
      <c r="B130" s="162" t="inlineStr">
        <is>
          <t>Daeyang Medical 대양의료기</t>
        </is>
      </c>
      <c r="C130" s="161" t="inlineStr">
        <is>
          <t>Not started</t>
        </is>
      </c>
      <c r="D130" s="161" t="inlineStr">
        <is>
          <t>Manufacturer of physiotherapy and aesthetic devices since 1970. Hyperthermia, pain relief, rehabilitation, body contouring, skin lifting, fat reduction, plus skincare products</t>
        </is>
      </c>
      <c r="E130" s="161" t="inlineStr">
        <is>
          <t>No. Physiotherapy and aesthetic devices, not diagnostic imaging</t>
        </is>
      </c>
      <c r="F130" s="161" t="inlineStr">
        <is>
          <t>Korea (Wonju cluster association carried from v4, HQ not confirmed)</t>
        </is>
      </c>
      <c r="G130" s="163" t="inlineStr">
        <is>
          <t>https://daeyangmed.com</t>
        </is>
      </c>
      <c r="H130" s="161" t="inlineStr">
        <is>
          <t>Not published on landing page, enquiry form on site</t>
        </is>
      </c>
      <c r="I130" s="161" t="inlineStr">
        <is>
          <t>Not published, enquiry form: https://daeyangmed.com</t>
        </is>
      </c>
      <c r="J130" s="161" t="inlineStr">
        <is>
          <t>Site opened 15 Sep 2026. States 55 years since founding in 1970, manufacturer of medical and aesthetic devices</t>
        </is>
      </c>
      <c r="K130" s="167" t="inlineStr">
        <is>
          <t>B</t>
        </is>
      </c>
      <c r="L130" s="161" t="inlineStr">
        <is>
          <t>Re-tiered on verification. v4 listed them as a maker and distributor in the Wonju medtech cluster with unknown ultrasound status. Their own site shows a physiotherapy and aesthetics manufacturer. Wrong buyer for diagnostic ultrasound.</t>
        </is>
      </c>
      <c r="M130" s="161" t="inlineStr">
        <is>
          <t>Not a dealer target for diagnostics</t>
        </is>
      </c>
      <c r="N130" s="173" t="n">
        <v>3</v>
      </c>
      <c r="O130" s="161" t="inlineStr">
        <is>
          <t>Tier 3 CORRECTED in v5. v4 recorded 'Maker/distributor in Wonju medtech cluster, ultrasound unknown'. Site opened 15 Sep 2026: physiotherapy and aesthetic device manufacturer.</t>
        </is>
      </c>
      <c r="P130" s="161" t="inlineStr">
        <is>
          <t>Verified site (own company page)</t>
        </is>
      </c>
      <c r="Q130" s="161" t="n"/>
      <c r="R130" s="161" t="inlineStr">
        <is>
          <t>No outreach email written for this row. See the fit note for why it is not a priority.</t>
        </is>
      </c>
      <c r="S130" s="168" t="inlineStr">
        <is>
          <t>No</t>
        </is>
      </c>
    </row>
    <row r="131" ht="42.75" customHeight="1" s="104">
      <c r="A131" s="161" t="n">
        <v>127</v>
      </c>
      <c r="B131" s="162" t="inlineStr">
        <is>
          <t>Dow Biomedica Co., Ltd. (주)다우바이오메디카</t>
        </is>
      </c>
      <c r="C131" s="161" t="inlineStr">
        <is>
          <t>Not started</t>
        </is>
      </c>
      <c r="D131" s="161" t="inlineStr">
        <is>
          <t>In vitro diagnostics commercialisation platform. Liquid biopsy, minimal residual disease monitoring and oncology diagnostics. Twenty years in market development</t>
        </is>
      </c>
      <c r="E131" s="161" t="inlineStr">
        <is>
          <t>No. In vitro diagnostics, not imaging</t>
        </is>
      </c>
      <c r="F131" s="161" t="inlineStr">
        <is>
          <t>Seoul</t>
        </is>
      </c>
      <c r="G131" s="163" t="inlineStr">
        <is>
          <t>https://dowbiomedica.co.kr</t>
        </is>
      </c>
      <c r="H131" s="161" t="inlineStr">
        <is>
          <t>+82-2-2201-3602</t>
        </is>
      </c>
      <c r="I131" s="161" t="inlineStr">
        <is>
          <t>Not published, enquiry via https://dowbiomedica.co.kr</t>
        </is>
      </c>
      <c r="J131" s="161" t="inlineStr">
        <is>
          <t>Site opened 15 Sep 2026. Describes itself as a diagnostics commercialisation platform company</t>
        </is>
      </c>
      <c r="K131" s="167" t="inlineStr">
        <is>
          <t>B</t>
        </is>
      </c>
      <c r="L131" s="161" t="inlineStr">
        <is>
          <t>Re-tiered on verification. v4 listed them as biomedical equipment distribution with unknown ultrasound status. Their own site shows a molecular and oncology diagnostics house. Different buyer, different budget.</t>
        </is>
      </c>
      <c r="M131" s="161" t="inlineStr">
        <is>
          <t>Not a dealer target for imaging</t>
        </is>
      </c>
      <c r="N131" s="173" t="n">
        <v>3</v>
      </c>
      <c r="O131" s="161" t="inlineStr">
        <is>
          <t>Tier 3 CORRECTED in v5. v4 recorded 'Biomedical equipment distribution, ultrasound unknown'. Site opened 15 Sep 2026: in vitro and molecular diagnostics only.</t>
        </is>
      </c>
      <c r="P131" s="161" t="inlineStr">
        <is>
          <t>Verified site (own company page)</t>
        </is>
      </c>
      <c r="Q131" s="161" t="n"/>
      <c r="R131" s="161" t="inlineStr">
        <is>
          <t>No outreach email written for this row. See the fit note for why it is not a priority.</t>
        </is>
      </c>
      <c r="S131" s="168" t="inlineStr">
        <is>
          <t>No</t>
        </is>
      </c>
    </row>
    <row r="132" ht="32.25" customHeight="1" s="104">
      <c r="A132" s="161" t="n">
        <v>128</v>
      </c>
      <c r="B132" s="162" t="inlineStr">
        <is>
          <t>Doowon Meditec Co., Ltd. 두원메디텍</t>
        </is>
      </c>
      <c r="C132" s="161" t="inlineStr">
        <is>
          <t>Not started</t>
        </is>
      </c>
      <c r="D132" s="161" t="inlineStr">
        <is>
          <t>Manufacturer of non PVC infusion sets and related disposables</t>
        </is>
      </c>
      <c r="E132" s="161" t="inlineStr">
        <is>
          <t>No. Consumables manufacturer</t>
        </is>
      </c>
      <c r="F132" s="161" t="inlineStr">
        <is>
          <t>Yongin, Gyeonggi</t>
        </is>
      </c>
      <c r="G132" s="163" t="inlineStr">
        <is>
          <t>https://dwmdt.com</t>
        </is>
      </c>
      <c r="H132" s="161" t="inlineStr">
        <is>
          <t>+82-31-332-2158</t>
        </is>
      </c>
      <c r="I132" s="161" t="inlineStr">
        <is>
          <t>Not published, enquiry via https://dwmdt.com</t>
        </is>
      </c>
      <c r="J132" s="161" t="inlineStr">
        <is>
          <t>Site opened 15 Sep 2026. Product focus is a polyolefin non PVC infusion set</t>
        </is>
      </c>
      <c r="K132" s="167" t="inlineStr">
        <is>
          <t>B</t>
        </is>
      </c>
      <c r="L132" s="161" t="inlineStr">
        <is>
          <t>Re-tiered on verification. v4 listed them as medical equipment and devices with unknown ultrasound status. Their own site shows a disposables manufacturer.</t>
        </is>
      </c>
      <c r="M132" s="161" t="inlineStr">
        <is>
          <t>Not a dealer target</t>
        </is>
      </c>
      <c r="N132" s="173" t="n">
        <v>3</v>
      </c>
      <c r="O132" s="161" t="inlineStr">
        <is>
          <t>Tier 3 CORRECTED in v5. v4 recorded 'Medical equipment &amp; devices, ultrasound unknown'. Site opened 15 Sep 2026: non PVC infusion set manufacturer.</t>
        </is>
      </c>
      <c r="P132" s="161" t="inlineStr">
        <is>
          <t>Verified site (own company page)</t>
        </is>
      </c>
      <c r="Q132" s="161" t="n"/>
      <c r="R132" s="161" t="inlineStr">
        <is>
          <t>No outreach email written for this row. See the fit note for why it is not a priority.</t>
        </is>
      </c>
      <c r="S132" s="168" t="inlineStr">
        <is>
          <t>No</t>
        </is>
      </c>
    </row>
    <row r="133" ht="42.75" customHeight="1" s="104">
      <c r="A133" s="161" t="n">
        <v>129</v>
      </c>
      <c r="B133" s="162" t="inlineStr">
        <is>
          <t>Asian Medical Systems (Seoul) 아시안메디칼시스템</t>
        </is>
      </c>
      <c r="C133" s="161" t="inlineStr">
        <is>
          <t>Not started</t>
        </is>
      </c>
      <c r="D133" s="161" t="inlineStr">
        <is>
          <t>Broad hospital equipment supply, per v4 research</t>
        </is>
      </c>
      <c r="E133" s="161" t="inlineStr">
        <is>
          <t>Not identified</t>
        </is>
      </c>
      <c r="F133" s="161" t="inlineStr">
        <is>
          <t>Seoul</t>
        </is>
      </c>
      <c r="G133" s="163" t="inlineStr">
        <is>
          <t>http://welcomeams.com (SEE WARNING)</t>
        </is>
      </c>
      <c r="H133" s="161" t="inlineStr">
        <is>
          <t>+82-2-325-6080 (carried from v4, unverified in v5)</t>
        </is>
      </c>
      <c r="I133" s="161" t="inlineStr">
        <is>
          <t>Not published</t>
        </is>
      </c>
      <c r="J133" s="161" t="inlineStr">
        <is>
          <t>WARNING: on 15 Sep 2026 welcomeams.com resolved but redirected to a bare IP address rather than a company site. Treat the domain as doubtful and confirm the company still trades before contacting</t>
        </is>
      </c>
      <c r="K133" s="171" t="inlineStr">
        <is>
          <t>D</t>
        </is>
      </c>
      <c r="L133" s="161" t="inlineStr">
        <is>
          <t>Downgraded on verification. The domain no longer serves a company website. Confirm the business is still trading through the MFDS register or a phone call before spending time here.</t>
        </is>
      </c>
      <c r="M133" s="161" t="inlineStr">
        <is>
          <t>Confirm the company trades before any product conversation</t>
        </is>
      </c>
      <c r="N133" s="173" t="n">
        <v>3</v>
      </c>
      <c r="O133" s="161" t="inlineStr">
        <is>
          <t>Tier 3 DOWNGRADE from Tier 3 with a new warning. v4 recorded a verified site. On 15 Sep 2026 the domain redirected to a bare IP with no company content.</t>
        </is>
      </c>
      <c r="P133" s="161" t="inlineStr">
        <is>
          <t>Domain check failed, v4 phone retained unverified</t>
        </is>
      </c>
      <c r="Q133" s="161" t="n"/>
      <c r="R133" s="161" t="inlineStr">
        <is>
          <t>No outreach email written for this row. See the fit note for why it is not a priority.</t>
        </is>
      </c>
      <c r="S133" s="172" t="inlineStr">
        <is>
          <t>No</t>
        </is>
      </c>
    </row>
    <row r="134" ht="49.5" customHeight="1" s="104">
      <c r="A134" s="161" t="n">
        <v>130</v>
      </c>
      <c r="B134" s="162" t="inlineStr">
        <is>
          <t>Sewoon Medical Co., Ltd. 세운메디칼</t>
        </is>
      </c>
      <c r="C134" s="161" t="inlineStr">
        <is>
          <t>Not started</t>
        </is>
      </c>
      <c r="D134" s="161" t="inlineStr">
        <is>
          <t>Medical device manufacturer since 1960. Silicone and latex devices, Barovac drainage systems and related hospital disposables. Listed company</t>
        </is>
      </c>
      <c r="E134" s="161" t="inlineStr">
        <is>
          <t>No. Disposables and drainage, not imaging</t>
        </is>
      </c>
      <c r="F134" s="161" t="inlineStr">
        <is>
          <t>Cheonan HQ and factories, Seoul office</t>
        </is>
      </c>
      <c r="G134" s="163" t="inlineStr">
        <is>
          <t>https://sewoonmedical.co.kr</t>
        </is>
      </c>
      <c r="H134" s="161" t="inlineStr">
        <is>
          <t>041-584-2903 to 2906 / fax 041-584-2907</t>
        </is>
      </c>
      <c r="I134" s="161" t="inlineStr">
        <is>
          <t>hbyu@sewoonmedical.co.kr</t>
        </is>
      </c>
      <c r="J134" s="161" t="inlineStr">
        <is>
          <t>HQ and Factory 1: 충청남도 천안시 서북구 입장면 도림길 60. Factory 2: 충청남도 천안시 서북구 연암율금로 279. Seoul office: 서울시 동대문구 왕산로 46. Business registration 204-81-11321. Founded 1960</t>
        </is>
      </c>
      <c r="K134" s="164" t="inlineStr">
        <is>
          <t>A</t>
        </is>
      </c>
      <c r="L134" s="161" t="inlineStr">
        <is>
          <t>A manufacturer selling into the same surgical and ward accounts, but with no equipment channel. Worth keeping visible as a possible introduction route rather than a dealer.</t>
        </is>
      </c>
      <c r="M134" s="161" t="inlineStr">
        <is>
          <t>Not a dealer target. Possible introduction route into surgical accounts</t>
        </is>
      </c>
      <c r="N134" s="173" t="n">
        <v>3</v>
      </c>
      <c r="O134" s="161" t="inlineStr">
        <is>
          <t>Tier 3 NEW in v5. Site opened 15 Sep 2026: addresses, phone, fax and business registration read off their own page.</t>
        </is>
      </c>
      <c r="P134" s="161" t="inlineStr">
        <is>
          <t>Verified site (own company page); v18 (7 Oct 2026): email read on the company site</t>
        </is>
      </c>
      <c r="Q134" s="161" t="n"/>
      <c r="R134" s="161" t="inlineStr">
        <is>
          <t>No outreach email written for this row. See the fit note for why it is not a priority.</t>
        </is>
      </c>
      <c r="S134" s="165" t="inlineStr">
        <is>
          <t>Yes</t>
        </is>
      </c>
    </row>
    <row r="135" ht="53.25" customHeight="1" s="104">
      <c r="A135" s="161" t="n">
        <v>131</v>
      </c>
      <c r="B135" s="162" t="inlineStr">
        <is>
          <t>Lee Jung Trading 이정무역</t>
        </is>
      </c>
      <c r="C135" s="161" t="inlineStr">
        <is>
          <t>Not started</t>
        </is>
      </c>
      <c r="D135" s="161" t="inlineStr">
        <is>
          <t>Medical device importer since 1998. Anaesthesia, intensive care and operating room devices and consumables, supplied to university and general hospitals, partly on an original design basis</t>
        </is>
      </c>
      <c r="E135" s="161" t="inlineStr">
        <is>
          <t>No ultrasound identified</t>
        </is>
      </c>
      <c r="F135" s="161" t="inlineStr">
        <is>
          <t>Siheung, Gyeonggi</t>
        </is>
      </c>
      <c r="G135" s="163" t="inlineStr">
        <is>
          <t>https://ljtrade.kr</t>
        </is>
      </c>
      <c r="H135" s="161" t="inlineStr">
        <is>
          <t>NOT CONFIRMED</t>
        </is>
      </c>
      <c r="I135" s="161" t="inlineStr">
        <is>
          <t>leejungtrade@naver.com</t>
        </is>
      </c>
      <c r="J135" s="161" t="inlineStr">
        <is>
          <t>Profiled in Korean trade press (Handmaker). CEO 정인화, in the industry since 1990, company founded 1998. Attends around 16 medical conferences a year</t>
        </is>
      </c>
      <c r="K135" s="171" t="inlineStr">
        <is>
          <t>A</t>
        </is>
      </c>
      <c r="L135" s="161" t="inlineStr">
        <is>
          <t>Segment fit is excellent: anaesthesia, intensive care and operating room is the fastest growing handheld ultrasound segment, and this is a small focused house with real hospital relationships. The problem is purely that no website could be found. Confirm the company trades, then reassess for Tier 1.</t>
        </is>
      </c>
      <c r="M135" s="161" t="inlineStr">
        <is>
          <t>If confirmed: SonoTouch + SonoEye P3 for peri-operative, nerve block and vascular access</t>
        </is>
      </c>
      <c r="N135" s="173" t="n">
        <v>3</v>
      </c>
      <c r="O135" s="161" t="inlineStr">
        <is>
          <t>Tier 3 NEW in v5, held below Tier 1 only because no URL could be confirmed. Company profile taken from Korean trade press, 15 Sep 2026. REASSESS once a website or phone is found.</t>
        </is>
      </c>
      <c r="P135" s="161" t="inlineStr">
        <is>
          <t>Trade press only, no URL; v18 (7 Oct 2026): email read on the company site</t>
        </is>
      </c>
      <c r="Q135" s="161" t="n"/>
      <c r="R135" s="161" t="inlineStr">
        <is>
          <t>No outreach email written for this row. See the fit note for why it is not a priority.</t>
        </is>
      </c>
      <c r="S135" s="172" t="inlineStr">
        <is>
          <t>Yes</t>
        </is>
      </c>
    </row>
    <row r="136" ht="21.75" customHeight="1" s="104">
      <c r="A136" s="161" t="n">
        <v>132</v>
      </c>
      <c r="B136" s="162" t="inlineStr">
        <is>
          <t>Hyundai Medical Holdings 현대메디칼</t>
        </is>
      </c>
      <c r="C136" s="161" t="inlineStr">
        <is>
          <t>Not started</t>
        </is>
      </c>
      <c r="D136" s="161" t="inlineStr">
        <is>
          <t>Broad medical device distribution, per v4 research</t>
        </is>
      </c>
      <c r="E136" s="161" t="inlineStr">
        <is>
          <t>Not identified</t>
        </is>
      </c>
      <c r="F136" s="161" t="inlineStr">
        <is>
          <t>Seoul</t>
        </is>
      </c>
      <c r="G136" s="163" t="inlineStr">
        <is>
          <t>http://hyundaimedical.co.kr</t>
        </is>
      </c>
      <c r="H136" s="161" t="inlineStr">
        <is>
          <t>Not published on pages reached</t>
        </is>
      </c>
      <c r="I136" s="161" t="inlineStr">
        <is>
          <t>Not published</t>
        </is>
      </c>
      <c r="J136" s="161" t="inlineStr">
        <is>
          <t>Domain carried from v4. Not re-verified in v5</t>
        </is>
      </c>
      <c r="K136" s="171" t="inlineStr">
        <is>
          <t>D</t>
        </is>
      </c>
      <c r="L136" s="161" t="inlineStr">
        <is>
          <t>Carried forward without re-verification. Confirm the site and the portfolio before allocating time.</t>
        </is>
      </c>
      <c r="M136" s="161" t="inlineStr">
        <is>
          <t>Qualify the line card first</t>
        </is>
      </c>
      <c r="N136" s="173" t="n">
        <v>3</v>
      </c>
      <c r="O136" s="161" t="inlineStr">
        <is>
          <t>Tier 3 UPHELD from v4, NOT re-verified in v5.</t>
        </is>
      </c>
      <c r="P136" s="161" t="inlineStr">
        <is>
          <t>Carried from v4, unverified</t>
        </is>
      </c>
      <c r="Q136" s="161" t="n"/>
      <c r="R136" s="161" t="inlineStr">
        <is>
          <t>No outreach email written for this row. See the fit note for why it is not a priority.</t>
        </is>
      </c>
      <c r="S136" s="172" t="inlineStr">
        <is>
          <t>No</t>
        </is>
      </c>
    </row>
    <row r="137" ht="32.25" customHeight="1" s="104">
      <c r="A137" s="161" t="n">
        <v>133</v>
      </c>
      <c r="B137" s="162" t="inlineStr">
        <is>
          <t>Humed International 휴메드인터내셔널</t>
        </is>
      </c>
      <c r="C137" s="161" t="inlineStr">
        <is>
          <t>Not started</t>
        </is>
      </c>
      <c r="D137" s="161" t="inlineStr">
        <is>
          <t>Medical imaging and ultrasound distribution, per v4 research</t>
        </is>
      </c>
      <c r="E137" s="161" t="inlineStr">
        <is>
          <t>Reported to carry ultrasound. Unverified</t>
        </is>
      </c>
      <c r="F137" s="161" t="inlineStr">
        <is>
          <t>Seoul</t>
        </is>
      </c>
      <c r="G137" s="161" t="inlineStr">
        <is>
          <t>NOT CONFIRMED, no company URL located</t>
        </is>
      </c>
      <c r="H137" s="161" t="inlineStr">
        <is>
          <t>+82-2-796-8111 (carried from v4, unverified in v5)</t>
        </is>
      </c>
      <c r="I137" s="161" t="inlineStr">
        <is>
          <t>NOT CONFIRMED</t>
        </is>
      </c>
      <c r="J137" s="161" t="inlineStr">
        <is>
          <t>No website located in v4 or v5. Phone carried from v4 research</t>
        </is>
      </c>
      <c r="K137" s="171" t="inlineStr">
        <is>
          <t>D</t>
        </is>
      </c>
      <c r="L137" s="161" t="inlineStr">
        <is>
          <t>If the ultrasound claim is true this is a competitor's channel and worth understanding, but nothing about it has been verified. One phone call decides whether it belongs in this workbook at all.</t>
        </is>
      </c>
      <c r="M137" s="161" t="inlineStr">
        <is>
          <t>Qualify the entity and the line card first</t>
        </is>
      </c>
      <c r="N137" s="173" t="n">
        <v>3</v>
      </c>
      <c r="O137" s="161" t="inlineStr">
        <is>
          <t>Tier 3 UPHELD from v4, NOT re-verified in v5.</t>
        </is>
      </c>
      <c r="P137" s="161" t="inlineStr">
        <is>
          <t>Carried from v4, unverified</t>
        </is>
      </c>
      <c r="Q137" s="161" t="n"/>
      <c r="R137" s="161" t="inlineStr">
        <is>
          <t>No outreach email written for this row. See the fit note for why it is not a priority.</t>
        </is>
      </c>
      <c r="S137" s="172" t="inlineStr">
        <is>
          <t>No</t>
        </is>
      </c>
    </row>
    <row r="138" ht="32.25" customHeight="1" s="104">
      <c r="A138" s="161" t="n">
        <v>134</v>
      </c>
      <c r="B138" s="162" t="inlineStr">
        <is>
          <t>Insung Information Co., Ltd. 인성정보</t>
        </is>
      </c>
      <c r="C138" s="161" t="inlineStr">
        <is>
          <t>Not started</t>
        </is>
      </c>
      <c r="D138" s="161" t="inlineStr">
        <is>
          <t>Listed healthcare information technology company. Telehealth and connected care devices</t>
        </is>
      </c>
      <c r="E138" s="161" t="inlineStr">
        <is>
          <t>No ultrasound line identified</t>
        </is>
      </c>
      <c r="F138" s="161" t="inlineStr">
        <is>
          <t>Seoul</t>
        </is>
      </c>
      <c r="G138" s="163" t="inlineStr">
        <is>
          <t>https://www.insunginfo.co.kr</t>
        </is>
      </c>
      <c r="H138" s="161" t="inlineStr">
        <is>
          <t>Not published on pages reached</t>
        </is>
      </c>
      <c r="I138" s="161" t="inlineStr">
        <is>
          <t>Not published, enquiry via https://www.insunginfo.co.kr</t>
        </is>
      </c>
      <c r="J138" s="161" t="inlineStr">
        <is>
          <t>Carried from v4. KOSDAQ listed healthcare IT company</t>
        </is>
      </c>
      <c r="K138" s="171" t="inlineStr">
        <is>
          <t>D</t>
        </is>
      </c>
      <c r="L138" s="161" t="inlineStr">
        <is>
          <t>Telehealth and connected care is an interesting long term fit for handheld ultrasound, but it is a technology partnership conversation rather than a distribution one, and not a route to revenue this year.</t>
        </is>
      </c>
      <c r="M138" s="161" t="inlineStr">
        <is>
          <t>Long term: SonoEye P3 in a connected care configuration</t>
        </is>
      </c>
      <c r="N138" s="173" t="n">
        <v>3</v>
      </c>
      <c r="O138" s="161" t="inlineStr">
        <is>
          <t>Tier 3 UPHELD from v4, NOT re-verified in v5.</t>
        </is>
      </c>
      <c r="P138" s="161" t="inlineStr">
        <is>
          <t>Carried from v4, unverified</t>
        </is>
      </c>
      <c r="Q138" s="161" t="n"/>
      <c r="R138" s="161" t="inlineStr">
        <is>
          <t>No outreach email written for this row. See the fit note for why it is not a priority.</t>
        </is>
      </c>
      <c r="S138" s="172" t="inlineStr">
        <is>
          <t>No</t>
        </is>
      </c>
    </row>
    <row r="139" ht="21.75" customHeight="1" s="104">
      <c r="A139" s="161" t="n">
        <v>135</v>
      </c>
      <c r="B139" s="162" t="inlineStr">
        <is>
          <t>GC MS 녹십자엠에스</t>
        </is>
      </c>
      <c r="C139" s="161" t="inlineStr">
        <is>
          <t>Not started</t>
        </is>
      </c>
      <c r="D139" s="161" t="inlineStr">
        <is>
          <t>In vitro diagnostics distribution within the GC group</t>
        </is>
      </c>
      <c r="E139" s="161" t="inlineStr">
        <is>
          <t>No ultrasound line identified</t>
        </is>
      </c>
      <c r="F139" s="161" t="inlineStr">
        <is>
          <t>Yongin, Gyeonggi</t>
        </is>
      </c>
      <c r="G139" s="163" t="inlineStr">
        <is>
          <t>https://www.gcms.co.kr</t>
        </is>
      </c>
      <c r="H139" s="161" t="inlineStr">
        <is>
          <t>Not published on pages reached</t>
        </is>
      </c>
      <c r="I139" s="161" t="inlineStr">
        <is>
          <t>Not published</t>
        </is>
      </c>
      <c r="J139" s="161" t="inlineStr">
        <is>
          <t>Carried from v4. Part of the GC (Green Cross) group, as is GC MediAI</t>
        </is>
      </c>
      <c r="K139" s="171" t="inlineStr">
        <is>
          <t>D</t>
        </is>
      </c>
      <c r="L139" s="161" t="inlineStr">
        <is>
          <t>Same group as GC MediAI. Flag the overlap before approaching both entities.</t>
        </is>
      </c>
      <c r="M139" s="161" t="inlineStr">
        <is>
          <t>In vitro diagnostics house, weak fit for imaging</t>
        </is>
      </c>
      <c r="N139" s="173" t="n">
        <v>3</v>
      </c>
      <c r="O139" s="161" t="inlineStr">
        <is>
          <t>Tier 3 UPHELD from v4. GROUP OVERLAP FLAG added: same group as GC MediAI, see the Tier 2 row.</t>
        </is>
      </c>
      <c r="P139" s="161" t="inlineStr">
        <is>
          <t>Carried from v4, unverified</t>
        </is>
      </c>
      <c r="Q139" s="161" t="n"/>
      <c r="R139" s="161" t="inlineStr">
        <is>
          <t>No outreach email written for this row. See the fit note for why it is not a priority.</t>
        </is>
      </c>
      <c r="S139" s="172" t="inlineStr">
        <is>
          <t>No</t>
        </is>
      </c>
    </row>
    <row r="140" ht="21.75" customHeight="1" s="104">
      <c r="A140" s="161" t="n">
        <v>136</v>
      </c>
      <c r="B140" s="162" t="inlineStr">
        <is>
          <t>Handok Inc. 한독</t>
        </is>
      </c>
      <c r="C140" s="161" t="inlineStr">
        <is>
          <t>Not started</t>
        </is>
      </c>
      <c r="D140" s="161" t="inlineStr">
        <is>
          <t>Pharmaceutical company with a medical device division</t>
        </is>
      </c>
      <c r="E140" s="161" t="inlineStr">
        <is>
          <t>Portfolio varies, not identified</t>
        </is>
      </c>
      <c r="F140" s="161" t="inlineStr">
        <is>
          <t>Seoul</t>
        </is>
      </c>
      <c r="G140" s="163" t="inlineStr">
        <is>
          <t>https://www.handok.co.kr</t>
        </is>
      </c>
      <c r="H140" s="161" t="inlineStr">
        <is>
          <t>Not published on pages reached</t>
        </is>
      </c>
      <c r="I140" s="161" t="inlineStr">
        <is>
          <t>Not published</t>
        </is>
      </c>
      <c r="J140" s="161" t="inlineStr">
        <is>
          <t>Carried from v4</t>
        </is>
      </c>
      <c r="K140" s="171" t="inlineStr">
        <is>
          <t>D</t>
        </is>
      </c>
      <c r="L140" s="161" t="inlineStr">
        <is>
          <t>Pharma companies with device divisions can move fast when the fit is right, but the device arm's scope is unknown here.</t>
        </is>
      </c>
      <c r="M140" s="161" t="inlineStr">
        <is>
          <t>Qualify the device division scope first</t>
        </is>
      </c>
      <c r="N140" s="173" t="n">
        <v>3</v>
      </c>
      <c r="O140" s="161" t="inlineStr">
        <is>
          <t>Tier 3 UPHELD from v4, NOT re-verified in v5.</t>
        </is>
      </c>
      <c r="P140" s="161" t="inlineStr">
        <is>
          <t>Carried from v4, unverified</t>
        </is>
      </c>
      <c r="Q140" s="161" t="n"/>
      <c r="R140" s="161" t="inlineStr">
        <is>
          <t>No outreach email written for this row. See the fit note for why it is not a priority.</t>
        </is>
      </c>
      <c r="S140" s="172" t="inlineStr">
        <is>
          <t>No</t>
        </is>
      </c>
    </row>
    <row r="141" ht="21.75" customHeight="1" s="104">
      <c r="A141" s="161" t="n">
        <v>137</v>
      </c>
      <c r="B141" s="162" t="inlineStr">
        <is>
          <t>UnionLab Co., Ltd. (주)유니온랩</t>
        </is>
      </c>
      <c r="C141" s="161" t="inlineStr">
        <is>
          <t>Not started</t>
        </is>
      </c>
      <c r="D141" s="161" t="inlineStr">
        <is>
          <t>Broad medical device importer. 39 device records on the MFDS register</t>
        </is>
      </c>
      <c r="E141" s="161" t="inlineStr">
        <is>
          <t>No ultrasound identified on the registry entries reviewed</t>
        </is>
      </c>
      <c r="F141" s="161" t="inlineStr">
        <is>
          <t>Seoul</t>
        </is>
      </c>
      <c r="G141" s="161" t="inlineStr">
        <is>
          <t>MFDS eMEDI: https://emedi.mfds.go.kr</t>
        </is>
      </c>
      <c r="H141" s="161" t="inlineStr">
        <is>
          <t>Not published, locate via eMEDI importer record</t>
        </is>
      </c>
      <c r="I141" s="161" t="inlineStr">
        <is>
          <t>Not published, locate via eMEDI importer record</t>
        </is>
      </c>
      <c r="J141" s="161" t="inlineStr">
        <is>
          <t>No public company website located. MFDS importer register, 39 records, Seoul</t>
        </is>
      </c>
      <c r="K141" s="171" t="inlineStr">
        <is>
          <t>D</t>
        </is>
      </c>
      <c r="L141" s="161" t="inlineStr">
        <is>
          <t>Smaller licensed importer, laboratory leaning. Long tail.</t>
        </is>
      </c>
      <c r="M141" s="161" t="inlineStr">
        <is>
          <t>Import licence conversation only</t>
        </is>
      </c>
      <c r="N141" s="173" t="n">
        <v>3</v>
      </c>
      <c r="O141" s="161" t="inlineStr">
        <is>
          <t>Tier 3 UPHELD from v4.</t>
        </is>
      </c>
      <c r="P141" s="161" t="inlineStr">
        <is>
          <t>Directory (MFDS eMEDI register)</t>
        </is>
      </c>
      <c r="Q141" s="161" t="n"/>
      <c r="R141" s="161" t="inlineStr">
        <is>
          <t>No outreach email written for this row. See the fit note for why it is not a priority.</t>
        </is>
      </c>
      <c r="S141" s="172" t="inlineStr">
        <is>
          <t>No</t>
        </is>
      </c>
    </row>
    <row r="142" ht="24" customHeight="1" s="104">
      <c r="A142" s="161" t="n">
        <v>138</v>
      </c>
      <c r="B142" s="162" t="inlineStr">
        <is>
          <t>Dongjin International MB Trading 동진국제엠비무역(주)</t>
        </is>
      </c>
      <c r="C142" s="161" t="inlineStr">
        <is>
          <t>Not started</t>
        </is>
      </c>
      <c r="D142" s="161" t="inlineStr">
        <is>
          <t>Broad medical device importer. 46 device records on the MFDS register</t>
        </is>
      </c>
      <c r="E142" s="161" t="inlineStr">
        <is>
          <t>No ultrasound identified on the registry entries reviewed</t>
        </is>
      </c>
      <c r="F142" s="161" t="inlineStr">
        <is>
          <t>Seoul</t>
        </is>
      </c>
      <c r="G142" s="161" t="inlineStr">
        <is>
          <t>MFDS eMEDI: https://emedi.mfds.go.kr</t>
        </is>
      </c>
      <c r="H142" s="161" t="inlineStr">
        <is>
          <t>Not published, locate via eMEDI importer record</t>
        </is>
      </c>
      <c r="I142" s="161" t="inlineStr">
        <is>
          <t>Not published, locate via eMEDI importer record</t>
        </is>
      </c>
      <c r="J142" s="161" t="inlineStr">
        <is>
          <t>No public company website located. MFDS importer register, 46 records, Seoul</t>
        </is>
      </c>
      <c r="K142" s="171" t="inlineStr">
        <is>
          <t>D</t>
        </is>
      </c>
      <c r="L142" s="161" t="inlineStr">
        <is>
          <t>Smaller licensed importer. Long tail.</t>
        </is>
      </c>
      <c r="M142" s="161" t="inlineStr">
        <is>
          <t>Import licence conversation only</t>
        </is>
      </c>
      <c r="N142" s="173" t="n">
        <v>3</v>
      </c>
      <c r="O142" s="161" t="inlineStr">
        <is>
          <t>Tier 3 UPHELD from v4.</t>
        </is>
      </c>
      <c r="P142" s="161" t="inlineStr">
        <is>
          <t>Directory (MFDS eMEDI register)</t>
        </is>
      </c>
      <c r="Q142" s="161" t="n"/>
      <c r="R142" s="161" t="inlineStr">
        <is>
          <t>No outreach email written for this row. See the fit note for why it is not a priority.</t>
        </is>
      </c>
      <c r="S142" s="172" t="inlineStr">
        <is>
          <t>No</t>
        </is>
      </c>
    </row>
    <row r="143" ht="21.75" customHeight="1" s="104">
      <c r="A143" s="161" t="n">
        <v>139</v>
      </c>
      <c r="B143" s="162" t="inlineStr">
        <is>
          <t>Mansang Co., Ltd. 주식회사만상</t>
        </is>
      </c>
      <c r="C143" s="161" t="inlineStr">
        <is>
          <t>Not started</t>
        </is>
      </c>
      <c r="D143" s="161" t="inlineStr">
        <is>
          <t>Specialty medical device importer. 48 device records on the MFDS register</t>
        </is>
      </c>
      <c r="E143" s="161" t="inlineStr">
        <is>
          <t>No ultrasound identified on the registry entries reviewed</t>
        </is>
      </c>
      <c r="F143" s="161" t="inlineStr">
        <is>
          <t>Busan</t>
        </is>
      </c>
      <c r="G143" s="161" t="inlineStr">
        <is>
          <t>MFDS eMEDI: https://emedi.mfds.go.kr</t>
        </is>
      </c>
      <c r="H143" s="161" t="inlineStr">
        <is>
          <t>Not published, locate via eMEDI importer record</t>
        </is>
      </c>
      <c r="I143" s="161" t="inlineStr">
        <is>
          <t>Not published, locate via eMEDI importer record</t>
        </is>
      </c>
      <c r="J143" s="161" t="inlineStr">
        <is>
          <t>No public company website located. MFDS importer register, 48 records, Busan</t>
        </is>
      </c>
      <c r="K143" s="171" t="inlineStr">
        <is>
          <t>D</t>
        </is>
      </c>
      <c r="L143" s="161" t="inlineStr">
        <is>
          <t>Second Busan name on the register after Pentas Korea. Useful if the south east needs two partners.</t>
        </is>
      </c>
      <c r="M143" s="161" t="inlineStr">
        <is>
          <t>Regional fill in for the south east</t>
        </is>
      </c>
      <c r="N143" s="173" t="n">
        <v>3</v>
      </c>
      <c r="O143" s="161" t="inlineStr">
        <is>
          <t>Tier 3 UPHELD from v4.</t>
        </is>
      </c>
      <c r="P143" s="161" t="inlineStr">
        <is>
          <t>Directory (MFDS eMEDI register)</t>
        </is>
      </c>
      <c r="Q143" s="161" t="n"/>
      <c r="R143" s="161" t="inlineStr">
        <is>
          <t>No outreach email written for this row. See the fit note for why it is not a priority.</t>
        </is>
      </c>
      <c r="S143" s="172" t="inlineStr">
        <is>
          <t>No</t>
        </is>
      </c>
    </row>
    <row r="144" ht="21.75" customHeight="1" s="104">
      <c r="A144" s="161" t="n">
        <v>140</v>
      </c>
      <c r="B144" s="162" t="inlineStr">
        <is>
          <t>Sogu Co., Ltd. (주)소구</t>
        </is>
      </c>
      <c r="C144" s="161" t="inlineStr">
        <is>
          <t>Not started</t>
        </is>
      </c>
      <c r="D144" s="161" t="inlineStr">
        <is>
          <t>Multi brand medical device importer. 84 device records on the MFDS register</t>
        </is>
      </c>
      <c r="E144" s="161" t="inlineStr">
        <is>
          <t>No ultrasound identified on the registry entries reviewed</t>
        </is>
      </c>
      <c r="F144" s="161" t="inlineStr">
        <is>
          <t>Seoul</t>
        </is>
      </c>
      <c r="G144" s="163" t="inlineStr">
        <is>
          <t>https://sogoo.co.kr</t>
        </is>
      </c>
      <c r="H144" s="161" t="inlineStr">
        <is>
          <t>Not published, locate via eMEDI importer record</t>
        </is>
      </c>
      <c r="I144" s="161" t="inlineStr">
        <is>
          <t>master@sogoo.co.kr</t>
        </is>
      </c>
      <c r="J144" s="161" t="inlineStr">
        <is>
          <t>No public company website located. MFDS importer register, 84 records, Seoul</t>
        </is>
      </c>
      <c r="K144" s="171" t="inlineStr">
        <is>
          <t>A</t>
        </is>
      </c>
      <c r="L144" s="161" t="inlineStr">
        <is>
          <t>Sizeable licence portfolio but no public presence at all. Long tail unless the register names above go nowhere.</t>
        </is>
      </c>
      <c r="M144" s="161" t="inlineStr">
        <is>
          <t>Import licence conversation only</t>
        </is>
      </c>
      <c r="N144" s="173" t="n">
        <v>3</v>
      </c>
      <c r="O144" s="161" t="inlineStr">
        <is>
          <t>Tier 3 UPHELD from v4.</t>
        </is>
      </c>
      <c r="P144" s="161" t="inlineStr">
        <is>
          <t>Directory (MFDS eMEDI register); v18 (7 Oct 2026): email read on the company site</t>
        </is>
      </c>
      <c r="Q144" s="161" t="n"/>
      <c r="R144" s="161" t="inlineStr">
        <is>
          <t>No outreach email written for this row. See the fit note for why it is not a priority.</t>
        </is>
      </c>
      <c r="S144" s="172" t="inlineStr">
        <is>
          <t>Yes</t>
        </is>
      </c>
    </row>
    <row r="145" ht="24" customHeight="1" s="104">
      <c r="A145" s="161" t="n">
        <v>141</v>
      </c>
      <c r="B145" s="162" t="inlineStr">
        <is>
          <t>Suseong Sanitary Materials 수성위생재료공업사</t>
        </is>
      </c>
      <c r="C145" s="161" t="inlineStr">
        <is>
          <t>Not started</t>
        </is>
      </c>
      <c r="D145" s="161" t="inlineStr">
        <is>
          <t>Consumables importer. 67 device records on the MFDS register</t>
        </is>
      </c>
      <c r="E145" s="161" t="inlineStr">
        <is>
          <t>No. Consumables</t>
        </is>
      </c>
      <c r="F145" s="161" t="inlineStr">
        <is>
          <t>Gyeongnam</t>
        </is>
      </c>
      <c r="G145" s="161" t="inlineStr">
        <is>
          <t>MFDS eMEDI: https://emedi.mfds.go.kr</t>
        </is>
      </c>
      <c r="H145" s="161" t="inlineStr">
        <is>
          <t>Not published, locate via eMEDI importer record</t>
        </is>
      </c>
      <c r="I145" s="161" t="inlineStr">
        <is>
          <t>Not published, locate via eMEDI importer record</t>
        </is>
      </c>
      <c r="J145" s="161" t="inlineStr">
        <is>
          <t>No public company website located. MFDS importer register, 67 records, Gyeongnam</t>
        </is>
      </c>
      <c r="K145" s="171" t="inlineStr">
        <is>
          <t>D</t>
        </is>
      </c>
      <c r="L145" s="161" t="inlineStr">
        <is>
          <t>Consumables only. Wrong buyer for capital equipment.</t>
        </is>
      </c>
      <c r="M145" s="161" t="inlineStr">
        <is>
          <t>Not a dealer target</t>
        </is>
      </c>
      <c r="N145" s="173" t="n">
        <v>3</v>
      </c>
      <c r="O145" s="161" t="inlineStr">
        <is>
          <t>Tier 3 UPHELD from v4.</t>
        </is>
      </c>
      <c r="P145" s="161" t="inlineStr">
        <is>
          <t>Directory (MFDS eMEDI register)</t>
        </is>
      </c>
      <c r="Q145" s="161" t="n"/>
      <c r="R145" s="161" t="inlineStr">
        <is>
          <t>No outreach email written for this row. See the fit note for why it is not a priority.</t>
        </is>
      </c>
      <c r="S145" s="172" t="inlineStr">
        <is>
          <t>No</t>
        </is>
      </c>
    </row>
    <row r="146" ht="21.75" customHeight="1" s="104">
      <c r="A146" s="161" t="n">
        <v>142</v>
      </c>
      <c r="B146" s="162" t="inlineStr">
        <is>
          <t>Shinwon Dental 신원덴탈(주)</t>
        </is>
      </c>
      <c r="C146" s="161" t="inlineStr">
        <is>
          <t>Not started</t>
        </is>
      </c>
      <c r="D146" s="161" t="inlineStr">
        <is>
          <t>Dental device importer. 119 device records on the MFDS register</t>
        </is>
      </c>
      <c r="E146" s="161" t="inlineStr">
        <is>
          <t>No. Dental</t>
        </is>
      </c>
      <c r="F146" s="161" t="inlineStr">
        <is>
          <t>Seoul</t>
        </is>
      </c>
      <c r="G146" s="161" t="inlineStr">
        <is>
          <t>MFDS eMEDI: https://emedi.mfds.go.kr</t>
        </is>
      </c>
      <c r="H146" s="161" t="inlineStr">
        <is>
          <t>Not published, locate via eMEDI importer record</t>
        </is>
      </c>
      <c r="I146" s="161" t="inlineStr">
        <is>
          <t>Not published, locate via eMEDI importer record</t>
        </is>
      </c>
      <c r="J146" s="161" t="inlineStr">
        <is>
          <t>No public company website located. MFDS importer register, 119 records, Seoul</t>
        </is>
      </c>
      <c r="K146" s="171" t="inlineStr">
        <is>
          <t>D</t>
        </is>
      </c>
      <c r="L146" s="161" t="inlineStr">
        <is>
          <t>Dental channel. Different buyer from diagnostic ultrasound.</t>
        </is>
      </c>
      <c r="M146" s="161" t="inlineStr">
        <is>
          <t>Not a dealer target for human diagnostics</t>
        </is>
      </c>
      <c r="N146" s="173" t="n">
        <v>3</v>
      </c>
      <c r="O146" s="161" t="inlineStr">
        <is>
          <t>Tier 3 UPHELD from v4.</t>
        </is>
      </c>
      <c r="P146" s="161" t="inlineStr">
        <is>
          <t>Directory (MFDS eMEDI register)</t>
        </is>
      </c>
      <c r="Q146" s="161" t="n"/>
      <c r="R146" s="161" t="inlineStr">
        <is>
          <t>No outreach email written for this row. See the fit note for why it is not a priority.</t>
        </is>
      </c>
      <c r="S146" s="172" t="inlineStr">
        <is>
          <t>No</t>
        </is>
      </c>
    </row>
    <row r="147" ht="21.75" customHeight="1" s="104">
      <c r="A147" s="161" t="n">
        <v>143</v>
      </c>
      <c r="B147" s="162" t="inlineStr">
        <is>
          <t>Shinhung Co., Ltd. (주)신흥</t>
        </is>
      </c>
      <c r="C147" s="161" t="inlineStr">
        <is>
          <t>Not started</t>
        </is>
      </c>
      <c r="D147" s="161" t="inlineStr">
        <is>
          <t>Major dental distributor. 74 device records on the MFDS register</t>
        </is>
      </c>
      <c r="E147" s="161" t="inlineStr">
        <is>
          <t>No. Dental</t>
        </is>
      </c>
      <c r="F147" s="161" t="inlineStr">
        <is>
          <t>Seoul</t>
        </is>
      </c>
      <c r="G147" s="163" t="inlineStr">
        <is>
          <t>https://shinhung.co.kr</t>
        </is>
      </c>
      <c r="H147" s="161" t="inlineStr">
        <is>
          <t>Not published on pages reached</t>
        </is>
      </c>
      <c r="I147" s="161" t="inlineStr">
        <is>
          <t>usa@shinhung.co.kr</t>
        </is>
      </c>
      <c r="J147" s="161" t="inlineStr">
        <is>
          <t>Large dental distributor, listed. MFDS importer register, 74 records</t>
        </is>
      </c>
      <c r="K147" s="171" t="inlineStr">
        <is>
          <t>C</t>
        </is>
      </c>
      <c r="L147" s="161" t="inlineStr">
        <is>
          <t>The largest dental channel in Korea, but dental clinics are not the diagnostic ultrasound buyer.</t>
        </is>
      </c>
      <c r="M147" s="161" t="inlineStr">
        <is>
          <t>Not a dealer target for human diagnostics</t>
        </is>
      </c>
      <c r="N147" s="173" t="n">
        <v>3</v>
      </c>
      <c r="O147" s="161" t="inlineStr">
        <is>
          <t>Tier 3 UPHELD from v4.</t>
        </is>
      </c>
      <c r="P147" s="161" t="inlineStr">
        <is>
          <t>Directory (MFDS eMEDI register); v18 (7 Oct 2026): email search result of the company page</t>
        </is>
      </c>
      <c r="Q147" s="161" t="n"/>
      <c r="R147" s="161" t="inlineStr">
        <is>
          <t>No outreach email written for this row. See the fit note for why it is not a priority.</t>
        </is>
      </c>
      <c r="S147" s="172" t="inlineStr">
        <is>
          <t>Yes</t>
        </is>
      </c>
    </row>
    <row r="148" ht="21.75" customHeight="1" s="104">
      <c r="A148" s="161" t="n">
        <v>144</v>
      </c>
      <c r="B148" s="162" t="inlineStr">
        <is>
          <t>Edent Co., Ltd. (주)이덴트</t>
        </is>
      </c>
      <c r="C148" s="161" t="inlineStr">
        <is>
          <t>Not started</t>
        </is>
      </c>
      <c r="D148" s="161" t="inlineStr">
        <is>
          <t>Dental device importer. 68 device records on the MFDS register</t>
        </is>
      </c>
      <c r="E148" s="161" t="inlineStr">
        <is>
          <t>No. Dental</t>
        </is>
      </c>
      <c r="F148" s="161" t="inlineStr">
        <is>
          <t>Seoul</t>
        </is>
      </c>
      <c r="G148" s="161" t="inlineStr">
        <is>
          <t>MFDS eMEDI: https://emedi.mfds.go.kr</t>
        </is>
      </c>
      <c r="H148" s="161" t="inlineStr">
        <is>
          <t>Not published, locate via eMEDI importer record</t>
        </is>
      </c>
      <c r="I148" s="161" t="inlineStr">
        <is>
          <t>Not published, locate via eMEDI importer record</t>
        </is>
      </c>
      <c r="J148" s="161" t="inlineStr">
        <is>
          <t>No public company website located. MFDS importer register, 68 records, Seoul</t>
        </is>
      </c>
      <c r="K148" s="171" t="inlineStr">
        <is>
          <t>D</t>
        </is>
      </c>
      <c r="L148" s="161" t="inlineStr">
        <is>
          <t>Dental channel.</t>
        </is>
      </c>
      <c r="M148" s="161" t="inlineStr">
        <is>
          <t>Not a dealer target for human diagnostics</t>
        </is>
      </c>
      <c r="N148" s="173" t="n">
        <v>3</v>
      </c>
      <c r="O148" s="161" t="inlineStr">
        <is>
          <t>Tier 3 UPHELD from v4.</t>
        </is>
      </c>
      <c r="P148" s="161" t="inlineStr">
        <is>
          <t>Directory (MFDS eMEDI register)</t>
        </is>
      </c>
      <c r="Q148" s="161" t="n"/>
      <c r="R148" s="161" t="inlineStr">
        <is>
          <t>No outreach email written for this row. See the fit note for why it is not a priority.</t>
        </is>
      </c>
      <c r="S148" s="172" t="inlineStr">
        <is>
          <t>No</t>
        </is>
      </c>
    </row>
    <row r="149" ht="21.75" customHeight="1" s="104">
      <c r="A149" s="161" t="n">
        <v>145</v>
      </c>
      <c r="B149" s="162" t="inlineStr">
        <is>
          <t>GC Korea Co., Ltd. (주)지씨코리아</t>
        </is>
      </c>
      <c r="C149" s="161" t="inlineStr">
        <is>
          <t>Not started</t>
        </is>
      </c>
      <c r="D149" s="161" t="inlineStr">
        <is>
          <t>Dental and in vitro diagnostics importer. 70 device records on the MFDS register</t>
        </is>
      </c>
      <c r="E149" s="161" t="inlineStr">
        <is>
          <t>No. Dental and in vitro diagnostics</t>
        </is>
      </c>
      <c r="F149" s="161" t="inlineStr">
        <is>
          <t>Seoul</t>
        </is>
      </c>
      <c r="G149" s="163" t="inlineStr">
        <is>
          <t>https://gckorea.co.kr</t>
        </is>
      </c>
      <c r="H149" s="161" t="inlineStr">
        <is>
          <t>Not published, locate via eMEDI importer record</t>
        </is>
      </c>
      <c r="I149" s="161" t="inlineStr">
        <is>
          <t>info@gckorea.co.kr</t>
        </is>
      </c>
      <c r="J149" s="161" t="inlineStr">
        <is>
          <t>No public company website located. MFDS importer register, 70 records, Seoul</t>
        </is>
      </c>
      <c r="K149" s="171" t="inlineStr">
        <is>
          <t>C</t>
        </is>
      </c>
      <c r="L149" s="161" t="inlineStr">
        <is>
          <t>Dental and diagnostics channel. Note this is the Japanese GC dental group, not the Korean GC (Green Cross) group.</t>
        </is>
      </c>
      <c r="M149" s="161" t="inlineStr">
        <is>
          <t>Not a dealer target for human diagnostics</t>
        </is>
      </c>
      <c r="N149" s="173" t="n">
        <v>3</v>
      </c>
      <c r="O149" s="161" t="inlineStr">
        <is>
          <t>Tier 3 UPHELD from v4, with a name clarification added: GC Korea (dental) is not the same group as GC MS and GC MediAI.</t>
        </is>
      </c>
      <c r="P149" s="161" t="inlineStr">
        <is>
          <t>Directory (MFDS eMEDI register); v18 (7 Oct 2026): email search result of the company page</t>
        </is>
      </c>
      <c r="Q149" s="161" t="n"/>
      <c r="R149" s="161" t="inlineStr">
        <is>
          <t>No outreach email written for this row. See the fit note for why it is not a priority.</t>
        </is>
      </c>
      <c r="S149" s="172" t="inlineStr">
        <is>
          <t>Yes</t>
        </is>
      </c>
    </row>
    <row r="150" ht="60" customHeight="1" s="104">
      <c r="A150" s="161" t="n">
        <v>146</v>
      </c>
      <c r="B150" s="162" t="inlineStr">
        <is>
          <t>OK Medinet Korea Co., Ltd. 오케이메디넷코리아(주)</t>
        </is>
      </c>
      <c r="C150" s="161" t="inlineStr">
        <is>
          <t>Not started</t>
        </is>
      </c>
      <c r="D150" s="161" t="inlineStr">
        <is>
          <t>Surgical, OR and anaesthesia. Spine and neurosurgery device maker and seller with hospital sales.</t>
        </is>
      </c>
      <c r="E150" s="161" t="inlineStr">
        <is>
          <t>Not confirmed; ask on the first call</t>
        </is>
      </c>
      <c r="F150" s="161" t="inlineStr">
        <is>
          <t>Seoul Geumcheon</t>
        </is>
      </c>
      <c r="G150" s="163" t="inlineStr">
        <is>
          <t>https://okmk1.com</t>
        </is>
      </c>
      <c r="H150" s="161" t="inlineStr">
        <is>
          <t>02-833-4489</t>
        </is>
      </c>
      <c r="I150" s="161" t="inlineStr">
        <is>
          <t>info@okmk1.com</t>
        </is>
      </c>
      <c r="J150" s="161" t="inlineStr">
        <is>
          <t>Seoul Geumcheon. Tel 02-833-4489. Found via KIMES 2026 exhibitor directory.</t>
        </is>
      </c>
      <c r="K150" s="164" t="inlineStr">
        <is>
          <t>A</t>
        </is>
      </c>
      <c r="L150" s="161" t="inlineStr">
        <is>
          <t>Theatre and anaesthesia accounts are the entry point for point of care ultrasound (nerve block, vascular access).</t>
        </is>
      </c>
      <c r="M150" s="161" t="inlineStr">
        <is>
          <t>SonoTouch tablet, SonoEye P3 for nerve block and vascular access in theatre</t>
        </is>
      </c>
      <c r="N150" s="173" t="n">
        <v>3</v>
      </c>
      <c r="O150" s="161" t="inlineStr">
        <is>
          <t>Tier 3: broad supplier or smaller reach; include in the email wave and follow up only on reply.</t>
        </is>
      </c>
      <c r="P150" s="161" t="inlineStr">
        <is>
          <t>KIMES 2026 exhibitor directory; email read on the company site, 7 Oct 2026</t>
        </is>
      </c>
      <c r="Q150" s="161" t="n"/>
      <c r="R150" s="161" t="n"/>
      <c r="S150" s="165" t="inlineStr">
        <is>
          <t>Yes</t>
        </is>
      </c>
    </row>
    <row r="151" ht="60" customHeight="1" s="104">
      <c r="A151" s="161" t="n">
        <v>147</v>
      </c>
      <c r="B151" s="162" t="inlineStr">
        <is>
          <t>Jinsan Medical Co., Ltd. (주)진산메디칼</t>
        </is>
      </c>
      <c r="C151" s="161" t="inlineStr">
        <is>
          <t>Not started</t>
        </is>
      </c>
      <c r="D151" s="161" t="inlineStr">
        <is>
          <t>General medical equipment. Importer of rehab and hospital equipment from Taiwan and China; KMDDA board member.</t>
        </is>
      </c>
      <c r="E151" s="161" t="inlineStr">
        <is>
          <t>Not confirmed; ask on the first call</t>
        </is>
      </c>
      <c r="F151" s="161" t="inlineStr">
        <is>
          <t>Seoul Seodaemun</t>
        </is>
      </c>
      <c r="G151" s="163" t="inlineStr">
        <is>
          <t>https://jinsan.biz</t>
        </is>
      </c>
      <c r="H151" s="161" t="inlineStr">
        <is>
          <t>02-363-4727</t>
        </is>
      </c>
      <c r="I151" s="161" t="inlineStr">
        <is>
          <t>jinsanmedical@naver.com</t>
        </is>
      </c>
      <c r="J151" s="161" t="inlineStr">
        <is>
          <t>Seoul Seodaemun. Tel 02-363-4727. Found via KIMES 2026 exhibitor directory.</t>
        </is>
      </c>
      <c r="K151" s="164" t="inlineStr">
        <is>
          <t>A</t>
        </is>
      </c>
      <c r="L151" s="161" t="inlineStr">
        <is>
          <t>General medical equipment supplier with hospital and clinic accounts; can open ultrasound as a new line.</t>
        </is>
      </c>
      <c r="M151" s="161" t="inlineStr">
        <is>
          <t>SonoGO cart, SonoAir 70 handheld as a starter ultrasound line for a general hospital supplier</t>
        </is>
      </c>
      <c r="N151" s="173" t="n">
        <v>3</v>
      </c>
      <c r="O151" s="161" t="inlineStr">
        <is>
          <t>Tier 3: broad supplier or smaller reach; include in the email wave and follow up only on reply.</t>
        </is>
      </c>
      <c r="P151" s="161" t="inlineStr">
        <is>
          <t>KIMES 2026 exhibitor directory; email read on the company site, 7 Oct 2026</t>
        </is>
      </c>
      <c r="Q151" s="161" t="n"/>
      <c r="R151" s="161" t="n"/>
      <c r="S151" s="165" t="inlineStr">
        <is>
          <t>Yes</t>
        </is>
      </c>
    </row>
    <row r="152" ht="60" customHeight="1" s="104">
      <c r="A152" s="161" t="n">
        <v>148</v>
      </c>
      <c r="B152" s="162" t="inlineStr">
        <is>
          <t>Yong Heung Co., Ltd. 주식회사 용흥</t>
        </is>
      </c>
      <c r="C152" s="161" t="inlineStr">
        <is>
          <t>Not started</t>
        </is>
      </c>
      <c r="D152" s="161" t="inlineStr">
        <is>
          <t>Surgical, OR and anaesthesia. Surgical instrument importer and manufacturer.</t>
        </is>
      </c>
      <c r="E152" s="161" t="inlineStr">
        <is>
          <t>Not confirmed; ask on the first call</t>
        </is>
      </c>
      <c r="F152" s="161" t="inlineStr">
        <is>
          <t>Incheon</t>
        </is>
      </c>
      <c r="G152" s="163" t="inlineStr">
        <is>
          <t>https://surgitech.kr</t>
        </is>
      </c>
      <c r="H152" s="161" t="inlineStr">
        <is>
          <t>032-883-4889</t>
        </is>
      </c>
      <c r="I152" s="161" t="inlineStr">
        <is>
          <t>surgitech5@naver.com</t>
        </is>
      </c>
      <c r="J152" s="161" t="inlineStr">
        <is>
          <t>Incheon. Tel 032-883-4889. Found via KIMES 2026 exhibitor directory.</t>
        </is>
      </c>
      <c r="K152" s="164" t="inlineStr">
        <is>
          <t>A</t>
        </is>
      </c>
      <c r="L152" s="161" t="inlineStr">
        <is>
          <t>Theatre and anaesthesia accounts are the entry point for point of care ultrasound (nerve block, vascular access).</t>
        </is>
      </c>
      <c r="M152" s="161" t="inlineStr">
        <is>
          <t>SonoTouch tablet, SonoEye P3 for nerve block and vascular access in theatre</t>
        </is>
      </c>
      <c r="N152" s="173" t="n">
        <v>3</v>
      </c>
      <c r="O152" s="161" t="inlineStr">
        <is>
          <t>Tier 3: broad supplier or smaller reach; include in the email wave and follow up only on reply.</t>
        </is>
      </c>
      <c r="P152" s="161" t="inlineStr">
        <is>
          <t>KIMES 2026 exhibitor directory; email read on the company site, 7 Oct 2026</t>
        </is>
      </c>
      <c r="Q152" s="161" t="n"/>
      <c r="R152" s="161" t="n"/>
      <c r="S152" s="165" t="inlineStr">
        <is>
          <t>Yes</t>
        </is>
      </c>
    </row>
    <row r="153" ht="60" customHeight="1" s="104">
      <c r="A153" s="161" t="n">
        <v>149</v>
      </c>
      <c r="B153" s="162" t="inlineStr">
        <is>
          <t>INOT Co., Ltd. (주)이노트</t>
        </is>
      </c>
      <c r="C153" s="161" t="inlineStr">
        <is>
          <t>Not started</t>
        </is>
      </c>
      <c r="D153" s="161" t="inlineStr">
        <is>
          <t>General medical equipment. Medical device manufacturer, importer and distributor.</t>
        </is>
      </c>
      <c r="E153" s="161" t="inlineStr">
        <is>
          <t>Not confirmed; ask on the first call</t>
        </is>
      </c>
      <c r="F153" s="161" t="inlineStr">
        <is>
          <t>Anyang</t>
        </is>
      </c>
      <c r="G153" s="163" t="inlineStr">
        <is>
          <t>https://inot-meditech.com</t>
        </is>
      </c>
      <c r="H153" s="161" t="inlineStr">
        <is>
          <t>031-466-0099</t>
        </is>
      </c>
      <c r="I153" s="161" t="inlineStr">
        <is>
          <t>medisale@inot-meditech.com</t>
        </is>
      </c>
      <c r="J153" s="161" t="inlineStr">
        <is>
          <t>Anyang. Tel 031-466-0099. Found via KIMES 2026 exhibitor directory.</t>
        </is>
      </c>
      <c r="K153" s="164" t="inlineStr">
        <is>
          <t>C</t>
        </is>
      </c>
      <c r="L153" s="161" t="inlineStr">
        <is>
          <t>General medical equipment supplier with hospital and clinic accounts; can open ultrasound as a new line.</t>
        </is>
      </c>
      <c r="M153" s="161" t="inlineStr">
        <is>
          <t>SonoGO cart, SonoAir 70 handheld as a starter ultrasound line for a general hospital supplier</t>
        </is>
      </c>
      <c r="N153" s="173" t="n">
        <v>3</v>
      </c>
      <c r="O153" s="161" t="inlineStr">
        <is>
          <t>Tier 3: broad supplier or smaller reach; include in the email wave and follow up only on reply.</t>
        </is>
      </c>
      <c r="P153" s="161" t="inlineStr">
        <is>
          <t>KIMES 2026 exhibitor directory; email search result of the company page, 7 Oct 2026. Medisale (medisale.co.kr) is the same group and uses the same address, so it is not listed separately.</t>
        </is>
      </c>
      <c r="Q153" s="161" t="n"/>
      <c r="R153" s="161" t="n"/>
      <c r="S153" s="165" t="inlineStr">
        <is>
          <t>Yes</t>
        </is>
      </c>
    </row>
    <row r="154" ht="60" customHeight="1" s="104">
      <c r="A154" s="161" t="n">
        <v>150</v>
      </c>
      <c r="B154" s="162" t="inlineStr">
        <is>
          <t>Danaum Co., Ltd. (주)다나음</t>
        </is>
      </c>
      <c r="C154" s="161" t="inlineStr">
        <is>
          <t>Not started</t>
        </is>
      </c>
      <c r="D154" s="161" t="inlineStr">
        <is>
          <t>General medical equipment. Healthcare distribution company (wound care, consumables, devices).</t>
        </is>
      </c>
      <c r="E154" s="161" t="inlineStr">
        <is>
          <t>Not confirmed; ask on the first call</t>
        </is>
      </c>
      <c r="F154" s="161" t="inlineStr">
        <is>
          <t>Seongnam</t>
        </is>
      </c>
      <c r="G154" s="163" t="inlineStr">
        <is>
          <t>https://danaum.co.kr</t>
        </is>
      </c>
      <c r="H154" s="161" t="inlineStr">
        <is>
          <t>031-776-2160</t>
        </is>
      </c>
      <c r="I154" s="161" t="inlineStr">
        <is>
          <t>info@danaum.co.kr</t>
        </is>
      </c>
      <c r="J154" s="161" t="inlineStr">
        <is>
          <t>Seongnam. Tel 031-776-2160. Found via KIMES 2026 exhibitor directory.</t>
        </is>
      </c>
      <c r="K154" s="164" t="inlineStr">
        <is>
          <t>A</t>
        </is>
      </c>
      <c r="L154" s="161" t="inlineStr">
        <is>
          <t>General medical equipment supplier with hospital and clinic accounts; can open ultrasound as a new line.</t>
        </is>
      </c>
      <c r="M154" s="161" t="inlineStr">
        <is>
          <t>SonoGO cart, SonoAir 70 handheld as a starter ultrasound line for a general hospital supplier</t>
        </is>
      </c>
      <c r="N154" s="173" t="n">
        <v>3</v>
      </c>
      <c r="O154" s="161" t="inlineStr">
        <is>
          <t>Tier 3: broad supplier or smaller reach; include in the email wave and follow up only on reply.</t>
        </is>
      </c>
      <c r="P154" s="161" t="inlineStr">
        <is>
          <t>KIMES 2026 exhibitor directory; email read on the company site, 7 Oct 2026</t>
        </is>
      </c>
      <c r="Q154" s="161" t="n"/>
      <c r="R154" s="161" t="n"/>
      <c r="S154" s="165" t="inlineStr">
        <is>
          <t>Yes</t>
        </is>
      </c>
    </row>
    <row r="155" ht="60" customHeight="1" s="104">
      <c r="A155" s="161" t="n">
        <v>151</v>
      </c>
      <c r="B155" s="162" t="inlineStr">
        <is>
          <t>Dong Bang Co., Ltd. (주)동방</t>
        </is>
      </c>
      <c r="C155" s="161" t="inlineStr">
        <is>
          <t>Not started</t>
        </is>
      </c>
      <c r="D155" s="161" t="inlineStr">
        <is>
          <t>Orthopaedic, rehab, pain. Physiotherapy and rehab equipment for clinics since 1959.</t>
        </is>
      </c>
      <c r="E155" s="161" t="inlineStr">
        <is>
          <t>Not confirmed; ask on the first call</t>
        </is>
      </c>
      <c r="F155" s="161" t="inlineStr">
        <is>
          <t>Seoul Guro</t>
        </is>
      </c>
      <c r="G155" s="163" t="inlineStr">
        <is>
          <t>https://dbmedical.co.kr</t>
        </is>
      </c>
      <c r="H155" s="161" t="inlineStr">
        <is>
          <t>02-869-8582</t>
        </is>
      </c>
      <c r="I155" s="161" t="inlineStr">
        <is>
          <t>dbog@dbmedical.co.kr</t>
        </is>
      </c>
      <c r="J155" s="161" t="inlineStr">
        <is>
          <t>Seoul Guro. Tel 02-869-8582. Found via KIMES 2026 exhibitor directory.</t>
        </is>
      </c>
      <c r="K155" s="164" t="inlineStr">
        <is>
          <t>A</t>
        </is>
      </c>
      <c r="L155" s="161" t="inlineStr">
        <is>
          <t>Orthopaedic, rehab and pain clinics buy linear probe ultrasound for injection guidance; CHISON linear image quality is the edge.</t>
        </is>
      </c>
      <c r="M155" s="161" t="inlineStr">
        <is>
          <t>SonoEye P5 linear, SonoAir 30/70 for orthopaedic, rehab and pain clinics</t>
        </is>
      </c>
      <c r="N155" s="173" t="n">
        <v>3</v>
      </c>
      <c r="O155" s="161" t="inlineStr">
        <is>
          <t>Tier 3: broad supplier or smaller reach; include in the email wave and follow up only on reply.</t>
        </is>
      </c>
      <c r="P155" s="161" t="inlineStr">
        <is>
          <t>KIMES 2026 exhibitor directory; email read on the company site, 7 Oct 2026</t>
        </is>
      </c>
      <c r="Q155" s="161" t="n"/>
      <c r="R155" s="161" t="n"/>
      <c r="S155" s="165" t="inlineStr">
        <is>
          <t>Yes</t>
        </is>
      </c>
    </row>
    <row r="156" ht="60" customHeight="1" s="104">
      <c r="A156" s="161" t="n">
        <v>152</v>
      </c>
      <c r="B156" s="162" t="inlineStr">
        <is>
          <t>Janitem Corp. 자니템</t>
        </is>
      </c>
      <c r="C156" s="161" t="inlineStr">
        <is>
          <t>Not started</t>
        </is>
      </c>
      <c r="D156" s="161" t="inlineStr">
        <is>
          <t>Clinic and primary care supply. seca hospital scales distributor into hospitals and clinics.</t>
        </is>
      </c>
      <c r="E156" s="161" t="inlineStr">
        <is>
          <t>Not confirmed; ask on the first call</t>
        </is>
      </c>
      <c r="F156" s="161" t="inlineStr">
        <is>
          <t>Hanam</t>
        </is>
      </c>
      <c r="G156" s="163" t="inlineStr">
        <is>
          <t>https://janitem.co.kr</t>
        </is>
      </c>
      <c r="H156" s="161" t="inlineStr">
        <is>
          <t>02-478-5226</t>
        </is>
      </c>
      <c r="I156" s="161" t="inlineStr">
        <is>
          <t>jhyoun2000@hanmail.net</t>
        </is>
      </c>
      <c r="J156" s="161" t="inlineStr">
        <is>
          <t>Hanam. Tel 02-478-5226. Found via KIMES 2026 exhibitor directory.</t>
        </is>
      </c>
      <c r="K156" s="164" t="inlineStr">
        <is>
          <t>A</t>
        </is>
      </c>
      <c r="L156" s="161" t="inlineStr">
        <is>
          <t>Clinic channel, the end user James flagged as the opening (GPs and small clinics); SonoAir is a wireless handheld that Mindray does not offer.</t>
        </is>
      </c>
      <c r="M156" s="161" t="inlineStr">
        <is>
          <t>SonoAir 30, SonoEye P3 for primary care; SonoGO for new clinic opening packages</t>
        </is>
      </c>
      <c r="N156" s="173" t="n">
        <v>3</v>
      </c>
      <c r="O156" s="161" t="inlineStr">
        <is>
          <t>Tier 3: broad supplier or smaller reach; include in the email wave and follow up only on reply.</t>
        </is>
      </c>
      <c r="P156" s="161" t="inlineStr">
        <is>
          <t>KIMES 2026 exhibitor directory; email read on the company site, 7 Oct 2026</t>
        </is>
      </c>
      <c r="Q156" s="161" t="n"/>
      <c r="R156" s="161" t="n"/>
      <c r="S156" s="165" t="inlineStr">
        <is>
          <t>Yes</t>
        </is>
      </c>
    </row>
    <row r="157" ht="60" customHeight="1" s="104">
      <c r="A157" s="161" t="n">
        <v>153</v>
      </c>
      <c r="B157" s="162" t="inlineStr">
        <is>
          <t>Wever Instruments Co., Ltd. (주)웨버인스트루먼트</t>
        </is>
      </c>
      <c r="C157" s="161" t="inlineStr">
        <is>
          <t>Not started</t>
        </is>
      </c>
      <c r="D157" s="161" t="inlineStr">
        <is>
          <t>Clinic and primary care supply. Develops, makes and sells clinic equipment.</t>
        </is>
      </c>
      <c r="E157" s="161" t="inlineStr">
        <is>
          <t>Not confirmed; ask on the first call</t>
        </is>
      </c>
      <c r="F157" s="161" t="inlineStr">
        <is>
          <t>Uijeongbu</t>
        </is>
      </c>
      <c r="G157" s="163" t="inlineStr">
        <is>
          <t>https://weverinstruments.com</t>
        </is>
      </c>
      <c r="H157" s="161" t="inlineStr">
        <is>
          <t>031-853-1924</t>
        </is>
      </c>
      <c r="I157" s="161" t="inlineStr">
        <is>
          <t>wever_qa@naver.com</t>
        </is>
      </c>
      <c r="J157" s="161" t="inlineStr">
        <is>
          <t>Uijeongbu. Tel 031-853-1924. Found via KIMES 2026 exhibitor directory.</t>
        </is>
      </c>
      <c r="K157" s="164" t="inlineStr">
        <is>
          <t>A</t>
        </is>
      </c>
      <c r="L157" s="161" t="inlineStr">
        <is>
          <t>Clinic channel, the end user James flagged as the opening (GPs and small clinics); SonoAir is a wireless handheld that Mindray does not offer.</t>
        </is>
      </c>
      <c r="M157" s="161" t="inlineStr">
        <is>
          <t>SonoAir 30, SonoEye P3 for primary care; SonoGO for new clinic opening packages</t>
        </is>
      </c>
      <c r="N157" s="173" t="n">
        <v>3</v>
      </c>
      <c r="O157" s="161" t="inlineStr">
        <is>
          <t>Tier 3: broad supplier or smaller reach; include in the email wave and follow up only on reply.</t>
        </is>
      </c>
      <c r="P157" s="161" t="inlineStr">
        <is>
          <t>KIMES 2026 exhibitor directory; email read on the company site, 7 Oct 2026. Address is the QA mailbox; ask for it to be passed to sales.</t>
        </is>
      </c>
      <c r="Q157" s="161" t="n"/>
      <c r="R157" s="161" t="n"/>
      <c r="S157" s="165" t="inlineStr">
        <is>
          <t>Yes</t>
        </is>
      </c>
    </row>
    <row r="158" ht="60" customHeight="1" s="104">
      <c r="A158" s="161" t="n">
        <v>154</v>
      </c>
      <c r="B158" s="162" t="inlineStr">
        <is>
          <t>Goodlife (Microlife) 굿라이프</t>
        </is>
      </c>
      <c r="C158" s="161" t="inlineStr">
        <is>
          <t>Not started</t>
        </is>
      </c>
      <c r="D158" s="161" t="inlineStr">
        <is>
          <t>Clinic and primary care supply. Microlife diagnostics distributor; KMDDA board member.</t>
        </is>
      </c>
      <c r="E158" s="161" t="inlineStr">
        <is>
          <t>Not confirmed; ask on the first call</t>
        </is>
      </c>
      <c r="F158" s="161" t="inlineStr">
        <is>
          <t>Seoul Songpa</t>
        </is>
      </c>
      <c r="G158" s="163" t="inlineStr">
        <is>
          <t>https://microlife.co.kr</t>
        </is>
      </c>
      <c r="H158" s="161" t="inlineStr">
        <is>
          <t>Not published</t>
        </is>
      </c>
      <c r="I158" s="161" t="inlineStr">
        <is>
          <t>goodlife0362@gmail.com</t>
        </is>
      </c>
      <c r="J158" s="161" t="inlineStr">
        <is>
          <t>Seoul Songpa. Found via KIMES 2026 exhibitor directory.</t>
        </is>
      </c>
      <c r="K158" s="164" t="inlineStr">
        <is>
          <t>A</t>
        </is>
      </c>
      <c r="L158" s="161" t="inlineStr">
        <is>
          <t>Clinic channel, the end user James flagged as the opening (GPs and small clinics); SonoAir is a wireless handheld that Mindray does not offer.</t>
        </is>
      </c>
      <c r="M158" s="161" t="inlineStr">
        <is>
          <t>SonoAir 30, SonoEye P3 for primary care; SonoGO for new clinic opening packages</t>
        </is>
      </c>
      <c r="N158" s="173" t="n">
        <v>3</v>
      </c>
      <c r="O158" s="161" t="inlineStr">
        <is>
          <t>Tier 3: broad supplier or smaller reach; include in the email wave and follow up only on reply.</t>
        </is>
      </c>
      <c r="P158" s="161" t="inlineStr">
        <is>
          <t>KIMES 2026 exhibitor directory; email read on the company site, 7 Oct 2026</t>
        </is>
      </c>
      <c r="Q158" s="161" t="n"/>
      <c r="R158" s="161" t="n"/>
      <c r="S158" s="165" t="inlineStr">
        <is>
          <t>Yes</t>
        </is>
      </c>
    </row>
    <row r="159" ht="60" customHeight="1" s="104">
      <c r="A159" s="161" t="n">
        <v>155</v>
      </c>
      <c r="B159" s="162" t="inlineStr">
        <is>
          <t>SMTI (주)에스엠티아이</t>
        </is>
      </c>
      <c r="C159" s="161" t="inlineStr">
        <is>
          <t>Not started</t>
        </is>
      </c>
      <c r="D159" s="161" t="inlineStr">
        <is>
          <t>Orthopaedic, rehab, pain. Importer of rehab and infection control technology.</t>
        </is>
      </c>
      <c r="E159" s="161" t="inlineStr">
        <is>
          <t>Not confirmed; ask on the first call</t>
        </is>
      </c>
      <c r="F159" s="161" t="inlineStr">
        <is>
          <t>Hanam</t>
        </is>
      </c>
      <c r="G159" s="163" t="inlineStr">
        <is>
          <t>https://smtikorea.com</t>
        </is>
      </c>
      <c r="H159" s="161" t="inlineStr">
        <is>
          <t>Not published</t>
        </is>
      </c>
      <c r="I159" s="161" t="inlineStr">
        <is>
          <t>info@smtikorea.com</t>
        </is>
      </c>
      <c r="J159" s="161" t="inlineStr">
        <is>
          <t>Hanam. Found via KIMES 2026 exhibitor directory.</t>
        </is>
      </c>
      <c r="K159" s="164" t="inlineStr">
        <is>
          <t>A</t>
        </is>
      </c>
      <c r="L159" s="161" t="inlineStr">
        <is>
          <t>Orthopaedic, rehab and pain clinics buy linear probe ultrasound for injection guidance; CHISON linear image quality is the edge.</t>
        </is>
      </c>
      <c r="M159" s="161" t="inlineStr">
        <is>
          <t>SonoEye P5 linear, SonoAir 30/70 for orthopaedic, rehab and pain clinics</t>
        </is>
      </c>
      <c r="N159" s="173" t="n">
        <v>3</v>
      </c>
      <c r="O159" s="161" t="inlineStr">
        <is>
          <t>Tier 3: broad supplier or smaller reach; include in the email wave and follow up only on reply.</t>
        </is>
      </c>
      <c r="P159" s="161" t="inlineStr">
        <is>
          <t>KIMES 2026 exhibitor directory; email read on the company site, 7 Oct 2026</t>
        </is>
      </c>
      <c r="Q159" s="161" t="n"/>
      <c r="R159" s="161" t="n"/>
      <c r="S159" s="165" t="inlineStr">
        <is>
          <t>Yes</t>
        </is>
      </c>
    </row>
    <row r="160" ht="60" customHeight="1" s="104">
      <c r="A160" s="161" t="n">
        <v>156</v>
      </c>
      <c r="B160" s="162" t="inlineStr">
        <is>
          <t>S&amp;B Corporation (주)에스앤비코퍼레이션</t>
        </is>
      </c>
      <c r="C160" s="161" t="inlineStr">
        <is>
          <t>Not started</t>
        </is>
      </c>
      <c r="D160" s="161" t="inlineStr">
        <is>
          <t>General medical equipment. Medical devices and consumables supplier.</t>
        </is>
      </c>
      <c r="E160" s="161" t="inlineStr">
        <is>
          <t>Not confirmed; ask on the first call</t>
        </is>
      </c>
      <c r="F160" s="161" t="inlineStr">
        <is>
          <t>Siheung</t>
        </is>
      </c>
      <c r="G160" s="163" t="inlineStr">
        <is>
          <t>https://snb.or.kr</t>
        </is>
      </c>
      <c r="H160" s="161" t="inlineStr">
        <is>
          <t>Not published</t>
        </is>
      </c>
      <c r="I160" s="161" t="inlineStr">
        <is>
          <t>snbbill2008@naver.com</t>
        </is>
      </c>
      <c r="J160" s="161" t="inlineStr">
        <is>
          <t>Siheung. Found via KIMES 2026 exhibitor directory.</t>
        </is>
      </c>
      <c r="K160" s="164" t="inlineStr">
        <is>
          <t>A</t>
        </is>
      </c>
      <c r="L160" s="161" t="inlineStr">
        <is>
          <t>General medical equipment supplier with hospital and clinic accounts; can open ultrasound as a new line.</t>
        </is>
      </c>
      <c r="M160" s="161" t="inlineStr">
        <is>
          <t>SonoGO cart, SonoAir 70 handheld as a starter ultrasound line for a general hospital supplier</t>
        </is>
      </c>
      <c r="N160" s="173" t="n">
        <v>3</v>
      </c>
      <c r="O160" s="161" t="inlineStr">
        <is>
          <t>Tier 3: broad supplier or smaller reach; include in the email wave and follow up only on reply.</t>
        </is>
      </c>
      <c r="P160" s="161" t="inlineStr">
        <is>
          <t>KIMES 2026 exhibitor directory; email read on the company site, 7 Oct 2026</t>
        </is>
      </c>
      <c r="Q160" s="161" t="n"/>
      <c r="R160" s="161" t="n"/>
      <c r="S160" s="165" t="inlineStr">
        <is>
          <t>Yes</t>
        </is>
      </c>
    </row>
    <row r="161" ht="60" customHeight="1" s="104">
      <c r="A161" s="161" t="n">
        <v>157</v>
      </c>
      <c r="B161" s="162" t="inlineStr">
        <is>
          <t>SH E&amp;T 주식회사 에스에이치이앤티</t>
        </is>
      </c>
      <c r="C161" s="161" t="inlineStr">
        <is>
          <t>Not started</t>
        </is>
      </c>
      <c r="D161" s="161" t="inlineStr">
        <is>
          <t>Surgical, OR and anaesthesia. Endoscopy accessories maker and importer.</t>
        </is>
      </c>
      <c r="E161" s="161" t="inlineStr">
        <is>
          <t>Not confirmed; ask on the first call</t>
        </is>
      </c>
      <c r="F161" s="161" t="inlineStr">
        <is>
          <t>Goyang</t>
        </is>
      </c>
      <c r="G161" s="163" t="inlineStr">
        <is>
          <t>https://forcepsmall.com</t>
        </is>
      </c>
      <c r="H161" s="161" t="inlineStr">
        <is>
          <t>Not published</t>
        </is>
      </c>
      <c r="I161" s="161" t="inlineStr">
        <is>
          <t>shent2013@naver.com</t>
        </is>
      </c>
      <c r="J161" s="161" t="inlineStr">
        <is>
          <t>Goyang. Found via KIMES 2026 exhibitor directory.</t>
        </is>
      </c>
      <c r="K161" s="164" t="inlineStr">
        <is>
          <t>A</t>
        </is>
      </c>
      <c r="L161" s="161" t="inlineStr">
        <is>
          <t>Theatre and anaesthesia accounts are the entry point for point of care ultrasound (nerve block, vascular access).</t>
        </is>
      </c>
      <c r="M161" s="161" t="inlineStr">
        <is>
          <t>SonoTouch tablet, SonoEye P3 for nerve block and vascular access in theatre</t>
        </is>
      </c>
      <c r="N161" s="173" t="n">
        <v>3</v>
      </c>
      <c r="O161" s="161" t="inlineStr">
        <is>
          <t>Tier 3: broad supplier or smaller reach; include in the email wave and follow up only on reply.</t>
        </is>
      </c>
      <c r="P161" s="161" t="inlineStr">
        <is>
          <t>KIMES 2026 exhibitor directory; email read on the company site, 7 Oct 2026</t>
        </is>
      </c>
      <c r="Q161" s="161" t="n"/>
      <c r="R161" s="161" t="n"/>
      <c r="S161" s="165" t="inlineStr">
        <is>
          <t>Yes</t>
        </is>
      </c>
    </row>
    <row r="162" ht="60" customHeight="1" s="104">
      <c r="A162" s="161" t="n">
        <v>158</v>
      </c>
      <c r="B162" s="162" t="inlineStr">
        <is>
          <t>K-One Pharma (주)케이원파마</t>
        </is>
      </c>
      <c r="C162" s="161" t="inlineStr">
        <is>
          <t>Not started</t>
        </is>
      </c>
      <c r="D162" s="161" t="inlineStr">
        <is>
          <t>General medical equipment. Supplies devices through a partner network.</t>
        </is>
      </c>
      <c r="E162" s="161" t="inlineStr">
        <is>
          <t>Not confirmed; ask on the first call</t>
        </is>
      </c>
      <c r="F162" s="161" t="inlineStr">
        <is>
          <t>Seoul Geumcheon</t>
        </is>
      </c>
      <c r="G162" s="163" t="inlineStr">
        <is>
          <t>https://konepharma.co.kr</t>
        </is>
      </c>
      <c r="H162" s="161" t="inlineStr">
        <is>
          <t>Not published</t>
        </is>
      </c>
      <c r="I162" s="161" t="inlineStr">
        <is>
          <t>info@konepharma.co.kr</t>
        </is>
      </c>
      <c r="J162" s="161" t="inlineStr">
        <is>
          <t>Seoul Geumcheon. Found via KIMES 2026 exhibitor directory.</t>
        </is>
      </c>
      <c r="K162" s="164" t="inlineStr">
        <is>
          <t>A</t>
        </is>
      </c>
      <c r="L162" s="161" t="inlineStr">
        <is>
          <t>General medical equipment supplier with hospital and clinic accounts; can open ultrasound as a new line.</t>
        </is>
      </c>
      <c r="M162" s="161" t="inlineStr">
        <is>
          <t>SonoGO cart, SonoAir 70 handheld as a starter ultrasound line for a general hospital supplier</t>
        </is>
      </c>
      <c r="N162" s="173" t="n">
        <v>3</v>
      </c>
      <c r="O162" s="161" t="inlineStr">
        <is>
          <t>Tier 3: broad supplier or smaller reach; include in the email wave and follow up only on reply.</t>
        </is>
      </c>
      <c r="P162" s="161" t="inlineStr">
        <is>
          <t>KIMES 2026 exhibitor directory; email read on the company site, 7 Oct 2026</t>
        </is>
      </c>
      <c r="Q162" s="161" t="n"/>
      <c r="R162" s="161" t="n"/>
      <c r="S162" s="165" t="inlineStr">
        <is>
          <t>Yes</t>
        </is>
      </c>
    </row>
    <row r="163" ht="60" customHeight="1" s="104">
      <c r="A163" s="161" t="n">
        <v>159</v>
      </c>
      <c r="B163" s="162" t="inlineStr">
        <is>
          <t>Daewha TM (주)대화티엠</t>
        </is>
      </c>
      <c r="C163" s="161" t="inlineStr">
        <is>
          <t>Not started</t>
        </is>
      </c>
      <c r="D163" s="161" t="inlineStr">
        <is>
          <t>Orthopaedic, rehab, pain. Busan physiotherapy device maker and distributor.</t>
        </is>
      </c>
      <c r="E163" s="161" t="inlineStr">
        <is>
          <t>Not confirmed; ask on the first call</t>
        </is>
      </c>
      <c r="F163" s="161" t="inlineStr">
        <is>
          <t>Busan</t>
        </is>
      </c>
      <c r="G163" s="163" t="inlineStr">
        <is>
          <t>https://nemectron.co.kr</t>
        </is>
      </c>
      <c r="H163" s="161" t="inlineStr">
        <is>
          <t>051-516-2341</t>
        </is>
      </c>
      <c r="I163" s="161" t="inlineStr">
        <is>
          <t>nemectron@hanmail.net</t>
        </is>
      </c>
      <c r="J163" s="161" t="inlineStr">
        <is>
          <t>Busan. Tel 051-516-2341. Found via KIMES 2026 exhibitor directory.</t>
        </is>
      </c>
      <c r="K163" s="164" t="inlineStr">
        <is>
          <t>A</t>
        </is>
      </c>
      <c r="L163" s="161" t="inlineStr">
        <is>
          <t>Orthopaedic, rehab and pain clinics buy linear probe ultrasound for injection guidance; CHISON linear image quality is the edge.</t>
        </is>
      </c>
      <c r="M163" s="161" t="inlineStr">
        <is>
          <t>SonoEye P5 linear, SonoAir 30/70 for orthopaedic, rehab and pain clinics</t>
        </is>
      </c>
      <c r="N163" s="173" t="n">
        <v>3</v>
      </c>
      <c r="O163" s="161" t="inlineStr">
        <is>
          <t>Tier 3: broad supplier or smaller reach; include in the email wave and follow up only on reply.</t>
        </is>
      </c>
      <c r="P163" s="161" t="inlineStr">
        <is>
          <t>KIMES 2026 exhibitor directory; email read on the company site, 7 Oct 2026</t>
        </is>
      </c>
      <c r="Q163" s="161" t="n"/>
      <c r="R163" s="161" t="n"/>
      <c r="S163" s="165" t="inlineStr">
        <is>
          <t>Yes</t>
        </is>
      </c>
    </row>
    <row r="164" ht="60" customHeight="1" s="104">
      <c r="A164" s="161" t="n">
        <v>160</v>
      </c>
      <c r="B164" s="162" t="inlineStr">
        <is>
          <t>Bionet Co., Ltd. (주)바이오넷</t>
        </is>
      </c>
      <c r="C164" s="161" t="inlineStr">
        <is>
          <t>Not started</t>
        </is>
      </c>
      <c r="D164" s="161" t="inlineStr">
        <is>
          <t>Patient monitoring, ICU. Patient monitor and ECG maker with a domestic clinic sales channel.</t>
        </is>
      </c>
      <c r="E164" s="161" t="inlineStr">
        <is>
          <t>Not confirmed; ask on the first call</t>
        </is>
      </c>
      <c r="F164" s="161" t="inlineStr">
        <is>
          <t>Seoul Guro</t>
        </is>
      </c>
      <c r="G164" s="163" t="inlineStr">
        <is>
          <t>https://ebionet.com</t>
        </is>
      </c>
      <c r="H164" s="161" t="inlineStr">
        <is>
          <t>02-6292-6410</t>
        </is>
      </c>
      <c r="I164" s="161" t="inlineStr">
        <is>
          <t>info.sales@ebionet.com</t>
        </is>
      </c>
      <c r="J164" s="161" t="inlineStr">
        <is>
          <t>Seoul Guro. Tel 02-6292-6410. Found via KIMES 2026 exhibitor directory.</t>
        </is>
      </c>
      <c r="K164" s="164" t="inlineStr">
        <is>
          <t>A</t>
        </is>
      </c>
      <c r="L164" s="161" t="inlineStr">
        <is>
          <t>Monitoring and ICU sales team can bundle handheld POCUS with existing ward equipment.</t>
        </is>
      </c>
      <c r="M164" s="161" t="inlineStr">
        <is>
          <t>SonoEye P3 as an add on to the monitoring range, EBit 50 for ICU and ward</t>
        </is>
      </c>
      <c r="N164" s="173" t="n">
        <v>3</v>
      </c>
      <c r="O164" s="161" t="inlineStr">
        <is>
          <t>Tier 3: broad supplier or smaller reach; include in the email wave and follow up only on reply.</t>
        </is>
      </c>
      <c r="P164" s="161" t="inlineStr">
        <is>
          <t>KIMES 2026 exhibitor directory; email read on the company site, 7 Oct 2026</t>
        </is>
      </c>
      <c r="Q164" s="161" t="n"/>
      <c r="R164" s="161" t="n"/>
      <c r="S164" s="165" t="inlineStr">
        <is>
          <t>Yes</t>
        </is>
      </c>
    </row>
    <row r="165" ht="60" customHeight="1" s="104">
      <c r="A165" s="161" t="n">
        <v>161</v>
      </c>
      <c r="B165" s="162" t="inlineStr">
        <is>
          <t>Daeseuk Med Co., Ltd. 대석메드</t>
        </is>
      </c>
      <c r="C165" s="161" t="inlineStr">
        <is>
          <t>Not started</t>
        </is>
      </c>
      <c r="D165" s="161" t="inlineStr">
        <is>
          <t>General medical equipment. KMDIA member, medical device trading.</t>
        </is>
      </c>
      <c r="E165" s="161" t="inlineStr">
        <is>
          <t>Not confirmed; ask on the first call</t>
        </is>
      </c>
      <c r="F165" s="161" t="inlineStr">
        <is>
          <t>Seoul</t>
        </is>
      </c>
      <c r="G165" s="163" t="inlineStr">
        <is>
          <t>https://daeseuk.com</t>
        </is>
      </c>
      <c r="H165" s="161" t="inlineStr">
        <is>
          <t>02-6309-4347</t>
        </is>
      </c>
      <c r="I165" s="161" t="inlineStr">
        <is>
          <t>dsyh@daeseuk.com</t>
        </is>
      </c>
      <c r="J165" s="161" t="inlineStr">
        <is>
          <t>Seoul. Tel 02-6309-4347. Found via KMDIA member directory.</t>
        </is>
      </c>
      <c r="K165" s="164" t="inlineStr">
        <is>
          <t>A</t>
        </is>
      </c>
      <c r="L165" s="161" t="inlineStr">
        <is>
          <t>General medical equipment supplier with hospital and clinic accounts; can open ultrasound as a new line.</t>
        </is>
      </c>
      <c r="M165" s="161" t="inlineStr">
        <is>
          <t>SonoGO cart, SonoAir 70 handheld as a starter ultrasound line for a general hospital supplier</t>
        </is>
      </c>
      <c r="N165" s="173" t="n">
        <v>3</v>
      </c>
      <c r="O165" s="161" t="inlineStr">
        <is>
          <t>Tier 3: broad supplier or smaller reach; include in the email wave and follow up only on reply.</t>
        </is>
      </c>
      <c r="P165" s="161" t="inlineStr">
        <is>
          <t>KMDIA member directory; email read on the company site, 7 Oct 2026</t>
        </is>
      </c>
      <c r="Q165" s="161" t="n"/>
      <c r="R165" s="161" t="n"/>
      <c r="S165" s="165" t="inlineStr">
        <is>
          <t>Yes</t>
        </is>
      </c>
    </row>
    <row r="166" ht="60" customHeight="1" s="104">
      <c r="A166" s="161" t="n">
        <v>162</v>
      </c>
      <c r="B166" s="162" t="inlineStr">
        <is>
          <t>Daiseung Medics Co., Ltd. 대승메딕스</t>
        </is>
      </c>
      <c r="C166" s="161" t="inlineStr">
        <is>
          <t>Not started</t>
        </is>
      </c>
      <c r="D166" s="161" t="inlineStr">
        <is>
          <t>General medical equipment. KMDIA member, medical device company.</t>
        </is>
      </c>
      <c r="E166" s="161" t="inlineStr">
        <is>
          <t>Not confirmed; ask on the first call</t>
        </is>
      </c>
      <c r="F166" s="161" t="inlineStr">
        <is>
          <t>Seoul</t>
        </is>
      </c>
      <c r="G166" s="163" t="inlineStr">
        <is>
          <t>https://dsmedics.co.kr</t>
        </is>
      </c>
      <c r="H166" s="161" t="inlineStr">
        <is>
          <t>02-2026-1785</t>
        </is>
      </c>
      <c r="I166" s="161" t="inlineStr">
        <is>
          <t>daiseungmedics@hanmail.net</t>
        </is>
      </c>
      <c r="J166" s="161" t="inlineStr">
        <is>
          <t>Seoul. Tel 02-2026-1785. Found via KMDIA member directory.</t>
        </is>
      </c>
      <c r="K166" s="164" t="inlineStr">
        <is>
          <t>A</t>
        </is>
      </c>
      <c r="L166" s="161" t="inlineStr">
        <is>
          <t>General medical equipment supplier with hospital and clinic accounts; can open ultrasound as a new line.</t>
        </is>
      </c>
      <c r="M166" s="161" t="inlineStr">
        <is>
          <t>SonoGO cart, SonoAir 70 handheld as a starter ultrasound line for a general hospital supplier</t>
        </is>
      </c>
      <c r="N166" s="173" t="n">
        <v>3</v>
      </c>
      <c r="O166" s="161" t="inlineStr">
        <is>
          <t>Tier 3: broad supplier or smaller reach; include in the email wave and follow up only on reply.</t>
        </is>
      </c>
      <c r="P166" s="161" t="inlineStr">
        <is>
          <t>KMDIA member directory; email read on the company site, 7 Oct 2026</t>
        </is>
      </c>
      <c r="Q166" s="161" t="n"/>
      <c r="R166" s="161" t="n"/>
      <c r="S166" s="165" t="inlineStr">
        <is>
          <t>Yes</t>
        </is>
      </c>
    </row>
    <row r="167" ht="60" customHeight="1" s="104">
      <c r="A167" s="161" t="n">
        <v>163</v>
      </c>
      <c r="B167" s="162" t="inlineStr">
        <is>
          <t>HANDI Co., Ltd. 한디</t>
        </is>
      </c>
      <c r="C167" s="161" t="inlineStr">
        <is>
          <t>Not started</t>
        </is>
      </c>
      <c r="D167" s="161" t="inlineStr">
        <is>
          <t>General medical equipment. KMDIA importer member.</t>
        </is>
      </c>
      <c r="E167" s="161" t="inlineStr">
        <is>
          <t>Not confirmed; ask on the first call</t>
        </is>
      </c>
      <c r="F167" s="161" t="inlineStr">
        <is>
          <t>Incheon</t>
        </is>
      </c>
      <c r="G167" s="163" t="inlineStr">
        <is>
          <t>https://i-handi.co.kr</t>
        </is>
      </c>
      <c r="H167" s="161" t="inlineStr">
        <is>
          <t>032-868-8055</t>
        </is>
      </c>
      <c r="I167" s="161" t="inlineStr">
        <is>
          <t>master@i-handi.co.kr</t>
        </is>
      </c>
      <c r="J167" s="161" t="inlineStr">
        <is>
          <t>Incheon. Tel 032-868-8055. Found via KMDIA member directory.</t>
        </is>
      </c>
      <c r="K167" s="164" t="inlineStr">
        <is>
          <t>C</t>
        </is>
      </c>
      <c r="L167" s="161" t="inlineStr">
        <is>
          <t>General medical equipment supplier with hospital and clinic accounts; can open ultrasound as a new line.</t>
        </is>
      </c>
      <c r="M167" s="161" t="inlineStr">
        <is>
          <t>SonoGO cart, SonoAir 70 handheld as a starter ultrasound line for a general hospital supplier</t>
        </is>
      </c>
      <c r="N167" s="173" t="n">
        <v>3</v>
      </c>
      <c r="O167" s="161" t="inlineStr">
        <is>
          <t>Tier 3: broad supplier or smaller reach; include in the email wave and follow up only on reply.</t>
        </is>
      </c>
      <c r="P167" s="161" t="inlineStr">
        <is>
          <t>KMDIA member directory; email search result of the company page, 7 Oct 2026</t>
        </is>
      </c>
      <c r="Q167" s="161" t="n"/>
      <c r="R167" s="161" t="n"/>
      <c r="S167" s="165" t="inlineStr">
        <is>
          <t>Yes</t>
        </is>
      </c>
    </row>
    <row r="168" ht="60" customHeight="1" s="104">
      <c r="A168" s="161" t="n">
        <v>164</v>
      </c>
      <c r="B168" s="162" t="inlineStr">
        <is>
          <t>Hanlim Technology Co., Ltd. 한림테크놀로지</t>
        </is>
      </c>
      <c r="C168" s="161" t="inlineStr">
        <is>
          <t>Not started</t>
        </is>
      </c>
      <c r="D168" s="161" t="inlineStr">
        <is>
          <t>General medical equipment. KMDIA importer member.</t>
        </is>
      </c>
      <c r="E168" s="161" t="inlineStr">
        <is>
          <t>Not confirmed; ask on the first call</t>
        </is>
      </c>
      <c r="F168" s="161" t="inlineStr">
        <is>
          <t>Seoul</t>
        </is>
      </c>
      <c r="G168" s="163" t="inlineStr">
        <is>
          <t>https://hlt.co.kr</t>
        </is>
      </c>
      <c r="H168" s="161" t="inlineStr">
        <is>
          <t>02-511-9770</t>
        </is>
      </c>
      <c r="I168" s="161" t="inlineStr">
        <is>
          <t>hanlim@hlt.co.kr</t>
        </is>
      </c>
      <c r="J168" s="161" t="inlineStr">
        <is>
          <t>Seoul. Tel 02-511-9770. Found via KMDIA member directory.</t>
        </is>
      </c>
      <c r="K168" s="164" t="inlineStr">
        <is>
          <t>A</t>
        </is>
      </c>
      <c r="L168" s="161" t="inlineStr">
        <is>
          <t>General medical equipment supplier with hospital and clinic accounts; can open ultrasound as a new line.</t>
        </is>
      </c>
      <c r="M168" s="161" t="inlineStr">
        <is>
          <t>SonoGO cart, SonoAir 70 handheld as a starter ultrasound line for a general hospital supplier</t>
        </is>
      </c>
      <c r="N168" s="173" t="n">
        <v>3</v>
      </c>
      <c r="O168" s="161" t="inlineStr">
        <is>
          <t>Tier 3: broad supplier or smaller reach; include in the email wave and follow up only on reply.</t>
        </is>
      </c>
      <c r="P168" s="161" t="inlineStr">
        <is>
          <t>KMDIA member directory; email read on the company site, 7 Oct 2026</t>
        </is>
      </c>
      <c r="Q168" s="161" t="n"/>
      <c r="R168" s="161" t="n"/>
      <c r="S168" s="165" t="inlineStr">
        <is>
          <t>Yes</t>
        </is>
      </c>
    </row>
    <row r="169" ht="60" customHeight="1" s="104">
      <c r="A169" s="161" t="n">
        <v>165</v>
      </c>
      <c r="B169" s="162" t="inlineStr">
        <is>
          <t>JIIN Commerce &amp; Trading Co., Ltd. 지인씨앤티</t>
        </is>
      </c>
      <c r="C169" s="161" t="inlineStr">
        <is>
          <t>Not started</t>
        </is>
      </c>
      <c r="D169" s="161" t="inlineStr">
        <is>
          <t>General medical equipment. KMDIA importer member.</t>
        </is>
      </c>
      <c r="E169" s="161" t="inlineStr">
        <is>
          <t>Not confirmed; ask on the first call</t>
        </is>
      </c>
      <c r="F169" s="161" t="inlineStr">
        <is>
          <t>Seoul</t>
        </is>
      </c>
      <c r="G169" s="163" t="inlineStr">
        <is>
          <t>https://jiincnt.com</t>
        </is>
      </c>
      <c r="H169" s="161" t="inlineStr">
        <is>
          <t>02-453-1226</t>
        </is>
      </c>
      <c r="I169" s="161" t="inlineStr">
        <is>
          <t>biz@jiincnt.com</t>
        </is>
      </c>
      <c r="J169" s="161" t="inlineStr">
        <is>
          <t>Seoul. Tel 02-453-1226. Found via KMDIA member directory.</t>
        </is>
      </c>
      <c r="K169" s="164" t="inlineStr">
        <is>
          <t>C</t>
        </is>
      </c>
      <c r="L169" s="161" t="inlineStr">
        <is>
          <t>General medical equipment supplier with hospital and clinic accounts; can open ultrasound as a new line.</t>
        </is>
      </c>
      <c r="M169" s="161" t="inlineStr">
        <is>
          <t>SonoGO cart, SonoAir 70 handheld as a starter ultrasound line for a general hospital supplier</t>
        </is>
      </c>
      <c r="N169" s="173" t="n">
        <v>3</v>
      </c>
      <c r="O169" s="161" t="inlineStr">
        <is>
          <t>Tier 3: broad supplier or smaller reach; include in the email wave and follow up only on reply.</t>
        </is>
      </c>
      <c r="P169" s="161" t="inlineStr">
        <is>
          <t>KMDIA member directory; email search result of the company page, 7 Oct 2026</t>
        </is>
      </c>
      <c r="Q169" s="161" t="n"/>
      <c r="R169" s="161" t="n"/>
      <c r="S169" s="165" t="inlineStr">
        <is>
          <t>Yes</t>
        </is>
      </c>
    </row>
    <row r="170" ht="60" customHeight="1" s="104">
      <c r="A170" s="161" t="n">
        <v>166</v>
      </c>
      <c r="B170" s="162" t="inlineStr">
        <is>
          <t>Juthis Corporation 주디스</t>
        </is>
      </c>
      <c r="C170" s="161" t="inlineStr">
        <is>
          <t>Not started</t>
        </is>
      </c>
      <c r="D170" s="161" t="inlineStr">
        <is>
          <t>General medical equipment. KMDIA importer member.</t>
        </is>
      </c>
      <c r="E170" s="161" t="inlineStr">
        <is>
          <t>Not confirmed; ask on the first call</t>
        </is>
      </c>
      <c r="F170" s="161" t="inlineStr">
        <is>
          <t>Seoul</t>
        </is>
      </c>
      <c r="G170" s="163" t="inlineStr">
        <is>
          <t>https://juthis.com</t>
        </is>
      </c>
      <c r="H170" s="161" t="inlineStr">
        <is>
          <t>02-3461-1002</t>
        </is>
      </c>
      <c r="I170" s="161" t="inlineStr">
        <is>
          <t>juthis@juthis.com</t>
        </is>
      </c>
      <c r="J170" s="161" t="inlineStr">
        <is>
          <t>Seoul. Tel 02-3461-1002. Found via KMDIA member directory.</t>
        </is>
      </c>
      <c r="K170" s="164" t="inlineStr">
        <is>
          <t>A</t>
        </is>
      </c>
      <c r="L170" s="161" t="inlineStr">
        <is>
          <t>General medical equipment supplier with hospital and clinic accounts; can open ultrasound as a new line.</t>
        </is>
      </c>
      <c r="M170" s="161" t="inlineStr">
        <is>
          <t>SonoGO cart, SonoAir 70 handheld as a starter ultrasound line for a general hospital supplier</t>
        </is>
      </c>
      <c r="N170" s="173" t="n">
        <v>3</v>
      </c>
      <c r="O170" s="161" t="inlineStr">
        <is>
          <t>Tier 3: broad supplier or smaller reach; include in the email wave and follow up only on reply.</t>
        </is>
      </c>
      <c r="P170" s="161" t="inlineStr">
        <is>
          <t>KMDIA member directory; email read on the company site, 7 Oct 2026</t>
        </is>
      </c>
      <c r="Q170" s="161" t="n"/>
      <c r="R170" s="161" t="n"/>
      <c r="S170" s="165" t="inlineStr">
        <is>
          <t>Yes</t>
        </is>
      </c>
    </row>
    <row r="171" ht="60" customHeight="1" s="104">
      <c r="A171" s="161" t="n">
        <v>167</v>
      </c>
      <c r="B171" s="162" t="inlineStr">
        <is>
          <t>Medilabkorea 메디랩코리아</t>
        </is>
      </c>
      <c r="C171" s="161" t="inlineStr">
        <is>
          <t>Not started</t>
        </is>
      </c>
      <c r="D171" s="161" t="inlineStr">
        <is>
          <t>General medical equipment. KMDIA importer member.</t>
        </is>
      </c>
      <c r="E171" s="161" t="inlineStr">
        <is>
          <t>Not confirmed; ask on the first call</t>
        </is>
      </c>
      <c r="F171" s="161" t="inlineStr">
        <is>
          <t>Seoul</t>
        </is>
      </c>
      <c r="G171" s="163" t="inlineStr">
        <is>
          <t>https://medilabkorea.co.kr</t>
        </is>
      </c>
      <c r="H171" s="161" t="inlineStr">
        <is>
          <t>02-425-5648</t>
        </is>
      </c>
      <c r="I171" s="161" t="inlineStr">
        <is>
          <t>customer@medilab.co.kr</t>
        </is>
      </c>
      <c r="J171" s="161" t="inlineStr">
        <is>
          <t>Seoul. Tel 02-425-5648. Found via KMDIA member directory.</t>
        </is>
      </c>
      <c r="K171" s="164" t="inlineStr">
        <is>
          <t>A</t>
        </is>
      </c>
      <c r="L171" s="161" t="inlineStr">
        <is>
          <t>General medical equipment supplier with hospital and clinic accounts; can open ultrasound as a new line.</t>
        </is>
      </c>
      <c r="M171" s="161" t="inlineStr">
        <is>
          <t>SonoGO cart, SonoAir 70 handheld as a starter ultrasound line for a general hospital supplier</t>
        </is>
      </c>
      <c r="N171" s="173" t="n">
        <v>3</v>
      </c>
      <c r="O171" s="161" t="inlineStr">
        <is>
          <t>Tier 3: broad supplier or smaller reach; include in the email wave and follow up only on reply.</t>
        </is>
      </c>
      <c r="P171" s="161" t="inlineStr">
        <is>
          <t>KMDIA member directory; email read on the company site; email domain differs from the website, confirm, 7 Oct 2026</t>
        </is>
      </c>
      <c r="Q171" s="161" t="n"/>
      <c r="R171" s="161" t="n"/>
      <c r="S171" s="165" t="inlineStr">
        <is>
          <t>Yes</t>
        </is>
      </c>
    </row>
    <row r="172" ht="60" customHeight="1" s="104">
      <c r="A172" s="161" t="n">
        <v>168</v>
      </c>
      <c r="B172" s="162" t="inlineStr">
        <is>
          <t>Mesdia Co. Ltd. 메스디아</t>
        </is>
      </c>
      <c r="C172" s="161" t="inlineStr">
        <is>
          <t>Not started</t>
        </is>
      </c>
      <c r="D172" s="161" t="inlineStr">
        <is>
          <t>General medical equipment. KMDIA importer member.</t>
        </is>
      </c>
      <c r="E172" s="161" t="inlineStr">
        <is>
          <t>Not confirmed; ask on the first call</t>
        </is>
      </c>
      <c r="F172" s="161" t="inlineStr">
        <is>
          <t>Seoul</t>
        </is>
      </c>
      <c r="G172" s="163" t="inlineStr">
        <is>
          <t>https://mesdia.com</t>
        </is>
      </c>
      <c r="H172" s="161" t="inlineStr">
        <is>
          <t>02-313-4541</t>
        </is>
      </c>
      <c r="I172" s="161" t="inlineStr">
        <is>
          <t>info@mesdia.com</t>
        </is>
      </c>
      <c r="J172" s="161" t="inlineStr">
        <is>
          <t>Seoul. Tel 02-313-4541. Found via KMDIA member directory.</t>
        </is>
      </c>
      <c r="K172" s="164" t="inlineStr">
        <is>
          <t>A</t>
        </is>
      </c>
      <c r="L172" s="161" t="inlineStr">
        <is>
          <t>General medical equipment supplier with hospital and clinic accounts; can open ultrasound as a new line.</t>
        </is>
      </c>
      <c r="M172" s="161" t="inlineStr">
        <is>
          <t>SonoGO cart, SonoAir 70 handheld as a starter ultrasound line for a general hospital supplier</t>
        </is>
      </c>
      <c r="N172" s="173" t="n">
        <v>3</v>
      </c>
      <c r="O172" s="161" t="inlineStr">
        <is>
          <t>Tier 3: broad supplier or smaller reach; include in the email wave and follow up only on reply.</t>
        </is>
      </c>
      <c r="P172" s="161" t="inlineStr">
        <is>
          <t>KMDIA member directory; email read on the company site, 7 Oct 2026</t>
        </is>
      </c>
      <c r="Q172" s="161" t="n"/>
      <c r="R172" s="161" t="n"/>
      <c r="S172" s="165" t="inlineStr">
        <is>
          <t>Yes</t>
        </is>
      </c>
    </row>
    <row r="173" ht="60" customHeight="1" s="104">
      <c r="A173" s="161" t="n">
        <v>169</v>
      </c>
      <c r="B173" s="162" t="inlineStr">
        <is>
          <t>SeongKohn Traders Corp. 성곤무역</t>
        </is>
      </c>
      <c r="C173" s="161" t="inlineStr">
        <is>
          <t>Not started</t>
        </is>
      </c>
      <c r="D173" s="161" t="inlineStr">
        <is>
          <t>General medical equipment. KMDIA importer member.</t>
        </is>
      </c>
      <c r="E173" s="161" t="inlineStr">
        <is>
          <t>Not confirmed; ask on the first call</t>
        </is>
      </c>
      <c r="F173" s="161" t="inlineStr">
        <is>
          <t>Seoul</t>
        </is>
      </c>
      <c r="G173" s="163" t="inlineStr">
        <is>
          <t>https://seongkohn.co.kr</t>
        </is>
      </c>
      <c r="H173" s="161" t="inlineStr">
        <is>
          <t>02-540-3311</t>
        </is>
      </c>
      <c r="I173" s="161" t="inlineStr">
        <is>
          <t>labsales@seongkohn.com</t>
        </is>
      </c>
      <c r="J173" s="161" t="inlineStr">
        <is>
          <t>Seoul. Tel 02-540-3311. Found via KMDIA member directory.</t>
        </is>
      </c>
      <c r="K173" s="164" t="inlineStr">
        <is>
          <t>A</t>
        </is>
      </c>
      <c r="L173" s="161" t="inlineStr">
        <is>
          <t>General medical equipment supplier with hospital and clinic accounts; can open ultrasound as a new line.</t>
        </is>
      </c>
      <c r="M173" s="161" t="inlineStr">
        <is>
          <t>SonoGO cart, SonoAir 70 handheld as a starter ultrasound line for a general hospital supplier</t>
        </is>
      </c>
      <c r="N173" s="173" t="n">
        <v>3</v>
      </c>
      <c r="O173" s="161" t="inlineStr">
        <is>
          <t>Tier 3: broad supplier or smaller reach; include in the email wave and follow up only on reply.</t>
        </is>
      </c>
      <c r="P173" s="161" t="inlineStr">
        <is>
          <t>KMDIA member directory; email read on the company site; email domain differs from the website, confirm, 7 Oct 2026</t>
        </is>
      </c>
      <c r="Q173" s="161" t="n"/>
      <c r="R173" s="161" t="n"/>
      <c r="S173" s="165" t="inlineStr">
        <is>
          <t>Yes</t>
        </is>
      </c>
    </row>
    <row r="174" ht="60" customHeight="1" s="104">
      <c r="A174" s="161" t="n">
        <v>170</v>
      </c>
      <c r="B174" s="162" t="inlineStr">
        <is>
          <t>Upinemed 유파인메드</t>
        </is>
      </c>
      <c r="C174" s="161" t="inlineStr">
        <is>
          <t>Not started</t>
        </is>
      </c>
      <c r="D174" s="161" t="inlineStr">
        <is>
          <t>General medical equipment. KMDIA importer member.</t>
        </is>
      </c>
      <c r="E174" s="161" t="inlineStr">
        <is>
          <t>Not confirmed; ask on the first call</t>
        </is>
      </c>
      <c r="F174" s="161" t="inlineStr">
        <is>
          <t>Seoul</t>
        </is>
      </c>
      <c r="G174" s="163" t="inlineStr">
        <is>
          <t>https://upinemed.co.kr</t>
        </is>
      </c>
      <c r="H174" s="161" t="inlineStr">
        <is>
          <t>02-3141-2070</t>
        </is>
      </c>
      <c r="I174" s="161" t="inlineStr">
        <is>
          <t>info@upinemed.co.kr</t>
        </is>
      </c>
      <c r="J174" s="161" t="inlineStr">
        <is>
          <t>Seoul. Tel 02-3141-2070. Found via KMDIA member directory.</t>
        </is>
      </c>
      <c r="K174" s="164" t="inlineStr">
        <is>
          <t>A</t>
        </is>
      </c>
      <c r="L174" s="161" t="inlineStr">
        <is>
          <t>General medical equipment supplier with hospital and clinic accounts; can open ultrasound as a new line.</t>
        </is>
      </c>
      <c r="M174" s="161" t="inlineStr">
        <is>
          <t>SonoGO cart, SonoAir 70 handheld as a starter ultrasound line for a general hospital supplier</t>
        </is>
      </c>
      <c r="N174" s="173" t="n">
        <v>3</v>
      </c>
      <c r="O174" s="161" t="inlineStr">
        <is>
          <t>Tier 3: broad supplier or smaller reach; include in the email wave and follow up only on reply.</t>
        </is>
      </c>
      <c r="P174" s="161" t="inlineStr">
        <is>
          <t>KMDIA member directory; email read on the company site, 7 Oct 2026</t>
        </is>
      </c>
      <c r="Q174" s="161" t="n"/>
      <c r="R174" s="161" t="n"/>
      <c r="S174" s="165" t="inlineStr">
        <is>
          <t>Yes</t>
        </is>
      </c>
    </row>
    <row r="175" ht="60" customHeight="1" s="104">
      <c r="A175" s="161" t="n">
        <v>171</v>
      </c>
      <c r="B175" s="162" t="inlineStr">
        <is>
          <t>Ymed Systems, Inc. 와이메드시스템</t>
        </is>
      </c>
      <c r="C175" s="161" t="inlineStr">
        <is>
          <t>Not started</t>
        </is>
      </c>
      <c r="D175" s="161" t="inlineStr">
        <is>
          <t>General medical equipment. KMDIA importer member.</t>
        </is>
      </c>
      <c r="E175" s="161" t="inlineStr">
        <is>
          <t>Not confirmed; ask on the first call</t>
        </is>
      </c>
      <c r="F175" s="161" t="inlineStr">
        <is>
          <t>Seoul</t>
        </is>
      </c>
      <c r="G175" s="163" t="inlineStr">
        <is>
          <t>https://ymed.co.kr</t>
        </is>
      </c>
      <c r="H175" s="161" t="inlineStr">
        <is>
          <t>02-2107-8550</t>
        </is>
      </c>
      <c r="I175" s="161" t="inlineStr">
        <is>
          <t>ymed2007@hanmail.net</t>
        </is>
      </c>
      <c r="J175" s="161" t="inlineStr">
        <is>
          <t>Seoul. Tel 02-2107-8550. Found via KMDIA member directory.</t>
        </is>
      </c>
      <c r="K175" s="164" t="inlineStr">
        <is>
          <t>A</t>
        </is>
      </c>
      <c r="L175" s="161" t="inlineStr">
        <is>
          <t>General medical equipment supplier with hospital and clinic accounts; can open ultrasound as a new line.</t>
        </is>
      </c>
      <c r="M175" s="161" t="inlineStr">
        <is>
          <t>SonoGO cart, SonoAir 70 handheld as a starter ultrasound line for a general hospital supplier</t>
        </is>
      </c>
      <c r="N175" s="173" t="n">
        <v>3</v>
      </c>
      <c r="O175" s="161" t="inlineStr">
        <is>
          <t>Tier 3: broad supplier or smaller reach; include in the email wave and follow up only on reply.</t>
        </is>
      </c>
      <c r="P175" s="161" t="inlineStr">
        <is>
          <t>KMDIA member directory; email read on the company site, 7 Oct 2026</t>
        </is>
      </c>
      <c r="Q175" s="161" t="n"/>
      <c r="R175" s="161" t="n"/>
      <c r="S175" s="165" t="inlineStr">
        <is>
          <t>Yes</t>
        </is>
      </c>
    </row>
    <row r="176" ht="60" customHeight="1" s="104">
      <c r="A176" s="161" t="n">
        <v>172</v>
      </c>
      <c r="B176" s="162" t="inlineStr">
        <is>
          <t>Yushin Medical &amp; Trading Co., Ltd. 유신메디칼</t>
        </is>
      </c>
      <c r="C176" s="161" t="inlineStr">
        <is>
          <t>Not started</t>
        </is>
      </c>
      <c r="D176" s="161" t="inlineStr">
        <is>
          <t>General medical equipment. KMDIA importer member.</t>
        </is>
      </c>
      <c r="E176" s="161" t="inlineStr">
        <is>
          <t>Not confirmed; ask on the first call</t>
        </is>
      </c>
      <c r="F176" s="161" t="inlineStr">
        <is>
          <t>Seoul</t>
        </is>
      </c>
      <c r="G176" s="163" t="inlineStr">
        <is>
          <t>https://yushinmedical.com</t>
        </is>
      </c>
      <c r="H176" s="161" t="inlineStr">
        <is>
          <t>02-3664-4555</t>
        </is>
      </c>
      <c r="I176" s="161" t="inlineStr">
        <is>
          <t>jin@yushinmedical.com</t>
        </is>
      </c>
      <c r="J176" s="161" t="inlineStr">
        <is>
          <t>Seoul. Tel 02-3664-4555. Found via KMDIA member directory.</t>
        </is>
      </c>
      <c r="K176" s="164" t="inlineStr">
        <is>
          <t>A</t>
        </is>
      </c>
      <c r="L176" s="161" t="inlineStr">
        <is>
          <t>General medical equipment supplier with hospital and clinic accounts; can open ultrasound as a new line.</t>
        </is>
      </c>
      <c r="M176" s="161" t="inlineStr">
        <is>
          <t>SonoGO cart, SonoAir 70 handheld as a starter ultrasound line for a general hospital supplier</t>
        </is>
      </c>
      <c r="N176" s="173" t="n">
        <v>3</v>
      </c>
      <c r="O176" s="161" t="inlineStr">
        <is>
          <t>Tier 3: broad supplier or smaller reach; include in the email wave and follow up only on reply.</t>
        </is>
      </c>
      <c r="P176" s="161" t="inlineStr">
        <is>
          <t>KMDIA member directory; email read on the company site, 7 Oct 2026</t>
        </is>
      </c>
      <c r="Q176" s="161" t="n"/>
      <c r="R176" s="161" t="n"/>
      <c r="S176" s="165" t="inlineStr">
        <is>
          <t>Yes</t>
        </is>
      </c>
    </row>
    <row r="177" ht="60" customHeight="1" s="104">
      <c r="A177" s="161" t="n">
        <v>173</v>
      </c>
      <c r="B177" s="162" t="inlineStr">
        <is>
          <t>Sang Chung Commercial Co., Ltd 상청상사</t>
        </is>
      </c>
      <c r="C177" s="161" t="inlineStr">
        <is>
          <t>Not started</t>
        </is>
      </c>
      <c r="D177" s="161" t="inlineStr">
        <is>
          <t>General medical equipment. KMDIA member, trading company.</t>
        </is>
      </c>
      <c r="E177" s="161" t="inlineStr">
        <is>
          <t>Not confirmed; ask on the first call</t>
        </is>
      </c>
      <c r="F177" s="161" t="inlineStr">
        <is>
          <t>Seoul</t>
        </is>
      </c>
      <c r="G177" s="163" t="inlineStr">
        <is>
          <t>https://sang-chung.co.kr</t>
        </is>
      </c>
      <c r="H177" s="161" t="inlineStr">
        <is>
          <t>02-564-8766</t>
        </is>
      </c>
      <c r="I177" s="161" t="inlineStr">
        <is>
          <t>info@sang-chung.co.kr</t>
        </is>
      </c>
      <c r="J177" s="161" t="inlineStr">
        <is>
          <t>Seoul. Tel 02-564-8766. Found via KMDIA member directory.</t>
        </is>
      </c>
      <c r="K177" s="164" t="inlineStr">
        <is>
          <t>A</t>
        </is>
      </c>
      <c r="L177" s="161" t="inlineStr">
        <is>
          <t>General medical equipment supplier with hospital and clinic accounts; can open ultrasound as a new line.</t>
        </is>
      </c>
      <c r="M177" s="161" t="inlineStr">
        <is>
          <t>SonoGO cart, SonoAir 70 handheld as a starter ultrasound line for a general hospital supplier</t>
        </is>
      </c>
      <c r="N177" s="173" t="n">
        <v>3</v>
      </c>
      <c r="O177" s="161" t="inlineStr">
        <is>
          <t>Tier 3: broad supplier or smaller reach; include in the email wave and follow up only on reply.</t>
        </is>
      </c>
      <c r="P177" s="161" t="inlineStr">
        <is>
          <t>KMDIA member directory; email read on the company site, 7 Oct 2026</t>
        </is>
      </c>
      <c r="Q177" s="161" t="n"/>
      <c r="R177" s="161" t="n"/>
      <c r="S177" s="165" t="inlineStr">
        <is>
          <t>Yes</t>
        </is>
      </c>
    </row>
    <row r="178" ht="60" customHeight="1" s="104">
      <c r="A178" s="161" t="n">
        <v>174</v>
      </c>
      <c r="B178" s="162" t="inlineStr">
        <is>
          <t>Unimedics Co., Ltd 유니메딕스</t>
        </is>
      </c>
      <c r="C178" s="161" t="inlineStr">
        <is>
          <t>Not started</t>
        </is>
      </c>
      <c r="D178" s="161" t="inlineStr">
        <is>
          <t>General medical equipment. KMDIA member.</t>
        </is>
      </c>
      <c r="E178" s="161" t="inlineStr">
        <is>
          <t>Not confirmed; ask on the first call</t>
        </is>
      </c>
      <c r="F178" s="161" t="inlineStr">
        <is>
          <t>Seoul</t>
        </is>
      </c>
      <c r="G178" s="163" t="inlineStr">
        <is>
          <t>https://unimedics.co.kr</t>
        </is>
      </c>
      <c r="H178" s="161" t="inlineStr">
        <is>
          <t>02-593-9387</t>
        </is>
      </c>
      <c r="I178" s="161" t="inlineStr">
        <is>
          <t>info@unimedics.co.kr</t>
        </is>
      </c>
      <c r="J178" s="161" t="inlineStr">
        <is>
          <t>Seoul. Tel 02-593-9387. Found via KMDIA member directory.</t>
        </is>
      </c>
      <c r="K178" s="164" t="inlineStr">
        <is>
          <t>A</t>
        </is>
      </c>
      <c r="L178" s="161" t="inlineStr">
        <is>
          <t>General medical equipment supplier with hospital and clinic accounts; can open ultrasound as a new line.</t>
        </is>
      </c>
      <c r="M178" s="161" t="inlineStr">
        <is>
          <t>SonoGO cart, SonoAir 70 handheld as a starter ultrasound line for a general hospital supplier</t>
        </is>
      </c>
      <c r="N178" s="173" t="n">
        <v>3</v>
      </c>
      <c r="O178" s="161" t="inlineStr">
        <is>
          <t>Tier 3: broad supplier or smaller reach; include in the email wave and follow up only on reply.</t>
        </is>
      </c>
      <c r="P178" s="161" t="inlineStr">
        <is>
          <t>KMDIA member directory; email read on the company site, 7 Oct 2026</t>
        </is>
      </c>
      <c r="Q178" s="161" t="n"/>
      <c r="R178" s="161" t="n"/>
      <c r="S178" s="165" t="inlineStr">
        <is>
          <t>Yes</t>
        </is>
      </c>
    </row>
    <row r="179" ht="60" customHeight="1" s="104">
      <c r="A179" s="161" t="n">
        <v>175</v>
      </c>
      <c r="B179" s="162" t="inlineStr">
        <is>
          <t>Medihelpline 메디헬프라인</t>
        </is>
      </c>
      <c r="C179" s="161" t="inlineStr">
        <is>
          <t>Not started</t>
        </is>
      </c>
      <c r="D179" s="161" t="inlineStr">
        <is>
          <t>General medical equipment. KMDIA member.</t>
        </is>
      </c>
      <c r="E179" s="161" t="inlineStr">
        <is>
          <t>Not confirmed; ask on the first call</t>
        </is>
      </c>
      <c r="F179" s="161" t="inlineStr">
        <is>
          <t>Seoul</t>
        </is>
      </c>
      <c r="G179" s="163" t="inlineStr">
        <is>
          <t>https://medihelpline.co.kr</t>
        </is>
      </c>
      <c r="H179" s="161" t="inlineStr">
        <is>
          <t>02-6966-4100</t>
        </is>
      </c>
      <c r="I179" s="161" t="inlineStr">
        <is>
          <t>mhl@medihelpline.net</t>
        </is>
      </c>
      <c r="J179" s="161" t="inlineStr">
        <is>
          <t>Seoul. Tel 02-6966-4100. Found via KMDIA member directory.</t>
        </is>
      </c>
      <c r="K179" s="164" t="inlineStr">
        <is>
          <t>A</t>
        </is>
      </c>
      <c r="L179" s="161" t="inlineStr">
        <is>
          <t>General medical equipment supplier with hospital and clinic accounts; can open ultrasound as a new line.</t>
        </is>
      </c>
      <c r="M179" s="161" t="inlineStr">
        <is>
          <t>SonoGO cart, SonoAir 70 handheld as a starter ultrasound line for a general hospital supplier</t>
        </is>
      </c>
      <c r="N179" s="173" t="n">
        <v>3</v>
      </c>
      <c r="O179" s="161" t="inlineStr">
        <is>
          <t>Tier 3: broad supplier or smaller reach; include in the email wave and follow up only on reply.</t>
        </is>
      </c>
      <c r="P179" s="161" t="inlineStr">
        <is>
          <t>KMDIA member directory; email read on the company site; email domain differs from the website, confirm, 7 Oct 2026</t>
        </is>
      </c>
      <c r="Q179" s="161" t="n"/>
      <c r="R179" s="161" t="n"/>
      <c r="S179" s="165" t="inlineStr">
        <is>
          <t>Yes</t>
        </is>
      </c>
    </row>
    <row r="180" ht="60" customHeight="1" s="104">
      <c r="A180" s="161" t="n">
        <v>176</v>
      </c>
      <c r="B180" s="162" t="inlineStr">
        <is>
          <t>Mega Medical Co., Ltd. 메가메디칼</t>
        </is>
      </c>
      <c r="C180" s="161" t="inlineStr">
        <is>
          <t>Not started</t>
        </is>
      </c>
      <c r="D180" s="161" t="inlineStr">
        <is>
          <t>General medical equipment. KMDIA member, ENT devices.</t>
        </is>
      </c>
      <c r="E180" s="161" t="inlineStr">
        <is>
          <t>Not confirmed; ask on the first call</t>
        </is>
      </c>
      <c r="F180" s="161" t="inlineStr">
        <is>
          <t>Seoul</t>
        </is>
      </c>
      <c r="G180" s="163" t="inlineStr">
        <is>
          <t>https://megamedical.co.kr</t>
        </is>
      </c>
      <c r="H180" s="161" t="inlineStr">
        <is>
          <t>02-3662-4993</t>
        </is>
      </c>
      <c r="I180" s="161" t="inlineStr">
        <is>
          <t>overseas@megamedical.co.kr</t>
        </is>
      </c>
      <c r="J180" s="161" t="inlineStr">
        <is>
          <t>Seoul. Tel 02-3662-4993. Found via KMDIA member directory.</t>
        </is>
      </c>
      <c r="K180" s="164" t="inlineStr">
        <is>
          <t>A</t>
        </is>
      </c>
      <c r="L180" s="161" t="inlineStr">
        <is>
          <t>General medical equipment supplier with hospital and clinic accounts; can open ultrasound as a new line.</t>
        </is>
      </c>
      <c r="M180" s="161" t="inlineStr">
        <is>
          <t>SonoGO cart, SonoAir 70 handheld as a starter ultrasound line for a general hospital supplier</t>
        </is>
      </c>
      <c r="N180" s="173" t="n">
        <v>3</v>
      </c>
      <c r="O180" s="161" t="inlineStr">
        <is>
          <t>Tier 3: broad supplier or smaller reach; include in the email wave and follow up only on reply.</t>
        </is>
      </c>
      <c r="P180" s="161" t="inlineStr">
        <is>
          <t>KMDIA member directory; email read on the company site, 7 Oct 2026</t>
        </is>
      </c>
      <c r="Q180" s="161" t="n"/>
      <c r="R180" s="161" t="n"/>
      <c r="S180" s="165" t="inlineStr">
        <is>
          <t>Yes</t>
        </is>
      </c>
    </row>
    <row r="181" ht="60" customHeight="1" s="104">
      <c r="A181" s="161" t="n">
        <v>177</v>
      </c>
      <c r="B181" s="162" t="inlineStr">
        <is>
          <t>Leaderskr Co., Ltd 리더스케이알</t>
        </is>
      </c>
      <c r="C181" s="161" t="inlineStr">
        <is>
          <t>Not started</t>
        </is>
      </c>
      <c r="D181" s="161" t="inlineStr">
        <is>
          <t>General medical equipment. KMDIA member.</t>
        </is>
      </c>
      <c r="E181" s="161" t="inlineStr">
        <is>
          <t>Not confirmed; ask on the first call</t>
        </is>
      </c>
      <c r="F181" s="161" t="inlineStr">
        <is>
          <t>Seoul</t>
        </is>
      </c>
      <c r="G181" s="163" t="inlineStr">
        <is>
          <t>https://leaderskr.co.kr</t>
        </is>
      </c>
      <c r="H181" s="161" t="inlineStr">
        <is>
          <t>02-719-2040</t>
        </is>
      </c>
      <c r="I181" s="161" t="inlineStr">
        <is>
          <t>info@leaderskr.co.kr</t>
        </is>
      </c>
      <c r="J181" s="161" t="inlineStr">
        <is>
          <t>Seoul. Tel 02-719-2040. Found via KMDIA member directory.</t>
        </is>
      </c>
      <c r="K181" s="164" t="inlineStr">
        <is>
          <t>A</t>
        </is>
      </c>
      <c r="L181" s="161" t="inlineStr">
        <is>
          <t>General medical equipment supplier with hospital and clinic accounts; can open ultrasound as a new line.</t>
        </is>
      </c>
      <c r="M181" s="161" t="inlineStr">
        <is>
          <t>SonoGO cart, SonoAir 70 handheld as a starter ultrasound line for a general hospital supplier</t>
        </is>
      </c>
      <c r="N181" s="173" t="n">
        <v>3</v>
      </c>
      <c r="O181" s="161" t="inlineStr">
        <is>
          <t>Tier 3: broad supplier or smaller reach; include in the email wave and follow up only on reply.</t>
        </is>
      </c>
      <c r="P181" s="161" t="inlineStr">
        <is>
          <t>KMDIA member directory; email read on the company site, 7 Oct 2026</t>
        </is>
      </c>
      <c r="Q181" s="161" t="n"/>
      <c r="R181" s="161" t="n"/>
      <c r="S181" s="165" t="inlineStr">
        <is>
          <t>Yes</t>
        </is>
      </c>
    </row>
    <row r="182" ht="60" customHeight="1" s="104">
      <c r="A182" s="161" t="n">
        <v>178</v>
      </c>
      <c r="B182" s="162" t="inlineStr">
        <is>
          <t>Medical Research Co., Ltd. 메디칼리서치</t>
        </is>
      </c>
      <c r="C182" s="161" t="inlineStr">
        <is>
          <t>Not started</t>
        </is>
      </c>
      <c r="D182" s="161" t="inlineStr">
        <is>
          <t>General medical equipment. KMDIA member.</t>
        </is>
      </c>
      <c r="E182" s="161" t="inlineStr">
        <is>
          <t>Not confirmed; ask on the first call</t>
        </is>
      </c>
      <c r="F182" s="161" t="inlineStr">
        <is>
          <t>Seoul</t>
        </is>
      </c>
      <c r="G182" s="163" t="inlineStr">
        <is>
          <t>https://jungnp.com</t>
        </is>
      </c>
      <c r="H182" s="161" t="inlineStr">
        <is>
          <t>02-866-2182</t>
        </is>
      </c>
      <c r="I182" s="161" t="inlineStr">
        <is>
          <t>jnpconsulting@gmail.com</t>
        </is>
      </c>
      <c r="J182" s="161" t="inlineStr">
        <is>
          <t>Seoul. Tel 02-866-2182. Found via KMDIA member directory.</t>
        </is>
      </c>
      <c r="K182" s="164" t="inlineStr">
        <is>
          <t>A</t>
        </is>
      </c>
      <c r="L182" s="161" t="inlineStr">
        <is>
          <t>General medical equipment supplier with hospital and clinic accounts; can open ultrasound as a new line.</t>
        </is>
      </c>
      <c r="M182" s="161" t="inlineStr">
        <is>
          <t>SonoGO cart, SonoAir 70 handheld as a starter ultrasound line for a general hospital supplier</t>
        </is>
      </c>
      <c r="N182" s="173" t="n">
        <v>3</v>
      </c>
      <c r="O182" s="161" t="inlineStr">
        <is>
          <t>Tier 3: broad supplier or smaller reach; include in the email wave and follow up only on reply.</t>
        </is>
      </c>
      <c r="P182" s="161" t="inlineStr">
        <is>
          <t>KMDIA member directory; email read on the company site, 7 Oct 2026</t>
        </is>
      </c>
      <c r="Q182" s="161" t="n"/>
      <c r="R182" s="161" t="n"/>
      <c r="S182" s="165" t="inlineStr">
        <is>
          <t>Yes</t>
        </is>
      </c>
    </row>
    <row r="183" ht="60" customHeight="1" s="104">
      <c r="A183" s="161" t="n">
        <v>179</v>
      </c>
      <c r="B183" s="162" t="inlineStr">
        <is>
          <t>Medifirst Co., Ltd. 에이치엔케이</t>
        </is>
      </c>
      <c r="C183" s="161" t="inlineStr">
        <is>
          <t>Not started</t>
        </is>
      </c>
      <c r="D183" s="161" t="inlineStr">
        <is>
          <t>General medical equipment. KMDIA member.</t>
        </is>
      </c>
      <c r="E183" s="161" t="inlineStr">
        <is>
          <t>Not confirmed; ask on the first call</t>
        </is>
      </c>
      <c r="F183" s="161" t="inlineStr">
        <is>
          <t>Cheonan</t>
        </is>
      </c>
      <c r="G183" s="163" t="inlineStr">
        <is>
          <t>https://medifirst.co.kr</t>
        </is>
      </c>
      <c r="H183" s="161" t="inlineStr">
        <is>
          <t>041-522-2650</t>
        </is>
      </c>
      <c r="I183" s="161" t="inlineStr">
        <is>
          <t>medifirst@dbneedle.com</t>
        </is>
      </c>
      <c r="J183" s="161" t="inlineStr">
        <is>
          <t>Cheonan. Tel 041-522-2650. Found via KMDIA member directory.</t>
        </is>
      </c>
      <c r="K183" s="164" t="inlineStr">
        <is>
          <t>A</t>
        </is>
      </c>
      <c r="L183" s="161" t="inlineStr">
        <is>
          <t>General medical equipment supplier with hospital and clinic accounts; can open ultrasound as a new line.</t>
        </is>
      </c>
      <c r="M183" s="161" t="inlineStr">
        <is>
          <t>SonoGO cart, SonoAir 70 handheld as a starter ultrasound line for a general hospital supplier</t>
        </is>
      </c>
      <c r="N183" s="173" t="n">
        <v>3</v>
      </c>
      <c r="O183" s="161" t="inlineStr">
        <is>
          <t>Tier 3: broad supplier or smaller reach; include in the email wave and follow up only on reply.</t>
        </is>
      </c>
      <c r="P183" s="161" t="inlineStr">
        <is>
          <t>KMDIA member directory; email read on the company site; email domain differs from the website, confirm, 7 Oct 2026. Email domain is the related DB Needle company.</t>
        </is>
      </c>
      <c r="Q183" s="161" t="n"/>
      <c r="R183" s="161" t="n"/>
      <c r="S183" s="165" t="inlineStr">
        <is>
          <t>Yes</t>
        </is>
      </c>
    </row>
    <row r="184" ht="60" customHeight="1" s="104">
      <c r="A184" s="161" t="n">
        <v>180</v>
      </c>
      <c r="B184" s="162" t="inlineStr">
        <is>
          <t>Medigood Partners 메디굿파트너스</t>
        </is>
      </c>
      <c r="C184" s="161" t="inlineStr">
        <is>
          <t>Not started</t>
        </is>
      </c>
      <c r="D184" s="161" t="inlineStr">
        <is>
          <t>General medical equipment. Medical device distribution and logistics partner.</t>
        </is>
      </c>
      <c r="E184" s="161" t="inlineStr">
        <is>
          <t>Not confirmed; ask on the first call</t>
        </is>
      </c>
      <c r="F184" s="161" t="inlineStr">
        <is>
          <t>Korea</t>
        </is>
      </c>
      <c r="G184" s="163" t="inlineStr">
        <is>
          <t>https://medigoodpartners.com</t>
        </is>
      </c>
      <c r="H184" s="161" t="inlineStr">
        <is>
          <t>Not published</t>
        </is>
      </c>
      <c r="I184" s="161" t="inlineStr">
        <is>
          <t>a1234@medigoodpartners.com</t>
        </is>
      </c>
      <c r="J184" s="161" t="inlineStr">
        <is>
          <t>Korea. Found via Web search, company site.</t>
        </is>
      </c>
      <c r="K184" s="164" t="inlineStr">
        <is>
          <t>A</t>
        </is>
      </c>
      <c r="L184" s="161" t="inlineStr">
        <is>
          <t>General medical equipment supplier with hospital and clinic accounts; can open ultrasound as a new line.</t>
        </is>
      </c>
      <c r="M184" s="161" t="inlineStr">
        <is>
          <t>SonoGO cart, SonoAir 70 handheld as a starter ultrasound line for a general hospital supplier</t>
        </is>
      </c>
      <c r="N184" s="173" t="n">
        <v>3</v>
      </c>
      <c r="O184" s="161" t="inlineStr">
        <is>
          <t>Tier 3: broad supplier or smaller reach; include in the email wave and follow up only on reply.</t>
        </is>
      </c>
      <c r="P184" s="161" t="inlineStr">
        <is>
          <t>Web search, company site; email read on the company site, 7 Oct 2026</t>
        </is>
      </c>
      <c r="Q184" s="161" t="n"/>
      <c r="R184" s="161" t="n"/>
      <c r="S184" s="165" t="inlineStr">
        <is>
          <t>Yes</t>
        </is>
      </c>
    </row>
    <row r="185" ht="60" customHeight="1" s="104">
      <c r="A185" s="161" t="n">
        <v>181</v>
      </c>
      <c r="B185" s="162" t="inlineStr">
        <is>
          <t>Songra Biomed 송라바이오메드</t>
        </is>
      </c>
      <c r="C185" s="161" t="inlineStr">
        <is>
          <t>Not started</t>
        </is>
      </c>
      <c r="D185" s="161" t="inlineStr">
        <is>
          <t>General medical equipment. Hospital medical device and pharmaceutical distribution.</t>
        </is>
      </c>
      <c r="E185" s="161" t="inlineStr">
        <is>
          <t>Not confirmed; ask on the first call</t>
        </is>
      </c>
      <c r="F185" s="161" t="inlineStr">
        <is>
          <t>Korea</t>
        </is>
      </c>
      <c r="G185" s="163" t="inlineStr">
        <is>
          <t>https://songrabiomed.co.kr</t>
        </is>
      </c>
      <c r="H185" s="161" t="inlineStr">
        <is>
          <t>Not published</t>
        </is>
      </c>
      <c r="I185" s="161" t="inlineStr">
        <is>
          <t>songra@srbiomed.co.kr</t>
        </is>
      </c>
      <c r="J185" s="161" t="inlineStr">
        <is>
          <t>Korea. Found via Web search, company site.</t>
        </is>
      </c>
      <c r="K185" s="164" t="inlineStr">
        <is>
          <t>A</t>
        </is>
      </c>
      <c r="L185" s="161" t="inlineStr">
        <is>
          <t>General medical equipment supplier with hospital and clinic accounts; can open ultrasound as a new line.</t>
        </is>
      </c>
      <c r="M185" s="161" t="inlineStr">
        <is>
          <t>SonoGO cart, SonoAir 70 handheld as a starter ultrasound line for a general hospital supplier</t>
        </is>
      </c>
      <c r="N185" s="173" t="n">
        <v>3</v>
      </c>
      <c r="O185" s="161" t="inlineStr">
        <is>
          <t>Tier 3: broad supplier or smaller reach; include in the email wave and follow up only on reply.</t>
        </is>
      </c>
      <c r="P185" s="161" t="inlineStr">
        <is>
          <t>Web search, company site; email read on the company site; email domain differs from the website, confirm, 7 Oct 2026</t>
        </is>
      </c>
      <c r="Q185" s="161" t="n"/>
      <c r="R185" s="161" t="n"/>
      <c r="S185" s="165" t="inlineStr">
        <is>
          <t>Yes</t>
        </is>
      </c>
    </row>
    <row r="186" ht="60" customHeight="1" s="104">
      <c r="A186" s="161" t="n">
        <v>182</v>
      </c>
      <c r="B186" s="162" t="inlineStr">
        <is>
          <t>Danuri Care 다누리케어</t>
        </is>
      </c>
      <c r="C186" s="161" t="inlineStr">
        <is>
          <t>Not started</t>
        </is>
      </c>
      <c r="D186" s="161" t="inlineStr">
        <is>
          <t>General medical equipment. Medical supplies distribution service.</t>
        </is>
      </c>
      <c r="E186" s="161" t="inlineStr">
        <is>
          <t>Not confirmed; ask on the first call</t>
        </is>
      </c>
      <c r="F186" s="161" t="inlineStr">
        <is>
          <t>Korea</t>
        </is>
      </c>
      <c r="G186" s="163" t="inlineStr">
        <is>
          <t>https://danuricare.com</t>
        </is>
      </c>
      <c r="H186" s="161" t="inlineStr">
        <is>
          <t>Not published</t>
        </is>
      </c>
      <c r="I186" s="161" t="inlineStr">
        <is>
          <t>danuri@danuricare.com</t>
        </is>
      </c>
      <c r="J186" s="161" t="inlineStr">
        <is>
          <t>Korea. Found via Web search, company site.</t>
        </is>
      </c>
      <c r="K186" s="164" t="inlineStr">
        <is>
          <t>A</t>
        </is>
      </c>
      <c r="L186" s="161" t="inlineStr">
        <is>
          <t>General medical equipment supplier with hospital and clinic accounts; can open ultrasound as a new line.</t>
        </is>
      </c>
      <c r="M186" s="161" t="inlineStr">
        <is>
          <t>SonoGO cart, SonoAir 70 handheld as a starter ultrasound line for a general hospital supplier</t>
        </is>
      </c>
      <c r="N186" s="173" t="n">
        <v>3</v>
      </c>
      <c r="O186" s="161" t="inlineStr">
        <is>
          <t>Tier 3: broad supplier or smaller reach; include in the email wave and follow up only on reply.</t>
        </is>
      </c>
      <c r="P186" s="161" t="inlineStr">
        <is>
          <t>Web search, company site; email read on the company site, 7 Oct 2026</t>
        </is>
      </c>
      <c r="Q186" s="161" t="n"/>
      <c r="R186" s="161" t="n"/>
      <c r="S186" s="165" t="inlineStr">
        <is>
          <t>Yes</t>
        </is>
      </c>
    </row>
    <row r="187" ht="60" customHeight="1" s="104">
      <c r="A187" s="161" t="n">
        <v>183</v>
      </c>
      <c r="B187" s="162" t="inlineStr">
        <is>
          <t>BS Medical BS메디칼</t>
        </is>
      </c>
      <c r="C187" s="161" t="inlineStr">
        <is>
          <t>Not started</t>
        </is>
      </c>
      <c r="D187" s="161" t="inlineStr">
        <is>
          <t>Ultrasound dealer. Used medical equipment dealer incl. endoscopy and ultrasound.</t>
        </is>
      </c>
      <c r="E187" s="161" t="inlineStr">
        <is>
          <t>Yes, brand not confirmed</t>
        </is>
      </c>
      <c r="F187" s="161" t="inlineStr">
        <is>
          <t>Korea</t>
        </is>
      </c>
      <c r="G187" s="163" t="inlineStr">
        <is>
          <t>https://bsmedicalshop.net</t>
        </is>
      </c>
      <c r="H187" s="161" t="inlineStr">
        <is>
          <t>Not published</t>
        </is>
      </c>
      <c r="I187" s="161" t="inlineStr">
        <is>
          <t>bsmedicals@daum.net</t>
        </is>
      </c>
      <c r="J187" s="161" t="inlineStr">
        <is>
          <t>Korea. Found via Web search, company site.</t>
        </is>
      </c>
      <c r="K187" s="164" t="inlineStr">
        <is>
          <t>A</t>
        </is>
      </c>
      <c r="L187" s="161" t="inlineStr">
        <is>
          <t>Already sells ultrasound; check principal conflict first, CHISON fills price tiers the current brand may not cover.</t>
        </is>
      </c>
      <c r="M187" s="161" t="inlineStr">
        <is>
          <t>SonoGO cart, SonoAir 70 handheld; fill the pocket and mid tier gaps in the current ultrasound line</t>
        </is>
      </c>
      <c r="N187" s="173" t="n">
        <v>3</v>
      </c>
      <c r="O187" s="161" t="inlineStr">
        <is>
          <t>Tier 3: broad supplier or smaller reach; include in the email wave and follow up only on reply.</t>
        </is>
      </c>
      <c r="P187" s="161" t="inlineStr">
        <is>
          <t>Web search, company site; email read on the company site, 7 Oct 2026</t>
        </is>
      </c>
      <c r="Q187" s="161" t="n"/>
      <c r="R187" s="161" t="n"/>
      <c r="S187" s="165" t="inlineStr">
        <is>
          <t>Yes</t>
        </is>
      </c>
    </row>
    <row r="188" ht="60" customHeight="1" s="104">
      <c r="A188" s="161" t="n">
        <v>184</v>
      </c>
      <c r="B188" s="162" t="inlineStr">
        <is>
          <t>Onemedics 원메딕스</t>
        </is>
      </c>
      <c r="C188" s="161" t="inlineStr">
        <is>
          <t>Not started</t>
        </is>
      </c>
      <c r="D188" s="161" t="inlineStr">
        <is>
          <t>General medical equipment. Medical device company (line card to confirm).</t>
        </is>
      </c>
      <c r="E188" s="161" t="inlineStr">
        <is>
          <t>Not confirmed; ask on the first call</t>
        </is>
      </c>
      <c r="F188" s="161" t="inlineStr">
        <is>
          <t>Korea</t>
        </is>
      </c>
      <c r="G188" s="163" t="inlineStr">
        <is>
          <t>https://onemedics.com</t>
        </is>
      </c>
      <c r="H188" s="161" t="inlineStr">
        <is>
          <t>Not published</t>
        </is>
      </c>
      <c r="I188" s="161" t="inlineStr">
        <is>
          <t>jandje@daum.net</t>
        </is>
      </c>
      <c r="J188" s="161" t="inlineStr">
        <is>
          <t>Korea. Found via Web search, company site.</t>
        </is>
      </c>
      <c r="K188" s="164" t="inlineStr">
        <is>
          <t>A</t>
        </is>
      </c>
      <c r="L188" s="161" t="inlineStr">
        <is>
          <t>General medical equipment supplier with hospital and clinic accounts; can open ultrasound as a new line.</t>
        </is>
      </c>
      <c r="M188" s="161" t="inlineStr">
        <is>
          <t>SonoGO cart, SonoAir 70 handheld as a starter ultrasound line for a general hospital supplier</t>
        </is>
      </c>
      <c r="N188" s="173" t="n">
        <v>3</v>
      </c>
      <c r="O188" s="161" t="inlineStr">
        <is>
          <t>Tier 3: broad supplier or smaller reach; include in the email wave and follow up only on reply.</t>
        </is>
      </c>
      <c r="P188" s="161" t="inlineStr">
        <is>
          <t>Web search, company site; email read on the company site, 7 Oct 2026</t>
        </is>
      </c>
      <c r="Q188" s="161" t="n"/>
      <c r="R188" s="161" t="n"/>
      <c r="S188" s="165" t="inlineStr">
        <is>
          <t>Yes</t>
        </is>
      </c>
    </row>
    <row r="189" ht="60" customHeight="1" s="104">
      <c r="A189" s="161" t="n">
        <v>185</v>
      </c>
      <c r="B189" s="162" t="inlineStr">
        <is>
          <t>Medione Plus 메디원플러스</t>
        </is>
      </c>
      <c r="C189" s="161" t="inlineStr">
        <is>
          <t>Not started</t>
        </is>
      </c>
      <c r="D189" s="161" t="inlineStr">
        <is>
          <t>Ultrasound dealer. Large used medical device marketplace and dealer.</t>
        </is>
      </c>
      <c r="E189" s="161" t="inlineStr">
        <is>
          <t>Not confirmed; ask on the first call</t>
        </is>
      </c>
      <c r="F189" s="161" t="inlineStr">
        <is>
          <t>Korea</t>
        </is>
      </c>
      <c r="G189" s="163" t="inlineStr">
        <is>
          <t>https://medione.net</t>
        </is>
      </c>
      <c r="H189" s="161" t="inlineStr">
        <is>
          <t>Not published</t>
        </is>
      </c>
      <c r="I189" s="161" t="inlineStr">
        <is>
          <t>swmdc@naver.com</t>
        </is>
      </c>
      <c r="J189" s="161" t="inlineStr">
        <is>
          <t>Korea. Found via Web search, company site.</t>
        </is>
      </c>
      <c r="K189" s="164" t="inlineStr">
        <is>
          <t>A</t>
        </is>
      </c>
      <c r="L189" s="161" t="inlineStr">
        <is>
          <t>Already sells ultrasound; check principal conflict first, CHISON fills price tiers the current brand may not cover.</t>
        </is>
      </c>
      <c r="M189" s="161" t="inlineStr">
        <is>
          <t>SonoGO cart, SonoAir 70 handheld; fill the pocket and mid tier gaps in the current ultrasound line</t>
        </is>
      </c>
      <c r="N189" s="173" t="n">
        <v>3</v>
      </c>
      <c r="O189" s="161" t="inlineStr">
        <is>
          <t>Tier 3: broad supplier or smaller reach; include in the email wave and follow up only on reply.</t>
        </is>
      </c>
      <c r="P189" s="161" t="inlineStr">
        <is>
          <t>Web search, company site; email read on the company site, 7 Oct 2026</t>
        </is>
      </c>
      <c r="Q189" s="161" t="n"/>
      <c r="R189" s="161" t="n"/>
      <c r="S189" s="165" t="inlineStr">
        <is>
          <t>Yes</t>
        </is>
      </c>
    </row>
    <row r="190" ht="60" customHeight="1" s="104">
      <c r="A190" s="161" t="n">
        <v>186</v>
      </c>
      <c r="B190" s="162" t="inlineStr">
        <is>
          <t>Meditech Solution 메디텍솔루션</t>
        </is>
      </c>
      <c r="C190" s="161" t="inlineStr">
        <is>
          <t>Not started</t>
        </is>
      </c>
      <c r="D190" s="161" t="inlineStr">
        <is>
          <t>General medical equipment. Medical device company (line card to confirm).</t>
        </is>
      </c>
      <c r="E190" s="161" t="inlineStr">
        <is>
          <t>Not confirmed; ask on the first call</t>
        </is>
      </c>
      <c r="F190" s="161" t="inlineStr">
        <is>
          <t>Korea</t>
        </is>
      </c>
      <c r="G190" s="163" t="inlineStr">
        <is>
          <t>https://meditechsolution.co.kr</t>
        </is>
      </c>
      <c r="H190" s="161" t="inlineStr">
        <is>
          <t>Not published</t>
        </is>
      </c>
      <c r="I190" s="161" t="inlineStr">
        <is>
          <t>mts@meditechsolution.co.kr</t>
        </is>
      </c>
      <c r="J190" s="161" t="inlineStr">
        <is>
          <t>Korea. Found via Web search, company site.</t>
        </is>
      </c>
      <c r="K190" s="164" t="inlineStr">
        <is>
          <t>A</t>
        </is>
      </c>
      <c r="L190" s="161" t="inlineStr">
        <is>
          <t>General medical equipment supplier with hospital and clinic accounts; can open ultrasound as a new line.</t>
        </is>
      </c>
      <c r="M190" s="161" t="inlineStr">
        <is>
          <t>SonoGO cart, SonoAir 70 handheld as a starter ultrasound line for a general hospital supplier</t>
        </is>
      </c>
      <c r="N190" s="173" t="n">
        <v>3</v>
      </c>
      <c r="O190" s="161" t="inlineStr">
        <is>
          <t>Tier 3: broad supplier or smaller reach; include in the email wave and follow up only on reply.</t>
        </is>
      </c>
      <c r="P190" s="161" t="inlineStr">
        <is>
          <t>Web search, company site; email read on the company site, 7 Oct 2026</t>
        </is>
      </c>
      <c r="Q190" s="161" t="n"/>
      <c r="R190" s="161" t="n"/>
      <c r="S190" s="165" t="inlineStr">
        <is>
          <t>Yes</t>
        </is>
      </c>
    </row>
    <row r="191" ht="60" customHeight="1" s="104">
      <c r="A191" s="161" t="n">
        <v>187</v>
      </c>
      <c r="B191" s="162" t="inlineStr">
        <is>
          <t>Gmedi Korea 지메디</t>
        </is>
      </c>
      <c r="C191" s="161" t="inlineStr">
        <is>
          <t>Not started</t>
        </is>
      </c>
      <c r="D191" s="161" t="inlineStr">
        <is>
          <t>General medical equipment. Medical device company.</t>
        </is>
      </c>
      <c r="E191" s="161" t="inlineStr">
        <is>
          <t>Not confirmed; ask on the first call</t>
        </is>
      </c>
      <c r="F191" s="161" t="inlineStr">
        <is>
          <t>Korea</t>
        </is>
      </c>
      <c r="G191" s="163" t="inlineStr">
        <is>
          <t>https://gmedikorea.com</t>
        </is>
      </c>
      <c r="H191" s="161" t="inlineStr">
        <is>
          <t>Not published</t>
        </is>
      </c>
      <c r="I191" s="161" t="inlineStr">
        <is>
          <t>gmedikorea@gmail.com</t>
        </is>
      </c>
      <c r="J191" s="161" t="inlineStr">
        <is>
          <t>Korea. Found via Web search, company site.</t>
        </is>
      </c>
      <c r="K191" s="164" t="inlineStr">
        <is>
          <t>A</t>
        </is>
      </c>
      <c r="L191" s="161" t="inlineStr">
        <is>
          <t>General medical equipment supplier with hospital and clinic accounts; can open ultrasound as a new line.</t>
        </is>
      </c>
      <c r="M191" s="161" t="inlineStr">
        <is>
          <t>SonoGO cart, SonoAir 70 handheld as a starter ultrasound line for a general hospital supplier</t>
        </is>
      </c>
      <c r="N191" s="173" t="n">
        <v>3</v>
      </c>
      <c r="O191" s="161" t="inlineStr">
        <is>
          <t>Tier 3: broad supplier or smaller reach; include in the email wave and follow up only on reply.</t>
        </is>
      </c>
      <c r="P191" s="161" t="inlineStr">
        <is>
          <t>Web search, company site; email read on the company site, 7 Oct 2026</t>
        </is>
      </c>
      <c r="Q191" s="161" t="n"/>
      <c r="R191" s="161" t="n"/>
      <c r="S191" s="165" t="inlineStr">
        <is>
          <t>Yes</t>
        </is>
      </c>
    </row>
    <row r="192" ht="60" customHeight="1" s="104">
      <c r="A192" s="161" t="n">
        <v>188</v>
      </c>
      <c r="B192" s="162" t="inlineStr">
        <is>
          <t>Medihealth 메디헬스</t>
        </is>
      </c>
      <c r="C192" s="161" t="inlineStr">
        <is>
          <t>Not started</t>
        </is>
      </c>
      <c r="D192" s="161" t="inlineStr">
        <is>
          <t>General medical equipment. Medical device sales and service.</t>
        </is>
      </c>
      <c r="E192" s="161" t="inlineStr">
        <is>
          <t>Not confirmed; ask on the first call</t>
        </is>
      </c>
      <c r="F192" s="161" t="inlineStr">
        <is>
          <t>Korea</t>
        </is>
      </c>
      <c r="G192" s="163" t="inlineStr">
        <is>
          <t>https://medihealth.kr</t>
        </is>
      </c>
      <c r="H192" s="161" t="inlineStr">
        <is>
          <t>Not published</t>
        </is>
      </c>
      <c r="I192" s="161" t="inlineStr">
        <is>
          <t>yikwon@medihealth.kr</t>
        </is>
      </c>
      <c r="J192" s="161" t="inlineStr">
        <is>
          <t>Korea. Found via Web search, company site.</t>
        </is>
      </c>
      <c r="K192" s="164" t="inlineStr">
        <is>
          <t>A</t>
        </is>
      </c>
      <c r="L192" s="161" t="inlineStr">
        <is>
          <t>General medical equipment supplier with hospital and clinic accounts; can open ultrasound as a new line.</t>
        </is>
      </c>
      <c r="M192" s="161" t="inlineStr">
        <is>
          <t>SonoGO cart, SonoAir 70 handheld as a starter ultrasound line for a general hospital supplier</t>
        </is>
      </c>
      <c r="N192" s="173" t="n">
        <v>3</v>
      </c>
      <c r="O192" s="161" t="inlineStr">
        <is>
          <t>Tier 3: broad supplier or smaller reach; include in the email wave and follow up only on reply.</t>
        </is>
      </c>
      <c r="P192" s="161" t="inlineStr">
        <is>
          <t>Web search, company site; email read on the company site, 7 Oct 2026</t>
        </is>
      </c>
      <c r="Q192" s="161" t="n"/>
      <c r="R192" s="161" t="n"/>
      <c r="S192" s="165" t="inlineStr">
        <is>
          <t>Yes</t>
        </is>
      </c>
    </row>
    <row r="193" ht="60" customHeight="1" s="104">
      <c r="A193" s="161" t="n">
        <v>189</v>
      </c>
      <c r="B193" s="162" t="inlineStr">
        <is>
          <t>Mediscope Korea 메디스콥코리아</t>
        </is>
      </c>
      <c r="C193" s="161" t="inlineStr">
        <is>
          <t>Not started</t>
        </is>
      </c>
      <c r="D193" s="161" t="inlineStr">
        <is>
          <t>Surgical, OR and anaesthesia. Endoscopy company.</t>
        </is>
      </c>
      <c r="E193" s="161" t="inlineStr">
        <is>
          <t>Not confirmed; ask on the first call</t>
        </is>
      </c>
      <c r="F193" s="161" t="inlineStr">
        <is>
          <t>Korea</t>
        </is>
      </c>
      <c r="G193" s="163" t="inlineStr">
        <is>
          <t>https://mediscopekorea.com</t>
        </is>
      </c>
      <c r="H193" s="161" t="inlineStr">
        <is>
          <t>Not published</t>
        </is>
      </c>
      <c r="I193" s="161" t="inlineStr">
        <is>
          <t>info@mediscopekorea.com</t>
        </is>
      </c>
      <c r="J193" s="161" t="inlineStr">
        <is>
          <t>Korea. Found via Web search, company site.</t>
        </is>
      </c>
      <c r="K193" s="164" t="inlineStr">
        <is>
          <t>A</t>
        </is>
      </c>
      <c r="L193" s="161" t="inlineStr">
        <is>
          <t>Theatre and anaesthesia accounts are the entry point for point of care ultrasound (nerve block, vascular access).</t>
        </is>
      </c>
      <c r="M193" s="161" t="inlineStr">
        <is>
          <t>SonoTouch tablet, SonoEye P3 for nerve block and vascular access in theatre</t>
        </is>
      </c>
      <c r="N193" s="173" t="n">
        <v>3</v>
      </c>
      <c r="O193" s="161" t="inlineStr">
        <is>
          <t>Tier 3: broad supplier or smaller reach; include in the email wave and follow up only on reply.</t>
        </is>
      </c>
      <c r="P193" s="161" t="inlineStr">
        <is>
          <t>Web search, company site; email read on the company site, 7 Oct 2026</t>
        </is>
      </c>
      <c r="Q193" s="161" t="n"/>
      <c r="R193" s="161" t="n"/>
      <c r="S193" s="165" t="inlineStr">
        <is>
          <t>Yes</t>
        </is>
      </c>
    </row>
    <row r="194" ht="60" customHeight="1" s="104">
      <c r="A194" s="161" t="n">
        <v>190</v>
      </c>
      <c r="B194" s="162" t="inlineStr">
        <is>
          <t>Scope Connection 스코프커넥션</t>
        </is>
      </c>
      <c r="C194" s="161" t="inlineStr">
        <is>
          <t>Not started</t>
        </is>
      </c>
      <c r="D194" s="161" t="inlineStr">
        <is>
          <t>Surgical, OR and anaesthesia. Endoscope repair (Olympus, Pentax).</t>
        </is>
      </c>
      <c r="E194" s="161" t="inlineStr">
        <is>
          <t>Not confirmed; ask on the first call</t>
        </is>
      </c>
      <c r="F194" s="161" t="inlineStr">
        <is>
          <t>Korea</t>
        </is>
      </c>
      <c r="G194" s="163" t="inlineStr">
        <is>
          <t>https://scopeconnection.co.kr</t>
        </is>
      </c>
      <c r="H194" s="161" t="inlineStr">
        <is>
          <t>Not published</t>
        </is>
      </c>
      <c r="I194" s="161" t="inlineStr">
        <is>
          <t>que1@naver.com</t>
        </is>
      </c>
      <c r="J194" s="161" t="inlineStr">
        <is>
          <t>Korea. Found via Web search, company site.</t>
        </is>
      </c>
      <c r="K194" s="164" t="inlineStr">
        <is>
          <t>A</t>
        </is>
      </c>
      <c r="L194" s="161" t="inlineStr">
        <is>
          <t>Theatre and anaesthesia accounts are the entry point for point of care ultrasound (nerve block, vascular access).</t>
        </is>
      </c>
      <c r="M194" s="161" t="inlineStr">
        <is>
          <t>SonoTouch tablet, SonoEye P3 for nerve block and vascular access in theatre</t>
        </is>
      </c>
      <c r="N194" s="173" t="n">
        <v>3</v>
      </c>
      <c r="O194" s="161" t="inlineStr">
        <is>
          <t>Tier 3: broad supplier or smaller reach; include in the email wave and follow up only on reply.</t>
        </is>
      </c>
      <c r="P194" s="161" t="inlineStr">
        <is>
          <t>Web search, company site; email read on the company site, 7 Oct 2026</t>
        </is>
      </c>
      <c r="Q194" s="161" t="n"/>
      <c r="R194" s="161" t="n"/>
      <c r="S194" s="165" t="inlineStr">
        <is>
          <t>Yes</t>
        </is>
      </c>
    </row>
    <row r="195" ht="60" customHeight="1" s="104">
      <c r="A195" s="161" t="n">
        <v>191</v>
      </c>
      <c r="B195" s="162" t="inlineStr">
        <is>
          <t>Yangji Medical 양지의료기</t>
        </is>
      </c>
      <c r="C195" s="161" t="inlineStr">
        <is>
          <t>Not started</t>
        </is>
      </c>
      <c r="D195" s="161" t="inlineStr">
        <is>
          <t>OB/GYN, women's health. OB/GYN instrument supplier.</t>
        </is>
      </c>
      <c r="E195" s="161" t="inlineStr">
        <is>
          <t>Not confirmed; ask on the first call</t>
        </is>
      </c>
      <c r="F195" s="161" t="inlineStr">
        <is>
          <t>Korea</t>
        </is>
      </c>
      <c r="G195" s="163" t="inlineStr">
        <is>
          <t>https://yangjimedical.co.kr</t>
        </is>
      </c>
      <c r="H195" s="161" t="inlineStr">
        <is>
          <t>Not published</t>
        </is>
      </c>
      <c r="I195" s="161" t="inlineStr">
        <is>
          <t>yangjimedical@naver.com</t>
        </is>
      </c>
      <c r="J195" s="161" t="inlineStr">
        <is>
          <t>Korea. Found via Web search, company site.</t>
        </is>
      </c>
      <c r="K195" s="164" t="inlineStr">
        <is>
          <t>A</t>
        </is>
      </c>
      <c r="L195" s="161" t="inlineStr">
        <is>
          <t>OB/GYN clinic channel suits a 4D cart system.</t>
        </is>
      </c>
      <c r="M195" s="161" t="inlineStr">
        <is>
          <t>SonoMax 7 with 4D for OB/GYN clinics</t>
        </is>
      </c>
      <c r="N195" s="173" t="n">
        <v>3</v>
      </c>
      <c r="O195" s="161" t="inlineStr">
        <is>
          <t>Tier 3: broad supplier or smaller reach; include in the email wave and follow up only on reply.</t>
        </is>
      </c>
      <c r="P195" s="161" t="inlineStr">
        <is>
          <t>Web search, company site; email read on the company site, 7 Oct 2026</t>
        </is>
      </c>
      <c r="Q195" s="161" t="n"/>
      <c r="R195" s="161" t="n"/>
      <c r="S195" s="165" t="inlineStr">
        <is>
          <t>Yes</t>
        </is>
      </c>
    </row>
    <row r="196" ht="60" customHeight="1" s="104">
      <c r="A196" s="161" t="n">
        <v>192</v>
      </c>
      <c r="B196" s="162" t="inlineStr">
        <is>
          <t>Woojoo Sangsa 우주상사</t>
        </is>
      </c>
      <c r="C196" s="161" t="inlineStr">
        <is>
          <t>Not started</t>
        </is>
      </c>
      <c r="D196" s="161" t="inlineStr">
        <is>
          <t>Surgical, OR and anaesthesia. Medical device manufacturer and importer.</t>
        </is>
      </c>
      <c r="E196" s="161" t="inlineStr">
        <is>
          <t>Not confirmed; ask on the first call</t>
        </is>
      </c>
      <c r="F196" s="161" t="inlineStr">
        <is>
          <t>Korea</t>
        </is>
      </c>
      <c r="G196" s="163" t="inlineStr">
        <is>
          <t>https://wjsurgical.co.kr</t>
        </is>
      </c>
      <c r="H196" s="161" t="inlineStr">
        <is>
          <t>Not published</t>
        </is>
      </c>
      <c r="I196" s="161" t="inlineStr">
        <is>
          <t>woojumic@gmail.com</t>
        </is>
      </c>
      <c r="J196" s="161" t="inlineStr">
        <is>
          <t>Korea. Found via Web search, company site.</t>
        </is>
      </c>
      <c r="K196" s="164" t="inlineStr">
        <is>
          <t>A</t>
        </is>
      </c>
      <c r="L196" s="161" t="inlineStr">
        <is>
          <t>Theatre and anaesthesia accounts are the entry point for point of care ultrasound (nerve block, vascular access).</t>
        </is>
      </c>
      <c r="M196" s="161" t="inlineStr">
        <is>
          <t>SonoTouch tablet, SonoEye P3 for nerve block and vascular access in theatre</t>
        </is>
      </c>
      <c r="N196" s="173" t="n">
        <v>3</v>
      </c>
      <c r="O196" s="161" t="inlineStr">
        <is>
          <t>Tier 3: broad supplier or smaller reach; include in the email wave and follow up only on reply.</t>
        </is>
      </c>
      <c r="P196" s="161" t="inlineStr">
        <is>
          <t>Web search, company site; email read on the company site, 7 Oct 2026</t>
        </is>
      </c>
      <c r="Q196" s="161" t="n"/>
      <c r="R196" s="161" t="n"/>
      <c r="S196" s="165" t="inlineStr">
        <is>
          <t>Yes</t>
        </is>
      </c>
    </row>
    <row r="197" ht="60" customHeight="1" s="104">
      <c r="A197" s="161" t="n">
        <v>193</v>
      </c>
      <c r="B197" s="162" t="inlineStr">
        <is>
          <t>Hymn MC 힘맥</t>
        </is>
      </c>
      <c r="C197" s="161" t="inlineStr">
        <is>
          <t>Not started</t>
        </is>
      </c>
      <c r="D197" s="161" t="inlineStr">
        <is>
          <t>Orthopaedic, rehab, pain. Rehab equipment import, export and sales.</t>
        </is>
      </c>
      <c r="E197" s="161" t="inlineStr">
        <is>
          <t>Not confirmed; ask on the first call</t>
        </is>
      </c>
      <c r="F197" s="161" t="inlineStr">
        <is>
          <t>Korea</t>
        </is>
      </c>
      <c r="G197" s="163" t="inlineStr">
        <is>
          <t>https://hymnmc.kr</t>
        </is>
      </c>
      <c r="H197" s="161" t="inlineStr">
        <is>
          <t>Not published</t>
        </is>
      </c>
      <c r="I197" s="161" t="inlineStr">
        <is>
          <t>hymnmc@empas.com</t>
        </is>
      </c>
      <c r="J197" s="161" t="inlineStr">
        <is>
          <t>Korea. Found via Web search, company site.</t>
        </is>
      </c>
      <c r="K197" s="164" t="inlineStr">
        <is>
          <t>A</t>
        </is>
      </c>
      <c r="L197" s="161" t="inlineStr">
        <is>
          <t>Orthopaedic, rehab and pain clinics buy linear probe ultrasound for injection guidance; CHISON linear image quality is the edge.</t>
        </is>
      </c>
      <c r="M197" s="161" t="inlineStr">
        <is>
          <t>SonoEye P5 linear, SonoAir 30/70 for orthopaedic, rehab and pain clinics</t>
        </is>
      </c>
      <c r="N197" s="173" t="n">
        <v>3</v>
      </c>
      <c r="O197" s="161" t="inlineStr">
        <is>
          <t>Tier 3: broad supplier or smaller reach; include in the email wave and follow up only on reply.</t>
        </is>
      </c>
      <c r="P197" s="161" t="inlineStr">
        <is>
          <t>Web search, company site; email read on the company site, 7 Oct 2026</t>
        </is>
      </c>
      <c r="Q197" s="161" t="n"/>
      <c r="R197" s="161" t="n"/>
      <c r="S197" s="165" t="inlineStr">
        <is>
          <t>Yes</t>
        </is>
      </c>
    </row>
    <row r="198" ht="60" customHeight="1" s="104">
      <c r="A198" s="161" t="n">
        <v>194</v>
      </c>
      <c r="B198" s="162" t="inlineStr">
        <is>
          <t>Hanil Medipia 한일메디피아</t>
        </is>
      </c>
      <c r="C198" s="161" t="inlineStr">
        <is>
          <t>Not started</t>
        </is>
      </c>
      <c r="D198" s="161" t="inlineStr">
        <is>
          <t>General medical equipment. Medical device company.</t>
        </is>
      </c>
      <c r="E198" s="161" t="inlineStr">
        <is>
          <t>Not confirmed; ask on the first call</t>
        </is>
      </c>
      <c r="F198" s="161" t="inlineStr">
        <is>
          <t>Korea</t>
        </is>
      </c>
      <c r="G198" s="163" t="inlineStr">
        <is>
          <t>https://hanilmedipia.co.kr</t>
        </is>
      </c>
      <c r="H198" s="161" t="inlineStr">
        <is>
          <t>Not published</t>
        </is>
      </c>
      <c r="I198" s="161" t="inlineStr">
        <is>
          <t>hanil3575@naver.com</t>
        </is>
      </c>
      <c r="J198" s="161" t="inlineStr">
        <is>
          <t>Korea. Found via Web search, company site.</t>
        </is>
      </c>
      <c r="K198" s="164" t="inlineStr">
        <is>
          <t>A</t>
        </is>
      </c>
      <c r="L198" s="161" t="inlineStr">
        <is>
          <t>General medical equipment supplier with hospital and clinic accounts; can open ultrasound as a new line.</t>
        </is>
      </c>
      <c r="M198" s="161" t="inlineStr">
        <is>
          <t>SonoGO cart, SonoAir 70 handheld as a starter ultrasound line for a general hospital supplier</t>
        </is>
      </c>
      <c r="N198" s="173" t="n">
        <v>3</v>
      </c>
      <c r="O198" s="161" t="inlineStr">
        <is>
          <t>Tier 3: broad supplier or smaller reach; include in the email wave and follow up only on reply.</t>
        </is>
      </c>
      <c r="P198" s="161" t="inlineStr">
        <is>
          <t>Web search, company site; email read on the company site, 7 Oct 2026</t>
        </is>
      </c>
      <c r="Q198" s="161" t="n"/>
      <c r="R198" s="161" t="n"/>
      <c r="S198" s="165" t="inlineStr">
        <is>
          <t>Yes</t>
        </is>
      </c>
    </row>
    <row r="199" ht="60" customHeight="1" s="104">
      <c r="A199" s="161" t="n">
        <v>195</v>
      </c>
      <c r="B199" s="162" t="inlineStr">
        <is>
          <t>JL Medicore Korea JL메디코어코리아</t>
        </is>
      </c>
      <c r="C199" s="161" t="inlineStr">
        <is>
          <t>Not started</t>
        </is>
      </c>
      <c r="D199" s="161" t="inlineStr">
        <is>
          <t>General medical equipment. Medical device company.</t>
        </is>
      </c>
      <c r="E199" s="161" t="inlineStr">
        <is>
          <t>Not confirmed; ask on the first call</t>
        </is>
      </c>
      <c r="F199" s="161" t="inlineStr">
        <is>
          <t>Korea</t>
        </is>
      </c>
      <c r="G199" s="163" t="inlineStr">
        <is>
          <t>https://jlmedicorekorea.co.kr</t>
        </is>
      </c>
      <c r="H199" s="161" t="inlineStr">
        <is>
          <t>Not published</t>
        </is>
      </c>
      <c r="I199" s="161" t="inlineStr">
        <is>
          <t>jjm8825@naver.com</t>
        </is>
      </c>
      <c r="J199" s="161" t="inlineStr">
        <is>
          <t>Korea. Found via Web search, company site.</t>
        </is>
      </c>
      <c r="K199" s="164" t="inlineStr">
        <is>
          <t>A</t>
        </is>
      </c>
      <c r="L199" s="161" t="inlineStr">
        <is>
          <t>General medical equipment supplier with hospital and clinic accounts; can open ultrasound as a new line.</t>
        </is>
      </c>
      <c r="M199" s="161" t="inlineStr">
        <is>
          <t>SonoGO cart, SonoAir 70 handheld as a starter ultrasound line for a general hospital supplier</t>
        </is>
      </c>
      <c r="N199" s="173" t="n">
        <v>3</v>
      </c>
      <c r="O199" s="161" t="inlineStr">
        <is>
          <t>Tier 3: broad supplier or smaller reach; include in the email wave and follow up only on reply.</t>
        </is>
      </c>
      <c r="P199" s="161" t="inlineStr">
        <is>
          <t>Web search, company site; email read on the company site, 7 Oct 2026</t>
        </is>
      </c>
      <c r="Q199" s="161" t="n"/>
      <c r="R199" s="161" t="n"/>
      <c r="S199" s="165" t="inlineStr">
        <is>
          <t>Yes</t>
        </is>
      </c>
    </row>
    <row r="200" ht="60" customHeight="1" s="104">
      <c r="A200" s="161" t="n">
        <v>196</v>
      </c>
      <c r="B200" s="162" t="inlineStr">
        <is>
          <t>Woojin Healthcare 우진헬스케어</t>
        </is>
      </c>
      <c r="C200" s="161" t="inlineStr">
        <is>
          <t>Not started</t>
        </is>
      </c>
      <c r="D200" s="161" t="inlineStr">
        <is>
          <t>General medical equipment. Medical device company.</t>
        </is>
      </c>
      <c r="E200" s="161" t="inlineStr">
        <is>
          <t>Not confirmed; ask on the first call</t>
        </is>
      </c>
      <c r="F200" s="161" t="inlineStr">
        <is>
          <t>Korea</t>
        </is>
      </c>
      <c r="G200" s="163" t="inlineStr">
        <is>
          <t>https://woojinhealthcare.com</t>
        </is>
      </c>
      <c r="H200" s="161" t="inlineStr">
        <is>
          <t>Not published</t>
        </is>
      </c>
      <c r="I200" s="161" t="inlineStr">
        <is>
          <t>woojinhc1@daum.net</t>
        </is>
      </c>
      <c r="J200" s="161" t="inlineStr">
        <is>
          <t>Korea. Found via Web search, company site.</t>
        </is>
      </c>
      <c r="K200" s="164" t="inlineStr">
        <is>
          <t>A</t>
        </is>
      </c>
      <c r="L200" s="161" t="inlineStr">
        <is>
          <t>General medical equipment supplier with hospital and clinic accounts; can open ultrasound as a new line.</t>
        </is>
      </c>
      <c r="M200" s="161" t="inlineStr">
        <is>
          <t>SonoGO cart, SonoAir 70 handheld as a starter ultrasound line for a general hospital supplier</t>
        </is>
      </c>
      <c r="N200" s="173" t="n">
        <v>3</v>
      </c>
      <c r="O200" s="161" t="inlineStr">
        <is>
          <t>Tier 3: broad supplier or smaller reach; include in the email wave and follow up only on reply.</t>
        </is>
      </c>
      <c r="P200" s="161" t="inlineStr">
        <is>
          <t>Web search, company site; email read on the company site, 7 Oct 2026</t>
        </is>
      </c>
      <c r="Q200" s="161" t="n"/>
      <c r="R200" s="161" t="n"/>
      <c r="S200" s="165" t="inlineStr">
        <is>
          <t>Yes</t>
        </is>
      </c>
    </row>
    <row r="201" ht="60" customHeight="1" s="104">
      <c r="A201" s="161" t="n">
        <v>197</v>
      </c>
      <c r="B201" s="162" t="inlineStr">
        <is>
          <t>NC Medicare NC메디케어</t>
        </is>
      </c>
      <c r="C201" s="161" t="inlineStr">
        <is>
          <t>Not started</t>
        </is>
      </c>
      <c r="D201" s="161" t="inlineStr">
        <is>
          <t>General medical equipment. Medical device company.</t>
        </is>
      </c>
      <c r="E201" s="161" t="inlineStr">
        <is>
          <t>Not confirmed; ask on the first call</t>
        </is>
      </c>
      <c r="F201" s="161" t="inlineStr">
        <is>
          <t>Korea</t>
        </is>
      </c>
      <c r="G201" s="163" t="inlineStr">
        <is>
          <t>https://ncmedicare.co.kr</t>
        </is>
      </c>
      <c r="H201" s="161" t="inlineStr">
        <is>
          <t>Not published</t>
        </is>
      </c>
      <c r="I201" s="161" t="inlineStr">
        <is>
          <t>ncmedi@hanmail.net</t>
        </is>
      </c>
      <c r="J201" s="161" t="inlineStr">
        <is>
          <t>Korea. Found via Web search, company site.</t>
        </is>
      </c>
      <c r="K201" s="164" t="inlineStr">
        <is>
          <t>A</t>
        </is>
      </c>
      <c r="L201" s="161" t="inlineStr">
        <is>
          <t>General medical equipment supplier with hospital and clinic accounts; can open ultrasound as a new line.</t>
        </is>
      </c>
      <c r="M201" s="161" t="inlineStr">
        <is>
          <t>SonoGO cart, SonoAir 70 handheld as a starter ultrasound line for a general hospital supplier</t>
        </is>
      </c>
      <c r="N201" s="173" t="n">
        <v>3</v>
      </c>
      <c r="O201" s="161" t="inlineStr">
        <is>
          <t>Tier 3: broad supplier or smaller reach; include in the email wave and follow up only on reply.</t>
        </is>
      </c>
      <c r="P201" s="161" t="inlineStr">
        <is>
          <t>Web search, company site; email read on the company site, 7 Oct 2026</t>
        </is>
      </c>
      <c r="Q201" s="161" t="n"/>
      <c r="R201" s="161" t="n"/>
      <c r="S201" s="165" t="inlineStr">
        <is>
          <t>Yes</t>
        </is>
      </c>
    </row>
    <row r="202" ht="60" customHeight="1" s="104">
      <c r="A202" s="161" t="n">
        <v>198</v>
      </c>
      <c r="B202" s="162" t="inlineStr">
        <is>
          <t>Medical Market 메디컬마켓</t>
        </is>
      </c>
      <c r="C202" s="161" t="inlineStr">
        <is>
          <t>Not started</t>
        </is>
      </c>
      <c r="D202" s="161" t="inlineStr">
        <is>
          <t>Clinic and primary care supply. Medical device search and quotation platform.</t>
        </is>
      </c>
      <c r="E202" s="161" t="inlineStr">
        <is>
          <t>Not confirmed; ask on the first call</t>
        </is>
      </c>
      <c r="F202" s="161" t="inlineStr">
        <is>
          <t>Korea</t>
        </is>
      </c>
      <c r="G202" s="163" t="inlineStr">
        <is>
          <t>https://medicalmarket.co.kr</t>
        </is>
      </c>
      <c r="H202" s="161" t="inlineStr">
        <is>
          <t>Not published</t>
        </is>
      </c>
      <c r="I202" s="161" t="inlineStr">
        <is>
          <t>medicalmarket@naver.com</t>
        </is>
      </c>
      <c r="J202" s="161" t="inlineStr">
        <is>
          <t>Korea. Found via Web search, company site.</t>
        </is>
      </c>
      <c r="K202" s="164" t="inlineStr">
        <is>
          <t>A</t>
        </is>
      </c>
      <c r="L202" s="161" t="inlineStr">
        <is>
          <t>Clinic channel, the end user James flagged as the opening (GPs and small clinics); SonoAir is a wireless handheld that Mindray does not offer.</t>
        </is>
      </c>
      <c r="M202" s="161" t="inlineStr">
        <is>
          <t>SonoAir 30, SonoEye P3 for primary care; SonoGO for new clinic opening packages</t>
        </is>
      </c>
      <c r="N202" s="173" t="n">
        <v>3</v>
      </c>
      <c r="O202" s="161" t="inlineStr">
        <is>
          <t>Tier 3: broad supplier or smaller reach; include in the email wave and follow up only on reply.</t>
        </is>
      </c>
      <c r="P202" s="161" t="inlineStr">
        <is>
          <t>Web search, company site; email read on the company site, 7 Oct 2026</t>
        </is>
      </c>
      <c r="Q202" s="161" t="n"/>
      <c r="R202" s="161" t="n"/>
      <c r="S202" s="165" t="inlineStr">
        <is>
          <t>Yes</t>
        </is>
      </c>
    </row>
    <row r="203" ht="60" customHeight="1" s="104">
      <c r="A203" s="161" t="n">
        <v>199</v>
      </c>
      <c r="B203" s="162" t="inlineStr">
        <is>
          <t>Taeyang Medical 태양메디칼</t>
        </is>
      </c>
      <c r="C203" s="161" t="inlineStr">
        <is>
          <t>Not started</t>
        </is>
      </c>
      <c r="D203" s="161" t="inlineStr">
        <is>
          <t>General medical equipment. Medical device dealer; KMDDA board member.</t>
        </is>
      </c>
      <c r="E203" s="161" t="inlineStr">
        <is>
          <t>Not confirmed; ask on the first call</t>
        </is>
      </c>
      <c r="F203" s="161" t="inlineStr">
        <is>
          <t>Korea</t>
        </is>
      </c>
      <c r="G203" s="163" t="inlineStr">
        <is>
          <t>https://taeyangmedical.com</t>
        </is>
      </c>
      <c r="H203" s="161" t="inlineStr">
        <is>
          <t>Not published</t>
        </is>
      </c>
      <c r="I203" s="161" t="inlineStr">
        <is>
          <t>phk0425@naver.com</t>
        </is>
      </c>
      <c r="J203" s="161" t="inlineStr">
        <is>
          <t>Korea. Found via Web search, company site.</t>
        </is>
      </c>
      <c r="K203" s="164" t="inlineStr">
        <is>
          <t>A</t>
        </is>
      </c>
      <c r="L203" s="161" t="inlineStr">
        <is>
          <t>General medical equipment supplier with hospital and clinic accounts; can open ultrasound as a new line.</t>
        </is>
      </c>
      <c r="M203" s="161" t="inlineStr">
        <is>
          <t>SonoGO cart, SonoAir 70 handheld as a starter ultrasound line for a general hospital supplier</t>
        </is>
      </c>
      <c r="N203" s="173" t="n">
        <v>3</v>
      </c>
      <c r="O203" s="161" t="inlineStr">
        <is>
          <t>Tier 3: broad supplier or smaller reach; include in the email wave and follow up only on reply.</t>
        </is>
      </c>
      <c r="P203" s="161" t="inlineStr">
        <is>
          <t>Web search, company site; email read on the company site, 7 Oct 2026</t>
        </is>
      </c>
      <c r="Q203" s="161" t="n"/>
      <c r="R203" s="161" t="n"/>
      <c r="S203" s="165" t="inlineStr">
        <is>
          <t>Yes</t>
        </is>
      </c>
    </row>
    <row r="204" ht="60" customHeight="1" s="104">
      <c r="A204" s="161" t="n">
        <v>200</v>
      </c>
      <c r="B204" s="162" t="inlineStr">
        <is>
          <t>Cares Korea 케어스</t>
        </is>
      </c>
      <c r="C204" s="161" t="inlineStr">
        <is>
          <t>Not started</t>
        </is>
      </c>
      <c r="D204" s="161" t="inlineStr">
        <is>
          <t>General medical equipment. Medical device company.</t>
        </is>
      </c>
      <c r="E204" s="161" t="inlineStr">
        <is>
          <t>Not confirmed; ask on the first call</t>
        </is>
      </c>
      <c r="F204" s="161" t="inlineStr">
        <is>
          <t>Korea</t>
        </is>
      </c>
      <c r="G204" s="163" t="inlineStr">
        <is>
          <t>https://careskorea.com</t>
        </is>
      </c>
      <c r="H204" s="161" t="inlineStr">
        <is>
          <t>Not published</t>
        </is>
      </c>
      <c r="I204" s="161" t="inlineStr">
        <is>
          <t>info@careskorea.com</t>
        </is>
      </c>
      <c r="J204" s="161" t="inlineStr">
        <is>
          <t>Korea. Found via Web search, company site.</t>
        </is>
      </c>
      <c r="K204" s="164" t="inlineStr">
        <is>
          <t>A</t>
        </is>
      </c>
      <c r="L204" s="161" t="inlineStr">
        <is>
          <t>General medical equipment supplier with hospital and clinic accounts; can open ultrasound as a new line.</t>
        </is>
      </c>
      <c r="M204" s="161" t="inlineStr">
        <is>
          <t>SonoGO cart, SonoAir 70 handheld as a starter ultrasound line for a general hospital supplier</t>
        </is>
      </c>
      <c r="N204" s="173" t="n">
        <v>3</v>
      </c>
      <c r="O204" s="161" t="inlineStr">
        <is>
          <t>Tier 3: broad supplier or smaller reach; include in the email wave and follow up only on reply.</t>
        </is>
      </c>
      <c r="P204" s="161" t="inlineStr">
        <is>
          <t>Web search, company site; email read on the company site, 7 Oct 2026</t>
        </is>
      </c>
      <c r="Q204" s="161" t="n"/>
      <c r="R204" s="161" t="n"/>
      <c r="S204" s="165" t="inlineStr">
        <is>
          <t>Yes</t>
        </is>
      </c>
    </row>
    <row r="205" ht="60" customHeight="1" s="104">
      <c r="A205" s="161" t="n">
        <v>201</v>
      </c>
      <c r="B205" s="162" t="inlineStr">
        <is>
          <t>Medions Co., Ltd. 메디언스</t>
        </is>
      </c>
      <c r="C205" s="161" t="inlineStr">
        <is>
          <t>Not started</t>
        </is>
      </c>
      <c r="D205" s="161" t="inlineStr">
        <is>
          <t>General medical equipment. Medical device company.</t>
        </is>
      </c>
      <c r="E205" s="161" t="inlineStr">
        <is>
          <t>Not confirmed; ask on the first call</t>
        </is>
      </c>
      <c r="F205" s="161" t="inlineStr">
        <is>
          <t>Korea</t>
        </is>
      </c>
      <c r="G205" s="163" t="inlineStr">
        <is>
          <t>https://medions.co.kr</t>
        </is>
      </c>
      <c r="H205" s="161" t="inlineStr">
        <is>
          <t>Not published</t>
        </is>
      </c>
      <c r="I205" s="161" t="inlineStr">
        <is>
          <t>medions@medions.co.kr</t>
        </is>
      </c>
      <c r="J205" s="161" t="inlineStr">
        <is>
          <t>Korea. Found via Web search, company site.</t>
        </is>
      </c>
      <c r="K205" s="164" t="inlineStr">
        <is>
          <t>A</t>
        </is>
      </c>
      <c r="L205" s="161" t="inlineStr">
        <is>
          <t>General medical equipment supplier with hospital and clinic accounts; can open ultrasound as a new line.</t>
        </is>
      </c>
      <c r="M205" s="161" t="inlineStr">
        <is>
          <t>SonoGO cart, SonoAir 70 handheld as a starter ultrasound line for a general hospital supplier</t>
        </is>
      </c>
      <c r="N205" s="173" t="n">
        <v>3</v>
      </c>
      <c r="O205" s="161" t="inlineStr">
        <is>
          <t>Tier 3: broad supplier or smaller reach; include in the email wave and follow up only on reply.</t>
        </is>
      </c>
      <c r="P205" s="161" t="inlineStr">
        <is>
          <t>Web search, company site; email read on the company site, 7 Oct 2026</t>
        </is>
      </c>
      <c r="Q205" s="161" t="n"/>
      <c r="R205" s="161" t="n"/>
      <c r="S205" s="165" t="inlineStr">
        <is>
          <t>Yes</t>
        </is>
      </c>
    </row>
    <row r="206" ht="60" customHeight="1" s="104">
      <c r="A206" s="161" t="n">
        <v>202</v>
      </c>
      <c r="B206" s="162" t="inlineStr">
        <is>
          <t>Winner Medical 위너메디칼</t>
        </is>
      </c>
      <c r="C206" s="161" t="inlineStr">
        <is>
          <t>Not started</t>
        </is>
      </c>
      <c r="D206" s="161" t="inlineStr">
        <is>
          <t>General medical equipment. Medical device company.</t>
        </is>
      </c>
      <c r="E206" s="161" t="inlineStr">
        <is>
          <t>Not confirmed; ask on the first call</t>
        </is>
      </c>
      <c r="F206" s="161" t="inlineStr">
        <is>
          <t>Korea</t>
        </is>
      </c>
      <c r="G206" s="163" t="inlineStr">
        <is>
          <t>https://winnermedi.com</t>
        </is>
      </c>
      <c r="H206" s="161" t="inlineStr">
        <is>
          <t>Not published</t>
        </is>
      </c>
      <c r="I206" s="161" t="inlineStr">
        <is>
          <t>inform201901@naver.com</t>
        </is>
      </c>
      <c r="J206" s="161" t="inlineStr">
        <is>
          <t>Korea. Found via Web search, company site.</t>
        </is>
      </c>
      <c r="K206" s="164" t="inlineStr">
        <is>
          <t>A</t>
        </is>
      </c>
      <c r="L206" s="161" t="inlineStr">
        <is>
          <t>General medical equipment supplier with hospital and clinic accounts; can open ultrasound as a new line.</t>
        </is>
      </c>
      <c r="M206" s="161" t="inlineStr">
        <is>
          <t>SonoGO cart, SonoAir 70 handheld as a starter ultrasound line for a general hospital supplier</t>
        </is>
      </c>
      <c r="N206" s="173" t="n">
        <v>3</v>
      </c>
      <c r="O206" s="161" t="inlineStr">
        <is>
          <t>Tier 3: broad supplier or smaller reach; include in the email wave and follow up only on reply.</t>
        </is>
      </c>
      <c r="P206" s="161" t="inlineStr">
        <is>
          <t>Web search, company site; email read on the company site, 7 Oct 2026</t>
        </is>
      </c>
      <c r="Q206" s="161" t="n"/>
      <c r="R206" s="161" t="n"/>
      <c r="S206" s="165" t="inlineStr">
        <is>
          <t>Yes</t>
        </is>
      </c>
    </row>
    <row r="207" ht="60" customHeight="1" s="104">
      <c r="A207" s="161" t="n">
        <v>203</v>
      </c>
      <c r="B207" s="162" t="inlineStr">
        <is>
          <t>Onse Medical 온세메디칼</t>
        </is>
      </c>
      <c r="C207" s="161" t="inlineStr">
        <is>
          <t>Not started</t>
        </is>
      </c>
      <c r="D207" s="161" t="inlineStr">
        <is>
          <t>General medical equipment. Medical device company.</t>
        </is>
      </c>
      <c r="E207" s="161" t="inlineStr">
        <is>
          <t>Not confirmed; ask on the first call</t>
        </is>
      </c>
      <c r="F207" s="161" t="inlineStr">
        <is>
          <t>Korea</t>
        </is>
      </c>
      <c r="G207" s="163" t="inlineStr">
        <is>
          <t>https://onsemedical.co.kr</t>
        </is>
      </c>
      <c r="H207" s="161" t="inlineStr">
        <is>
          <t>Not published</t>
        </is>
      </c>
      <c r="I207" s="161" t="inlineStr">
        <is>
          <t>heart@onsemedical.co.kr</t>
        </is>
      </c>
      <c r="J207" s="161" t="inlineStr">
        <is>
          <t>Korea. Found via Web search, company site.</t>
        </is>
      </c>
      <c r="K207" s="164" t="inlineStr">
        <is>
          <t>A</t>
        </is>
      </c>
      <c r="L207" s="161" t="inlineStr">
        <is>
          <t>General medical equipment supplier with hospital and clinic accounts; can open ultrasound as a new line.</t>
        </is>
      </c>
      <c r="M207" s="161" t="inlineStr">
        <is>
          <t>SonoGO cart, SonoAir 70 handheld as a starter ultrasound line for a general hospital supplier</t>
        </is>
      </c>
      <c r="N207" s="173" t="n">
        <v>3</v>
      </c>
      <c r="O207" s="161" t="inlineStr">
        <is>
          <t>Tier 3: broad supplier or smaller reach; include in the email wave and follow up only on reply.</t>
        </is>
      </c>
      <c r="P207" s="161" t="inlineStr">
        <is>
          <t>Web search, company site; email read on the company site, 7 Oct 2026</t>
        </is>
      </c>
      <c r="Q207" s="161" t="n"/>
      <c r="R207" s="161" t="n"/>
      <c r="S207" s="165" t="inlineStr">
        <is>
          <t>Yes</t>
        </is>
      </c>
    </row>
    <row r="208" ht="60" customHeight="1" s="104">
      <c r="A208" s="161" t="n">
        <v>204</v>
      </c>
      <c r="B208" s="162" t="inlineStr">
        <is>
          <t>Busan Medical 부산의료기</t>
        </is>
      </c>
      <c r="C208" s="161" t="inlineStr">
        <is>
          <t>Not started</t>
        </is>
      </c>
      <c r="D208" s="161" t="inlineStr">
        <is>
          <t>General medical equipment. Busan medical device dealer.</t>
        </is>
      </c>
      <c r="E208" s="161" t="inlineStr">
        <is>
          <t>Not confirmed; ask on the first call</t>
        </is>
      </c>
      <c r="F208" s="161" t="inlineStr">
        <is>
          <t>Busan</t>
        </is>
      </c>
      <c r="G208" s="163" t="inlineStr">
        <is>
          <t>https://busanmedical.kr</t>
        </is>
      </c>
      <c r="H208" s="161" t="inlineStr">
        <is>
          <t>Not published</t>
        </is>
      </c>
      <c r="I208" s="161" t="inlineStr">
        <is>
          <t>jsj5801@naver.com</t>
        </is>
      </c>
      <c r="J208" s="161" t="inlineStr">
        <is>
          <t>Busan. Found via Web search, company site.</t>
        </is>
      </c>
      <c r="K208" s="164" t="inlineStr">
        <is>
          <t>A</t>
        </is>
      </c>
      <c r="L208" s="161" t="inlineStr">
        <is>
          <t>General medical equipment supplier with hospital and clinic accounts; can open ultrasound as a new line.</t>
        </is>
      </c>
      <c r="M208" s="161" t="inlineStr">
        <is>
          <t>SonoGO cart, SonoAir 70 handheld as a starter ultrasound line for a general hospital supplier</t>
        </is>
      </c>
      <c r="N208" s="173" t="n">
        <v>3</v>
      </c>
      <c r="O208" s="161" t="inlineStr">
        <is>
          <t>Tier 3: broad supplier or smaller reach; include in the email wave and follow up only on reply.</t>
        </is>
      </c>
      <c r="P208" s="161" t="inlineStr">
        <is>
          <t>Web search, company site; email read on the company site, 7 Oct 2026</t>
        </is>
      </c>
      <c r="Q208" s="161" t="n"/>
      <c r="R208" s="161" t="n"/>
      <c r="S208" s="165" t="inlineStr">
        <is>
          <t>Yes</t>
        </is>
      </c>
    </row>
    <row r="209" ht="60" customHeight="1" s="104">
      <c r="A209" s="161" t="n">
        <v>205</v>
      </c>
      <c r="B209" s="162" t="inlineStr">
        <is>
          <t>Shinhwa Health Medical 신화헬스앤드의료기</t>
        </is>
      </c>
      <c r="C209" s="161" t="inlineStr">
        <is>
          <t>Not started</t>
        </is>
      </c>
      <c r="D209" s="161" t="inlineStr">
        <is>
          <t>General medical equipment. Medical device dealer.</t>
        </is>
      </c>
      <c r="E209" s="161" t="inlineStr">
        <is>
          <t>Not confirmed; ask on the first call</t>
        </is>
      </c>
      <c r="F209" s="161" t="inlineStr">
        <is>
          <t>Korea</t>
        </is>
      </c>
      <c r="G209" s="163" t="inlineStr">
        <is>
          <t>https://shinhwamedical.com</t>
        </is>
      </c>
      <c r="H209" s="161" t="inlineStr">
        <is>
          <t>Not published</t>
        </is>
      </c>
      <c r="I209" s="161" t="inlineStr">
        <is>
          <t>sh93522@naver.com</t>
        </is>
      </c>
      <c r="J209" s="161" t="inlineStr">
        <is>
          <t>Korea. Found via Web search, company site.</t>
        </is>
      </c>
      <c r="K209" s="164" t="inlineStr">
        <is>
          <t>A</t>
        </is>
      </c>
      <c r="L209" s="161" t="inlineStr">
        <is>
          <t>General medical equipment supplier with hospital and clinic accounts; can open ultrasound as a new line.</t>
        </is>
      </c>
      <c r="M209" s="161" t="inlineStr">
        <is>
          <t>SonoGO cart, SonoAir 70 handheld as a starter ultrasound line for a general hospital supplier</t>
        </is>
      </c>
      <c r="N209" s="173" t="n">
        <v>3</v>
      </c>
      <c r="O209" s="161" t="inlineStr">
        <is>
          <t>Tier 3: broad supplier or smaller reach; include in the email wave and follow up only on reply.</t>
        </is>
      </c>
      <c r="P209" s="161" t="inlineStr">
        <is>
          <t>Web search, company site; email read on the company site, 7 Oct 2026</t>
        </is>
      </c>
      <c r="Q209" s="161" t="n"/>
      <c r="R209" s="161" t="n"/>
      <c r="S209" s="165" t="inlineStr">
        <is>
          <t>Yes</t>
        </is>
      </c>
    </row>
    <row r="210" ht="60" customHeight="1" s="104">
      <c r="A210" s="161" t="n">
        <v>206</v>
      </c>
      <c r="B210" s="162" t="inlineStr">
        <is>
          <t>Sesang Medical 세상의료기</t>
        </is>
      </c>
      <c r="C210" s="161" t="inlineStr">
        <is>
          <t>Not started</t>
        </is>
      </c>
      <c r="D210" s="161" t="inlineStr">
        <is>
          <t>General medical equipment. Medical device dealer.</t>
        </is>
      </c>
      <c r="E210" s="161" t="inlineStr">
        <is>
          <t>Not confirmed; ask on the first call</t>
        </is>
      </c>
      <c r="F210" s="161" t="inlineStr">
        <is>
          <t>Korea</t>
        </is>
      </c>
      <c r="G210" s="163" t="inlineStr">
        <is>
          <t>https://1243.co.kr</t>
        </is>
      </c>
      <c r="H210" s="161" t="inlineStr">
        <is>
          <t>Not published</t>
        </is>
      </c>
      <c r="I210" s="161" t="inlineStr">
        <is>
          <t>ssmed2004@naver.com</t>
        </is>
      </c>
      <c r="J210" s="161" t="inlineStr">
        <is>
          <t>Korea. Found via Web search, company site.</t>
        </is>
      </c>
      <c r="K210" s="164" t="inlineStr">
        <is>
          <t>A</t>
        </is>
      </c>
      <c r="L210" s="161" t="inlineStr">
        <is>
          <t>General medical equipment supplier with hospital and clinic accounts; can open ultrasound as a new line.</t>
        </is>
      </c>
      <c r="M210" s="161" t="inlineStr">
        <is>
          <t>SonoGO cart, SonoAir 70 handheld as a starter ultrasound line for a general hospital supplier</t>
        </is>
      </c>
      <c r="N210" s="173" t="n">
        <v>3</v>
      </c>
      <c r="O210" s="161" t="inlineStr">
        <is>
          <t>Tier 3: broad supplier or smaller reach; include in the email wave and follow up only on reply.</t>
        </is>
      </c>
      <c r="P210" s="161" t="inlineStr">
        <is>
          <t>Web search, company site; email read on the company site, 7 Oct 2026</t>
        </is>
      </c>
      <c r="Q210" s="161" t="n"/>
      <c r="R210" s="161" t="n"/>
      <c r="S210" s="165" t="inlineStr">
        <is>
          <t>Yes</t>
        </is>
      </c>
    </row>
    <row r="211" ht="60" customHeight="1" s="104">
      <c r="A211" s="161" t="n">
        <v>207</v>
      </c>
      <c r="B211" s="162" t="inlineStr">
        <is>
          <t>Daeho Medical 대호메디칼</t>
        </is>
      </c>
      <c r="C211" s="161" t="inlineStr">
        <is>
          <t>Not started</t>
        </is>
      </c>
      <c r="D211" s="161" t="inlineStr">
        <is>
          <t>General medical equipment. Medical device company.</t>
        </is>
      </c>
      <c r="E211" s="161" t="inlineStr">
        <is>
          <t>Not confirmed; ask on the first call</t>
        </is>
      </c>
      <c r="F211" s="161" t="inlineStr">
        <is>
          <t>Korea</t>
        </is>
      </c>
      <c r="G211" s="163" t="inlineStr">
        <is>
          <t>https://daehomedical.com</t>
        </is>
      </c>
      <c r="H211" s="161" t="inlineStr">
        <is>
          <t>Not published</t>
        </is>
      </c>
      <c r="I211" s="161" t="inlineStr">
        <is>
          <t>eunbyul.park@daehomedical.com</t>
        </is>
      </c>
      <c r="J211" s="161" t="inlineStr">
        <is>
          <t>Korea. Found via Web search, company site.</t>
        </is>
      </c>
      <c r="K211" s="164" t="inlineStr">
        <is>
          <t>A</t>
        </is>
      </c>
      <c r="L211" s="161" t="inlineStr">
        <is>
          <t>General medical equipment supplier with hospital and clinic accounts; can open ultrasound as a new line.</t>
        </is>
      </c>
      <c r="M211" s="161" t="inlineStr">
        <is>
          <t>SonoGO cart, SonoAir 70 handheld as a starter ultrasound line for a general hospital supplier</t>
        </is>
      </c>
      <c r="N211" s="173" t="n">
        <v>3</v>
      </c>
      <c r="O211" s="161" t="inlineStr">
        <is>
          <t>Tier 3: broad supplier or smaller reach; include in the email wave and follow up only on reply.</t>
        </is>
      </c>
      <c r="P211" s="161" t="inlineStr">
        <is>
          <t>Web search, company site; email read on the company site, 7 Oct 2026. Address is a named staff mailbox published on the site; no decision maker verified.</t>
        </is>
      </c>
      <c r="Q211" s="161" t="n"/>
      <c r="R211" s="161" t="n"/>
      <c r="S211" s="165" t="inlineStr">
        <is>
          <t>Yes</t>
        </is>
      </c>
    </row>
    <row r="212" ht="60" customHeight="1" s="104">
      <c r="A212" s="161" t="n">
        <v>208</v>
      </c>
      <c r="B212" s="162" t="inlineStr">
        <is>
          <t>Megamed 메가메드</t>
        </is>
      </c>
      <c r="C212" s="161" t="inlineStr">
        <is>
          <t>Not started</t>
        </is>
      </c>
      <c r="D212" s="161" t="inlineStr">
        <is>
          <t>General medical equipment. Medical device dealer.</t>
        </is>
      </c>
      <c r="E212" s="161" t="inlineStr">
        <is>
          <t>Not confirmed; ask on the first call</t>
        </is>
      </c>
      <c r="F212" s="161" t="inlineStr">
        <is>
          <t>Korea</t>
        </is>
      </c>
      <c r="G212" s="163" t="inlineStr">
        <is>
          <t>https://megamed.kr</t>
        </is>
      </c>
      <c r="H212" s="161" t="inlineStr">
        <is>
          <t>Not published</t>
        </is>
      </c>
      <c r="I212" s="161" t="inlineStr">
        <is>
          <t>master@megamed.kr</t>
        </is>
      </c>
      <c r="J212" s="161" t="inlineStr">
        <is>
          <t>Korea. Found via Web search, company site.</t>
        </is>
      </c>
      <c r="K212" s="164" t="inlineStr">
        <is>
          <t>A</t>
        </is>
      </c>
      <c r="L212" s="161" t="inlineStr">
        <is>
          <t>General medical equipment supplier with hospital and clinic accounts; can open ultrasound as a new line.</t>
        </is>
      </c>
      <c r="M212" s="161" t="inlineStr">
        <is>
          <t>SonoGO cart, SonoAir 70 handheld as a starter ultrasound line for a general hospital supplier</t>
        </is>
      </c>
      <c r="N212" s="173" t="n">
        <v>3</v>
      </c>
      <c r="O212" s="161" t="inlineStr">
        <is>
          <t>Tier 3: broad supplier or smaller reach; include in the email wave and follow up only on reply.</t>
        </is>
      </c>
      <c r="P212" s="161" t="inlineStr">
        <is>
          <t>Web search, company site; email read on the company site, 7 Oct 2026</t>
        </is>
      </c>
      <c r="Q212" s="161" t="n"/>
      <c r="R212" s="161" t="n"/>
      <c r="S212" s="165" t="inlineStr">
        <is>
          <t>Yes</t>
        </is>
      </c>
    </row>
    <row r="213" ht="60" customHeight="1" s="104">
      <c r="A213" s="161" t="n">
        <v>209</v>
      </c>
      <c r="B213" s="162" t="inlineStr">
        <is>
          <t>Onecare 원케어</t>
        </is>
      </c>
      <c r="C213" s="161" t="inlineStr">
        <is>
          <t>Not started</t>
        </is>
      </c>
      <c r="D213" s="161" t="inlineStr">
        <is>
          <t>General medical equipment. Medical device dealer.</t>
        </is>
      </c>
      <c r="E213" s="161" t="inlineStr">
        <is>
          <t>Not confirmed; ask on the first call</t>
        </is>
      </c>
      <c r="F213" s="161" t="inlineStr">
        <is>
          <t>Korea</t>
        </is>
      </c>
      <c r="G213" s="163" t="inlineStr">
        <is>
          <t>https://onecaremedi.com</t>
        </is>
      </c>
      <c r="H213" s="161" t="inlineStr">
        <is>
          <t>Not published</t>
        </is>
      </c>
      <c r="I213" s="161" t="inlineStr">
        <is>
          <t>woncare9191@naver.com</t>
        </is>
      </c>
      <c r="J213" s="161" t="inlineStr">
        <is>
          <t>Korea. Found via Web search, company site.</t>
        </is>
      </c>
      <c r="K213" s="164" t="inlineStr">
        <is>
          <t>A</t>
        </is>
      </c>
      <c r="L213" s="161" t="inlineStr">
        <is>
          <t>General medical equipment supplier with hospital and clinic accounts; can open ultrasound as a new line.</t>
        </is>
      </c>
      <c r="M213" s="161" t="inlineStr">
        <is>
          <t>SonoGO cart, SonoAir 70 handheld as a starter ultrasound line for a general hospital supplier</t>
        </is>
      </c>
      <c r="N213" s="173" t="n">
        <v>3</v>
      </c>
      <c r="O213" s="161" t="inlineStr">
        <is>
          <t>Tier 3: broad supplier or smaller reach; include in the email wave and follow up only on reply.</t>
        </is>
      </c>
      <c r="P213" s="161" t="inlineStr">
        <is>
          <t>Web search, company site; email read on the company site, 7 Oct 2026</t>
        </is>
      </c>
      <c r="Q213" s="161" t="n"/>
      <c r="R213" s="161" t="n"/>
      <c r="S213" s="165" t="inlineStr">
        <is>
          <t>Yes</t>
        </is>
      </c>
    </row>
    <row r="214" ht="60" customHeight="1" s="104">
      <c r="A214" s="161" t="n">
        <v>210</v>
      </c>
      <c r="B214" s="162" t="inlineStr">
        <is>
          <t>Wonju Medical 원주의료기</t>
        </is>
      </c>
      <c r="C214" s="161" t="inlineStr">
        <is>
          <t>Not started</t>
        </is>
      </c>
      <c r="D214" s="161" t="inlineStr">
        <is>
          <t>General medical equipment. Wonju medical device dealer.</t>
        </is>
      </c>
      <c r="E214" s="161" t="inlineStr">
        <is>
          <t>Not confirmed; ask on the first call</t>
        </is>
      </c>
      <c r="F214" s="161" t="inlineStr">
        <is>
          <t>Wonju</t>
        </is>
      </c>
      <c r="G214" s="163" t="inlineStr">
        <is>
          <t>https://wonjumedical.co.kr</t>
        </is>
      </c>
      <c r="H214" s="161" t="inlineStr">
        <is>
          <t>Not published</t>
        </is>
      </c>
      <c r="I214" s="161" t="inlineStr">
        <is>
          <t>kmn1711@naver.com</t>
        </is>
      </c>
      <c r="J214" s="161" t="inlineStr">
        <is>
          <t>Wonju. Found via Web search, company site.</t>
        </is>
      </c>
      <c r="K214" s="164" t="inlineStr">
        <is>
          <t>A</t>
        </is>
      </c>
      <c r="L214" s="161" t="inlineStr">
        <is>
          <t>General medical equipment supplier with hospital and clinic accounts; can open ultrasound as a new line.</t>
        </is>
      </c>
      <c r="M214" s="161" t="inlineStr">
        <is>
          <t>SonoGO cart, SonoAir 70 handheld as a starter ultrasound line for a general hospital supplier</t>
        </is>
      </c>
      <c r="N214" s="173" t="n">
        <v>3</v>
      </c>
      <c r="O214" s="161" t="inlineStr">
        <is>
          <t>Tier 3: broad supplier or smaller reach; include in the email wave and follow up only on reply.</t>
        </is>
      </c>
      <c r="P214" s="161" t="inlineStr">
        <is>
          <t>Web search, company site; email read on the company site, 7 Oct 2026</t>
        </is>
      </c>
      <c r="Q214" s="161" t="n"/>
      <c r="R214" s="161" t="n"/>
      <c r="S214" s="165" t="inlineStr">
        <is>
          <t>Yes</t>
        </is>
      </c>
    </row>
    <row r="215" ht="60" customHeight="1" s="104">
      <c r="A215" s="161" t="n">
        <v>211</v>
      </c>
      <c r="B215" s="162" t="inlineStr">
        <is>
          <t>Findmed 파인드메드</t>
        </is>
      </c>
      <c r="C215" s="161" t="inlineStr">
        <is>
          <t>Not started</t>
        </is>
      </c>
      <c r="D215" s="161" t="inlineStr">
        <is>
          <t>Clinic and primary care supply. Medical device sourcing platform.</t>
        </is>
      </c>
      <c r="E215" s="161" t="inlineStr">
        <is>
          <t>Not confirmed; ask on the first call</t>
        </is>
      </c>
      <c r="F215" s="161" t="inlineStr">
        <is>
          <t>Korea</t>
        </is>
      </c>
      <c r="G215" s="163" t="inlineStr">
        <is>
          <t>https://findmed.co.kr</t>
        </is>
      </c>
      <c r="H215" s="161" t="inlineStr">
        <is>
          <t>Not published</t>
        </is>
      </c>
      <c r="I215" s="161" t="inlineStr">
        <is>
          <t>findmed@findmed.co.kr</t>
        </is>
      </c>
      <c r="J215" s="161" t="inlineStr">
        <is>
          <t>Korea. Found via Web search, company site.</t>
        </is>
      </c>
      <c r="K215" s="164" t="inlineStr">
        <is>
          <t>A</t>
        </is>
      </c>
      <c r="L215" s="161" t="inlineStr">
        <is>
          <t>Clinic channel, the end user James flagged as the opening (GPs and small clinics); SonoAir is a wireless handheld that Mindray does not offer.</t>
        </is>
      </c>
      <c r="M215" s="161" t="inlineStr">
        <is>
          <t>SonoAir 30, SonoEye P3 for primary care; SonoGO for new clinic opening packages</t>
        </is>
      </c>
      <c r="N215" s="173" t="n">
        <v>3</v>
      </c>
      <c r="O215" s="161" t="inlineStr">
        <is>
          <t>Tier 3: broad supplier or smaller reach; include in the email wave and follow up only on reply.</t>
        </is>
      </c>
      <c r="P215" s="161" t="inlineStr">
        <is>
          <t>Web search, company site; email read on the company site, 7 Oct 2026</t>
        </is>
      </c>
      <c r="Q215" s="161" t="n"/>
      <c r="R215" s="161" t="n"/>
      <c r="S215" s="165" t="inlineStr">
        <is>
          <t>Yes</t>
        </is>
      </c>
    </row>
    <row r="216" ht="60" customHeight="1" s="104">
      <c r="A216" s="161" t="n">
        <v>212</v>
      </c>
      <c r="B216" s="162" t="inlineStr">
        <is>
          <t>KOA Corporation 코아코퍼레이션</t>
        </is>
      </c>
      <c r="C216" s="161" t="inlineStr">
        <is>
          <t>Not started</t>
        </is>
      </c>
      <c r="D216" s="161" t="inlineStr">
        <is>
          <t>General medical equipment. Medical device company.</t>
        </is>
      </c>
      <c r="E216" s="161" t="inlineStr">
        <is>
          <t>Not confirmed; ask on the first call</t>
        </is>
      </c>
      <c r="F216" s="161" t="inlineStr">
        <is>
          <t>Korea</t>
        </is>
      </c>
      <c r="G216" s="163" t="inlineStr">
        <is>
          <t>https://koacorp.kr</t>
        </is>
      </c>
      <c r="H216" s="161" t="inlineStr">
        <is>
          <t>Not published</t>
        </is>
      </c>
      <c r="I216" s="161" t="inlineStr">
        <is>
          <t>dslim@koacorp.kr</t>
        </is>
      </c>
      <c r="J216" s="161" t="inlineStr">
        <is>
          <t>Korea. Found via Web search, company site.</t>
        </is>
      </c>
      <c r="K216" s="164" t="inlineStr">
        <is>
          <t>A</t>
        </is>
      </c>
      <c r="L216" s="161" t="inlineStr">
        <is>
          <t>General medical equipment supplier with hospital and clinic accounts; can open ultrasound as a new line.</t>
        </is>
      </c>
      <c r="M216" s="161" t="inlineStr">
        <is>
          <t>SonoGO cart, SonoAir 70 handheld as a starter ultrasound line for a general hospital supplier</t>
        </is>
      </c>
      <c r="N216" s="173" t="n">
        <v>3</v>
      </c>
      <c r="O216" s="161" t="inlineStr">
        <is>
          <t>Tier 3: broad supplier or smaller reach; include in the email wave and follow up only on reply.</t>
        </is>
      </c>
      <c r="P216" s="161" t="inlineStr">
        <is>
          <t>Web search, company site; email read on the company site, 7 Oct 2026</t>
        </is>
      </c>
      <c r="Q216" s="161" t="n"/>
      <c r="R216" s="161" t="n"/>
      <c r="S216" s="165" t="inlineStr">
        <is>
          <t>Yes</t>
        </is>
      </c>
    </row>
    <row r="217" ht="60" customHeight="1" s="104">
      <c r="A217" s="161" t="n">
        <v>213</v>
      </c>
      <c r="B217" s="162" t="inlineStr">
        <is>
          <t>Seoul Jongno Medical 서울종로의료기</t>
        </is>
      </c>
      <c r="C217" s="161" t="inlineStr">
        <is>
          <t>Not started</t>
        </is>
      </c>
      <c r="D217" s="161" t="inlineStr">
        <is>
          <t>General medical equipment. Jongno medical device dealer and online shop.</t>
        </is>
      </c>
      <c r="E217" s="161" t="inlineStr">
        <is>
          <t>Not confirmed; ask on the first call</t>
        </is>
      </c>
      <c r="F217" s="161" t="inlineStr">
        <is>
          <t>Seoul Jongno</t>
        </is>
      </c>
      <c r="G217" s="163" t="inlineStr">
        <is>
          <t>https://jongnomedi.com</t>
        </is>
      </c>
      <c r="H217" s="161" t="inlineStr">
        <is>
          <t>Not published</t>
        </is>
      </c>
      <c r="I217" s="161" t="inlineStr">
        <is>
          <t>habin0929@naver.com</t>
        </is>
      </c>
      <c r="J217" s="161" t="inlineStr">
        <is>
          <t>Seoul Jongno. Found via Web search, company site.</t>
        </is>
      </c>
      <c r="K217" s="164" t="inlineStr">
        <is>
          <t>A</t>
        </is>
      </c>
      <c r="L217" s="161" t="inlineStr">
        <is>
          <t>General medical equipment supplier with hospital and clinic accounts; can open ultrasound as a new line.</t>
        </is>
      </c>
      <c r="M217" s="161" t="inlineStr">
        <is>
          <t>SonoGO cart, SonoAir 70 handheld as a starter ultrasound line for a general hospital supplier</t>
        </is>
      </c>
      <c r="N217" s="173" t="n">
        <v>3</v>
      </c>
      <c r="O217" s="161" t="inlineStr">
        <is>
          <t>Tier 3: broad supplier or smaller reach; include in the email wave and follow up only on reply.</t>
        </is>
      </c>
      <c r="P217" s="161" t="inlineStr">
        <is>
          <t>Web search, company site; email read on the company site, 7 Oct 2026</t>
        </is>
      </c>
      <c r="Q217" s="161" t="n"/>
      <c r="R217" s="161" t="n"/>
      <c r="S217" s="165" t="inlineStr">
        <is>
          <t>Yes</t>
        </is>
      </c>
    </row>
    <row r="218" ht="60" customHeight="1" s="104">
      <c r="A218" s="161" t="n">
        <v>214</v>
      </c>
      <c r="B218" s="162" t="inlineStr">
        <is>
          <t>Yacson 약손닷컴</t>
        </is>
      </c>
      <c r="C218" s="161" t="inlineStr">
        <is>
          <t>Not started</t>
        </is>
      </c>
      <c r="D218" s="161" t="inlineStr">
        <is>
          <t>General medical equipment. Jongno medical device retailer, 49 years.</t>
        </is>
      </c>
      <c r="E218" s="161" t="inlineStr">
        <is>
          <t>Not confirmed; ask on the first call</t>
        </is>
      </c>
      <c r="F218" s="161" t="inlineStr">
        <is>
          <t>Seoul Jongno</t>
        </is>
      </c>
      <c r="G218" s="163" t="inlineStr">
        <is>
          <t>https://yacson.com</t>
        </is>
      </c>
      <c r="H218" s="161" t="inlineStr">
        <is>
          <t>Not published</t>
        </is>
      </c>
      <c r="I218" s="161" t="inlineStr">
        <is>
          <t>yacson@yacson.com</t>
        </is>
      </c>
      <c r="J218" s="161" t="inlineStr">
        <is>
          <t>Seoul Jongno. Found via Web search, company site.</t>
        </is>
      </c>
      <c r="K218" s="164" t="inlineStr">
        <is>
          <t>C</t>
        </is>
      </c>
      <c r="L218" s="161" t="inlineStr">
        <is>
          <t>General medical equipment supplier with hospital and clinic accounts; can open ultrasound as a new line.</t>
        </is>
      </c>
      <c r="M218" s="161" t="inlineStr">
        <is>
          <t>SonoGO cart, SonoAir 70 handheld as a starter ultrasound line for a general hospital supplier</t>
        </is>
      </c>
      <c r="N218" s="173" t="n">
        <v>3</v>
      </c>
      <c r="O218" s="161" t="inlineStr">
        <is>
          <t>Tier 3: broad supplier or smaller reach; include in the email wave and follow up only on reply.</t>
        </is>
      </c>
      <c r="P218" s="161" t="inlineStr">
        <is>
          <t>Web search, company site; email search result of the company page, 7 Oct 2026</t>
        </is>
      </c>
      <c r="Q218" s="161" t="n"/>
      <c r="R218" s="161" t="n"/>
      <c r="S218" s="165" t="inlineStr">
        <is>
          <t>Yes</t>
        </is>
      </c>
    </row>
    <row r="219" ht="60" customHeight="1" s="104">
      <c r="A219" s="161" t="n">
        <v>215</v>
      </c>
      <c r="B219" s="162" t="inlineStr">
        <is>
          <t>Wooyang Medical 우양메디칼</t>
        </is>
      </c>
      <c r="C219" s="161" t="inlineStr">
        <is>
          <t>Not started</t>
        </is>
      </c>
      <c r="D219" s="161" t="inlineStr">
        <is>
          <t>Surgical, OR and anaesthesia. Surgical instrument supplier since 1984 (Miltex).</t>
        </is>
      </c>
      <c r="E219" s="161" t="inlineStr">
        <is>
          <t>Not confirmed; ask on the first call</t>
        </is>
      </c>
      <c r="F219" s="161" t="inlineStr">
        <is>
          <t>Korea</t>
        </is>
      </c>
      <c r="G219" s="163" t="inlineStr">
        <is>
          <t>https://wymed.co.kr</t>
        </is>
      </c>
      <c r="H219" s="161" t="inlineStr">
        <is>
          <t>Not published</t>
        </is>
      </c>
      <c r="I219" s="161" t="inlineStr">
        <is>
          <t>logi@wymed.co.kr</t>
        </is>
      </c>
      <c r="J219" s="161" t="inlineStr">
        <is>
          <t>Korea. Found via Web search, company site.</t>
        </is>
      </c>
      <c r="K219" s="164" t="inlineStr">
        <is>
          <t>A</t>
        </is>
      </c>
      <c r="L219" s="161" t="inlineStr">
        <is>
          <t>Theatre and anaesthesia accounts are the entry point for point of care ultrasound (nerve block, vascular access).</t>
        </is>
      </c>
      <c r="M219" s="161" t="inlineStr">
        <is>
          <t>SonoTouch tablet, SonoEye P3 for nerve block and vascular access in theatre</t>
        </is>
      </c>
      <c r="N219" s="173" t="n">
        <v>3</v>
      </c>
      <c r="O219" s="161" t="inlineStr">
        <is>
          <t>Tier 3: broad supplier or smaller reach; include in the email wave and follow up only on reply.</t>
        </is>
      </c>
      <c r="P219" s="161" t="inlineStr">
        <is>
          <t>Web search, company site; email read on the company site, 7 Oct 2026. Address is the logistics mailbox; ask for it to be passed to sales.</t>
        </is>
      </c>
      <c r="Q219" s="161" t="n"/>
      <c r="R219" s="161" t="n"/>
      <c r="S219" s="165" t="inlineStr">
        <is>
          <t>Yes</t>
        </is>
      </c>
    </row>
    <row r="220" ht="60" customHeight="1" s="104">
      <c r="A220" s="161" t="n">
        <v>216</v>
      </c>
      <c r="B220" s="162" t="inlineStr">
        <is>
          <t>Myungmun Medical 명문의료기</t>
        </is>
      </c>
      <c r="C220" s="161" t="inlineStr">
        <is>
          <t>Not started</t>
        </is>
      </c>
      <c r="D220" s="161" t="inlineStr">
        <is>
          <t>Emergency, ambulance. Emergency, training and health supplies.</t>
        </is>
      </c>
      <c r="E220" s="161" t="inlineStr">
        <is>
          <t>Not confirmed; ask on the first call</t>
        </is>
      </c>
      <c r="F220" s="161" t="inlineStr">
        <is>
          <t>Korea</t>
        </is>
      </c>
      <c r="G220" s="163" t="inlineStr">
        <is>
          <t>https://mymedical.co.kr</t>
        </is>
      </c>
      <c r="H220" s="161" t="inlineStr">
        <is>
          <t>Not published</t>
        </is>
      </c>
      <c r="I220" s="161" t="inlineStr">
        <is>
          <t>mymoon2015@naver.com</t>
        </is>
      </c>
      <c r="J220" s="161" t="inlineStr">
        <is>
          <t>Korea. Found via Web search, company site.</t>
        </is>
      </c>
      <c r="K220" s="164" t="inlineStr">
        <is>
          <t>A</t>
        </is>
      </c>
      <c r="L220" s="161" t="inlineStr">
        <is>
          <t>Emergency and ambulance buyers need rugged handheld POCUS.</t>
        </is>
      </c>
      <c r="M220" s="161" t="inlineStr">
        <is>
          <t>SonoEye P3 for FAST and point of care in emergency and ambulance</t>
        </is>
      </c>
      <c r="N220" s="173" t="n">
        <v>3</v>
      </c>
      <c r="O220" s="161" t="inlineStr">
        <is>
          <t>Tier 3: broad supplier or smaller reach; include in the email wave and follow up only on reply.</t>
        </is>
      </c>
      <c r="P220" s="161" t="inlineStr">
        <is>
          <t>Web search, company site; email read on the company site, 7 Oct 2026</t>
        </is>
      </c>
      <c r="Q220" s="161" t="n"/>
      <c r="R220" s="161" t="n"/>
      <c r="S220" s="165" t="inlineStr">
        <is>
          <t>Yes</t>
        </is>
      </c>
    </row>
    <row r="221" ht="60" customHeight="1" s="104">
      <c r="A221" s="161" t="n">
        <v>217</v>
      </c>
      <c r="B221" s="162" t="inlineStr">
        <is>
          <t>Samwon Medical 삼원의료기</t>
        </is>
      </c>
      <c r="C221" s="161" t="inlineStr">
        <is>
          <t>Not started</t>
        </is>
      </c>
      <c r="D221" s="161" t="inlineStr">
        <is>
          <t>General medical equipment. Medical device dealer; KMDDA Seoul board member.</t>
        </is>
      </c>
      <c r="E221" s="161" t="inlineStr">
        <is>
          <t>Not confirmed; ask on the first call</t>
        </is>
      </c>
      <c r="F221" s="161" t="inlineStr">
        <is>
          <t>Korea</t>
        </is>
      </c>
      <c r="G221" s="163" t="inlineStr">
        <is>
          <t>https://samwonmedi.co.kr</t>
        </is>
      </c>
      <c r="H221" s="161" t="inlineStr">
        <is>
          <t>Not published</t>
        </is>
      </c>
      <c r="I221" s="161" t="inlineStr">
        <is>
          <t>help@samwonmedi.co.kr</t>
        </is>
      </c>
      <c r="J221" s="161" t="inlineStr">
        <is>
          <t>Korea. Found via Web search, company site.</t>
        </is>
      </c>
      <c r="K221" s="164" t="inlineStr">
        <is>
          <t>A</t>
        </is>
      </c>
      <c r="L221" s="161" t="inlineStr">
        <is>
          <t>General medical equipment supplier with hospital and clinic accounts; can open ultrasound as a new line.</t>
        </is>
      </c>
      <c r="M221" s="161" t="inlineStr">
        <is>
          <t>SonoGO cart, SonoAir 70 handheld as a starter ultrasound line for a general hospital supplier</t>
        </is>
      </c>
      <c r="N221" s="173" t="n">
        <v>3</v>
      </c>
      <c r="O221" s="161" t="inlineStr">
        <is>
          <t>Tier 3: broad supplier or smaller reach; include in the email wave and follow up only on reply.</t>
        </is>
      </c>
      <c r="P221" s="161" t="inlineStr">
        <is>
          <t>Web search, company site; email read on the company site, 7 Oct 2026</t>
        </is>
      </c>
      <c r="Q221" s="161" t="n"/>
      <c r="R221" s="161" t="n"/>
      <c r="S221" s="165" t="inlineStr">
        <is>
          <t>Yes</t>
        </is>
      </c>
    </row>
    <row r="222" ht="60" customHeight="1" s="104">
      <c r="A222" s="161" t="n">
        <v>218</v>
      </c>
      <c r="B222" s="162" t="inlineStr">
        <is>
          <t>SH Medical 에스에이치메디칼</t>
        </is>
      </c>
      <c r="C222" s="161" t="inlineStr">
        <is>
          <t>Not started</t>
        </is>
      </c>
      <c r="D222" s="161" t="inlineStr">
        <is>
          <t>General medical equipment. Device maker and importer.</t>
        </is>
      </c>
      <c r="E222" s="161" t="inlineStr">
        <is>
          <t>Not confirmed; ask on the first call</t>
        </is>
      </c>
      <c r="F222" s="161" t="inlineStr">
        <is>
          <t>Korea</t>
        </is>
      </c>
      <c r="G222" s="163" t="inlineStr">
        <is>
          <t>https://shmedical.co.kr</t>
        </is>
      </c>
      <c r="H222" s="161" t="inlineStr">
        <is>
          <t>Not published</t>
        </is>
      </c>
      <c r="I222" s="161" t="inlineStr">
        <is>
          <t>sh_medical@nate.com</t>
        </is>
      </c>
      <c r="J222" s="161" t="inlineStr">
        <is>
          <t>Korea. Found via Web search, company site.</t>
        </is>
      </c>
      <c r="K222" s="164" t="inlineStr">
        <is>
          <t>A</t>
        </is>
      </c>
      <c r="L222" s="161" t="inlineStr">
        <is>
          <t>General medical equipment supplier with hospital and clinic accounts; can open ultrasound as a new line.</t>
        </is>
      </c>
      <c r="M222" s="161" t="inlineStr">
        <is>
          <t>SonoGO cart, SonoAir 70 handheld as a starter ultrasound line for a general hospital supplier</t>
        </is>
      </c>
      <c r="N222" s="173" t="n">
        <v>3</v>
      </c>
      <c r="O222" s="161" t="inlineStr">
        <is>
          <t>Tier 3: broad supplier or smaller reach; include in the email wave and follow up only on reply.</t>
        </is>
      </c>
      <c r="P222" s="161" t="inlineStr">
        <is>
          <t>Web search, company site; email read on the company site, 7 Oct 2026</t>
        </is>
      </c>
      <c r="Q222" s="161" t="n"/>
      <c r="R222" s="161" t="n"/>
      <c r="S222" s="165" t="inlineStr">
        <is>
          <t>Yes</t>
        </is>
      </c>
    </row>
    <row r="223" ht="60" customHeight="1" s="104">
      <c r="A223" s="161" t="n">
        <v>219</v>
      </c>
      <c r="B223" s="162" t="inlineStr">
        <is>
          <t>Chunghoon 청훈비즈</t>
        </is>
      </c>
      <c r="C223" s="161" t="inlineStr">
        <is>
          <t>Not started</t>
        </is>
      </c>
      <c r="D223" s="161" t="inlineStr">
        <is>
          <t>General medical equipment. Medical device wholesale mall.</t>
        </is>
      </c>
      <c r="E223" s="161" t="inlineStr">
        <is>
          <t>Not confirmed; ask on the first call</t>
        </is>
      </c>
      <c r="F223" s="161" t="inlineStr">
        <is>
          <t>Korea</t>
        </is>
      </c>
      <c r="G223" s="163" t="inlineStr">
        <is>
          <t>https://basici.co.kr</t>
        </is>
      </c>
      <c r="H223" s="161" t="inlineStr">
        <is>
          <t>Not published</t>
        </is>
      </c>
      <c r="I223" s="161" t="inlineStr">
        <is>
          <t>ch13150@naver.com</t>
        </is>
      </c>
      <c r="J223" s="161" t="inlineStr">
        <is>
          <t>Korea. Found via Web search, company site.</t>
        </is>
      </c>
      <c r="K223" s="164" t="inlineStr">
        <is>
          <t>A</t>
        </is>
      </c>
      <c r="L223" s="161" t="inlineStr">
        <is>
          <t>General medical equipment supplier with hospital and clinic accounts; can open ultrasound as a new line.</t>
        </is>
      </c>
      <c r="M223" s="161" t="inlineStr">
        <is>
          <t>SonoGO cart, SonoAir 70 handheld as a starter ultrasound line for a general hospital supplier</t>
        </is>
      </c>
      <c r="N223" s="173" t="n">
        <v>3</v>
      </c>
      <c r="O223" s="161" t="inlineStr">
        <is>
          <t>Tier 3: broad supplier or smaller reach; include in the email wave and follow up only on reply.</t>
        </is>
      </c>
      <c r="P223" s="161" t="inlineStr">
        <is>
          <t>Web search, company site; email read on the company site, 7 Oct 2026</t>
        </is>
      </c>
      <c r="Q223" s="161" t="n"/>
      <c r="R223" s="161" t="n"/>
      <c r="S223" s="165" t="inlineStr">
        <is>
          <t>Yes</t>
        </is>
      </c>
    </row>
    <row r="224" ht="60" customHeight="1" s="104">
      <c r="A224" s="161" t="n">
        <v>220</v>
      </c>
      <c r="B224" s="162" t="inlineStr">
        <is>
          <t>MPT Tech MPT</t>
        </is>
      </c>
      <c r="C224" s="161" t="inlineStr">
        <is>
          <t>Not started</t>
        </is>
      </c>
      <c r="D224" s="161" t="inlineStr">
        <is>
          <t>Orthopaedic, rehab, pain. Physiotherapy device dealer.</t>
        </is>
      </c>
      <c r="E224" s="161" t="inlineStr">
        <is>
          <t>Not confirmed; ask on the first call</t>
        </is>
      </c>
      <c r="F224" s="161" t="inlineStr">
        <is>
          <t>Korea</t>
        </is>
      </c>
      <c r="G224" s="163" t="inlineStr">
        <is>
          <t>https://mpttech.co.kr</t>
        </is>
      </c>
      <c r="H224" s="161" t="inlineStr">
        <is>
          <t>Not published</t>
        </is>
      </c>
      <c r="I224" s="161" t="inlineStr">
        <is>
          <t>well@wellnesson.co.kr</t>
        </is>
      </c>
      <c r="J224" s="161" t="inlineStr">
        <is>
          <t>Korea. Found via Web search, company site.</t>
        </is>
      </c>
      <c r="K224" s="164" t="inlineStr">
        <is>
          <t>A</t>
        </is>
      </c>
      <c r="L224" s="161" t="inlineStr">
        <is>
          <t>Orthopaedic, rehab and pain clinics buy linear probe ultrasound for injection guidance; CHISON linear image quality is the edge.</t>
        </is>
      </c>
      <c r="M224" s="161" t="inlineStr">
        <is>
          <t>SonoEye P5 linear, SonoAir 30/70 for orthopaedic, rehab and pain clinics</t>
        </is>
      </c>
      <c r="N224" s="173" t="n">
        <v>3</v>
      </c>
      <c r="O224" s="161" t="inlineStr">
        <is>
          <t>Tier 3: broad supplier or smaller reach; include in the email wave and follow up only on reply.</t>
        </is>
      </c>
      <c r="P224" s="161" t="inlineStr">
        <is>
          <t>Web search, company site; email read on the company site; email domain differs from the website, confirm, 7 Oct 2026</t>
        </is>
      </c>
      <c r="Q224" s="161" t="n"/>
      <c r="R224" s="161" t="n"/>
      <c r="S224" s="165" t="inlineStr">
        <is>
          <t>Yes</t>
        </is>
      </c>
    </row>
    <row r="225" ht="60" customHeight="1" s="104">
      <c r="A225" s="161" t="n">
        <v>221</v>
      </c>
      <c r="B225" s="162" t="inlineStr">
        <is>
          <t>Saehan Medi 새한메디</t>
        </is>
      </c>
      <c r="C225" s="161" t="inlineStr">
        <is>
          <t>Not started</t>
        </is>
      </c>
      <c r="D225" s="161" t="inlineStr">
        <is>
          <t>General medical equipment. Jinju device dealer.</t>
        </is>
      </c>
      <c r="E225" s="161" t="inlineStr">
        <is>
          <t>Not confirmed; ask on the first call</t>
        </is>
      </c>
      <c r="F225" s="161" t="inlineStr">
        <is>
          <t>Jinju</t>
        </is>
      </c>
      <c r="G225" s="163" t="inlineStr">
        <is>
          <t>https://saehanmedi.com</t>
        </is>
      </c>
      <c r="H225" s="161" t="inlineStr">
        <is>
          <t>Not published</t>
        </is>
      </c>
      <c r="I225" s="161" t="inlineStr">
        <is>
          <t>saehan8911@naver.com</t>
        </is>
      </c>
      <c r="J225" s="161" t="inlineStr">
        <is>
          <t>Jinju. Found via Web search, company site.</t>
        </is>
      </c>
      <c r="K225" s="164" t="inlineStr">
        <is>
          <t>A</t>
        </is>
      </c>
      <c r="L225" s="161" t="inlineStr">
        <is>
          <t>General medical equipment supplier with hospital and clinic accounts; can open ultrasound as a new line.</t>
        </is>
      </c>
      <c r="M225" s="161" t="inlineStr">
        <is>
          <t>SonoGO cart, SonoAir 70 handheld as a starter ultrasound line for a general hospital supplier</t>
        </is>
      </c>
      <c r="N225" s="173" t="n">
        <v>3</v>
      </c>
      <c r="O225" s="161" t="inlineStr">
        <is>
          <t>Tier 3: broad supplier or smaller reach; include in the email wave and follow up only on reply.</t>
        </is>
      </c>
      <c r="P225" s="161" t="inlineStr">
        <is>
          <t>Web search, company site; email read on the company site, 7 Oct 2026</t>
        </is>
      </c>
      <c r="Q225" s="161" t="n"/>
      <c r="R225" s="161" t="n"/>
      <c r="S225" s="165" t="inlineStr">
        <is>
          <t>Yes</t>
        </is>
      </c>
    </row>
    <row r="226" ht="60" customHeight="1" s="104">
      <c r="A226" s="161" t="n">
        <v>222</v>
      </c>
      <c r="B226" s="162" t="inlineStr">
        <is>
          <t>Rapha Medics 라파메딕스</t>
        </is>
      </c>
      <c r="C226" s="161" t="inlineStr">
        <is>
          <t>Not started</t>
        </is>
      </c>
      <c r="D226" s="161" t="inlineStr">
        <is>
          <t>General medical equipment. Supplies tertiary hospital labs and health screening centres.</t>
        </is>
      </c>
      <c r="E226" s="161" t="inlineStr">
        <is>
          <t>Not confirmed; ask on the first call</t>
        </is>
      </c>
      <c r="F226" s="161" t="inlineStr">
        <is>
          <t>Korea</t>
        </is>
      </c>
      <c r="G226" s="163" t="inlineStr">
        <is>
          <t>https://raphamd.co.kr</t>
        </is>
      </c>
      <c r="H226" s="161" t="inlineStr">
        <is>
          <t>Not published</t>
        </is>
      </c>
      <c r="I226" s="161" t="inlineStr">
        <is>
          <t>accountant@raphamd.co.kr</t>
        </is>
      </c>
      <c r="J226" s="161" t="inlineStr">
        <is>
          <t>Korea. Found via Web search, company site.</t>
        </is>
      </c>
      <c r="K226" s="164" t="inlineStr">
        <is>
          <t>A</t>
        </is>
      </c>
      <c r="L226" s="161" t="inlineStr">
        <is>
          <t>General medical equipment supplier with hospital and clinic accounts; can open ultrasound as a new line.</t>
        </is>
      </c>
      <c r="M226" s="161" t="inlineStr">
        <is>
          <t>SonoGO cart, SonoAir 70 handheld as a starter ultrasound line for a general hospital supplier</t>
        </is>
      </c>
      <c r="N226" s="173" t="n">
        <v>3</v>
      </c>
      <c r="O226" s="161" t="inlineStr">
        <is>
          <t>Tier 3: broad supplier or smaller reach; include in the email wave and follow up only on reply.</t>
        </is>
      </c>
      <c r="P226" s="161" t="inlineStr">
        <is>
          <t>Web search, company site; email read on the company site, 7 Oct 2026. Address is the accounts mailbox; ask for it to be passed to sales.</t>
        </is>
      </c>
      <c r="Q226" s="161" t="n"/>
      <c r="R226" s="161" t="n"/>
      <c r="S226" s="165" t="inlineStr">
        <is>
          <t>Yes</t>
        </is>
      </c>
    </row>
    <row r="227" ht="60" customHeight="1" s="104">
      <c r="A227" s="161" t="n">
        <v>223</v>
      </c>
      <c r="B227" s="162" t="inlineStr">
        <is>
          <t>Tomcare Korea 탐케어코리아</t>
        </is>
      </c>
      <c r="C227" s="161" t="inlineStr">
        <is>
          <t>Not started</t>
        </is>
      </c>
      <c r="D227" s="161" t="inlineStr">
        <is>
          <t>General medical equipment. Medical device wholesaler.</t>
        </is>
      </c>
      <c r="E227" s="161" t="inlineStr">
        <is>
          <t>Not confirmed; ask on the first call</t>
        </is>
      </c>
      <c r="F227" s="161" t="inlineStr">
        <is>
          <t>Korea</t>
        </is>
      </c>
      <c r="G227" s="163" t="inlineStr">
        <is>
          <t>https://tomcarekorea.com</t>
        </is>
      </c>
      <c r="H227" s="161" t="inlineStr">
        <is>
          <t>Not published</t>
        </is>
      </c>
      <c r="I227" s="161" t="inlineStr">
        <is>
          <t>tomckorea@naver.com</t>
        </is>
      </c>
      <c r="J227" s="161" t="inlineStr">
        <is>
          <t>Korea. Found via Web search, company site.</t>
        </is>
      </c>
      <c r="K227" s="164" t="inlineStr">
        <is>
          <t>A</t>
        </is>
      </c>
      <c r="L227" s="161" t="inlineStr">
        <is>
          <t>General medical equipment supplier with hospital and clinic accounts; can open ultrasound as a new line.</t>
        </is>
      </c>
      <c r="M227" s="161" t="inlineStr">
        <is>
          <t>SonoGO cart, SonoAir 70 handheld as a starter ultrasound line for a general hospital supplier</t>
        </is>
      </c>
      <c r="N227" s="173" t="n">
        <v>3</v>
      </c>
      <c r="O227" s="161" t="inlineStr">
        <is>
          <t>Tier 3: broad supplier or smaller reach; include in the email wave and follow up only on reply.</t>
        </is>
      </c>
      <c r="P227" s="161" t="inlineStr">
        <is>
          <t>Web search, company site; email read on the company site, 7 Oct 2026</t>
        </is>
      </c>
      <c r="Q227" s="161" t="n"/>
      <c r="R227" s="161" t="n"/>
      <c r="S227" s="165" t="inlineStr">
        <is>
          <t>Yes</t>
        </is>
      </c>
    </row>
    <row r="228" ht="60" customHeight="1" s="104">
      <c r="A228" s="161" t="n">
        <v>224</v>
      </c>
      <c r="B228" s="162" t="inlineStr">
        <is>
          <t>iKey 아이키</t>
        </is>
      </c>
      <c r="C228" s="161" t="inlineStr">
        <is>
          <t>Not started</t>
        </is>
      </c>
      <c r="D228" s="161" t="inlineStr">
        <is>
          <t>General medical equipment. Busan medical device company.</t>
        </is>
      </c>
      <c r="E228" s="161" t="inlineStr">
        <is>
          <t>Not confirmed; ask on the first call</t>
        </is>
      </c>
      <c r="F228" s="161" t="inlineStr">
        <is>
          <t>Busan</t>
        </is>
      </c>
      <c r="G228" s="163" t="inlineStr">
        <is>
          <t>https://ikeymed.com</t>
        </is>
      </c>
      <c r="H228" s="161" t="inlineStr">
        <is>
          <t>Not published</t>
        </is>
      </c>
      <c r="I228" s="161" t="inlineStr">
        <is>
          <t>kyw2848@hanmail.net</t>
        </is>
      </c>
      <c r="J228" s="161" t="inlineStr">
        <is>
          <t>Busan. Found via Web search, company site.</t>
        </is>
      </c>
      <c r="K228" s="164" t="inlineStr">
        <is>
          <t>A</t>
        </is>
      </c>
      <c r="L228" s="161" t="inlineStr">
        <is>
          <t>General medical equipment supplier with hospital and clinic accounts; can open ultrasound as a new line.</t>
        </is>
      </c>
      <c r="M228" s="161" t="inlineStr">
        <is>
          <t>SonoGO cart, SonoAir 70 handheld as a starter ultrasound line for a general hospital supplier</t>
        </is>
      </c>
      <c r="N228" s="173" t="n">
        <v>3</v>
      </c>
      <c r="O228" s="161" t="inlineStr">
        <is>
          <t>Tier 3: broad supplier or smaller reach; include in the email wave and follow up only on reply.</t>
        </is>
      </c>
      <c r="P228" s="161" t="inlineStr">
        <is>
          <t>Web search, company site; email read on the company site, 7 Oct 2026</t>
        </is>
      </c>
      <c r="Q228" s="161" t="n"/>
      <c r="R228" s="161" t="n"/>
      <c r="S228" s="165" t="inlineStr">
        <is>
          <t>Yes</t>
        </is>
      </c>
    </row>
    <row r="229" ht="60" customHeight="1" s="104">
      <c r="A229" s="161" t="n">
        <v>225</v>
      </c>
      <c r="B229" s="162" t="inlineStr">
        <is>
          <t>Dongbo Healthcare 동보헬스케어</t>
        </is>
      </c>
      <c r="C229" s="161" t="inlineStr">
        <is>
          <t>Not started</t>
        </is>
      </c>
      <c r="D229" s="161" t="inlineStr">
        <is>
          <t>General medical equipment. Medical device company since 1994.</t>
        </is>
      </c>
      <c r="E229" s="161" t="inlineStr">
        <is>
          <t>Not confirmed; ask on the first call</t>
        </is>
      </c>
      <c r="F229" s="161" t="inlineStr">
        <is>
          <t>Korea</t>
        </is>
      </c>
      <c r="G229" s="163" t="inlineStr">
        <is>
          <t>https://dongbohc.com</t>
        </is>
      </c>
      <c r="H229" s="161" t="inlineStr">
        <is>
          <t>Not published</t>
        </is>
      </c>
      <c r="I229" s="161" t="inlineStr">
        <is>
          <t>dbsinfo@dongbohc.com</t>
        </is>
      </c>
      <c r="J229" s="161" t="inlineStr">
        <is>
          <t>Korea. Found via Web search, company site.</t>
        </is>
      </c>
      <c r="K229" s="164" t="inlineStr">
        <is>
          <t>A</t>
        </is>
      </c>
      <c r="L229" s="161" t="inlineStr">
        <is>
          <t>General medical equipment supplier with hospital and clinic accounts; can open ultrasound as a new line.</t>
        </is>
      </c>
      <c r="M229" s="161" t="inlineStr">
        <is>
          <t>SonoGO cart, SonoAir 70 handheld as a starter ultrasound line for a general hospital supplier</t>
        </is>
      </c>
      <c r="N229" s="173" t="n">
        <v>3</v>
      </c>
      <c r="O229" s="161" t="inlineStr">
        <is>
          <t>Tier 3: broad supplier or smaller reach; include in the email wave and follow up only on reply.</t>
        </is>
      </c>
      <c r="P229" s="161" t="inlineStr">
        <is>
          <t>Web search, company site; email read on the company site, 7 Oct 2026</t>
        </is>
      </c>
      <c r="Q229" s="161" t="n"/>
      <c r="R229" s="161" t="n"/>
      <c r="S229" s="165" t="inlineStr">
        <is>
          <t>Yes</t>
        </is>
      </c>
    </row>
    <row r="230" ht="60" customHeight="1" s="104">
      <c r="A230" s="161" t="n">
        <v>226</v>
      </c>
      <c r="B230" s="162" t="inlineStr">
        <is>
          <t>Stethoscope.com 청진기닷컴</t>
        </is>
      </c>
      <c r="C230" s="161" t="inlineStr">
        <is>
          <t>Not started</t>
        </is>
      </c>
      <c r="D230" s="161" t="inlineStr">
        <is>
          <t>Clinic and primary care supply. Supplies stethoscopes and supplies to hospitals and clinics.</t>
        </is>
      </c>
      <c r="E230" s="161" t="inlineStr">
        <is>
          <t>Not confirmed; ask on the first call</t>
        </is>
      </c>
      <c r="F230" s="161" t="inlineStr">
        <is>
          <t>Korea</t>
        </is>
      </c>
      <c r="G230" s="163" t="inlineStr">
        <is>
          <t>https://stetho-scope.com</t>
        </is>
      </c>
      <c r="H230" s="161" t="inlineStr">
        <is>
          <t>Not published</t>
        </is>
      </c>
      <c r="I230" s="161" t="inlineStr">
        <is>
          <t>hjeotjd@hanmail.net</t>
        </is>
      </c>
      <c r="J230" s="161" t="inlineStr">
        <is>
          <t>Korea. Found via Web search, company site.</t>
        </is>
      </c>
      <c r="K230" s="164" t="inlineStr">
        <is>
          <t>A</t>
        </is>
      </c>
      <c r="L230" s="161" t="inlineStr">
        <is>
          <t>Clinic channel, the end user James flagged as the opening (GPs and small clinics); SonoAir is a wireless handheld that Mindray does not offer.</t>
        </is>
      </c>
      <c r="M230" s="161" t="inlineStr">
        <is>
          <t>SonoAir 30, SonoEye P3 for primary care; SonoGO for new clinic opening packages</t>
        </is>
      </c>
      <c r="N230" s="173" t="n">
        <v>3</v>
      </c>
      <c r="O230" s="161" t="inlineStr">
        <is>
          <t>Tier 3: broad supplier or smaller reach; include in the email wave and follow up only on reply.</t>
        </is>
      </c>
      <c r="P230" s="161" t="inlineStr">
        <is>
          <t>Web search, company site; email read on the company site, 7 Oct 2026</t>
        </is>
      </c>
      <c r="Q230" s="161" t="n"/>
      <c r="R230" s="161" t="n"/>
      <c r="S230" s="165" t="inlineStr">
        <is>
          <t>Yes</t>
        </is>
      </c>
    </row>
    <row r="231" ht="60" customHeight="1" s="104">
      <c r="A231" s="161" t="n">
        <v>227</v>
      </c>
      <c r="B231" s="162" t="inlineStr">
        <is>
          <t>Medi Solution 메디솔루션</t>
        </is>
      </c>
      <c r="C231" s="161" t="inlineStr">
        <is>
          <t>Not started</t>
        </is>
      </c>
      <c r="D231" s="161" t="inlineStr">
        <is>
          <t>General medical equipment. Medical device company.</t>
        </is>
      </c>
      <c r="E231" s="161" t="inlineStr">
        <is>
          <t>Not confirmed; ask on the first call</t>
        </is>
      </c>
      <c r="F231" s="161" t="inlineStr">
        <is>
          <t>Korea</t>
        </is>
      </c>
      <c r="G231" s="163" t="inlineStr">
        <is>
          <t>https://medi-solution.co.kr</t>
        </is>
      </c>
      <c r="H231" s="161" t="inlineStr">
        <is>
          <t>Not published</t>
        </is>
      </c>
      <c r="I231" s="161" t="inlineStr">
        <is>
          <t>dy.lee@medi-solution.co.kr</t>
        </is>
      </c>
      <c r="J231" s="161" t="inlineStr">
        <is>
          <t>Korea. Found via Web search, company site.</t>
        </is>
      </c>
      <c r="K231" s="164" t="inlineStr">
        <is>
          <t>A</t>
        </is>
      </c>
      <c r="L231" s="161" t="inlineStr">
        <is>
          <t>General medical equipment supplier with hospital and clinic accounts; can open ultrasound as a new line.</t>
        </is>
      </c>
      <c r="M231" s="161" t="inlineStr">
        <is>
          <t>SonoGO cart, SonoAir 70 handheld as a starter ultrasound line for a general hospital supplier</t>
        </is>
      </c>
      <c r="N231" s="173" t="n">
        <v>3</v>
      </c>
      <c r="O231" s="161" t="inlineStr">
        <is>
          <t>Tier 3: broad supplier or smaller reach; include in the email wave and follow up only on reply.</t>
        </is>
      </c>
      <c r="P231" s="161" t="inlineStr">
        <is>
          <t>Web search, company site; email read on the company site, 7 Oct 2026</t>
        </is>
      </c>
      <c r="Q231" s="161" t="n"/>
      <c r="R231" s="161" t="n"/>
      <c r="S231" s="165" t="inlineStr">
        <is>
          <t>Yes</t>
        </is>
      </c>
    </row>
    <row r="232" ht="60" customHeight="1" s="104">
      <c r="A232" s="161" t="n">
        <v>228</v>
      </c>
      <c r="B232" s="162" t="inlineStr">
        <is>
          <t>Medical Nine 메디컬나인</t>
        </is>
      </c>
      <c r="C232" s="161" t="inlineStr">
        <is>
          <t>Not started</t>
        </is>
      </c>
      <c r="D232" s="161" t="inlineStr">
        <is>
          <t>General medical equipment. Medical device online mall.</t>
        </is>
      </c>
      <c r="E232" s="161" t="inlineStr">
        <is>
          <t>Not confirmed; ask on the first call</t>
        </is>
      </c>
      <c r="F232" s="161" t="inlineStr">
        <is>
          <t>Korea</t>
        </is>
      </c>
      <c r="G232" s="163" t="inlineStr">
        <is>
          <t>https://medicalnine.com</t>
        </is>
      </c>
      <c r="H232" s="161" t="inlineStr">
        <is>
          <t>Not published</t>
        </is>
      </c>
      <c r="I232" s="161" t="inlineStr">
        <is>
          <t>wonbok1215@naver.com</t>
        </is>
      </c>
      <c r="J232" s="161" t="inlineStr">
        <is>
          <t>Korea. Found via Web search, company site.</t>
        </is>
      </c>
      <c r="K232" s="164" t="inlineStr">
        <is>
          <t>A</t>
        </is>
      </c>
      <c r="L232" s="161" t="inlineStr">
        <is>
          <t>General medical equipment supplier with hospital and clinic accounts; can open ultrasound as a new line.</t>
        </is>
      </c>
      <c r="M232" s="161" t="inlineStr">
        <is>
          <t>SonoGO cart, SonoAir 70 handheld as a starter ultrasound line for a general hospital supplier</t>
        </is>
      </c>
      <c r="N232" s="173" t="n">
        <v>3</v>
      </c>
      <c r="O232" s="161" t="inlineStr">
        <is>
          <t>Tier 3: broad supplier or smaller reach; include in the email wave and follow up only on reply.</t>
        </is>
      </c>
      <c r="P232" s="161" t="inlineStr">
        <is>
          <t>Web search, company site; email read on the company site, 7 Oct 2026</t>
        </is>
      </c>
      <c r="Q232" s="161" t="n"/>
      <c r="R232" s="161" t="n"/>
      <c r="S232" s="165" t="inlineStr">
        <is>
          <t>Yes</t>
        </is>
      </c>
    </row>
    <row r="233" ht="60" customHeight="1" s="104">
      <c r="A233" s="161" t="n">
        <v>229</v>
      </c>
      <c r="B233" s="162" t="inlineStr">
        <is>
          <t>EZ Healthcare EZ헬스케어</t>
        </is>
      </c>
      <c r="C233" s="161" t="inlineStr">
        <is>
          <t>Not started</t>
        </is>
      </c>
      <c r="D233" s="161" t="inlineStr">
        <is>
          <t>General medical equipment. Medical equipment maintenance service.</t>
        </is>
      </c>
      <c r="E233" s="161" t="inlineStr">
        <is>
          <t>Not confirmed; ask on the first call</t>
        </is>
      </c>
      <c r="F233" s="161" t="inlineStr">
        <is>
          <t>Korea</t>
        </is>
      </c>
      <c r="G233" s="163" t="inlineStr">
        <is>
          <t>https://ezhealthcare.co.kr</t>
        </is>
      </c>
      <c r="H233" s="161" t="inlineStr">
        <is>
          <t>Not published</t>
        </is>
      </c>
      <c r="I233" s="161" t="inlineStr">
        <is>
          <t>ehc@ezhealthcare.co.kr</t>
        </is>
      </c>
      <c r="J233" s="161" t="inlineStr">
        <is>
          <t>Korea. Found via Web search, company site.</t>
        </is>
      </c>
      <c r="K233" s="164" t="inlineStr">
        <is>
          <t>A</t>
        </is>
      </c>
      <c r="L233" s="161" t="inlineStr">
        <is>
          <t>General medical equipment supplier with hospital and clinic accounts; can open ultrasound as a new line.</t>
        </is>
      </c>
      <c r="M233" s="161" t="inlineStr">
        <is>
          <t>SonoGO cart, SonoAir 70 handheld as a starter ultrasound line for a general hospital supplier</t>
        </is>
      </c>
      <c r="N233" s="173" t="n">
        <v>3</v>
      </c>
      <c r="O233" s="161" t="inlineStr">
        <is>
          <t>Tier 3: broad supplier or smaller reach; include in the email wave and follow up only on reply.</t>
        </is>
      </c>
      <c r="P233" s="161" t="inlineStr">
        <is>
          <t>Web search, company site; email read on the company site, 7 Oct 2026</t>
        </is>
      </c>
      <c r="Q233" s="161" t="n"/>
      <c r="R233" s="161" t="n"/>
      <c r="S233" s="165" t="inlineStr">
        <is>
          <t>Yes</t>
        </is>
      </c>
    </row>
    <row r="234" ht="60" customHeight="1" s="104">
      <c r="A234" s="161" t="n">
        <v>230</v>
      </c>
      <c r="B234" s="162" t="inlineStr">
        <is>
          <t>Medichoice 메디초이스</t>
        </is>
      </c>
      <c r="C234" s="161" t="inlineStr">
        <is>
          <t>Not started</t>
        </is>
      </c>
      <c r="D234" s="161" t="inlineStr">
        <is>
          <t>General medical equipment. Medical consumables distribution.</t>
        </is>
      </c>
      <c r="E234" s="161" t="inlineStr">
        <is>
          <t>Not confirmed; ask on the first call</t>
        </is>
      </c>
      <c r="F234" s="161" t="inlineStr">
        <is>
          <t>Korea</t>
        </is>
      </c>
      <c r="G234" s="163" t="inlineStr">
        <is>
          <t>https://medichoice.co.kr</t>
        </is>
      </c>
      <c r="H234" s="161" t="inlineStr">
        <is>
          <t>Not published</t>
        </is>
      </c>
      <c r="I234" s="161" t="inlineStr">
        <is>
          <t>careville2025@carevillekorea.com</t>
        </is>
      </c>
      <c r="J234" s="161" t="inlineStr">
        <is>
          <t>Korea. Found via Web search, company site.</t>
        </is>
      </c>
      <c r="K234" s="164" t="inlineStr">
        <is>
          <t>A</t>
        </is>
      </c>
      <c r="L234" s="161" t="inlineStr">
        <is>
          <t>General medical equipment supplier with hospital and clinic accounts; can open ultrasound as a new line.</t>
        </is>
      </c>
      <c r="M234" s="161" t="inlineStr">
        <is>
          <t>SonoGO cart, SonoAir 70 handheld as a starter ultrasound line for a general hospital supplier</t>
        </is>
      </c>
      <c r="N234" s="173" t="n">
        <v>3</v>
      </c>
      <c r="O234" s="161" t="inlineStr">
        <is>
          <t>Tier 3: broad supplier or smaller reach; include in the email wave and follow up only on reply.</t>
        </is>
      </c>
      <c r="P234" s="161" t="inlineStr">
        <is>
          <t>Web search, company site; email read on the company site; email domain differs from the website, confirm, 7 Oct 2026. Email domain is the related Careville Korea company.</t>
        </is>
      </c>
      <c r="Q234" s="161" t="n"/>
      <c r="R234" s="161" t="n"/>
      <c r="S234" s="165" t="inlineStr">
        <is>
          <t>Yes</t>
        </is>
      </c>
    </row>
    <row r="235" ht="60" customHeight="1" s="104">
      <c r="A235" s="161" t="n">
        <v>231</v>
      </c>
      <c r="B235" s="162" t="inlineStr">
        <is>
          <t>Vision Focus 비젼포커스</t>
        </is>
      </c>
      <c r="C235" s="161" t="inlineStr">
        <is>
          <t>Not started</t>
        </is>
      </c>
      <c r="D235" s="161" t="inlineStr">
        <is>
          <t>General medical equipment. Ophthalmic device import and distribution.</t>
        </is>
      </c>
      <c r="E235" s="161" t="inlineStr">
        <is>
          <t>Not confirmed; ask on the first call</t>
        </is>
      </c>
      <c r="F235" s="161" t="inlineStr">
        <is>
          <t>Korea</t>
        </is>
      </c>
      <c r="G235" s="163" t="inlineStr">
        <is>
          <t>https://visionfocus.co.kr</t>
        </is>
      </c>
      <c r="H235" s="161" t="inlineStr">
        <is>
          <t>Not published</t>
        </is>
      </c>
      <c r="I235" s="161" t="inlineStr">
        <is>
          <t>info@visionfocus.co.kr</t>
        </is>
      </c>
      <c r="J235" s="161" t="inlineStr">
        <is>
          <t>Korea. Found via Web search, company site.</t>
        </is>
      </c>
      <c r="K235" s="164" t="inlineStr">
        <is>
          <t>A</t>
        </is>
      </c>
      <c r="L235" s="161" t="inlineStr">
        <is>
          <t>General medical equipment supplier with hospital and clinic accounts; can open ultrasound as a new line.</t>
        </is>
      </c>
      <c r="M235" s="161" t="inlineStr">
        <is>
          <t>SonoGO cart, SonoAir 70 handheld as a starter ultrasound line for a general hospital supplier</t>
        </is>
      </c>
      <c r="N235" s="173" t="n">
        <v>3</v>
      </c>
      <c r="O235" s="161" t="inlineStr">
        <is>
          <t>Tier 3: broad supplier or smaller reach; include in the email wave and follow up only on reply.</t>
        </is>
      </c>
      <c r="P235" s="161" t="inlineStr">
        <is>
          <t>Web search, company site; email read on the company site, 7 Oct 2026</t>
        </is>
      </c>
      <c r="Q235" s="161" t="n"/>
      <c r="R235" s="161" t="n"/>
      <c r="S235" s="165" t="inlineStr">
        <is>
          <t>Yes</t>
        </is>
      </c>
    </row>
    <row r="236" ht="60" customHeight="1" s="104">
      <c r="A236" s="161" t="n">
        <v>232</v>
      </c>
      <c r="B236" s="162" t="inlineStr">
        <is>
          <t>Nevis Medical 네비스메디칼</t>
        </is>
      </c>
      <c r="C236" s="161" t="inlineStr">
        <is>
          <t>Not started</t>
        </is>
      </c>
      <c r="D236" s="161" t="inlineStr">
        <is>
          <t>General medical equipment. Ophthalmic device importer.</t>
        </is>
      </c>
      <c r="E236" s="161" t="inlineStr">
        <is>
          <t>Not confirmed; ask on the first call</t>
        </is>
      </c>
      <c r="F236" s="161" t="inlineStr">
        <is>
          <t>Korea</t>
        </is>
      </c>
      <c r="G236" s="163" t="inlineStr">
        <is>
          <t>https://nevis.co.kr</t>
        </is>
      </c>
      <c r="H236" s="161" t="inlineStr">
        <is>
          <t>Not published</t>
        </is>
      </c>
      <c r="I236" s="161" t="inlineStr">
        <is>
          <t>neviskorea@gmail.com</t>
        </is>
      </c>
      <c r="J236" s="161" t="inlineStr">
        <is>
          <t>Korea. Found via Web search, company site.</t>
        </is>
      </c>
      <c r="K236" s="164" t="inlineStr">
        <is>
          <t>A</t>
        </is>
      </c>
      <c r="L236" s="161" t="inlineStr">
        <is>
          <t>General medical equipment supplier with hospital and clinic accounts; can open ultrasound as a new line.</t>
        </is>
      </c>
      <c r="M236" s="161" t="inlineStr">
        <is>
          <t>SonoGO cart, SonoAir 70 handheld as a starter ultrasound line for a general hospital supplier</t>
        </is>
      </c>
      <c r="N236" s="173" t="n">
        <v>3</v>
      </c>
      <c r="O236" s="161" t="inlineStr">
        <is>
          <t>Tier 3: broad supplier or smaller reach; include in the email wave and follow up only on reply.</t>
        </is>
      </c>
      <c r="P236" s="161" t="inlineStr">
        <is>
          <t>Web search, company site; email read on the company site, 7 Oct 2026</t>
        </is>
      </c>
      <c r="Q236" s="161" t="n"/>
      <c r="R236" s="161" t="n"/>
      <c r="S236" s="165" t="inlineStr">
        <is>
          <t>Yes</t>
        </is>
      </c>
    </row>
    <row r="237" ht="60" customHeight="1" s="104">
      <c r="A237" s="161" t="n">
        <v>233</v>
      </c>
      <c r="B237" s="162" t="inlineStr">
        <is>
          <t>Yujin I&amp;C 유진아이앤씨</t>
        </is>
      </c>
      <c r="C237" s="161" t="inlineStr">
        <is>
          <t>Not started</t>
        </is>
      </c>
      <c r="D237" s="161" t="inlineStr">
        <is>
          <t>Clinic and primary care supply. Medical device lease and rental finance.</t>
        </is>
      </c>
      <c r="E237" s="161" t="inlineStr">
        <is>
          <t>Not confirmed; ask on the first call</t>
        </is>
      </c>
      <c r="F237" s="161" t="inlineStr">
        <is>
          <t>Korea</t>
        </is>
      </c>
      <c r="G237" s="163" t="inlineStr">
        <is>
          <t>https://yujininc.com</t>
        </is>
      </c>
      <c r="H237" s="161" t="inlineStr">
        <is>
          <t>Not published</t>
        </is>
      </c>
      <c r="I237" s="161" t="inlineStr">
        <is>
          <t>ckdnd5026@naver.com</t>
        </is>
      </c>
      <c r="J237" s="161" t="inlineStr">
        <is>
          <t>Korea. Found via Web search, company site.</t>
        </is>
      </c>
      <c r="K237" s="164" t="inlineStr">
        <is>
          <t>A</t>
        </is>
      </c>
      <c r="L237" s="161" t="inlineStr">
        <is>
          <t>Clinic channel, the end user James flagged as the opening (GPs and small clinics); SonoAir is a wireless handheld that Mindray does not offer.</t>
        </is>
      </c>
      <c r="M237" s="161" t="inlineStr">
        <is>
          <t>SonoAir 30, SonoEye P3 for primary care; SonoGO for new clinic opening packages</t>
        </is>
      </c>
      <c r="N237" s="173" t="n">
        <v>3</v>
      </c>
      <c r="O237" s="161" t="inlineStr">
        <is>
          <t>Tier 3: broad supplier or smaller reach; include in the email wave and follow up only on reply.</t>
        </is>
      </c>
      <c r="P237" s="161" t="inlineStr">
        <is>
          <t>Web search, company site; email read on the company site, 7 Oct 2026</t>
        </is>
      </c>
      <c r="Q237" s="161" t="n"/>
      <c r="R237" s="161" t="n"/>
      <c r="S237" s="165" t="inlineStr">
        <is>
          <t>Yes</t>
        </is>
      </c>
    </row>
    <row r="238" ht="60" customHeight="1" s="104">
      <c r="A238" s="161" t="n">
        <v>234</v>
      </c>
      <c r="B238" s="162" t="inlineStr">
        <is>
          <t>Nanomart 나노마트</t>
        </is>
      </c>
      <c r="C238" s="161" t="inlineStr">
        <is>
          <t>Not started</t>
        </is>
      </c>
      <c r="D238" s="161" t="inlineStr">
        <is>
          <t>General medical equipment. Used medical device buying and selling.</t>
        </is>
      </c>
      <c r="E238" s="161" t="inlineStr">
        <is>
          <t>Not confirmed; ask on the first call</t>
        </is>
      </c>
      <c r="F238" s="161" t="inlineStr">
        <is>
          <t>Korea</t>
        </is>
      </c>
      <c r="G238" s="163" t="inlineStr">
        <is>
          <t>https://nanomart.kr</t>
        </is>
      </c>
      <c r="H238" s="161" t="inlineStr">
        <is>
          <t>Not published</t>
        </is>
      </c>
      <c r="I238" s="161" t="inlineStr">
        <is>
          <t>leemigun@naver.com</t>
        </is>
      </c>
      <c r="J238" s="161" t="inlineStr">
        <is>
          <t>Korea. Found via Web search, company site.</t>
        </is>
      </c>
      <c r="K238" s="164" t="inlineStr">
        <is>
          <t>A</t>
        </is>
      </c>
      <c r="L238" s="161" t="inlineStr">
        <is>
          <t>General medical equipment supplier with hospital and clinic accounts; can open ultrasound as a new line.</t>
        </is>
      </c>
      <c r="M238" s="161" t="inlineStr">
        <is>
          <t>SonoGO cart, SonoAir 70 handheld as a starter ultrasound line for a general hospital supplier</t>
        </is>
      </c>
      <c r="N238" s="173" t="n">
        <v>3</v>
      </c>
      <c r="O238" s="161" t="inlineStr">
        <is>
          <t>Tier 3: broad supplier or smaller reach; include in the email wave and follow up only on reply.</t>
        </is>
      </c>
      <c r="P238" s="161" t="inlineStr">
        <is>
          <t>Web search, company site; email read on the company site, 7 Oct 2026</t>
        </is>
      </c>
      <c r="Q238" s="161" t="n"/>
      <c r="R238" s="161" t="n"/>
      <c r="S238" s="165" t="inlineStr">
        <is>
          <t>Yes</t>
        </is>
      </c>
    </row>
    <row r="239" ht="60" customHeight="1" s="104">
      <c r="A239" s="161" t="n">
        <v>235</v>
      </c>
      <c r="B239" s="162" t="inlineStr">
        <is>
          <t>Ezonmed 이지온메드</t>
        </is>
      </c>
      <c r="C239" s="161" t="inlineStr">
        <is>
          <t>Not started</t>
        </is>
      </c>
      <c r="D239" s="161" t="inlineStr">
        <is>
          <t>OB/GYN, women's health. Wontech dealer for dermatology, plastic surgery and OB/GYN clinics.</t>
        </is>
      </c>
      <c r="E239" s="161" t="inlineStr">
        <is>
          <t>Not confirmed; ask on the first call</t>
        </is>
      </c>
      <c r="F239" s="161" t="inlineStr">
        <is>
          <t>Korea</t>
        </is>
      </c>
      <c r="G239" s="163" t="inlineStr">
        <is>
          <t>https://ezonmed.com</t>
        </is>
      </c>
      <c r="H239" s="161" t="inlineStr">
        <is>
          <t>Not published</t>
        </is>
      </c>
      <c r="I239" s="161" t="inlineStr">
        <is>
          <t>ezonmed2@gmail.com</t>
        </is>
      </c>
      <c r="J239" s="161" t="inlineStr">
        <is>
          <t>Korea. Found via Web search, company site.</t>
        </is>
      </c>
      <c r="K239" s="164" t="inlineStr">
        <is>
          <t>A</t>
        </is>
      </c>
      <c r="L239" s="161" t="inlineStr">
        <is>
          <t>OB/GYN clinic channel suits a 4D cart system.</t>
        </is>
      </c>
      <c r="M239" s="161" t="inlineStr">
        <is>
          <t>SonoMax 7 with 4D for OB/GYN clinics</t>
        </is>
      </c>
      <c r="N239" s="173" t="n">
        <v>3</v>
      </c>
      <c r="O239" s="161" t="inlineStr">
        <is>
          <t>Tier 3: broad supplier or smaller reach; include in the email wave and follow up only on reply.</t>
        </is>
      </c>
      <c r="P239" s="161" t="inlineStr">
        <is>
          <t>Web search, company site; email read on the company site, 7 Oct 2026</t>
        </is>
      </c>
      <c r="Q239" s="161" t="n"/>
      <c r="R239" s="161" t="n"/>
      <c r="S239" s="165" t="inlineStr">
        <is>
          <t>Yes</t>
        </is>
      </c>
    </row>
    <row r="240" ht="60" customHeight="1" s="104">
      <c r="A240" s="161" t="n">
        <v>236</v>
      </c>
      <c r="B240" s="162" t="inlineStr">
        <is>
          <t>Royalline Medicare 로얄라인메디케어</t>
        </is>
      </c>
      <c r="C240" s="161" t="inlineStr">
        <is>
          <t>Not started</t>
        </is>
      </c>
      <c r="D240" s="161" t="inlineStr">
        <is>
          <t>General medical equipment. Medical device company.</t>
        </is>
      </c>
      <c r="E240" s="161" t="inlineStr">
        <is>
          <t>Not confirmed; ask on the first call</t>
        </is>
      </c>
      <c r="F240" s="161" t="inlineStr">
        <is>
          <t>Korea</t>
        </is>
      </c>
      <c r="G240" s="163" t="inlineStr">
        <is>
          <t>https://royalline.co.kr</t>
        </is>
      </c>
      <c r="H240" s="161" t="inlineStr">
        <is>
          <t>Not published</t>
        </is>
      </c>
      <c r="I240" s="161" t="inlineStr">
        <is>
          <t>yyk9998@hanmail.net</t>
        </is>
      </c>
      <c r="J240" s="161" t="inlineStr">
        <is>
          <t>Korea. Found via Web search, company site.</t>
        </is>
      </c>
      <c r="K240" s="164" t="inlineStr">
        <is>
          <t>A</t>
        </is>
      </c>
      <c r="L240" s="161" t="inlineStr">
        <is>
          <t>General medical equipment supplier with hospital and clinic accounts; can open ultrasound as a new line.</t>
        </is>
      </c>
      <c r="M240" s="161" t="inlineStr">
        <is>
          <t>SonoGO cart, SonoAir 70 handheld as a starter ultrasound line for a general hospital supplier</t>
        </is>
      </c>
      <c r="N240" s="173" t="n">
        <v>3</v>
      </c>
      <c r="O240" s="161" t="inlineStr">
        <is>
          <t>Tier 3: broad supplier or smaller reach; include in the email wave and follow up only on reply.</t>
        </is>
      </c>
      <c r="P240" s="161" t="inlineStr">
        <is>
          <t>Web search, company site; email read on the company site, 7 Oct 2026</t>
        </is>
      </c>
      <c r="Q240" s="161" t="n"/>
      <c r="R240" s="161" t="n"/>
      <c r="S240" s="165" t="inlineStr">
        <is>
          <t>Yes</t>
        </is>
      </c>
    </row>
    <row r="241" ht="60" customHeight="1" s="104">
      <c r="A241" s="161" t="n">
        <v>237</v>
      </c>
      <c r="B241" s="162" t="inlineStr">
        <is>
          <t>Q Medicare 큐메디케어</t>
        </is>
      </c>
      <c r="C241" s="161" t="inlineStr">
        <is>
          <t>Not started</t>
        </is>
      </c>
      <c r="D241" s="161" t="inlineStr">
        <is>
          <t>General medical equipment. Healthcare solutions supplier.</t>
        </is>
      </c>
      <c r="E241" s="161" t="inlineStr">
        <is>
          <t>Not confirmed; ask on the first call</t>
        </is>
      </c>
      <c r="F241" s="161" t="inlineStr">
        <is>
          <t>Korea</t>
        </is>
      </c>
      <c r="G241" s="163" t="inlineStr">
        <is>
          <t>https://qmedicare.co.kr</t>
        </is>
      </c>
      <c r="H241" s="161" t="inlineStr">
        <is>
          <t>Not published</t>
        </is>
      </c>
      <c r="I241" s="161" t="inlineStr">
        <is>
          <t>qmdcco@qmedicare.co.kr</t>
        </is>
      </c>
      <c r="J241" s="161" t="inlineStr">
        <is>
          <t>Korea. Found via Web search, company site.</t>
        </is>
      </c>
      <c r="K241" s="164" t="inlineStr">
        <is>
          <t>A</t>
        </is>
      </c>
      <c r="L241" s="161" t="inlineStr">
        <is>
          <t>General medical equipment supplier with hospital and clinic accounts; can open ultrasound as a new line.</t>
        </is>
      </c>
      <c r="M241" s="161" t="inlineStr">
        <is>
          <t>SonoGO cart, SonoAir 70 handheld as a starter ultrasound line for a general hospital supplier</t>
        </is>
      </c>
      <c r="N241" s="173" t="n">
        <v>3</v>
      </c>
      <c r="O241" s="161" t="inlineStr">
        <is>
          <t>Tier 3: broad supplier or smaller reach; include in the email wave and follow up only on reply.</t>
        </is>
      </c>
      <c r="P241" s="161" t="inlineStr">
        <is>
          <t>Web search, company site; email read on the company site, 7 Oct 2026</t>
        </is>
      </c>
      <c r="Q241" s="161" t="n"/>
      <c r="R241" s="161" t="n"/>
      <c r="S241" s="165" t="inlineStr">
        <is>
          <t>Yes</t>
        </is>
      </c>
    </row>
    <row r="242" ht="60" customHeight="1" s="104">
      <c r="A242" s="161" t="n">
        <v>238</v>
      </c>
      <c r="B242" s="162" t="inlineStr">
        <is>
          <t>NDA Co., Ltd. 앤디에이</t>
        </is>
      </c>
      <c r="C242" s="161" t="inlineStr">
        <is>
          <t>Not started</t>
        </is>
      </c>
      <c r="D242" s="161" t="inlineStr">
        <is>
          <t>General medical equipment. Medical field solutions company.</t>
        </is>
      </c>
      <c r="E242" s="161" t="inlineStr">
        <is>
          <t>Not confirmed; ask on the first call</t>
        </is>
      </c>
      <c r="F242" s="161" t="inlineStr">
        <is>
          <t>Korea</t>
        </is>
      </c>
      <c r="G242" s="163" t="inlineStr">
        <is>
          <t>https://nda25.co.kr</t>
        </is>
      </c>
      <c r="H242" s="161" t="inlineStr">
        <is>
          <t>Not published</t>
        </is>
      </c>
      <c r="I242" s="161" t="inlineStr">
        <is>
          <t>info@nda25.co.kr</t>
        </is>
      </c>
      <c r="J242" s="161" t="inlineStr">
        <is>
          <t>Korea. Found via Web search, company site.</t>
        </is>
      </c>
      <c r="K242" s="164" t="inlineStr">
        <is>
          <t>A</t>
        </is>
      </c>
      <c r="L242" s="161" t="inlineStr">
        <is>
          <t>General medical equipment supplier with hospital and clinic accounts; can open ultrasound as a new line.</t>
        </is>
      </c>
      <c r="M242" s="161" t="inlineStr">
        <is>
          <t>SonoGO cart, SonoAir 70 handheld as a starter ultrasound line for a general hospital supplier</t>
        </is>
      </c>
      <c r="N242" s="173" t="n">
        <v>3</v>
      </c>
      <c r="O242" s="161" t="inlineStr">
        <is>
          <t>Tier 3: broad supplier or smaller reach; include in the email wave and follow up only on reply.</t>
        </is>
      </c>
      <c r="P242" s="161" t="inlineStr">
        <is>
          <t>Web search, company site; email read on the company site, 7 Oct 2026</t>
        </is>
      </c>
      <c r="Q242" s="161" t="n"/>
      <c r="R242" s="161" t="n"/>
      <c r="S242" s="165" t="inlineStr">
        <is>
          <t>Yes</t>
        </is>
      </c>
    </row>
    <row r="243" ht="60" customHeight="1" s="104">
      <c r="A243" s="161" t="n">
        <v>239</v>
      </c>
      <c r="B243" s="162" t="inlineStr">
        <is>
          <t>Soyeon Medical 소연메디칼</t>
        </is>
      </c>
      <c r="C243" s="161" t="inlineStr">
        <is>
          <t>Not started</t>
        </is>
      </c>
      <c r="D243" s="161" t="inlineStr">
        <is>
          <t>General medical equipment. Medical device company.</t>
        </is>
      </c>
      <c r="E243" s="161" t="inlineStr">
        <is>
          <t>Not confirmed; ask on the first call</t>
        </is>
      </c>
      <c r="F243" s="161" t="inlineStr">
        <is>
          <t>Korea</t>
        </is>
      </c>
      <c r="G243" s="163" t="inlineStr">
        <is>
          <t>https://sy-medical.com</t>
        </is>
      </c>
      <c r="H243" s="161" t="inlineStr">
        <is>
          <t>Not published</t>
        </is>
      </c>
      <c r="I243" s="161" t="inlineStr">
        <is>
          <t>symedical@sy-medical.com</t>
        </is>
      </c>
      <c r="J243" s="161" t="inlineStr">
        <is>
          <t>Korea. Found via Web search, company site.</t>
        </is>
      </c>
      <c r="K243" s="164" t="inlineStr">
        <is>
          <t>A</t>
        </is>
      </c>
      <c r="L243" s="161" t="inlineStr">
        <is>
          <t>General medical equipment supplier with hospital and clinic accounts; can open ultrasound as a new line.</t>
        </is>
      </c>
      <c r="M243" s="161" t="inlineStr">
        <is>
          <t>SonoGO cart, SonoAir 70 handheld as a starter ultrasound line for a general hospital supplier</t>
        </is>
      </c>
      <c r="N243" s="173" t="n">
        <v>3</v>
      </c>
      <c r="O243" s="161" t="inlineStr">
        <is>
          <t>Tier 3: broad supplier or smaller reach; include in the email wave and follow up only on reply.</t>
        </is>
      </c>
      <c r="P243" s="161" t="inlineStr">
        <is>
          <t>Web search, company site; email read on the company site, 7 Oct 2026</t>
        </is>
      </c>
      <c r="Q243" s="161" t="n"/>
      <c r="R243" s="161" t="n"/>
      <c r="S243" s="165" t="inlineStr">
        <is>
          <t>Yes</t>
        </is>
      </c>
    </row>
    <row r="244" ht="60" customHeight="1" s="104">
      <c r="A244" s="161" t="n">
        <v>240</v>
      </c>
      <c r="B244" s="162" t="inlineStr">
        <is>
          <t>Apsun I&amp;C (apsun.com) 앞썬아이앤씨</t>
        </is>
      </c>
      <c r="C244" s="161" t="inlineStr">
        <is>
          <t>Not started</t>
        </is>
      </c>
      <c r="D244" s="161" t="inlineStr">
        <is>
          <t>Orthopaedic, rehab, pain. Rehab and sports equipment importer serving hospitals and public health centres.</t>
        </is>
      </c>
      <c r="E244" s="161" t="inlineStr">
        <is>
          <t>Not confirmed; ask on the first call</t>
        </is>
      </c>
      <c r="F244" s="161" t="inlineStr">
        <is>
          <t>Korea</t>
        </is>
      </c>
      <c r="G244" s="163" t="inlineStr">
        <is>
          <t>https://apsun.com</t>
        </is>
      </c>
      <c r="H244" s="161" t="inlineStr">
        <is>
          <t>Not published</t>
        </is>
      </c>
      <c r="I244" s="161" t="inlineStr">
        <is>
          <t>info@apsun.com</t>
        </is>
      </c>
      <c r="J244" s="161" t="inlineStr">
        <is>
          <t>Korea. Found via Web search, company site.</t>
        </is>
      </c>
      <c r="K244" s="164" t="inlineStr">
        <is>
          <t>A</t>
        </is>
      </c>
      <c r="L244" s="161" t="inlineStr">
        <is>
          <t>Orthopaedic, rehab and pain clinics buy linear probe ultrasound for injection guidance; CHISON linear image quality is the edge.</t>
        </is>
      </c>
      <c r="M244" s="161" t="inlineStr">
        <is>
          <t>SonoEye P5 linear, SonoAir 30/70 for orthopaedic, rehab and pain clinics</t>
        </is>
      </c>
      <c r="N244" s="173" t="n">
        <v>3</v>
      </c>
      <c r="O244" s="161" t="inlineStr">
        <is>
          <t>Tier 3: broad supplier or smaller reach; include in the email wave and follow up only on reply.</t>
        </is>
      </c>
      <c r="P244" s="161" t="inlineStr">
        <is>
          <t>Web search, company site; email read on the company site, 7 Oct 2026</t>
        </is>
      </c>
      <c r="Q244" s="161" t="n"/>
      <c r="R244" s="161" t="n"/>
      <c r="S244" s="165" t="inlineStr">
        <is>
          <t>Yes</t>
        </is>
      </c>
    </row>
    <row r="245" ht="60" customHeight="1" s="104">
      <c r="A245" s="161" t="n">
        <v>241</v>
      </c>
      <c r="B245" s="162" t="inlineStr">
        <is>
          <t>Feel Korea Co., Ltd. 필코리아</t>
        </is>
      </c>
      <c r="C245" s="161" t="inlineStr">
        <is>
          <t>Not started</t>
        </is>
      </c>
      <c r="D245" s="161" t="inlineStr">
        <is>
          <t>General medical equipment. Medical device company.</t>
        </is>
      </c>
      <c r="E245" s="161" t="inlineStr">
        <is>
          <t>Not confirmed; ask on the first call</t>
        </is>
      </c>
      <c r="F245" s="161" t="inlineStr">
        <is>
          <t>Korea</t>
        </is>
      </c>
      <c r="G245" s="163" t="inlineStr">
        <is>
          <t>https://feel-korea.com</t>
        </is>
      </c>
      <c r="H245" s="161" t="inlineStr">
        <is>
          <t>Not published</t>
        </is>
      </c>
      <c r="I245" s="161" t="inlineStr">
        <is>
          <t>info@feelkor.com</t>
        </is>
      </c>
      <c r="J245" s="161" t="inlineStr">
        <is>
          <t>Korea. Found via Web search, company site.</t>
        </is>
      </c>
      <c r="K245" s="164" t="inlineStr">
        <is>
          <t>A</t>
        </is>
      </c>
      <c r="L245" s="161" t="inlineStr">
        <is>
          <t>General medical equipment supplier with hospital and clinic accounts; can open ultrasound as a new line.</t>
        </is>
      </c>
      <c r="M245" s="161" t="inlineStr">
        <is>
          <t>SonoGO cart, SonoAir 70 handheld as a starter ultrasound line for a general hospital supplier</t>
        </is>
      </c>
      <c r="N245" s="173" t="n">
        <v>3</v>
      </c>
      <c r="O245" s="161" t="inlineStr">
        <is>
          <t>Tier 3: broad supplier or smaller reach; include in the email wave and follow up only on reply.</t>
        </is>
      </c>
      <c r="P245" s="161" t="inlineStr">
        <is>
          <t>Web search, company site; email read on the company site; email domain differs from the website, confirm, 7 Oct 2026</t>
        </is>
      </c>
      <c r="Q245" s="161" t="n"/>
      <c r="R245" s="161" t="n"/>
      <c r="S245" s="165" t="inlineStr">
        <is>
          <t>Yes</t>
        </is>
      </c>
    </row>
    <row r="246" ht="60" customHeight="1" s="104">
      <c r="A246" s="161" t="n">
        <v>242</v>
      </c>
      <c r="B246" s="162" t="inlineStr">
        <is>
          <t>Central Medics (Camedics) 중앙메딕스</t>
        </is>
      </c>
      <c r="C246" s="161" t="inlineStr">
        <is>
          <t>Not started</t>
        </is>
      </c>
      <c r="D246" s="161" t="inlineStr">
        <is>
          <t>Clinic and primary care supply. Imports VNG/ENG and audiology booths for ENT clinics.</t>
        </is>
      </c>
      <c r="E246" s="161" t="inlineStr">
        <is>
          <t>Not confirmed; ask on the first call</t>
        </is>
      </c>
      <c r="F246" s="161" t="inlineStr">
        <is>
          <t>Korea</t>
        </is>
      </c>
      <c r="G246" s="163" t="inlineStr">
        <is>
          <t>https://camedics.co.kr</t>
        </is>
      </c>
      <c r="H246" s="161" t="inlineStr">
        <is>
          <t>Not published</t>
        </is>
      </c>
      <c r="I246" s="161" t="inlineStr">
        <is>
          <t>camedics@hanmail.net</t>
        </is>
      </c>
      <c r="J246" s="161" t="inlineStr">
        <is>
          <t>Korea. Found via Web search, company site.</t>
        </is>
      </c>
      <c r="K246" s="164" t="inlineStr">
        <is>
          <t>A</t>
        </is>
      </c>
      <c r="L246" s="161" t="inlineStr">
        <is>
          <t>Clinic channel, the end user James flagged as the opening (GPs and small clinics); SonoAir is a wireless handheld that Mindray does not offer.</t>
        </is>
      </c>
      <c r="M246" s="161" t="inlineStr">
        <is>
          <t>SonoAir 30, SonoEye P3 for primary care; SonoGO for new clinic opening packages</t>
        </is>
      </c>
      <c r="N246" s="173" t="n">
        <v>3</v>
      </c>
      <c r="O246" s="161" t="inlineStr">
        <is>
          <t>Tier 3: broad supplier or smaller reach; include in the email wave and follow up only on reply.</t>
        </is>
      </c>
      <c r="P246" s="161" t="inlineStr">
        <is>
          <t>Web search, company site; email read on the company site, 7 Oct 2026</t>
        </is>
      </c>
      <c r="Q246" s="161" t="n"/>
      <c r="R246" s="161" t="n"/>
      <c r="S246" s="165" t="inlineStr">
        <is>
          <t>Yes</t>
        </is>
      </c>
    </row>
    <row r="247" ht="60" customHeight="1" s="104">
      <c r="A247" s="161" t="n">
        <v>243</v>
      </c>
      <c r="B247" s="162" t="inlineStr">
        <is>
          <t>Dasol International 다솔인터내셔널</t>
        </is>
      </c>
      <c r="C247" s="161" t="inlineStr">
        <is>
          <t>Not started</t>
        </is>
      </c>
      <c r="D247" s="161" t="inlineStr">
        <is>
          <t>Surgical, OR and anaesthesia. Probe covers and device drapes supplier.</t>
        </is>
      </c>
      <c r="E247" s="161" t="inlineStr">
        <is>
          <t>Not confirmed; ask on the first call</t>
        </is>
      </c>
      <c r="F247" s="161" t="inlineStr">
        <is>
          <t>Korea</t>
        </is>
      </c>
      <c r="G247" s="163" t="inlineStr">
        <is>
          <t>https://dasolin.com</t>
        </is>
      </c>
      <c r="H247" s="161" t="inlineStr">
        <is>
          <t>Not published</t>
        </is>
      </c>
      <c r="I247" s="161" t="inlineStr">
        <is>
          <t>dasol@dasolin.com</t>
        </is>
      </c>
      <c r="J247" s="161" t="inlineStr">
        <is>
          <t>Korea. Found via Web search, company site.</t>
        </is>
      </c>
      <c r="K247" s="164" t="inlineStr">
        <is>
          <t>A</t>
        </is>
      </c>
      <c r="L247" s="161" t="inlineStr">
        <is>
          <t>Theatre and anaesthesia accounts are the entry point for point of care ultrasound (nerve block, vascular access).</t>
        </is>
      </c>
      <c r="M247" s="161" t="inlineStr">
        <is>
          <t>SonoTouch tablet, SonoEye P3 for nerve block and vascular access in theatre</t>
        </is>
      </c>
      <c r="N247" s="173" t="n">
        <v>3</v>
      </c>
      <c r="O247" s="161" t="inlineStr">
        <is>
          <t>Tier 3: broad supplier or smaller reach; include in the email wave and follow up only on reply.</t>
        </is>
      </c>
      <c r="P247" s="161" t="inlineStr">
        <is>
          <t>Web search, company site; email read on the company site, 7 Oct 2026</t>
        </is>
      </c>
      <c r="Q247" s="161" t="n"/>
      <c r="R247" s="161" t="n"/>
      <c r="S247" s="165" t="inlineStr">
        <is>
          <t>Yes</t>
        </is>
      </c>
    </row>
    <row r="248" ht="60" customHeight="1" s="104">
      <c r="A248" s="161" t="n">
        <v>244</v>
      </c>
      <c r="B248" s="162" t="inlineStr">
        <is>
          <t>Caretech 케어테크</t>
        </is>
      </c>
      <c r="C248" s="161" t="inlineStr">
        <is>
          <t>Not started</t>
        </is>
      </c>
      <c r="D248" s="161" t="inlineStr">
        <is>
          <t>Orthopaedic, rehab, pain. CPM maker with regional dealer network.</t>
        </is>
      </c>
      <c r="E248" s="161" t="inlineStr">
        <is>
          <t>Not confirmed; ask on the first call</t>
        </is>
      </c>
      <c r="F248" s="161" t="inlineStr">
        <is>
          <t>Korea</t>
        </is>
      </c>
      <c r="G248" s="163" t="inlineStr">
        <is>
          <t>https://care-tech.co.kr</t>
        </is>
      </c>
      <c r="H248" s="161" t="inlineStr">
        <is>
          <t>Not published</t>
        </is>
      </c>
      <c r="I248" s="161" t="inlineStr">
        <is>
          <t>caretech_m@hamail.net</t>
        </is>
      </c>
      <c r="J248" s="161" t="inlineStr">
        <is>
          <t>Korea. Found via Web search, company site.</t>
        </is>
      </c>
      <c r="K248" s="164" t="inlineStr">
        <is>
          <t>A</t>
        </is>
      </c>
      <c r="L248" s="161" t="inlineStr">
        <is>
          <t>Orthopaedic, rehab and pain clinics buy linear probe ultrasound for injection guidance; CHISON linear image quality is the edge.</t>
        </is>
      </c>
      <c r="M248" s="161" t="inlineStr">
        <is>
          <t>SonoEye P5 linear, SonoAir 30/70 for orthopaedic, rehab and pain clinics</t>
        </is>
      </c>
      <c r="N248" s="173" t="n">
        <v>3</v>
      </c>
      <c r="O248" s="161" t="inlineStr">
        <is>
          <t>Tier 3: broad supplier or smaller reach; include in the email wave and follow up only on reply.</t>
        </is>
      </c>
      <c r="P248" s="161" t="inlineStr">
        <is>
          <t>Web search, company site; email read on the company site; address printed as hamail.net on their site, likely a typo for hanmail.net, 7 Oct 2026</t>
        </is>
      </c>
      <c r="Q248" s="161" t="n"/>
      <c r="R248" s="161" t="n"/>
      <c r="S248" s="165" t="inlineStr">
        <is>
          <t>Confirm</t>
        </is>
      </c>
    </row>
    <row r="249" ht="60" customHeight="1" s="104">
      <c r="A249" s="161" t="n">
        <v>245</v>
      </c>
      <c r="B249" s="162" t="inlineStr">
        <is>
          <t>RADISEN Co., Ltd. (주)래디센</t>
        </is>
      </c>
      <c r="C249" s="161" t="inlineStr">
        <is>
          <t>Not started</t>
        </is>
      </c>
      <c r="D249" s="161" t="inlineStr">
        <is>
          <t>Imaging (X ray, radiology). Portable and AI assisted X ray maker selling to hospitals and clinics; KIMES 2026 exhibitor.</t>
        </is>
      </c>
      <c r="E249" s="161" t="inlineStr">
        <is>
          <t>No ultrasound line seen in their KIMES listing</t>
        </is>
      </c>
      <c r="F249" s="161" t="inlineStr">
        <is>
          <t>Anyang</t>
        </is>
      </c>
      <c r="G249" s="163" t="inlineStr">
        <is>
          <t>https://radisentech.com</t>
        </is>
      </c>
      <c r="H249" s="161" t="inlineStr">
        <is>
          <t>070-7525-2147</t>
        </is>
      </c>
      <c r="I249" s="161" t="inlineStr">
        <is>
          <t>sales@radisentech.com</t>
        </is>
      </c>
      <c r="J249" s="161" t="inlineStr">
        <is>
          <t>Anyang. Tel 070-7525-2147. Korean maker or importer exhibiting at KIMES 2026 with its own hospital sales team.</t>
        </is>
      </c>
      <c r="K249" s="164" t="inlineStr">
        <is>
          <t>A</t>
        </is>
      </c>
      <c r="L249" s="161" t="inlineStr">
        <is>
          <t>Already sells imaging into hospitals and clinics; ultrasound is the natural next modality and uses the same buyers. Complementary line partner: sells non ultrasound equipment into the same hospital departments, so CHISON adds a modality without a conflict.</t>
        </is>
      </c>
      <c r="M249" s="161" t="inlineStr">
        <is>
          <t>SonoMax 7 cart, SonoPort compact; X ray and imaging sales team can add ultrasound to existing radiology accounts</t>
        </is>
      </c>
      <c r="N249" s="173" t="n">
        <v>3</v>
      </c>
      <c r="O249" s="161" t="inlineStr">
        <is>
          <t>Tier 3: broad supplier or smaller reach; include in the email wave and follow up only on reply. Manufacturer or importer rather than a pure dealer, so qualify appetite for a third party line first.</t>
        </is>
      </c>
      <c r="P249" s="161" t="inlineStr">
        <is>
          <t>KIMES 2026 exhibitor directory; email read on the company site, 7 Oct 2026</t>
        </is>
      </c>
      <c r="Q249" s="161" t="n"/>
      <c r="R249" s="161" t="n"/>
      <c r="S249" s="165" t="inlineStr">
        <is>
          <t>Yes</t>
        </is>
      </c>
    </row>
    <row r="250" ht="60" customHeight="1" s="104">
      <c r="A250" s="161" t="n">
        <v>246</v>
      </c>
      <c r="B250" s="162" t="inlineStr">
        <is>
          <t>BONTECH Co., Ltd. (주)본테크</t>
        </is>
      </c>
      <c r="C250" s="161" t="inlineStr">
        <is>
          <t>Not started</t>
        </is>
      </c>
      <c r="D250" s="161" t="inlineStr">
        <is>
          <t>Imaging (X ray, radiology). Digital X ray imaging equipment maker since 2010; KIMES 2026 exhibitor.</t>
        </is>
      </c>
      <c r="E250" s="161" t="inlineStr">
        <is>
          <t>No ultrasound line seen in their KIMES listing</t>
        </is>
      </c>
      <c r="F250" s="161" t="inlineStr">
        <is>
          <t>Suwon</t>
        </is>
      </c>
      <c r="G250" s="163" t="inlineStr">
        <is>
          <t>https://bontech.co</t>
        </is>
      </c>
      <c r="H250" s="161" t="inlineStr">
        <is>
          <t>031-303-5250</t>
        </is>
      </c>
      <c r="I250" s="161" t="inlineStr">
        <is>
          <t>pjw@bontech.co</t>
        </is>
      </c>
      <c r="J250" s="161" t="inlineStr">
        <is>
          <t>Suwon. Tel 031-303-5250. Korean maker or importer exhibiting at KIMES 2026 with its own hospital sales team.</t>
        </is>
      </c>
      <c r="K250" s="164" t="inlineStr">
        <is>
          <t>A</t>
        </is>
      </c>
      <c r="L250" s="161" t="inlineStr">
        <is>
          <t>Already sells imaging into hospitals and clinics; ultrasound is the natural next modality and uses the same buyers. Complementary line partner: sells non ultrasound equipment into the same hospital departments, so CHISON adds a modality without a conflict.</t>
        </is>
      </c>
      <c r="M250" s="161" t="inlineStr">
        <is>
          <t>SonoMax 7 cart, SonoPort compact; X ray and imaging sales team can add ultrasound to existing radiology accounts</t>
        </is>
      </c>
      <c r="N250" s="173" t="n">
        <v>3</v>
      </c>
      <c r="O250" s="161" t="inlineStr">
        <is>
          <t>Tier 3: broad supplier or smaller reach; include in the email wave and follow up only on reply. Manufacturer or importer rather than a pure dealer, so qualify appetite for a third party line first.</t>
        </is>
      </c>
      <c r="P250" s="161" t="inlineStr">
        <is>
          <t>KIMES 2026 exhibitor directory; email read on the company site, 7 Oct 2026</t>
        </is>
      </c>
      <c r="Q250" s="161" t="n"/>
      <c r="R250" s="161" t="n"/>
      <c r="S250" s="165" t="inlineStr">
        <is>
          <t>Yes</t>
        </is>
      </c>
    </row>
    <row r="251" ht="60" customHeight="1" s="104">
      <c r="A251" s="161" t="n">
        <v>247</v>
      </c>
      <c r="B251" s="162" t="inlineStr">
        <is>
          <t>PIXXGEN Corporation (주)픽젠</t>
        </is>
      </c>
      <c r="C251" s="161" t="inlineStr">
        <is>
          <t>Not started</t>
        </is>
      </c>
      <c r="D251" s="161" t="inlineStr">
        <is>
          <t>Imaging (X ray, radiology). Digital X ray systems and imaging software maker; KIMES 2026 exhibitor.</t>
        </is>
      </c>
      <c r="E251" s="161" t="inlineStr">
        <is>
          <t>No ultrasound line seen in their KIMES listing</t>
        </is>
      </c>
      <c r="F251" s="161" t="inlineStr">
        <is>
          <t>Anyang</t>
        </is>
      </c>
      <c r="G251" s="163" t="inlineStr">
        <is>
          <t>https://pixxgen.com</t>
        </is>
      </c>
      <c r="H251" s="161" t="inlineStr">
        <is>
          <t>070-4846-8888</t>
        </is>
      </c>
      <c r="I251" s="161" t="inlineStr">
        <is>
          <t>tech@pixxgen.com</t>
        </is>
      </c>
      <c r="J251" s="161" t="inlineStr">
        <is>
          <t>Anyang. Tel 070-4846-8888. Korean maker or importer exhibiting at KIMES 2026 with its own hospital sales team.</t>
        </is>
      </c>
      <c r="K251" s="164" t="inlineStr">
        <is>
          <t>A</t>
        </is>
      </c>
      <c r="L251" s="161" t="inlineStr">
        <is>
          <t>Already sells imaging into hospitals and clinics; ultrasound is the natural next modality and uses the same buyers. Complementary line partner: sells non ultrasound equipment into the same hospital departments, so CHISON adds a modality without a conflict.</t>
        </is>
      </c>
      <c r="M251" s="161" t="inlineStr">
        <is>
          <t>SonoMax 7 cart, SonoPort compact; X ray and imaging sales team can add ultrasound to existing radiology accounts</t>
        </is>
      </c>
      <c r="N251" s="173" t="n">
        <v>3</v>
      </c>
      <c r="O251" s="161" t="inlineStr">
        <is>
          <t>Tier 3: broad supplier or smaller reach; include in the email wave and follow up only on reply. Manufacturer or importer rather than a pure dealer, so qualify appetite for a third party line first.</t>
        </is>
      </c>
      <c r="P251" s="161" t="inlineStr">
        <is>
          <t>KIMES 2026 exhibitor directory; email read on the company site, 7 Oct 2026. Address is the technical mailbox; ask for it to be passed to domestic sales.</t>
        </is>
      </c>
      <c r="Q251" s="161" t="n"/>
      <c r="R251" s="161" t="n"/>
      <c r="S251" s="165" t="inlineStr">
        <is>
          <t>Yes</t>
        </is>
      </c>
    </row>
    <row r="252" ht="60" customHeight="1" s="104">
      <c r="A252" s="161" t="n">
        <v>248</v>
      </c>
      <c r="B252" s="162" t="inlineStr">
        <is>
          <t>Gemss Healthcare Co., Ltd. (주)젬스헬스케어</t>
        </is>
      </c>
      <c r="C252" s="161" t="inlineStr">
        <is>
          <t>Not started</t>
        </is>
      </c>
      <c r="D252" s="161" t="inlineStr">
        <is>
          <t>Imaging (X ray, radiology). X ray imaging company (formerly Xcovery, Medison X-ray lineage); KIMES 2026 exhibitor.</t>
        </is>
      </c>
      <c r="E252" s="161" t="inlineStr">
        <is>
          <t>No ultrasound line seen in their KIMES listing</t>
        </is>
      </c>
      <c r="F252" s="161" t="inlineStr">
        <is>
          <t>Paju</t>
        </is>
      </c>
      <c r="G252" s="163" t="inlineStr">
        <is>
          <t>https://gemss.co.kr</t>
        </is>
      </c>
      <c r="H252" s="161" t="inlineStr">
        <is>
          <t>031-906-9017</t>
        </is>
      </c>
      <c r="I252" s="161" t="inlineStr">
        <is>
          <t>sales@gemss.co.kr</t>
        </is>
      </c>
      <c r="J252" s="161" t="inlineStr">
        <is>
          <t>Paju. Tel 031-906-9017. Korean maker or importer exhibiting at KIMES 2026 with its own hospital sales team.</t>
        </is>
      </c>
      <c r="K252" s="164" t="inlineStr">
        <is>
          <t>A</t>
        </is>
      </c>
      <c r="L252" s="161" t="inlineStr">
        <is>
          <t>Already sells imaging into hospitals and clinics; ultrasound is the natural next modality and uses the same buyers. Complementary line partner: sells non ultrasound equipment into the same hospital departments, so CHISON adds a modality without a conflict.</t>
        </is>
      </c>
      <c r="M252" s="161" t="inlineStr">
        <is>
          <t>SonoMax 7 cart, SonoPort compact; X ray and imaging sales team can add ultrasound to existing radiology accounts</t>
        </is>
      </c>
      <c r="N252" s="173" t="n">
        <v>3</v>
      </c>
      <c r="O252" s="161" t="inlineStr">
        <is>
          <t>Tier 3: broad supplier or smaller reach; include in the email wave and follow up only on reply. Manufacturer or importer rather than a pure dealer, so qualify appetite for a third party line first.</t>
        </is>
      </c>
      <c r="P252" s="161" t="inlineStr">
        <is>
          <t>KIMES 2026 exhibitor directory; email read on the company site, 7 Oct 2026</t>
        </is>
      </c>
      <c r="Q252" s="161" t="n"/>
      <c r="R252" s="161" t="n"/>
      <c r="S252" s="165" t="inlineStr">
        <is>
          <t>Yes</t>
        </is>
      </c>
    </row>
    <row r="253" ht="60" customHeight="1" s="104">
      <c r="A253" s="161" t="n">
        <v>249</v>
      </c>
      <c r="B253" s="162" t="inlineStr">
        <is>
          <t>EcoRay Co., Ltd. (주)에코레이</t>
        </is>
      </c>
      <c r="C253" s="161" t="inlineStr">
        <is>
          <t>Not started</t>
        </is>
      </c>
      <c r="D253" s="161" t="inlineStr">
        <is>
          <t>Imaging (X ray, radiology). Diagnostic X ray generator and portable X ray maker since 1996; KIMES 2026 exhibitor.</t>
        </is>
      </c>
      <c r="E253" s="161" t="inlineStr">
        <is>
          <t>No ultrasound line seen in their KIMES listing</t>
        </is>
      </c>
      <c r="F253" s="161" t="inlineStr">
        <is>
          <t>Seoul Seongdong</t>
        </is>
      </c>
      <c r="G253" s="163" t="inlineStr">
        <is>
          <t>https://ecoray.kr</t>
        </is>
      </c>
      <c r="H253" s="161" t="inlineStr">
        <is>
          <t>070-7510-3403</t>
        </is>
      </c>
      <c r="I253" s="161" t="inlineStr">
        <is>
          <t>info@ecoray.kr</t>
        </is>
      </c>
      <c r="J253" s="161" t="inlineStr">
        <is>
          <t>Seoul Seongdong. Tel 070-7510-3403. Korean maker or importer exhibiting at KIMES 2026 with its own hospital sales team.</t>
        </is>
      </c>
      <c r="K253" s="164" t="inlineStr">
        <is>
          <t>A</t>
        </is>
      </c>
      <c r="L253" s="161" t="inlineStr">
        <is>
          <t>Already sells imaging into hospitals and clinics; ultrasound is the natural next modality and uses the same buyers. Complementary line partner: sells non ultrasound equipment into the same hospital departments, so CHISON adds a modality without a conflict.</t>
        </is>
      </c>
      <c r="M253" s="161" t="inlineStr">
        <is>
          <t>SonoMax 7 cart, SonoPort compact; X ray and imaging sales team can add ultrasound to existing radiology accounts</t>
        </is>
      </c>
      <c r="N253" s="173" t="n">
        <v>3</v>
      </c>
      <c r="O253" s="161" t="inlineStr">
        <is>
          <t>Tier 3: broad supplier or smaller reach; include in the email wave and follow up only on reply. Manufacturer or importer rather than a pure dealer, so qualify appetite for a third party line first.</t>
        </is>
      </c>
      <c r="P253" s="161" t="inlineStr">
        <is>
          <t>KIMES 2026 exhibitor directory; email read on the company site, 7 Oct 2026</t>
        </is>
      </c>
      <c r="Q253" s="161" t="n"/>
      <c r="R253" s="161" t="n"/>
      <c r="S253" s="165" t="inlineStr">
        <is>
          <t>Yes</t>
        </is>
      </c>
    </row>
    <row r="254" ht="60" customHeight="1" s="104">
      <c r="A254" s="161" t="n">
        <v>250</v>
      </c>
      <c r="B254" s="162" t="inlineStr">
        <is>
          <t>BEMEMS Co., Ltd. (주)비멤스</t>
        </is>
      </c>
      <c r="C254" s="161" t="inlineStr">
        <is>
          <t>Not started</t>
        </is>
      </c>
      <c r="D254" s="161" t="inlineStr">
        <is>
          <t>Imaging (X ray, radiology). Medical X ray equipment maker; KIMES 2026 exhibitor.</t>
        </is>
      </c>
      <c r="E254" s="161" t="inlineStr">
        <is>
          <t>No ultrasound line seen in their KIMES listing</t>
        </is>
      </c>
      <c r="F254" s="161" t="inlineStr">
        <is>
          <t>Seoul Geumcheon</t>
        </is>
      </c>
      <c r="G254" s="163" t="inlineStr">
        <is>
          <t>https://bemems.com</t>
        </is>
      </c>
      <c r="H254" s="161" t="inlineStr">
        <is>
          <t>02-2627-5667</t>
        </is>
      </c>
      <c r="I254" s="161" t="inlineStr">
        <is>
          <t>sales.kr@bemems.com</t>
        </is>
      </c>
      <c r="J254" s="161" t="inlineStr">
        <is>
          <t>Seoul Geumcheon. Tel 02-2627-5667. Korean maker or importer exhibiting at KIMES 2026 with its own hospital sales team.</t>
        </is>
      </c>
      <c r="K254" s="164" t="inlineStr">
        <is>
          <t>A</t>
        </is>
      </c>
      <c r="L254" s="161" t="inlineStr">
        <is>
          <t>Already sells imaging into hospitals and clinics; ultrasound is the natural next modality and uses the same buyers. Complementary line partner: sells non ultrasound equipment into the same hospital departments, so CHISON adds a modality without a conflict.</t>
        </is>
      </c>
      <c r="M254" s="161" t="inlineStr">
        <is>
          <t>SonoMax 7 cart, SonoPort compact; X ray and imaging sales team can add ultrasound to existing radiology accounts</t>
        </is>
      </c>
      <c r="N254" s="173" t="n">
        <v>3</v>
      </c>
      <c r="O254" s="161" t="inlineStr">
        <is>
          <t>Tier 3: broad supplier or smaller reach; include in the email wave and follow up only on reply. Manufacturer or importer rather than a pure dealer, so qualify appetite for a third party line first.</t>
        </is>
      </c>
      <c r="P254" s="161" t="inlineStr">
        <is>
          <t>KIMES 2026 exhibitor directory; email read on the company site, 7 Oct 2026</t>
        </is>
      </c>
      <c r="Q254" s="161" t="n"/>
      <c r="R254" s="161" t="n"/>
      <c r="S254" s="165" t="inlineStr">
        <is>
          <t>Yes</t>
        </is>
      </c>
    </row>
    <row r="255" ht="60" customHeight="1" s="104">
      <c r="A255" s="161" t="n">
        <v>251</v>
      </c>
      <c r="B255" s="162" t="inlineStr">
        <is>
          <t>Jungbon Medical 정본메디컬</t>
        </is>
      </c>
      <c r="C255" s="161" t="inlineStr">
        <is>
          <t>Not started</t>
        </is>
      </c>
      <c r="D255" s="161" t="inlineStr">
        <is>
          <t>Surgical, OR and anaesthesia. Gastroscopy and colonoscopy endoscope system maker; KIMES 2026 exhibitor.</t>
        </is>
      </c>
      <c r="E255" s="161" t="inlineStr">
        <is>
          <t>No ultrasound line seen in their KIMES listing</t>
        </is>
      </c>
      <c r="F255" s="161" t="inlineStr">
        <is>
          <t>Hwaseong</t>
        </is>
      </c>
      <c r="G255" s="163" t="inlineStr">
        <is>
          <t>https://jb21.co.kr</t>
        </is>
      </c>
      <c r="H255" s="161" t="inlineStr">
        <is>
          <t>031-8031-1180</t>
        </is>
      </c>
      <c r="I255" s="161" t="inlineStr">
        <is>
          <t>info@jb21.co.kr</t>
        </is>
      </c>
      <c r="J255" s="161" t="inlineStr">
        <is>
          <t>Hwaseong. Tel 031-8031-1180. Korean maker or importer exhibiting at KIMES 2026 with its own hospital sales team.</t>
        </is>
      </c>
      <c r="K255" s="164" t="inlineStr">
        <is>
          <t>A</t>
        </is>
      </c>
      <c r="L255" s="161" t="inlineStr">
        <is>
          <t>Theatre and anaesthesia accounts are the entry point for point of care ultrasound (nerve block, vascular access). Complementary line partner: sells non ultrasound equipment into the same hospital departments, so CHISON adds a modality without a conflict.</t>
        </is>
      </c>
      <c r="M255" s="161" t="inlineStr">
        <is>
          <t>SonoTouch tablet, SonoEye P3 for nerve block and vascular access in theatre</t>
        </is>
      </c>
      <c r="N255" s="173" t="n">
        <v>3</v>
      </c>
      <c r="O255" s="161" t="inlineStr">
        <is>
          <t>Tier 3: broad supplier or smaller reach; include in the email wave and follow up only on reply. Manufacturer or importer rather than a pure dealer, so qualify appetite for a third party line first.</t>
        </is>
      </c>
      <c r="P255" s="161" t="inlineStr">
        <is>
          <t>KIMES 2026 exhibitor directory; email read on the company site, 7 Oct 2026</t>
        </is>
      </c>
      <c r="Q255" s="161" t="n"/>
      <c r="R255" s="161" t="n"/>
      <c r="S255" s="165" t="inlineStr">
        <is>
          <t>Yes</t>
        </is>
      </c>
    </row>
    <row r="256" ht="60" customHeight="1" s="104">
      <c r="A256" s="161" t="n">
        <v>252</v>
      </c>
      <c r="B256" s="162" t="inlineStr">
        <is>
          <t>Yuwon Meditech Co., Ltd. (주)유원메디텍</t>
        </is>
      </c>
      <c r="C256" s="161" t="inlineStr">
        <is>
          <t>Not started</t>
        </is>
      </c>
      <c r="D256" s="161" t="inlineStr">
        <is>
          <t>Surgical, OR and anaesthesia. Minimally invasive surgery device maker since 2003; KIMES 2026 exhibitor.</t>
        </is>
      </c>
      <c r="E256" s="161" t="inlineStr">
        <is>
          <t>No ultrasound line seen in their KIMES listing</t>
        </is>
      </c>
      <c r="F256" s="161" t="inlineStr">
        <is>
          <t>Wonju</t>
        </is>
      </c>
      <c r="G256" s="163" t="inlineStr">
        <is>
          <t>https://yuwonmeditech.com</t>
        </is>
      </c>
      <c r="H256" s="161" t="inlineStr">
        <is>
          <t>033-743-0081</t>
        </is>
      </c>
      <c r="I256" s="161" t="inlineStr">
        <is>
          <t>info@yuwonmeditech.com</t>
        </is>
      </c>
      <c r="J256" s="161" t="inlineStr">
        <is>
          <t>Wonju. Tel 033-743-0081. Korean maker or importer exhibiting at KIMES 2026 with its own hospital sales team.</t>
        </is>
      </c>
      <c r="K256" s="164" t="inlineStr">
        <is>
          <t>A</t>
        </is>
      </c>
      <c r="L256" s="161" t="inlineStr">
        <is>
          <t>Theatre and anaesthesia accounts are the entry point for point of care ultrasound (nerve block, vascular access). Complementary line partner: sells non ultrasound equipment into the same hospital departments, so CHISON adds a modality without a conflict.</t>
        </is>
      </c>
      <c r="M256" s="161" t="inlineStr">
        <is>
          <t>SonoTouch tablet, SonoEye P3 for nerve block and vascular access in theatre</t>
        </is>
      </c>
      <c r="N256" s="173" t="n">
        <v>3</v>
      </c>
      <c r="O256" s="161" t="inlineStr">
        <is>
          <t>Tier 3: broad supplier or smaller reach; include in the email wave and follow up only on reply. Manufacturer or importer rather than a pure dealer, so qualify appetite for a third party line first.</t>
        </is>
      </c>
      <c r="P256" s="161" t="inlineStr">
        <is>
          <t>KIMES 2026 exhibitor directory; email read on the company site, 7 Oct 2026</t>
        </is>
      </c>
      <c r="Q256" s="161" t="n"/>
      <c r="R256" s="161" t="n"/>
      <c r="S256" s="165" t="inlineStr">
        <is>
          <t>Yes</t>
        </is>
      </c>
    </row>
    <row r="257" ht="60" customHeight="1" s="104">
      <c r="A257" s="161" t="n">
        <v>253</v>
      </c>
      <c r="B257" s="162" t="inlineStr">
        <is>
          <t>SM Eng Co., Ltd. (주)에스엠이엔지</t>
        </is>
      </c>
      <c r="C257" s="161" t="inlineStr">
        <is>
          <t>Not started</t>
        </is>
      </c>
      <c r="D257" s="161" t="inlineStr">
        <is>
          <t>Surgical, OR and anaesthesia. Sutures, needles, skin staplers and surgical blades maker; KIMES 2026 exhibitor.</t>
        </is>
      </c>
      <c r="E257" s="161" t="inlineStr">
        <is>
          <t>No ultrasound line seen in their KIMES listing</t>
        </is>
      </c>
      <c r="F257" s="161" t="inlineStr">
        <is>
          <t>Busan Sasang</t>
        </is>
      </c>
      <c r="G257" s="163" t="inlineStr">
        <is>
          <t>https://sm-eng.net</t>
        </is>
      </c>
      <c r="H257" s="161" t="inlineStr">
        <is>
          <t>051-305-8016</t>
        </is>
      </c>
      <c r="I257" s="161" t="inlineStr">
        <is>
          <t>sales@sm-eng.net</t>
        </is>
      </c>
      <c r="J257" s="161" t="inlineStr">
        <is>
          <t>Busan Sasang. Tel 051-305-8016. Korean maker or importer exhibiting at KIMES 2026 with its own hospital sales team.</t>
        </is>
      </c>
      <c r="K257" s="164" t="inlineStr">
        <is>
          <t>A</t>
        </is>
      </c>
      <c r="L257" s="161" t="inlineStr">
        <is>
          <t>Theatre and anaesthesia accounts are the entry point for point of care ultrasound (nerve block, vascular access). Complementary line partner: sells non ultrasound equipment into the same hospital departments, so CHISON adds a modality without a conflict.</t>
        </is>
      </c>
      <c r="M257" s="161" t="inlineStr">
        <is>
          <t>SonoTouch tablet, SonoEye P3 for nerve block and vascular access in theatre</t>
        </is>
      </c>
      <c r="N257" s="173" t="n">
        <v>3</v>
      </c>
      <c r="O257" s="161" t="inlineStr">
        <is>
          <t>Tier 3: broad supplier or smaller reach; include in the email wave and follow up only on reply. Manufacturer or importer rather than a pure dealer, so qualify appetite for a third party line first.</t>
        </is>
      </c>
      <c r="P257" s="161" t="inlineStr">
        <is>
          <t>KIMES 2026 exhibitor directory; email read on the company site, 7 Oct 2026</t>
        </is>
      </c>
      <c r="Q257" s="161" t="n"/>
      <c r="R257" s="161" t="n"/>
      <c r="S257" s="165" t="inlineStr">
        <is>
          <t>Yes</t>
        </is>
      </c>
    </row>
    <row r="258" ht="60" customHeight="1" s="104">
      <c r="A258" s="161" t="n">
        <v>254</v>
      </c>
      <c r="B258" s="162" t="inlineStr">
        <is>
          <t>Sungkwang Meditech Co., Ltd. 성광메디텍(주)</t>
        </is>
      </c>
      <c r="C258" s="161" t="inlineStr">
        <is>
          <t>Not started</t>
        </is>
      </c>
      <c r="D258" s="161" t="inlineStr">
        <is>
          <t>Surgical, OR and anaesthesia. Operating room supplies and radiation shielding products maker; KIMES 2026 exhibitor.</t>
        </is>
      </c>
      <c r="E258" s="161" t="inlineStr">
        <is>
          <t>No ultrasound line seen in their KIMES listing</t>
        </is>
      </c>
      <c r="F258" s="161" t="inlineStr">
        <is>
          <t>Yangju</t>
        </is>
      </c>
      <c r="G258" s="163" t="inlineStr">
        <is>
          <t>https://skmeditech.com</t>
        </is>
      </c>
      <c r="H258" s="161" t="inlineStr">
        <is>
          <t>031-855-7548</t>
        </is>
      </c>
      <c r="I258" s="161" t="inlineStr">
        <is>
          <t>sales5@skmeditech.com</t>
        </is>
      </c>
      <c r="J258" s="161" t="inlineStr">
        <is>
          <t>Yangju. Tel 031-855-7548. Korean maker or importer exhibiting at KIMES 2026 with its own hospital sales team.</t>
        </is>
      </c>
      <c r="K258" s="164" t="inlineStr">
        <is>
          <t>A</t>
        </is>
      </c>
      <c r="L258" s="161" t="inlineStr">
        <is>
          <t>Theatre and anaesthesia accounts are the entry point for point of care ultrasound (nerve block, vascular access). Complementary line partner: sells non ultrasound equipment into the same hospital departments, so CHISON adds a modality without a conflict.</t>
        </is>
      </c>
      <c r="M258" s="161" t="inlineStr">
        <is>
          <t>SonoTouch tablet, SonoEye P3 for nerve block and vascular access in theatre</t>
        </is>
      </c>
      <c r="N258" s="173" t="n">
        <v>3</v>
      </c>
      <c r="O258" s="161" t="inlineStr">
        <is>
          <t>Tier 3: broad supplier or smaller reach; include in the email wave and follow up only on reply. Manufacturer or importer rather than a pure dealer, so qualify appetite for a third party line first.</t>
        </is>
      </c>
      <c r="P258" s="161" t="inlineStr">
        <is>
          <t>KIMES 2026 exhibitor directory; email read on the company site, 7 Oct 2026</t>
        </is>
      </c>
      <c r="Q258" s="161" t="n"/>
      <c r="R258" s="161" t="n"/>
      <c r="S258" s="165" t="inlineStr">
        <is>
          <t>Yes</t>
        </is>
      </c>
    </row>
    <row r="259" ht="60" customHeight="1" s="104">
      <c r="A259" s="161" t="n">
        <v>255</v>
      </c>
      <c r="B259" s="162" t="inlineStr">
        <is>
          <t>Meditech Co., Ltd. (주)메디텍</t>
        </is>
      </c>
      <c r="C259" s="161" t="inlineStr">
        <is>
          <t>Not started</t>
        </is>
      </c>
      <c r="D259" s="161" t="inlineStr">
        <is>
          <t>Surgical, OR and anaesthesia. Surgical lasers (Er:YAG, CO2, Nd:YAG) and combined stimulators maker; KIMES 2026 exhibitor.</t>
        </is>
      </c>
      <c r="E259" s="161" t="inlineStr">
        <is>
          <t>No ultrasound line seen in their KIMES listing</t>
        </is>
      </c>
      <c r="F259" s="161" t="inlineStr">
        <is>
          <t>Seoul Guro</t>
        </is>
      </c>
      <c r="G259" s="163" t="inlineStr">
        <is>
          <t>https://imeditech.co.kr</t>
        </is>
      </c>
      <c r="H259" s="161" t="inlineStr">
        <is>
          <t>02-2026-8561</t>
        </is>
      </c>
      <c r="I259" s="161" t="inlineStr">
        <is>
          <t>imeditech@imeditech.co.kr</t>
        </is>
      </c>
      <c r="J259" s="161" t="inlineStr">
        <is>
          <t>Seoul Guro. Tel 02-2026-8561. Korean maker or importer exhibiting at KIMES 2026 with its own hospital sales team.</t>
        </is>
      </c>
      <c r="K259" s="164" t="inlineStr">
        <is>
          <t>A</t>
        </is>
      </c>
      <c r="L259" s="161" t="inlineStr">
        <is>
          <t>Theatre and anaesthesia accounts are the entry point for point of care ultrasound (nerve block, vascular access). Complementary line partner: sells non ultrasound equipment into the same hospital departments, so CHISON adds a modality without a conflict.</t>
        </is>
      </c>
      <c r="M259" s="161" t="inlineStr">
        <is>
          <t>SonoTouch tablet, SonoEye P3 for nerve block and vascular access in theatre</t>
        </is>
      </c>
      <c r="N259" s="173" t="n">
        <v>3</v>
      </c>
      <c r="O259" s="161" t="inlineStr">
        <is>
          <t>Tier 3: broad supplier or smaller reach; include in the email wave and follow up only on reply. Manufacturer or importer rather than a pure dealer, so qualify appetite for a third party line first.</t>
        </is>
      </c>
      <c r="P259" s="161" t="inlineStr">
        <is>
          <t>KIMES 2026 exhibitor directory; email read on the company site, 7 Oct 2026</t>
        </is>
      </c>
      <c r="Q259" s="161" t="n"/>
      <c r="R259" s="161" t="n"/>
      <c r="S259" s="165" t="inlineStr">
        <is>
          <t>Yes</t>
        </is>
      </c>
    </row>
    <row r="260" ht="60" customHeight="1" s="104">
      <c r="A260" s="161" t="n">
        <v>256</v>
      </c>
      <c r="B260" s="162" t="inlineStr">
        <is>
          <t>Hanil-TM Co., Ltd. (주)한일티엠</t>
        </is>
      </c>
      <c r="C260" s="161" t="inlineStr">
        <is>
          <t>Not started</t>
        </is>
      </c>
      <c r="D260" s="161" t="inlineStr">
        <is>
          <t>Orthopaedic, rehab, pain. Physiotherapy and rehabilitation equipment maker and seller, 20+ years; KIMES 2026 exhibitor.</t>
        </is>
      </c>
      <c r="E260" s="161" t="inlineStr">
        <is>
          <t>No ultrasound line seen in their KIMES listing</t>
        </is>
      </c>
      <c r="F260" s="161" t="inlineStr">
        <is>
          <t>Wonju</t>
        </is>
      </c>
      <c r="G260" s="163" t="inlineStr">
        <is>
          <t>https://haniltm.kr</t>
        </is>
      </c>
      <c r="H260" s="161" t="inlineStr">
        <is>
          <t>033-812-2020</t>
        </is>
      </c>
      <c r="I260" s="161" t="inlineStr">
        <is>
          <t>info@haniltm.kr</t>
        </is>
      </c>
      <c r="J260" s="161" t="inlineStr">
        <is>
          <t>Wonju. Tel 033-812-2020. Korean maker or importer exhibiting at KIMES 2026 with its own hospital sales team.</t>
        </is>
      </c>
      <c r="K260" s="164" t="inlineStr">
        <is>
          <t>A</t>
        </is>
      </c>
      <c r="L260"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60" s="161" t="inlineStr">
        <is>
          <t>SonoEye P5 linear, SonoAir 30/70 for orthopaedic, rehab and pain clinics</t>
        </is>
      </c>
      <c r="N260" s="173" t="n">
        <v>3</v>
      </c>
      <c r="O260" s="161" t="inlineStr">
        <is>
          <t>Tier 3: broad supplier or smaller reach; include in the email wave and follow up only on reply. Manufacturer or importer rather than a pure dealer, so qualify appetite for a third party line first.</t>
        </is>
      </c>
      <c r="P260" s="161" t="inlineStr">
        <is>
          <t>KIMES 2026 exhibitor directory; email read on the company site, 7 Oct 2026</t>
        </is>
      </c>
      <c r="Q260" s="161" t="n"/>
      <c r="R260" s="161" t="n"/>
      <c r="S260" s="165" t="inlineStr">
        <is>
          <t>Yes</t>
        </is>
      </c>
    </row>
    <row r="261" ht="60" customHeight="1" s="104">
      <c r="A261" s="161" t="n">
        <v>257</v>
      </c>
      <c r="B261" s="162" t="inlineStr">
        <is>
          <t>Marpe Co., Ltd. (주)마르페</t>
        </is>
      </c>
      <c r="C261" s="161" t="inlineStr">
        <is>
          <t>Not started</t>
        </is>
      </c>
      <c r="D261" s="161" t="inlineStr">
        <is>
          <t>Orthopaedic, rehab, pain. Rehabilitation and exercise equipment maker since 2000; KIMES 2026 exhibitor.</t>
        </is>
      </c>
      <c r="E261" s="161" t="inlineStr">
        <is>
          <t>No ultrasound line seen in their KIMES listing</t>
        </is>
      </c>
      <c r="F261" s="161" t="inlineStr">
        <is>
          <t>Jeonju</t>
        </is>
      </c>
      <c r="G261" s="163" t="inlineStr">
        <is>
          <t>https://marpe2000.com</t>
        </is>
      </c>
      <c r="H261" s="161" t="inlineStr">
        <is>
          <t>063-212-7585</t>
        </is>
      </c>
      <c r="I261" s="161" t="inlineStr">
        <is>
          <t>contact@marpe.kr</t>
        </is>
      </c>
      <c r="J261" s="161" t="inlineStr">
        <is>
          <t>Jeonju. Tel 063-212-7585. Korean maker or importer exhibiting at KIMES 2026 with its own hospital sales team.</t>
        </is>
      </c>
      <c r="K261" s="164" t="inlineStr">
        <is>
          <t>A</t>
        </is>
      </c>
      <c r="L261"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61" s="161" t="inlineStr">
        <is>
          <t>SonoEye P5 linear, SonoAir 30/70 for orthopaedic, rehab and pain clinics</t>
        </is>
      </c>
      <c r="N261" s="173" t="n">
        <v>3</v>
      </c>
      <c r="O261" s="161" t="inlineStr">
        <is>
          <t>Tier 3: broad supplier or smaller reach; include in the email wave and follow up only on reply. Manufacturer or importer rather than a pure dealer, so qualify appetite for a third party line first.</t>
        </is>
      </c>
      <c r="P261" s="161" t="inlineStr">
        <is>
          <t>KIMES 2026 exhibitor directory; email read on the company site, 7 Oct 2026</t>
        </is>
      </c>
      <c r="Q261" s="161" t="n"/>
      <c r="R261" s="161" t="n"/>
      <c r="S261" s="165" t="inlineStr">
        <is>
          <t>Yes</t>
        </is>
      </c>
    </row>
    <row r="262" ht="60" customHeight="1" s="104">
      <c r="A262" s="161" t="n">
        <v>258</v>
      </c>
      <c r="B262" s="162" t="inlineStr">
        <is>
          <t>Bojong MC (주)보종엠씨</t>
        </is>
      </c>
      <c r="C262" s="161" t="inlineStr">
        <is>
          <t>Not started</t>
        </is>
      </c>
      <c r="D262" s="161" t="inlineStr">
        <is>
          <t>Orthopaedic, rehab, pain. Rehabilitation and sports medicine equipment company since 2006; KIMES 2026 exhibitor.</t>
        </is>
      </c>
      <c r="E262" s="161" t="inlineStr">
        <is>
          <t>No ultrasound line seen in their KIMES listing</t>
        </is>
      </c>
      <c r="F262" s="161" t="inlineStr">
        <is>
          <t>Siheung</t>
        </is>
      </c>
      <c r="G262" s="163" t="inlineStr">
        <is>
          <t>https://bojongmc.co.kr</t>
        </is>
      </c>
      <c r="H262" s="161" t="inlineStr">
        <is>
          <t>032-672-1381</t>
        </is>
      </c>
      <c r="I262" s="161" t="inlineStr">
        <is>
          <t>inform@bojongmc.co.kr</t>
        </is>
      </c>
      <c r="J262" s="161" t="inlineStr">
        <is>
          <t>Siheung. Tel 032-672-1381. Korean maker or importer exhibiting at KIMES 2026 with its own hospital sales team.</t>
        </is>
      </c>
      <c r="K262" s="164" t="inlineStr">
        <is>
          <t>A</t>
        </is>
      </c>
      <c r="L262"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62" s="161" t="inlineStr">
        <is>
          <t>SonoEye P5 linear, SonoAir 30/70 for orthopaedic, rehab and pain clinics</t>
        </is>
      </c>
      <c r="N262" s="173" t="n">
        <v>3</v>
      </c>
      <c r="O262" s="161" t="inlineStr">
        <is>
          <t>Tier 3: broad supplier or smaller reach; include in the email wave and follow up only on reply. Manufacturer or importer rather than a pure dealer, so qualify appetite for a third party line first.</t>
        </is>
      </c>
      <c r="P262" s="161" t="inlineStr">
        <is>
          <t>KIMES 2026 exhibitor directory; email read on the company site, 7 Oct 2026</t>
        </is>
      </c>
      <c r="Q262" s="161" t="n"/>
      <c r="R262" s="161" t="n"/>
      <c r="S262" s="165" t="inlineStr">
        <is>
          <t>Yes</t>
        </is>
      </c>
    </row>
    <row r="263" ht="60" customHeight="1" s="104">
      <c r="A263" s="161" t="n">
        <v>259</v>
      </c>
      <c r="B263" s="162" t="inlineStr">
        <is>
          <t>Hanmed Co., Ltd. (주)한메드</t>
        </is>
      </c>
      <c r="C263" s="161" t="inlineStr">
        <is>
          <t>Not started</t>
        </is>
      </c>
      <c r="D263" s="161" t="inlineStr">
        <is>
          <t>Orthopaedic, rehab, pain. Non surgical spinal decompression and spine rehab equipment maker since 2007; KIMES 2026 exhibitor.</t>
        </is>
      </c>
      <c r="E263" s="161" t="inlineStr">
        <is>
          <t>No ultrasound line seen in their KIMES listing</t>
        </is>
      </c>
      <c r="F263" s="161" t="inlineStr">
        <is>
          <t>Gimhae</t>
        </is>
      </c>
      <c r="G263" s="163" t="inlineStr">
        <is>
          <t>https://hanmed.net</t>
        </is>
      </c>
      <c r="H263" s="161" t="inlineStr">
        <is>
          <t>055-33-0575 (as listed on KIMES; a digit looks missing)</t>
        </is>
      </c>
      <c r="I263" s="161" t="inlineStr">
        <is>
          <t>kinetrac@naver.com</t>
        </is>
      </c>
      <c r="J263" s="161" t="inlineStr">
        <is>
          <t>Gimhae. Tel 055-33-0575 (as listed on KIMES; a digit looks missing). Korean maker or importer exhibiting at KIMES 2026 with its own hospital sales team.</t>
        </is>
      </c>
      <c r="K263" s="164" t="inlineStr">
        <is>
          <t>A</t>
        </is>
      </c>
      <c r="L263"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63" s="161" t="inlineStr">
        <is>
          <t>SonoEye P5 linear, SonoAir 30/70 for orthopaedic, rehab and pain clinics</t>
        </is>
      </c>
      <c r="N263" s="173" t="n">
        <v>3</v>
      </c>
      <c r="O263" s="161" t="inlineStr">
        <is>
          <t>Tier 3: broad supplier or smaller reach; include in the email wave and follow up only on reply. Manufacturer or importer rather than a pure dealer, so qualify appetite for a third party line first.</t>
        </is>
      </c>
      <c r="P263" s="161" t="inlineStr">
        <is>
          <t>KIMES 2026 exhibitor directory; email read on the company site, 7 Oct 2026</t>
        </is>
      </c>
      <c r="Q263" s="161" t="n"/>
      <c r="R263" s="161" t="n"/>
      <c r="S263" s="165" t="inlineStr">
        <is>
          <t>Yes</t>
        </is>
      </c>
    </row>
    <row r="264" ht="60" customHeight="1" s="104">
      <c r="A264" s="161" t="n">
        <v>260</v>
      </c>
      <c r="B264" s="162" t="inlineStr">
        <is>
          <t>Yunbiotech Co., Ltd. (주)윤바이오테크</t>
        </is>
      </c>
      <c r="C264" s="161" t="inlineStr">
        <is>
          <t>Not started</t>
        </is>
      </c>
      <c r="D264" s="161" t="inlineStr">
        <is>
          <t>Orthopaedic, rehab, pain. Orthopaedic device research and manufacturing; KIMES 2026 exhibitor.</t>
        </is>
      </c>
      <c r="E264" s="161" t="inlineStr">
        <is>
          <t>No ultrasound line seen in their KIMES listing</t>
        </is>
      </c>
      <c r="F264" s="161" t="inlineStr">
        <is>
          <t>Incheon Namdong</t>
        </is>
      </c>
      <c r="G264" s="163" t="inlineStr">
        <is>
          <t>https://yunbiotech.com</t>
        </is>
      </c>
      <c r="H264" s="161" t="inlineStr">
        <is>
          <t>032-816-0915</t>
        </is>
      </c>
      <c r="I264" s="161" t="inlineStr">
        <is>
          <t>yunbiotech@daum.net</t>
        </is>
      </c>
      <c r="J264" s="161" t="inlineStr">
        <is>
          <t>Incheon Namdong. Tel 032-816-0915. Korean maker or importer exhibiting at KIMES 2026 with its own hospital sales team.</t>
        </is>
      </c>
      <c r="K264" s="164" t="inlineStr">
        <is>
          <t>A</t>
        </is>
      </c>
      <c r="L264"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64" s="161" t="inlineStr">
        <is>
          <t>SonoEye P5 linear, SonoAir 30/70 for orthopaedic, rehab and pain clinics</t>
        </is>
      </c>
      <c r="N264" s="173" t="n">
        <v>3</v>
      </c>
      <c r="O264" s="161" t="inlineStr">
        <is>
          <t>Tier 3: broad supplier or smaller reach; include in the email wave and follow up only on reply. Manufacturer or importer rather than a pure dealer, so qualify appetite for a third party line first.</t>
        </is>
      </c>
      <c r="P264" s="161" t="inlineStr">
        <is>
          <t>KIMES 2026 exhibitor directory; email read on the company site, 7 Oct 2026</t>
        </is>
      </c>
      <c r="Q264" s="161" t="n"/>
      <c r="R264" s="161" t="n"/>
      <c r="S264" s="165" t="inlineStr">
        <is>
          <t>Yes</t>
        </is>
      </c>
    </row>
    <row r="265" ht="60" customHeight="1" s="104">
      <c r="A265" s="161" t="n">
        <v>261</v>
      </c>
      <c r="B265" s="162" t="inlineStr">
        <is>
          <t>A-MI Global Co., Ltd. (주)아미글로벌</t>
        </is>
      </c>
      <c r="C265" s="161" t="inlineStr">
        <is>
          <t>Not started</t>
        </is>
      </c>
      <c r="D265" s="161" t="inlineStr">
        <is>
          <t>Orthopaedic, rehab, pain. Orthopaedic braces and supports maker and distributor since 1965; KIMES 2026 exhibitor.</t>
        </is>
      </c>
      <c r="E265" s="161" t="inlineStr">
        <is>
          <t>No ultrasound line seen in their KIMES listing</t>
        </is>
      </c>
      <c r="F265" s="161" t="inlineStr">
        <is>
          <t>Busan Saha</t>
        </is>
      </c>
      <c r="G265" s="163" t="inlineStr">
        <is>
          <t>https://a-mi.co.kr</t>
        </is>
      </c>
      <c r="H265" s="161" t="inlineStr">
        <is>
          <t>051-293-6472</t>
        </is>
      </c>
      <c r="I265" s="161" t="inlineStr">
        <is>
          <t>a-miglobal@amiglobal.co.kr</t>
        </is>
      </c>
      <c r="J265" s="161" t="inlineStr">
        <is>
          <t>Busan Saha. Tel 051-293-6472. Korean maker or importer exhibiting at KIMES 2026 with its own hospital sales team.</t>
        </is>
      </c>
      <c r="K265" s="164" t="inlineStr">
        <is>
          <t>A</t>
        </is>
      </c>
      <c r="L265"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65" s="161" t="inlineStr">
        <is>
          <t>SonoEye P5 linear, SonoAir 30/70 for orthopaedic, rehab and pain clinics</t>
        </is>
      </c>
      <c r="N265" s="173" t="n">
        <v>3</v>
      </c>
      <c r="O265" s="161" t="inlineStr">
        <is>
          <t>Tier 3: broad supplier or smaller reach; include in the email wave and follow up only on reply. Manufacturer or importer rather than a pure dealer, so qualify appetite for a third party line first.</t>
        </is>
      </c>
      <c r="P265" s="161" t="inlineStr">
        <is>
          <t>KIMES 2026 exhibitor directory; email read on the company site, 7 Oct 2026</t>
        </is>
      </c>
      <c r="Q265" s="161" t="n"/>
      <c r="R265" s="161" t="n"/>
      <c r="S265" s="165" t="inlineStr">
        <is>
          <t>Yes</t>
        </is>
      </c>
    </row>
    <row r="266" ht="60" customHeight="1" s="104">
      <c r="A266" s="161" t="n">
        <v>262</v>
      </c>
      <c r="B266" s="162" t="inlineStr">
        <is>
          <t>Man&amp;Tel Co., Ltd. (주)맨엔텔</t>
        </is>
      </c>
      <c r="C266" s="161" t="inlineStr">
        <is>
          <t>Not started</t>
        </is>
      </c>
      <c r="D266" s="161" t="inlineStr">
        <is>
          <t>Orthopaedic, rehab, pain. Rehabilitation medical device developer, maker and seller; KIMES 2026 exhibitor.</t>
        </is>
      </c>
      <c r="E266" s="161" t="inlineStr">
        <is>
          <t>No ultrasound line seen in their KIMES listing</t>
        </is>
      </c>
      <c r="F266" s="161" t="inlineStr">
        <is>
          <t>Gumi</t>
        </is>
      </c>
      <c r="G266" s="163" t="inlineStr">
        <is>
          <t>https://manntelcom.cafe24.com</t>
        </is>
      </c>
      <c r="H266" s="161" t="inlineStr">
        <is>
          <t>054-444-2376</t>
        </is>
      </c>
      <c r="I266" s="161" t="inlineStr">
        <is>
          <t>master@manntel.com</t>
        </is>
      </c>
      <c r="J266" s="161" t="inlineStr">
        <is>
          <t>Gumi. Tel 054-444-2376. Korean maker or importer exhibiting at KIMES 2026 with its own hospital sales team.</t>
        </is>
      </c>
      <c r="K266" s="164" t="inlineStr">
        <is>
          <t>A</t>
        </is>
      </c>
      <c r="L266"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66" s="161" t="inlineStr">
        <is>
          <t>SonoEye P5 linear, SonoAir 30/70 for orthopaedic, rehab and pain clinics</t>
        </is>
      </c>
      <c r="N266" s="173" t="n">
        <v>3</v>
      </c>
      <c r="O266" s="161" t="inlineStr">
        <is>
          <t>Tier 3: broad supplier or smaller reach; include in the email wave and follow up only on reply. Manufacturer or importer rather than a pure dealer, so qualify appetite for a third party line first.</t>
        </is>
      </c>
      <c r="P266" s="161" t="inlineStr">
        <is>
          <t>KIMES 2026 exhibitor directory; email read on the company site, 7 Oct 2026</t>
        </is>
      </c>
      <c r="Q266" s="161" t="n"/>
      <c r="R266" s="161" t="n"/>
      <c r="S266" s="165" t="inlineStr">
        <is>
          <t>Yes</t>
        </is>
      </c>
    </row>
    <row r="267" ht="60" customHeight="1" s="104">
      <c r="A267" s="161" t="n">
        <v>263</v>
      </c>
      <c r="B267" s="162" t="inlineStr">
        <is>
          <t>Technogym Korea (Galaxia SM) 테크노짐(갤럭시아에스엠)</t>
        </is>
      </c>
      <c r="C267" s="161" t="inlineStr">
        <is>
          <t>Not started</t>
        </is>
      </c>
      <c r="D267" s="161" t="inlineStr">
        <is>
          <t>Orthopaedic, rehab, pain. Technogym medical wellness and rehab equipment distributor in Korea; KIMES 2026 exhibitor.</t>
        </is>
      </c>
      <c r="E267" s="161" t="inlineStr">
        <is>
          <t>No ultrasound line seen in their KIMES listing</t>
        </is>
      </c>
      <c r="F267" s="161" t="inlineStr">
        <is>
          <t>Seoul Gangnam</t>
        </is>
      </c>
      <c r="G267" s="163" t="inlineStr">
        <is>
          <t>https://technogymkr.com</t>
        </is>
      </c>
      <c r="H267" s="161" t="inlineStr">
        <is>
          <t>02-3780-7387</t>
        </is>
      </c>
      <c r="I267" s="161" t="inlineStr">
        <is>
          <t>technogym_kr@naver.com</t>
        </is>
      </c>
      <c r="J267" s="161" t="inlineStr">
        <is>
          <t>Seoul Gangnam. Tel 02-3780-7387. Korean maker or importer exhibiting at KIMES 2026 with its own hospital sales team.</t>
        </is>
      </c>
      <c r="K267" s="164" t="inlineStr">
        <is>
          <t>A</t>
        </is>
      </c>
      <c r="L267"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67" s="161" t="inlineStr">
        <is>
          <t>SonoEye P5 linear, SonoAir 30/70 for orthopaedic, rehab and pain clinics</t>
        </is>
      </c>
      <c r="N267" s="173" t="n">
        <v>3</v>
      </c>
      <c r="O267" s="161" t="inlineStr">
        <is>
          <t>Tier 3: broad supplier or smaller reach; include in the email wave and follow up only on reply. Manufacturer or importer rather than a pure dealer, so qualify appetite for a third party line first.</t>
        </is>
      </c>
      <c r="P267" s="161" t="inlineStr">
        <is>
          <t>KIMES 2026 exhibitor directory; email read on the company site, 7 Oct 2026</t>
        </is>
      </c>
      <c r="Q267" s="161" t="n"/>
      <c r="R267" s="161" t="n"/>
      <c r="S267" s="165" t="inlineStr">
        <is>
          <t>Yes</t>
        </is>
      </c>
    </row>
    <row r="268" ht="60" customHeight="1" s="104">
      <c r="A268" s="161" t="n">
        <v>264</v>
      </c>
      <c r="B268" s="162" t="inlineStr">
        <is>
          <t>GH Innotek Co., Ltd. (주)지에이치이노텍</t>
        </is>
      </c>
      <c r="C268" s="161" t="inlineStr">
        <is>
          <t>Not started</t>
        </is>
      </c>
      <c r="D268" s="161" t="inlineStr">
        <is>
          <t>Orthopaedic, rehab, pain. Medical and sports rehab device company replacing imported equipment; KIMES 2026 exhibitor.</t>
        </is>
      </c>
      <c r="E268" s="161" t="inlineStr">
        <is>
          <t>No ultrasound line seen in their KIMES listing</t>
        </is>
      </c>
      <c r="F268" s="161" t="inlineStr">
        <is>
          <t>Busan Geumjeong</t>
        </is>
      </c>
      <c r="G268" s="163" t="inlineStr">
        <is>
          <t>https://ghit.co.kr</t>
        </is>
      </c>
      <c r="H268" s="161" t="inlineStr">
        <is>
          <t>051-711-4703</t>
        </is>
      </c>
      <c r="I268" s="161" t="inlineStr">
        <is>
          <t>ghit@ghit.co.kr</t>
        </is>
      </c>
      <c r="J268" s="161" t="inlineStr">
        <is>
          <t>Busan Geumjeong. Tel 051-711-4703. Korean maker or importer exhibiting at KIMES 2026 with its own hospital sales team.</t>
        </is>
      </c>
      <c r="K268" s="164" t="inlineStr">
        <is>
          <t>A</t>
        </is>
      </c>
      <c r="L268"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68" s="161" t="inlineStr">
        <is>
          <t>SonoEye P5 linear, SonoAir 30/70 for orthopaedic, rehab and pain clinics</t>
        </is>
      </c>
      <c r="N268" s="173" t="n">
        <v>3</v>
      </c>
      <c r="O268" s="161" t="inlineStr">
        <is>
          <t>Tier 3: broad supplier or smaller reach; include in the email wave and follow up only on reply. Manufacturer or importer rather than a pure dealer, so qualify appetite for a third party line first.</t>
        </is>
      </c>
      <c r="P268" s="161" t="inlineStr">
        <is>
          <t>KIMES 2026 exhibitor directory; email read on the company site, 7 Oct 2026</t>
        </is>
      </c>
      <c r="Q268" s="161" t="n"/>
      <c r="R268" s="161" t="n"/>
      <c r="S268" s="165" t="inlineStr">
        <is>
          <t>Yes</t>
        </is>
      </c>
    </row>
    <row r="269" ht="60" customHeight="1" s="104">
      <c r="A269" s="161" t="n">
        <v>265</v>
      </c>
      <c r="B269" s="162" t="inlineStr">
        <is>
          <t>RENOSEM Co., Ltd. (주)리노셈</t>
        </is>
      </c>
      <c r="C269" s="161" t="inlineStr">
        <is>
          <t>Not started</t>
        </is>
      </c>
      <c r="D269" s="161" t="inlineStr">
        <is>
          <t>Surgical, OR and anaesthesia. Low temperature plasma sterilisers and washer disinfectors for hospitals; KIMES 2026 exhibitor.</t>
        </is>
      </c>
      <c r="E269" s="161" t="inlineStr">
        <is>
          <t>No ultrasound line seen in their KIMES listing</t>
        </is>
      </c>
      <c r="F269" s="161" t="inlineStr">
        <is>
          <t>Incheon Bupyeong</t>
        </is>
      </c>
      <c r="G269" s="163" t="inlineStr">
        <is>
          <t>https://renosem.com</t>
        </is>
      </c>
      <c r="H269" s="161" t="inlineStr">
        <is>
          <t>032-222-0100</t>
        </is>
      </c>
      <c r="I269" s="161" t="inlineStr">
        <is>
          <t>renosem@renosem.com</t>
        </is>
      </c>
      <c r="J269" s="161" t="inlineStr">
        <is>
          <t>Incheon Bupyeong. Tel 032-222-0100. Korean maker or importer exhibiting at KIMES 2026 with its own hospital sales team.</t>
        </is>
      </c>
      <c r="K269" s="164" t="inlineStr">
        <is>
          <t>A</t>
        </is>
      </c>
      <c r="L269" s="161" t="inlineStr">
        <is>
          <t>Theatre and anaesthesia accounts are the entry point for point of care ultrasound (nerve block, vascular access). Complementary line partner: sells non ultrasound equipment into the same hospital departments, so CHISON adds a modality without a conflict.</t>
        </is>
      </c>
      <c r="M269" s="161" t="inlineStr">
        <is>
          <t>SonoTouch tablet, SonoEye P3 for nerve block and vascular access in theatre</t>
        </is>
      </c>
      <c r="N269" s="173" t="n">
        <v>3</v>
      </c>
      <c r="O269" s="161" t="inlineStr">
        <is>
          <t>Tier 3: broad supplier or smaller reach; include in the email wave and follow up only on reply. Manufacturer or importer rather than a pure dealer, so qualify appetite for a third party line first.</t>
        </is>
      </c>
      <c r="P269" s="161" t="inlineStr">
        <is>
          <t>KIMES 2026 exhibitor directory; email read on the company site, 7 Oct 2026</t>
        </is>
      </c>
      <c r="Q269" s="161" t="n"/>
      <c r="R269" s="161" t="n"/>
      <c r="S269" s="165" t="inlineStr">
        <is>
          <t>Yes</t>
        </is>
      </c>
    </row>
    <row r="270" ht="60" customHeight="1" s="104">
      <c r="A270" s="161" t="n">
        <v>266</v>
      </c>
      <c r="B270" s="162" t="inlineStr">
        <is>
          <t>E Room Meditec 이룸메디텍</t>
        </is>
      </c>
      <c r="C270" s="161" t="inlineStr">
        <is>
          <t>Not started</t>
        </is>
      </c>
      <c r="D270" s="161" t="inlineStr">
        <is>
          <t>Surgical, OR and anaesthesia. Exclusive importer and seller of Admetec (Israel) surgical loupes and headlights; KIMES 2026 exhibitor.</t>
        </is>
      </c>
      <c r="E270" s="161" t="inlineStr">
        <is>
          <t>No ultrasound line seen in their KIMES listing</t>
        </is>
      </c>
      <c r="F270" s="161" t="inlineStr">
        <is>
          <t>Seoul Dobong</t>
        </is>
      </c>
      <c r="G270" s="163" t="inlineStr">
        <is>
          <t>https://eroommeditec.com</t>
        </is>
      </c>
      <c r="H270" s="161" t="inlineStr">
        <is>
          <t>02-954-9804</t>
        </is>
      </c>
      <c r="I270" s="161" t="inlineStr">
        <is>
          <t>eroommeditec@gmail.com</t>
        </is>
      </c>
      <c r="J270" s="161" t="inlineStr">
        <is>
          <t>Seoul Dobong. Tel 02-954-9804. Korean maker or importer exhibiting at KIMES 2026 with its own hospital sales team.</t>
        </is>
      </c>
      <c r="K270" s="164" t="inlineStr">
        <is>
          <t>A</t>
        </is>
      </c>
      <c r="L270" s="161" t="inlineStr">
        <is>
          <t>Theatre and anaesthesia accounts are the entry point for point of care ultrasound (nerve block, vascular access). Complementary line partner: sells non ultrasound equipment into the same hospital departments, so CHISON adds a modality without a conflict.</t>
        </is>
      </c>
      <c r="M270" s="161" t="inlineStr">
        <is>
          <t>SonoTouch tablet, SonoEye P3 for nerve block and vascular access in theatre</t>
        </is>
      </c>
      <c r="N270" s="173" t="n">
        <v>3</v>
      </c>
      <c r="O270" s="161" t="inlineStr">
        <is>
          <t>Tier 3: broad supplier or smaller reach; include in the email wave and follow up only on reply. Manufacturer or importer rather than a pure dealer, so qualify appetite for a third party line first.</t>
        </is>
      </c>
      <c r="P270" s="161" t="inlineStr">
        <is>
          <t>KIMES 2026 exhibitor directory; email read on the company site, 7 Oct 2026</t>
        </is>
      </c>
      <c r="Q270" s="161" t="n"/>
      <c r="R270" s="161" t="n"/>
      <c r="S270" s="165" t="inlineStr">
        <is>
          <t>Yes</t>
        </is>
      </c>
    </row>
    <row r="271" ht="60" customHeight="1" s="104">
      <c r="A271" s="161" t="n">
        <v>267</v>
      </c>
      <c r="B271" s="162" t="inlineStr">
        <is>
          <t>NSJ Co., Ltd. 엔에스제이(주)</t>
        </is>
      </c>
      <c r="C271" s="161" t="inlineStr">
        <is>
          <t>Not started</t>
        </is>
      </c>
      <c r="D271" s="161" t="inlineStr">
        <is>
          <t>General medical equipment. Supplies a range of medical devices for hospital services; KIMES 2026 exhibitor.</t>
        </is>
      </c>
      <c r="E271" s="161" t="inlineStr">
        <is>
          <t>No ultrasound line seen in their KIMES listing</t>
        </is>
      </c>
      <c r="F271" s="161" t="inlineStr">
        <is>
          <t>Ansan</t>
        </is>
      </c>
      <c r="G271" s="163" t="inlineStr">
        <is>
          <t>https://nsj21.com</t>
        </is>
      </c>
      <c r="H271" s="161" t="inlineStr">
        <is>
          <t>031-485-2220</t>
        </is>
      </c>
      <c r="I271" s="161" t="inlineStr">
        <is>
          <t>nsj21@nsj21.com</t>
        </is>
      </c>
      <c r="J271" s="161" t="inlineStr">
        <is>
          <t>Ansan. Tel 031-485-2220. Korean maker or importer exhibiting at KIMES 2026 with its own hospital sales team.</t>
        </is>
      </c>
      <c r="K271" s="164" t="inlineStr">
        <is>
          <t>A</t>
        </is>
      </c>
      <c r="L271" s="161" t="inlineStr">
        <is>
          <t>General medical equipment supplier with hospital and clinic accounts; can open ultrasound as a new line. Complementary line partner: sells non ultrasound equipment into the same hospital departments, so CHISON adds a modality without a conflict.</t>
        </is>
      </c>
      <c r="M271" s="161" t="inlineStr">
        <is>
          <t>SonoGO cart, SonoAir 70 handheld as a starter ultrasound line for a general hospital supplier</t>
        </is>
      </c>
      <c r="N271" s="173" t="n">
        <v>3</v>
      </c>
      <c r="O271" s="161" t="inlineStr">
        <is>
          <t>Tier 3: broad supplier or smaller reach; include in the email wave and follow up only on reply. Manufacturer or importer rather than a pure dealer, so qualify appetite for a third party line first.</t>
        </is>
      </c>
      <c r="P271" s="161" t="inlineStr">
        <is>
          <t>KIMES 2026 exhibitor directory; email read on the company site, 7 Oct 2026</t>
        </is>
      </c>
      <c r="Q271" s="161" t="n"/>
      <c r="R271" s="161" t="n"/>
      <c r="S271" s="165" t="inlineStr">
        <is>
          <t>Yes</t>
        </is>
      </c>
    </row>
    <row r="272" ht="60" customHeight="1" s="104">
      <c r="A272" s="161" t="n">
        <v>268</v>
      </c>
      <c r="B272" s="162" t="inlineStr">
        <is>
          <t>Bistos Co., Ltd. (주)비스토스</t>
        </is>
      </c>
      <c r="C272" s="161" t="inlineStr">
        <is>
          <t>Not started</t>
        </is>
      </c>
      <c r="D272" s="161" t="inlineStr">
        <is>
          <t>OB/GYN, women's health. Fetal monitors, dopplers and bio signal devices maker since 2001; KIMES 2026 exhibitor.</t>
        </is>
      </c>
      <c r="E272" s="161" t="inlineStr">
        <is>
          <t>No ultrasound line seen in their KIMES listing</t>
        </is>
      </c>
      <c r="F272" s="161" t="inlineStr">
        <is>
          <t>Seongnam</t>
        </is>
      </c>
      <c r="G272" s="163" t="inlineStr">
        <is>
          <t>https://bistos.co.kr</t>
        </is>
      </c>
      <c r="H272" s="161" t="inlineStr">
        <is>
          <t>031-750-0340</t>
        </is>
      </c>
      <c r="I272" s="161" t="inlineStr">
        <is>
          <t>bistos@bistos.co.kr</t>
        </is>
      </c>
      <c r="J272" s="161" t="inlineStr">
        <is>
          <t>Seongnam. Tel 031-750-0340. Korean maker or importer exhibiting at KIMES 2026 with its own hospital sales team.</t>
        </is>
      </c>
      <c r="K272" s="164" t="inlineStr">
        <is>
          <t>A</t>
        </is>
      </c>
      <c r="L272" s="161" t="inlineStr">
        <is>
          <t>OB/GYN clinic channel suits a 4D cart system. Complementary line partner: sells non ultrasound equipment into the same hospital departments, so CHISON adds a modality without a conflict.</t>
        </is>
      </c>
      <c r="M272" s="161" t="inlineStr">
        <is>
          <t>SonoMax 7 with 4D for OB/GYN clinics</t>
        </is>
      </c>
      <c r="N272" s="173" t="n">
        <v>3</v>
      </c>
      <c r="O272" s="161" t="inlineStr">
        <is>
          <t>Tier 3: broad supplier or smaller reach; include in the email wave and follow up only on reply. Manufacturer or importer rather than a pure dealer, so qualify appetite for a third party line first.</t>
        </is>
      </c>
      <c r="P272" s="161" t="inlineStr">
        <is>
          <t>KIMES 2026 exhibitor directory; email read on the company site, 7 Oct 2026</t>
        </is>
      </c>
      <c r="Q272" s="161" t="n"/>
      <c r="R272" s="161" t="n"/>
      <c r="S272" s="165" t="inlineStr">
        <is>
          <t>Yes</t>
        </is>
      </c>
    </row>
    <row r="273" ht="60" customHeight="1" s="104">
      <c r="A273" s="161" t="n">
        <v>269</v>
      </c>
      <c r="B273" s="162" t="inlineStr">
        <is>
          <t>Seers Technology Co., Ltd. (주)씨어스테크놀로지</t>
        </is>
      </c>
      <c r="C273" s="161" t="inlineStr">
        <is>
          <t>Not started</t>
        </is>
      </c>
      <c r="D273" s="161" t="inlineStr">
        <is>
          <t>Patient monitoring, ICU. Wearable bio signal monitoring for hospital wards; KIMES 2026 exhibitor.</t>
        </is>
      </c>
      <c r="E273" s="161" t="inlineStr">
        <is>
          <t>No ultrasound line seen in their KIMES listing</t>
        </is>
      </c>
      <c r="F273" s="161" t="inlineStr">
        <is>
          <t>Seongnam</t>
        </is>
      </c>
      <c r="G273" s="163" t="inlineStr">
        <is>
          <t>https://seerstech.com</t>
        </is>
      </c>
      <c r="H273" s="161" t="inlineStr">
        <is>
          <t>031-8023-9811</t>
        </is>
      </c>
      <c r="I273" s="161" t="inlineStr">
        <is>
          <t>contact@sees.co.kr</t>
        </is>
      </c>
      <c r="J273" s="161" t="inlineStr">
        <is>
          <t>Seongnam. Tel 031-8023-9811. Korean maker or importer exhibiting at KIMES 2026 with its own hospital sales team.</t>
        </is>
      </c>
      <c r="K273" s="164" t="inlineStr">
        <is>
          <t>A</t>
        </is>
      </c>
      <c r="L273" s="161" t="inlineStr">
        <is>
          <t>Monitoring and ICU sales team can bundle handheld POCUS with existing ward equipment. Complementary line partner: sells non ultrasound equipment into the same hospital departments, so CHISON adds a modality without a conflict.</t>
        </is>
      </c>
      <c r="M273" s="161" t="inlineStr">
        <is>
          <t>SonoEye P3 as an add on to the monitoring range, EBit 50 for ICU and ward</t>
        </is>
      </c>
      <c r="N273" s="173" t="n">
        <v>3</v>
      </c>
      <c r="O273" s="161" t="inlineStr">
        <is>
          <t>Tier 3: broad supplier or smaller reach; include in the email wave and follow up only on reply. Manufacturer or importer rather than a pure dealer, so qualify appetite for a third party line first.</t>
        </is>
      </c>
      <c r="P273" s="161" t="inlineStr">
        <is>
          <t>KIMES 2026 exhibitor directory; email read on the company site, 7 Oct 2026</t>
        </is>
      </c>
      <c r="Q273" s="161" t="n"/>
      <c r="R273" s="161" t="n"/>
      <c r="S273" s="165" t="inlineStr">
        <is>
          <t>Yes</t>
        </is>
      </c>
    </row>
    <row r="274" ht="60" customHeight="1" s="104">
      <c r="A274" s="161" t="n">
        <v>270</v>
      </c>
      <c r="B274" s="162" t="inlineStr">
        <is>
          <t>Keepu 키퓨</t>
        </is>
      </c>
      <c r="C274" s="161" t="inlineStr">
        <is>
          <t>Not started</t>
        </is>
      </c>
      <c r="D274" s="161" t="inlineStr">
        <is>
          <t>Emergency, ambulance. Self inflating air splints for emergency immobilisation; KIMES 2026 exhibitor.</t>
        </is>
      </c>
      <c r="E274" s="161" t="inlineStr">
        <is>
          <t>No ultrasound line seen in their KIMES listing</t>
        </is>
      </c>
      <c r="F274" s="161" t="inlineStr">
        <is>
          <t>Busan Nam</t>
        </is>
      </c>
      <c r="G274" s="163" t="inlineStr">
        <is>
          <t>https://keepu.pe.kr</t>
        </is>
      </c>
      <c r="H274" s="161" t="inlineStr">
        <is>
          <t>070-8065-1291</t>
        </is>
      </c>
      <c r="I274" s="161" t="inlineStr">
        <is>
          <t>contact@team-keepu.com</t>
        </is>
      </c>
      <c r="J274" s="161" t="inlineStr">
        <is>
          <t>Busan Nam. Tel 070-8065-1291. Korean maker or importer exhibiting at KIMES 2026 with its own hospital sales team.</t>
        </is>
      </c>
      <c r="K274" s="164" t="inlineStr">
        <is>
          <t>A</t>
        </is>
      </c>
      <c r="L274" s="161" t="inlineStr">
        <is>
          <t>Emergency and ambulance buyers need rugged handheld POCUS. Complementary line partner: sells non ultrasound equipment into the same hospital departments, so CHISON adds a modality without a conflict.</t>
        </is>
      </c>
      <c r="M274" s="161" t="inlineStr">
        <is>
          <t>SonoEye P3 for FAST and point of care in emergency and ambulance</t>
        </is>
      </c>
      <c r="N274" s="173" t="n">
        <v>3</v>
      </c>
      <c r="O274" s="161" t="inlineStr">
        <is>
          <t>Tier 3: broad supplier or smaller reach; include in the email wave and follow up only on reply. Manufacturer or importer rather than a pure dealer, so qualify appetite for a third party line first.</t>
        </is>
      </c>
      <c r="P274" s="161" t="inlineStr">
        <is>
          <t>KIMES 2026 exhibitor directory; email read on the company site, 7 Oct 2026</t>
        </is>
      </c>
      <c r="Q274" s="161" t="n"/>
      <c r="R274" s="161" t="n"/>
      <c r="S274" s="165" t="inlineStr">
        <is>
          <t>Yes</t>
        </is>
      </c>
    </row>
    <row r="275" ht="60" customHeight="1" s="104">
      <c r="A275" s="161" t="n">
        <v>271</v>
      </c>
      <c r="B275" s="162" t="inlineStr">
        <is>
          <t>Korea Body Information Co., Ltd. (Real PT) 한국신체정보(주)</t>
        </is>
      </c>
      <c r="C275" s="161" t="inlineStr">
        <is>
          <t>Not started</t>
        </is>
      </c>
      <c r="D275" s="161" t="inlineStr">
        <is>
          <t>Orthopaedic, rehab, pain. AI musculoskeletal assessment and exercise prescription system for clinics; KIMES 2026 exhibitor.</t>
        </is>
      </c>
      <c r="E275" s="161" t="inlineStr">
        <is>
          <t>No ultrasound line seen in their KIMES listing</t>
        </is>
      </c>
      <c r="F275" s="161" t="inlineStr">
        <is>
          <t>Seoul Gangnam</t>
        </is>
      </c>
      <c r="G275" s="163" t="inlineStr">
        <is>
          <t>https://realpt.co.kr</t>
        </is>
      </c>
      <c r="H275" s="161" t="inlineStr">
        <is>
          <t>02-6338-3673</t>
        </is>
      </c>
      <c r="I275" s="161" t="inlineStr">
        <is>
          <t>realpt@gympt.net</t>
        </is>
      </c>
      <c r="J275" s="161" t="inlineStr">
        <is>
          <t>Seoul Gangnam. Tel 02-6338-3673. Korean maker or importer exhibiting at KIMES 2026 with its own hospital sales team.</t>
        </is>
      </c>
      <c r="K275" s="164" t="inlineStr">
        <is>
          <t>A</t>
        </is>
      </c>
      <c r="L275"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75" s="161" t="inlineStr">
        <is>
          <t>SonoEye P5 linear, SonoAir 30/70 for orthopaedic, rehab and pain clinics</t>
        </is>
      </c>
      <c r="N275" s="173" t="n">
        <v>3</v>
      </c>
      <c r="O275" s="161" t="inlineStr">
        <is>
          <t>Tier 3: broad supplier or smaller reach; include in the email wave and follow up only on reply. Manufacturer or importer rather than a pure dealer, so qualify appetite for a third party line first.</t>
        </is>
      </c>
      <c r="P275" s="161" t="inlineStr">
        <is>
          <t>KIMES 2026 exhibitor directory; email read on the company site, 7 Oct 2026</t>
        </is>
      </c>
      <c r="Q275" s="161" t="n"/>
      <c r="R275" s="161" t="n"/>
      <c r="S275" s="165" t="inlineStr">
        <is>
          <t>Yes</t>
        </is>
      </c>
    </row>
    <row r="276" ht="60" customHeight="1" s="104">
      <c r="A276" s="161" t="n">
        <v>272</v>
      </c>
      <c r="B276" s="162" t="inlineStr">
        <is>
          <t>SKYVE Co., Ltd. (주)스카이브</t>
        </is>
      </c>
      <c r="C276" s="161" t="inlineStr">
        <is>
          <t>Not started</t>
        </is>
      </c>
      <c r="D276" s="161" t="inlineStr">
        <is>
          <t>Orthopaedic, rehab, pain. Orthopaedic digital healthcare and medical device company; KIMES 2026 exhibitor.</t>
        </is>
      </c>
      <c r="E276" s="161" t="inlineStr">
        <is>
          <t>No ultrasound line seen in their KIMES listing</t>
        </is>
      </c>
      <c r="F276" s="161" t="inlineStr">
        <is>
          <t>Seoul Seocho</t>
        </is>
      </c>
      <c r="G276" s="163" t="inlineStr">
        <is>
          <t>https://skyve.co.kr</t>
        </is>
      </c>
      <c r="H276" s="161" t="inlineStr">
        <is>
          <t>02-6952-8942</t>
        </is>
      </c>
      <c r="I276" s="161" t="inlineStr">
        <is>
          <t>master@skyve.co.kr</t>
        </is>
      </c>
      <c r="J276" s="161" t="inlineStr">
        <is>
          <t>Seoul Seocho. Tel 02-6952-8942. Korean maker or importer exhibiting at KIMES 2026 with its own hospital sales team.</t>
        </is>
      </c>
      <c r="K276" s="164" t="inlineStr">
        <is>
          <t>A</t>
        </is>
      </c>
      <c r="L276"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76" s="161" t="inlineStr">
        <is>
          <t>SonoEye P5 linear, SonoAir 30/70 for orthopaedic, rehab and pain clinics</t>
        </is>
      </c>
      <c r="N276" s="173" t="n">
        <v>3</v>
      </c>
      <c r="O276" s="161" t="inlineStr">
        <is>
          <t>Tier 3: broad supplier or smaller reach; include in the email wave and follow up only on reply. Manufacturer or importer rather than a pure dealer, so qualify appetite for a third party line first.</t>
        </is>
      </c>
      <c r="P276" s="161" t="inlineStr">
        <is>
          <t>KIMES 2026 exhibitor directory; email read on the company site, 7 Oct 2026</t>
        </is>
      </c>
      <c r="Q276" s="161" t="n"/>
      <c r="R276" s="161" t="n"/>
      <c r="S276" s="165" t="inlineStr">
        <is>
          <t>Yes</t>
        </is>
      </c>
    </row>
    <row r="277" ht="60" customHeight="1" s="104">
      <c r="A277" s="161" t="n">
        <v>273</v>
      </c>
      <c r="B277" s="162" t="inlineStr">
        <is>
          <t>Healthnuri Co., Ltd. (주)건강누리</t>
        </is>
      </c>
      <c r="C277" s="161" t="inlineStr">
        <is>
          <t>Not started</t>
        </is>
      </c>
      <c r="D277" s="161" t="inlineStr">
        <is>
          <t>Surgical, OR and anaesthesia. Surgical essentials and healthcare consumables developer and supplier; KIMES 2026 exhibitor.</t>
        </is>
      </c>
      <c r="E277" s="161" t="inlineStr">
        <is>
          <t>No ultrasound line seen in their KIMES listing</t>
        </is>
      </c>
      <c r="F277" s="161" t="inlineStr">
        <is>
          <t>Seoul Yeongdeungpo</t>
        </is>
      </c>
      <c r="G277" s="163" t="inlineStr">
        <is>
          <t>https://ggmed.com</t>
        </is>
      </c>
      <c r="H277" s="161" t="inlineStr">
        <is>
          <t>02-841-5100</t>
        </is>
      </c>
      <c r="I277" s="161" t="inlineStr">
        <is>
          <t>admin@ggmed.com</t>
        </is>
      </c>
      <c r="J277" s="161" t="inlineStr">
        <is>
          <t>Seoul Yeongdeungpo. Tel 02-841-5100. Korean maker or importer exhibiting at KIMES 2026 with its own hospital sales team.</t>
        </is>
      </c>
      <c r="K277" s="164" t="inlineStr">
        <is>
          <t>A</t>
        </is>
      </c>
      <c r="L277" s="161" t="inlineStr">
        <is>
          <t>Theatre and anaesthesia accounts are the entry point for point of care ultrasound (nerve block, vascular access). Complementary line partner: sells non ultrasound equipment into the same hospital departments, so CHISON adds a modality without a conflict.</t>
        </is>
      </c>
      <c r="M277" s="161" t="inlineStr">
        <is>
          <t>SonoTouch tablet, SonoEye P3 for nerve block and vascular access in theatre</t>
        </is>
      </c>
      <c r="N277" s="173" t="n">
        <v>3</v>
      </c>
      <c r="O277" s="161" t="inlineStr">
        <is>
          <t>Tier 3: broad supplier or smaller reach; include in the email wave and follow up only on reply. Manufacturer or importer rather than a pure dealer, so qualify appetite for a third party line first.</t>
        </is>
      </c>
      <c r="P277" s="161" t="inlineStr">
        <is>
          <t>KIMES 2026 exhibitor directory; email read on the company site, 7 Oct 2026</t>
        </is>
      </c>
      <c r="Q277" s="161" t="n"/>
      <c r="R277" s="161" t="n"/>
      <c r="S277" s="165" t="inlineStr">
        <is>
          <t>Yes</t>
        </is>
      </c>
    </row>
    <row r="278" ht="60" customHeight="1" s="104">
      <c r="A278" s="161" t="n">
        <v>274</v>
      </c>
      <c r="B278" s="162" t="inlineStr">
        <is>
          <t>Caspi Co., Ltd. (주)카스피</t>
        </is>
      </c>
      <c r="C278" s="161" t="inlineStr">
        <is>
          <t>Not started</t>
        </is>
      </c>
      <c r="D278" s="161" t="inlineStr">
        <is>
          <t>General medical equipment. Patient position changing mattresses, healing beds and patient lifts for care facilities and hospitals; KIMES 2026 exhibitor.</t>
        </is>
      </c>
      <c r="E278" s="161" t="inlineStr">
        <is>
          <t>No ultrasound line seen in their KIMES listing</t>
        </is>
      </c>
      <c r="F278" s="161" t="inlineStr">
        <is>
          <t>Paju</t>
        </is>
      </c>
      <c r="G278" s="163" t="inlineStr">
        <is>
          <t>https://caspisystem.com</t>
        </is>
      </c>
      <c r="H278" s="161" t="inlineStr">
        <is>
          <t>031-943-0541</t>
        </is>
      </c>
      <c r="I278" s="161" t="inlineStr">
        <is>
          <t>caspisystem@naver.com</t>
        </is>
      </c>
      <c r="J278" s="161" t="inlineStr">
        <is>
          <t>Paju. Tel 031-943-0541. Korean maker or importer exhibiting at KIMES 2026 with its own hospital sales team.</t>
        </is>
      </c>
      <c r="K278" s="164" t="inlineStr">
        <is>
          <t>A</t>
        </is>
      </c>
      <c r="L278" s="161" t="inlineStr">
        <is>
          <t>General medical equipment supplier with hospital and clinic accounts; can open ultrasound as a new line. Complementary line partner: sells non ultrasound equipment into the same hospital departments, so CHISON adds a modality without a conflict.</t>
        </is>
      </c>
      <c r="M278" s="161" t="inlineStr">
        <is>
          <t>SonoGO cart, SonoAir 70 handheld as a starter ultrasound line for a general hospital supplier</t>
        </is>
      </c>
      <c r="N278" s="173" t="n">
        <v>3</v>
      </c>
      <c r="O278" s="161" t="inlineStr">
        <is>
          <t>Tier 3: broad supplier or smaller reach; include in the email wave and follow up only on reply. Manufacturer or importer rather than a pure dealer, so qualify appetite for a third party line first.</t>
        </is>
      </c>
      <c r="P278" s="161" t="inlineStr">
        <is>
          <t>KIMES 2026 exhibitor directory; email read on the company site, 7 Oct 2026</t>
        </is>
      </c>
      <c r="Q278" s="161" t="n"/>
      <c r="R278" s="161" t="n"/>
      <c r="S278" s="165" t="inlineStr">
        <is>
          <t>Yes</t>
        </is>
      </c>
    </row>
    <row r="279" ht="60" customHeight="1" s="104">
      <c r="A279" s="161" t="n">
        <v>275</v>
      </c>
      <c r="B279" s="162" t="inlineStr">
        <is>
          <t>MEDISBY Co., Ltd. (주)메디스비</t>
        </is>
      </c>
      <c r="C279" s="161" t="inlineStr">
        <is>
          <t>Not started</t>
        </is>
      </c>
      <c r="D279" s="161" t="inlineStr">
        <is>
          <t>Orthopaedic, rehab, pain. Rehabilitation robot start up founded by a practising orthopaedic surgeon; KIMES 2026 exhibitor.</t>
        </is>
      </c>
      <c r="E279" s="161" t="inlineStr">
        <is>
          <t>No ultrasound line seen in their KIMES listing</t>
        </is>
      </c>
      <c r="F279" s="161" t="inlineStr">
        <is>
          <t>Seoul Seodaemun</t>
        </is>
      </c>
      <c r="G279" s="163" t="inlineStr">
        <is>
          <t>https://medisby.com</t>
        </is>
      </c>
      <c r="H279" s="161" t="inlineStr">
        <is>
          <t>02-363-0102</t>
        </is>
      </c>
      <c r="I279" s="161" t="inlineStr">
        <is>
          <t>medisby@medisby.com</t>
        </is>
      </c>
      <c r="J279" s="161" t="inlineStr">
        <is>
          <t>Seoul Seodaemun. Tel 02-363-0102. Korean maker or importer exhibiting at KIMES 2026 with its own hospital sales team.</t>
        </is>
      </c>
      <c r="K279" s="164" t="inlineStr">
        <is>
          <t>A</t>
        </is>
      </c>
      <c r="L279" s="161" t="inlineStr">
        <is>
          <t>Orthopaedic, rehab and pain clinics buy linear probe ultrasound for injection guidance; CHISON linear image quality is the edge. Complementary line partner: sells non ultrasound equipment into the same hospital departments, so CHISON adds a modality without a conflict.</t>
        </is>
      </c>
      <c r="M279" s="161" t="inlineStr">
        <is>
          <t>SonoEye P5 linear, SonoAir 30/70 for orthopaedic, rehab and pain clinics</t>
        </is>
      </c>
      <c r="N279" s="173" t="n">
        <v>3</v>
      </c>
      <c r="O279" s="161" t="inlineStr">
        <is>
          <t>Tier 3: broad supplier or smaller reach; include in the email wave and follow up only on reply. Manufacturer or importer rather than a pure dealer, so qualify appetite for a third party line first.</t>
        </is>
      </c>
      <c r="P279" s="161" t="inlineStr">
        <is>
          <t>KIMES 2026 exhibitor directory; email read on the company site, 7 Oct 2026</t>
        </is>
      </c>
      <c r="Q279" s="161" t="n"/>
      <c r="R279" s="161" t="n"/>
      <c r="S279" s="165" t="inlineStr">
        <is>
          <t>Yes</t>
        </is>
      </c>
    </row>
    <row r="280" ht="60" customHeight="1" s="104">
      <c r="A280" s="161" t="n">
        <v>276</v>
      </c>
      <c r="B280" s="162" t="inlineStr">
        <is>
          <t>Schein Information, Inc. 샤인정보</t>
        </is>
      </c>
      <c r="C280" s="161" t="inlineStr">
        <is>
          <t>Not started</t>
        </is>
      </c>
      <c r="D280" s="161" t="inlineStr">
        <is>
          <t>Patient monitoring, ICU. Medical monitor arms, EMR carts and display mounting for hospital wards and ORs; KIMES 2026 exhibitor.</t>
        </is>
      </c>
      <c r="E280" s="161" t="inlineStr">
        <is>
          <t>No ultrasound line seen in their KIMES listing</t>
        </is>
      </c>
      <c r="F280" s="161" t="inlineStr">
        <is>
          <t>Seoul Gangseo</t>
        </is>
      </c>
      <c r="G280" s="163" t="inlineStr">
        <is>
          <t>https://schein.co.kr</t>
        </is>
      </c>
      <c r="H280" s="161" t="inlineStr">
        <is>
          <t>02-2638-5248</t>
        </is>
      </c>
      <c r="I280" s="161" t="inlineStr">
        <is>
          <t>djkim8764@naver.com</t>
        </is>
      </c>
      <c r="J280" s="161" t="inlineStr">
        <is>
          <t>Seoul Gangseo. Tel 02-2638-5248. Korean maker or importer exhibiting at KIMES 2026 with its own hospital sales team.</t>
        </is>
      </c>
      <c r="K280" s="164" t="inlineStr">
        <is>
          <t>A</t>
        </is>
      </c>
      <c r="L280" s="161" t="inlineStr">
        <is>
          <t>Monitoring and ICU sales team can bundle handheld POCUS with existing ward equipment. Complementary line partner: sells non ultrasound equipment into the same hospital departments, so CHISON adds a modality without a conflict.</t>
        </is>
      </c>
      <c r="M280" s="161" t="inlineStr">
        <is>
          <t>SonoEye P3 as an add on to the monitoring range, EBit 50 for ICU and ward</t>
        </is>
      </c>
      <c r="N280" s="173" t="n">
        <v>3</v>
      </c>
      <c r="O280" s="161" t="inlineStr">
        <is>
          <t>Tier 3: broad supplier or smaller reach; include in the email wave and follow up only on reply. Manufacturer or importer rather than a pure dealer, so qualify appetite for a third party line first.</t>
        </is>
      </c>
      <c r="P280" s="161" t="inlineStr">
        <is>
          <t>KIMES 2026 exhibitor directory; email read on the company site, 7 Oct 2026</t>
        </is>
      </c>
      <c r="Q280" s="161" t="n"/>
      <c r="R280" s="161" t="n"/>
      <c r="S280" s="165" t="inlineStr">
        <is>
          <t>Yes</t>
        </is>
      </c>
    </row>
    <row r="281" ht="60" customHeight="1" s="104">
      <c r="A281" s="161" t="n">
        <v>277</v>
      </c>
      <c r="B281" s="162" t="inlineStr">
        <is>
          <t>Tivomed Co., Ltd. (주)타이보메드</t>
        </is>
      </c>
      <c r="C281" s="161" t="inlineStr">
        <is>
          <t>Not started</t>
        </is>
      </c>
      <c r="D281" s="161" t="inlineStr">
        <is>
          <t>Emergency, ambulance. Respiratory therapy and emergency consumables supplier (ventilator, oxygen, positive pressure).</t>
        </is>
      </c>
      <c r="E281" s="161" t="inlineStr">
        <is>
          <t>Not confirmed; ask on the first call</t>
        </is>
      </c>
      <c r="F281" s="161" t="inlineStr">
        <is>
          <t>Seoul</t>
        </is>
      </c>
      <c r="G281" s="163" t="inlineStr">
        <is>
          <t>https://tivomed.co.kr</t>
        </is>
      </c>
      <c r="H281" s="161" t="inlineStr">
        <is>
          <t>02-867-4243</t>
        </is>
      </c>
      <c r="I281" s="161" t="inlineStr">
        <is>
          <t>tivomed7@naver.com</t>
        </is>
      </c>
      <c r="J281" s="161" t="inlineStr">
        <is>
          <t>Seoul. Tel 02-867-4243. Found in earlier web search results, site opened 7 Oct 2026.</t>
        </is>
      </c>
      <c r="K281" s="164" t="inlineStr">
        <is>
          <t>A</t>
        </is>
      </c>
      <c r="L281" s="161" t="inlineStr">
        <is>
          <t>Emergency and ambulance buyers need rugged handheld POCUS.</t>
        </is>
      </c>
      <c r="M281" s="161" t="inlineStr">
        <is>
          <t>SonoEye P3 for FAST and point of care in emergency and ambulance</t>
        </is>
      </c>
      <c r="N281" s="173" t="n">
        <v>3</v>
      </c>
      <c r="O281" s="161" t="inlineStr">
        <is>
          <t>Tier 3: broad supplier or smaller reach; include in the email wave and follow up only on reply.</t>
        </is>
      </c>
      <c r="P281" s="161" t="inlineStr">
        <is>
          <t>Web search, company site; email read on the company site, 7 Oct 2026</t>
        </is>
      </c>
      <c r="Q281" s="161" t="n"/>
      <c r="R281" s="161" t="n"/>
      <c r="S281" s="165" t="inlineStr">
        <is>
          <t>Yes</t>
        </is>
      </c>
    </row>
    <row r="282" ht="60" customHeight="1" s="104">
      <c r="A282" s="161" t="n">
        <v>278</v>
      </c>
      <c r="B282" s="162" t="inlineStr">
        <is>
          <t>M.I.ONE 엠아이원</t>
        </is>
      </c>
      <c r="C282" s="161" t="inlineStr">
        <is>
          <t>Not started</t>
        </is>
      </c>
      <c r="D282" s="161" t="inlineStr">
        <is>
          <t>Surgical, OR and anaesthesia. ENT treatment units, endoscopic cameras, light sources and microscopes for hospitals.</t>
        </is>
      </c>
      <c r="E282" s="161" t="inlineStr">
        <is>
          <t>Not confirmed; ask on the first call</t>
        </is>
      </c>
      <c r="F282" s="161" t="inlineStr">
        <is>
          <t>Wonju</t>
        </is>
      </c>
      <c r="G282" s="163" t="inlineStr">
        <is>
          <t>https://mione.co.kr</t>
        </is>
      </c>
      <c r="H282" s="161" t="inlineStr">
        <is>
          <t>02-6272-5400</t>
        </is>
      </c>
      <c r="I282" s="161" t="inlineStr">
        <is>
          <t>info@mione.co.kr</t>
        </is>
      </c>
      <c r="J282" s="161" t="inlineStr">
        <is>
          <t>Wonju. Tel 02-6272-5400. Found in earlier web search results, site opened 7 Oct 2026.</t>
        </is>
      </c>
      <c r="K282" s="164" t="inlineStr">
        <is>
          <t>A</t>
        </is>
      </c>
      <c r="L282" s="161" t="inlineStr">
        <is>
          <t>Theatre and anaesthesia accounts are the entry point for point of care ultrasound (nerve block, vascular access).</t>
        </is>
      </c>
      <c r="M282" s="161" t="inlineStr">
        <is>
          <t>SonoTouch tablet, SonoEye P3 for nerve block and vascular access in theatre</t>
        </is>
      </c>
      <c r="N282" s="173" t="n">
        <v>3</v>
      </c>
      <c r="O282" s="161" t="inlineStr">
        <is>
          <t>Tier 3: broad supplier or smaller reach; include in the email wave and follow up only on reply.</t>
        </is>
      </c>
      <c r="P282" s="161" t="inlineStr">
        <is>
          <t>Web search, company site; email read on the company site, 7 Oct 2026</t>
        </is>
      </c>
      <c r="Q282" s="161" t="n"/>
      <c r="R282" s="161" t="n"/>
      <c r="S282" s="165" t="inlineStr">
        <is>
          <t>Yes</t>
        </is>
      </c>
    </row>
    <row r="283" ht="60" customHeight="1" s="104">
      <c r="A283" s="161" t="n">
        <v>279</v>
      </c>
      <c r="B283" s="162" t="inlineStr">
        <is>
          <t>Jinwon Medical Co., Ltd. (주)진원메디칼</t>
        </is>
      </c>
      <c r="C283" s="161" t="inlineStr">
        <is>
          <t>Not started</t>
        </is>
      </c>
      <c r="D283" s="161" t="inlineStr">
        <is>
          <t>Clinic and primary care supply. Used medical equipment dealer: diagnostic, X ray, surgical, physiotherapy and dermatology devices.</t>
        </is>
      </c>
      <c r="E283" s="161" t="inlineStr">
        <is>
          <t>Not confirmed; ask on the first call</t>
        </is>
      </c>
      <c r="F283" s="161" t="inlineStr">
        <is>
          <t>Seoul</t>
        </is>
      </c>
      <c r="G283" s="163" t="inlineStr">
        <is>
          <t>https://medishop.or.kr</t>
        </is>
      </c>
      <c r="H283" s="161" t="inlineStr">
        <is>
          <t>010-3611-6079</t>
        </is>
      </c>
      <c r="I283" s="161" t="inlineStr">
        <is>
          <t>ginwoon@empas.com</t>
        </is>
      </c>
      <c r="J283" s="161" t="inlineStr">
        <is>
          <t>Seoul. Tel 010-3611-6079. Found in earlier web search results, site opened 7 Oct 2026.</t>
        </is>
      </c>
      <c r="K283" s="164" t="inlineStr">
        <is>
          <t>A</t>
        </is>
      </c>
      <c r="L283" s="161" t="inlineStr">
        <is>
          <t>Clinic channel, the end user James flagged as the opening (GPs and small clinics); SonoAir is a wireless handheld that Mindray does not offer.</t>
        </is>
      </c>
      <c r="M283" s="161" t="inlineStr">
        <is>
          <t>SonoAir 30, SonoEye P3 for primary care; SonoGO for new clinic opening packages</t>
        </is>
      </c>
      <c r="N283" s="173" t="n">
        <v>3</v>
      </c>
      <c r="O283" s="161" t="inlineStr">
        <is>
          <t>Tier 3: broad supplier or smaller reach; include in the email wave and follow up only on reply.</t>
        </is>
      </c>
      <c r="P283" s="161" t="inlineStr">
        <is>
          <t>Web search, company site; email read on the company site, 7 Oct 2026</t>
        </is>
      </c>
      <c r="Q283" s="161" t="n"/>
      <c r="R283" s="161" t="n"/>
      <c r="S283" s="165" t="inlineStr">
        <is>
          <t>Yes</t>
        </is>
      </c>
    </row>
    <row r="284" ht="63.75" customHeight="1" s="104">
      <c r="A284" s="161" t="n">
        <v>280</v>
      </c>
      <c r="B284" s="162" t="inlineStr">
        <is>
          <t>KMDDA 한국의료기기유통협회 (Korea Medical Device Distributors Association)</t>
        </is>
      </c>
      <c r="C284" s="161" t="inlineStr">
        <is>
          <t>Not started</t>
        </is>
      </c>
      <c r="D284" s="161" t="inlineStr">
        <is>
          <t>National association of medical device distributors. Publishes an executive roster naming the principals of member distribution companies nationwide, plus regional branch officers for Seoul, Gyeonggi and Incheon, Busan, Ulsan and Gyeongnam, Gwangju and Jeonnam, Daejeon and Chungnam, Chungbuk, Daegu and Gyeongbuk, Jeonbuk, and Gangwon and Jeju</t>
        </is>
      </c>
      <c r="E284" s="161" t="inlineStr">
        <is>
          <t>Resource</t>
        </is>
      </c>
      <c r="F284" s="161" t="inlineStr">
        <is>
          <t>Seoul</t>
        </is>
      </c>
      <c r="G284" s="163" t="inlineStr">
        <is>
          <t>http://kmdda.or.kr</t>
        </is>
      </c>
      <c r="H284" s="161" t="inlineStr">
        <is>
          <t>02-747-0671 / fax 02-747-0672</t>
        </is>
      </c>
      <c r="I284" s="161" t="inlineStr">
        <is>
          <t>komedia@kmdda.or.kr</t>
        </is>
      </c>
      <c r="J284" s="166" t="inlineStr">
        <is>
          <t>서울특별시 종로구 창경궁로 112-11 재림빌딩 5층. The 임원현황 page at http://kmdda.or.kr/pageView.do?page_no=5 lists roughly 80 named executives with their companies</t>
        </is>
      </c>
      <c r="K284" s="164" t="inlineStr">
        <is>
          <t>A</t>
        </is>
      </c>
      <c r="L284" s="161" t="inlineStr">
        <is>
          <t>The best single Korean channel map found in this research and new to the workbook in v5. Regional branch chairs give you a named person per province, which is how you cover Korea without opening offices. Three Tier 1 rows in this tab (OS Medical, Gaha Medical) came straight off this roster.</t>
        </is>
      </c>
      <c r="M284" s="161" t="inlineStr">
        <is>
          <t>Not a product target. Use the roster to build the regional dealer map</t>
        </is>
      </c>
      <c r="N284" s="173" t="inlineStr">
        <is>
          <t>RES</t>
        </is>
      </c>
      <c r="O284" s="161" t="inlineStr">
        <is>
          <t>Resource NEW in v5. Page opened 15 Sep 2026: association address, phone, fax, email and the full executive roster read directly.</t>
        </is>
      </c>
      <c r="P284" s="161" t="inlineStr">
        <is>
          <t>Verified site (own roster page)</t>
        </is>
      </c>
      <c r="Q284" s="161" t="n"/>
      <c r="R284" s="161" t="inlineStr">
        <is>
          <t>No outreach email. This row is a registry, association or event used to source and qualify dealers, not a dealer target itself.</t>
        </is>
      </c>
      <c r="S284" s="165" t="inlineStr">
        <is>
          <t>Resource</t>
        </is>
      </c>
    </row>
    <row r="285" ht="32.25" customHeight="1" s="104">
      <c r="A285" s="161" t="n">
        <v>281</v>
      </c>
      <c r="B285" s="162" t="inlineStr">
        <is>
          <t>MFDS eMEDI importer register</t>
        </is>
      </c>
      <c r="C285" s="161" t="inlineStr">
        <is>
          <t>Not started</t>
        </is>
      </c>
      <c r="D285" s="161" t="inlineStr">
        <is>
          <t>Official Korean register of licensed medical device importers and their device records. The mandatory qualifier for any Korea entry</t>
        </is>
      </c>
      <c r="E285" s="161" t="inlineStr">
        <is>
          <t>Resource</t>
        </is>
      </c>
      <c r="F285" s="161" t="inlineStr">
        <is>
          <t>Online</t>
        </is>
      </c>
      <c r="G285" s="163" t="inlineStr">
        <is>
          <t>https://emedi.mfds.go.kr</t>
        </is>
      </c>
      <c r="H285" s="161" t="inlineStr">
        <is>
          <t>Not applicable</t>
        </is>
      </c>
      <c r="I285" s="161" t="inlineStr">
        <is>
          <t>Not applicable</t>
        </is>
      </c>
      <c r="J285" s="161" t="inlineStr">
        <is>
          <t>Official MFDS electronic civil complaint portal for medical devices</t>
        </is>
      </c>
      <c r="K285" s="164" t="inlineStr">
        <is>
          <t>A</t>
        </is>
      </c>
      <c r="L285" s="161" t="inlineStr">
        <is>
          <t>Use it the other way round as well: search a competitor's product to reveal who holds its Korean licence, which names a segment experienced importer in one step.</t>
        </is>
      </c>
      <c r="M285" s="161" t="inlineStr">
        <is>
          <t>Not a product target</t>
        </is>
      </c>
      <c r="N285" s="173" t="inlineStr">
        <is>
          <t>RES</t>
        </is>
      </c>
      <c r="O285" s="161" t="inlineStr">
        <is>
          <t>Resource UPHELD from v4.</t>
        </is>
      </c>
      <c r="P285" s="161" t="inlineStr">
        <is>
          <t>Official registry</t>
        </is>
      </c>
      <c r="Q285" s="161" t="n"/>
      <c r="R285" s="161" t="inlineStr">
        <is>
          <t>No outreach email. This row is a registry, association or event used to source and qualify dealers, not a dealer target itself.</t>
        </is>
      </c>
      <c r="S285" s="165" t="inlineStr">
        <is>
          <t>Resource</t>
        </is>
      </c>
    </row>
    <row r="286" ht="32.25" customHeight="1" s="104">
      <c r="A286" s="161" t="n">
        <v>282</v>
      </c>
      <c r="B286" s="162" t="inlineStr">
        <is>
          <t>KIMES (Korea International Medical and Hospital Equipment Show)</t>
        </is>
      </c>
      <c r="C286" s="161" t="inlineStr">
        <is>
          <t>Not started</t>
        </is>
      </c>
      <c r="D286" s="161" t="inlineStr">
        <is>
          <t>Annual Seoul exhibition at COEX, March. Around 977 exhibiting companies in the 2026 edition. Every serious Korean dealer attends</t>
        </is>
      </c>
      <c r="E286" s="161" t="inlineStr">
        <is>
          <t>Resource</t>
        </is>
      </c>
      <c r="F286" s="161" t="inlineStr">
        <is>
          <t>Seoul</t>
        </is>
      </c>
      <c r="G286" s="163" t="inlineStr">
        <is>
          <t>https://www.kimes.kr</t>
        </is>
      </c>
      <c r="H286" s="161" t="inlineStr">
        <is>
          <t>Not applicable</t>
        </is>
      </c>
      <c r="I286" s="161" t="inlineStr">
        <is>
          <t>Not applicable</t>
        </is>
      </c>
      <c r="J286" s="161" t="inlineStr">
        <is>
          <t>COEX, Seoul, annually in March. Exhibitor directory searchable by category</t>
        </is>
      </c>
      <c r="K286" s="164" t="inlineStr">
        <is>
          <t>A</t>
        </is>
      </c>
      <c r="L286" s="161" t="inlineStr">
        <is>
          <t>The single most efficient way to meet twenty Korean dealers in three days. If the MFDS structure is settled by then, KIMES March 2027 is the natural launch moment for the Korean channel.</t>
        </is>
      </c>
      <c r="M286" s="161" t="inlineStr">
        <is>
          <t>Not a product target. Channel recruitment event</t>
        </is>
      </c>
      <c r="N286" s="173" t="inlineStr">
        <is>
          <t>RES</t>
        </is>
      </c>
      <c r="O286" s="161" t="inlineStr">
        <is>
          <t>Resource UPHELD from v4, with the 2026 exhibitor count added.</t>
        </is>
      </c>
      <c r="P286" s="161" t="inlineStr">
        <is>
          <t>Official event site</t>
        </is>
      </c>
      <c r="Q286" s="161" t="n"/>
      <c r="R286" s="161" t="inlineStr">
        <is>
          <t>No outreach email. This row is a registry, association or event used to source and qualify dealers, not a dealer target itself.</t>
        </is>
      </c>
      <c r="S286" s="165" t="inlineStr">
        <is>
          <t>Resource</t>
        </is>
      </c>
    </row>
    <row r="287" ht="24" customHeight="1" s="104">
      <c r="A287" s="161" t="n">
        <v>283</v>
      </c>
      <c r="B287" s="162" t="inlineStr">
        <is>
          <t>KMDIA 한국의료기기산업협회 (Korea Medical Device Industry Association)</t>
        </is>
      </c>
      <c r="C287" s="161" t="inlineStr">
        <is>
          <t>Not started</t>
        </is>
      </c>
      <c r="D287" s="161" t="inlineStr">
        <is>
          <t>Industry association with a member directory covering manufacturers and importers</t>
        </is>
      </c>
      <c r="E287" s="161" t="inlineStr">
        <is>
          <t>Resource</t>
        </is>
      </c>
      <c r="F287" s="161" t="inlineStr">
        <is>
          <t>Seoul</t>
        </is>
      </c>
      <c r="G287" s="163" t="inlineStr">
        <is>
          <t>https://www.kmdia.or.kr</t>
        </is>
      </c>
      <c r="H287" s="161" t="inlineStr">
        <is>
          <t>Not published on pages reached</t>
        </is>
      </c>
      <c r="I287" s="161" t="inlineStr">
        <is>
          <t>Not published</t>
        </is>
      </c>
      <c r="J287" s="161" t="inlineStr">
        <is>
          <t>Member directory searchable on the association site</t>
        </is>
      </c>
      <c r="K287" s="169" t="inlineStr">
        <is>
          <t>C</t>
        </is>
      </c>
      <c r="L287" s="161" t="inlineStr">
        <is>
          <t>Complements KMDDA: KMDIA leans manufacturer and importer, KMDDA leans distributor and retail channel. Use both.</t>
        </is>
      </c>
      <c r="M287" s="161" t="inlineStr">
        <is>
          <t>Not a product target</t>
        </is>
      </c>
      <c r="N287" s="173" t="inlineStr">
        <is>
          <t>RES</t>
        </is>
      </c>
      <c r="O287" s="161" t="inlineStr">
        <is>
          <t>Resource UPHELD from v4.</t>
        </is>
      </c>
      <c r="P287" s="161" t="inlineStr">
        <is>
          <t>Association site</t>
        </is>
      </c>
      <c r="Q287" s="161" t="n"/>
      <c r="R287" s="161" t="inlineStr">
        <is>
          <t>No outreach email. This row is a registry, association or event used to source and qualify dealers, not a dealer target itself.</t>
        </is>
      </c>
      <c r="S287" s="170" t="inlineStr">
        <is>
          <t>Resource</t>
        </is>
      </c>
    </row>
    <row r="288" ht="32.25" customHeight="1" s="104">
      <c r="A288" s="161" t="n">
        <v>284</v>
      </c>
      <c r="B288" s="162" t="inlineStr">
        <is>
          <t>HIRA reimbursement database</t>
        </is>
      </c>
      <c r="C288" s="161" t="inlineStr">
        <is>
          <t>Not started</t>
        </is>
      </c>
      <c r="D288" s="161" t="inlineStr">
        <is>
          <t>Health Insurance Review and Assessment Service. Ultrasound reimbursement codes and levels, which set what a Korean clinic can actually charge</t>
        </is>
      </c>
      <c r="E288" s="161" t="inlineStr">
        <is>
          <t>Resource</t>
        </is>
      </c>
      <c r="F288" s="161" t="inlineStr">
        <is>
          <t>Online</t>
        </is>
      </c>
      <c r="G288" s="163" t="inlineStr">
        <is>
          <t>https://www.hira.or.kr</t>
        </is>
      </c>
      <c r="H288" s="161" t="inlineStr">
        <is>
          <t>Not applicable</t>
        </is>
      </c>
      <c r="I288" s="161" t="inlineStr">
        <is>
          <t>Not applicable</t>
        </is>
      </c>
      <c r="J288" s="161" t="inlineStr">
        <is>
          <t>Korean national health insurance reimbursement authority</t>
        </is>
      </c>
      <c r="K288" s="169" t="inlineStr">
        <is>
          <t>C</t>
        </is>
      </c>
      <c r="L288" s="161" t="inlineStr">
        <is>
          <t>Reimbursement is the commercial argument that closes a Korean clinic sale. Know the codes before the first dealer meeting, because they will ask.</t>
        </is>
      </c>
      <c r="M288" s="161" t="inlineStr">
        <is>
          <t>Not a product target</t>
        </is>
      </c>
      <c r="N288" s="173" t="inlineStr">
        <is>
          <t>RES</t>
        </is>
      </c>
      <c r="O288" s="161" t="inlineStr">
        <is>
          <t>Resource UPHELD from v4.</t>
        </is>
      </c>
      <c r="P288" s="161" t="inlineStr">
        <is>
          <t>Official database</t>
        </is>
      </c>
      <c r="Q288" s="161" t="n"/>
      <c r="R288" s="161" t="inlineStr">
        <is>
          <t>No outreach email. This row is a registry, association or event used to source and qualify dealers, not a dealer target itself.</t>
        </is>
      </c>
      <c r="S288" s="170" t="inlineStr">
        <is>
          <t>Resource</t>
        </is>
      </c>
    </row>
    <row r="289" ht="21.75" customHeight="1" s="104">
      <c r="A289" s="161" t="n">
        <v>285</v>
      </c>
      <c r="B289" s="162" t="inlineStr">
        <is>
          <t>KHIDI 한국보건산업진흥원 / Medical Korea</t>
        </is>
      </c>
      <c r="C289" s="161" t="inlineStr">
        <is>
          <t>Not started</t>
        </is>
      </c>
      <c r="D289" s="161" t="inlineStr">
        <is>
          <t>Government health industry agency providing market entry support to foreign medical device companies</t>
        </is>
      </c>
      <c r="E289" s="161" t="inlineStr">
        <is>
          <t>Resource</t>
        </is>
      </c>
      <c r="F289" s="161" t="inlineStr">
        <is>
          <t>Seoul</t>
        </is>
      </c>
      <c r="G289" s="163" t="inlineStr">
        <is>
          <t>https://www.khidi.or.kr</t>
        </is>
      </c>
      <c r="H289" s="161" t="inlineStr">
        <is>
          <t>Not published on pages reached</t>
        </is>
      </c>
      <c r="I289" s="161" t="inlineStr">
        <is>
          <t>Not published</t>
        </is>
      </c>
      <c r="J289" s="161" t="inlineStr">
        <is>
          <t>Government agency, market entry support programmes</t>
        </is>
      </c>
      <c r="K289" s="169" t="inlineStr">
        <is>
          <t>C</t>
        </is>
      </c>
      <c r="L289" s="161" t="inlineStr">
        <is>
          <t>Free market entry support and introductions. Worth one enquiry given CHISON is entering now.</t>
        </is>
      </c>
      <c r="M289" s="161" t="inlineStr">
        <is>
          <t>Not a product target</t>
        </is>
      </c>
      <c r="N289" s="173" t="inlineStr">
        <is>
          <t>RES</t>
        </is>
      </c>
      <c r="O289" s="161" t="inlineStr">
        <is>
          <t>Resource UPHELD from v4.</t>
        </is>
      </c>
      <c r="P289" s="161" t="inlineStr">
        <is>
          <t>Government agency site</t>
        </is>
      </c>
      <c r="Q289" s="161" t="n"/>
      <c r="R289" s="161" t="inlineStr">
        <is>
          <t>No outreach email. This row is a registry, association or event used to source and qualify dealers, not a dealer target itself.</t>
        </is>
      </c>
      <c r="S289" s="170" t="inlineStr">
        <is>
          <t>Resource</t>
        </is>
      </c>
    </row>
    <row r="290" ht="42.75" customHeight="1" s="104">
      <c r="A290" s="161" t="n">
        <v>286</v>
      </c>
      <c r="B290" s="174" t="inlineStr">
        <is>
          <t>대한의원협회 (Korean Association of Clinics) group purchasing</t>
        </is>
      </c>
      <c r="C290" s="161" t="inlineStr">
        <is>
          <t>Not started</t>
        </is>
      </c>
      <c r="D290" s="161" t="inlineStr">
        <is>
          <t>Clinic association that runs group purchase programmes for equipment. Herges Healthcare ran a Mindray ultrasound group purchase through it in 2025</t>
        </is>
      </c>
      <c r="E290" s="161" t="inlineStr">
        <is>
          <t>Resource</t>
        </is>
      </c>
      <c r="F290" s="161" t="inlineStr">
        <is>
          <t>Korea</t>
        </is>
      </c>
      <c r="G290" s="161" t="inlineStr">
        <is>
          <t>Locate via the association and via Herges Healthcare notices</t>
        </is>
      </c>
      <c r="H290" s="161" t="inlineStr">
        <is>
          <t>Not published</t>
        </is>
      </c>
      <c r="I290" s="161" t="inlineStr">
        <is>
          <t>Not published</t>
        </is>
      </c>
      <c r="J290" s="161" t="inlineStr">
        <is>
          <t>Group purchase agreements for ultrasound confirmed through Herges Healthcare's own 2025 notices</t>
        </is>
      </c>
      <c r="K290" s="171" t="inlineStr">
        <is>
          <t>D</t>
        </is>
      </c>
      <c r="L290" s="161" t="inlineStr">
        <is>
          <t>A channel rather than a company, and the fastest identified route to Korean clinic volume. Whoever holds the association relationship reaches thousands of clinics with one agreement. Worth asking every Tier 1 candidate whether they have it.</t>
        </is>
      </c>
      <c r="M290" s="161" t="inlineStr">
        <is>
          <t>Not a product target. Channel structure to pursue through a dealer</t>
        </is>
      </c>
      <c r="N290" s="173" t="inlineStr">
        <is>
          <t>RES</t>
        </is>
      </c>
      <c r="O290" s="161" t="inlineStr">
        <is>
          <t>Resource NEW in v5. Existence of the ultrasound group purchase programme confirmed from Herges Healthcare's own notices, 15 Sep 2026.</t>
        </is>
      </c>
      <c r="P290" s="161" t="inlineStr">
        <is>
          <t>Dealer notices (Herges), association page not opened</t>
        </is>
      </c>
      <c r="Q290" s="161" t="n"/>
      <c r="R290" s="161" t="inlineStr">
        <is>
          <t>No outreach email. This row is a registry, association or event used to source and qualify dealers, not a dealer target itself.</t>
        </is>
      </c>
      <c r="S290" s="172" t="inlineStr">
        <is>
          <t>Resource</t>
        </is>
      </c>
    </row>
    <row r="291" ht="32.25" customHeight="1" s="104">
      <c r="A291" s="161" t="n">
        <v>287</v>
      </c>
      <c r="B291" s="162" t="inlineStr">
        <is>
          <t>Samsung Medison 삼성메디슨</t>
        </is>
      </c>
      <c r="C291" s="161" t="inlineStr">
        <is>
          <t>Not started</t>
        </is>
      </c>
      <c r="D291" s="161" t="inlineStr">
        <is>
          <t>Korean ultrasound manufacturer, domestic market leader. Obstetrics, gynaecology and radiology are around 88 per cent of revenue</t>
        </is>
      </c>
      <c r="E291" s="161" t="inlineStr">
        <is>
          <t>Competitor</t>
        </is>
      </c>
      <c r="F291" s="161" t="inlineStr">
        <is>
          <t>Seongnam</t>
        </is>
      </c>
      <c r="G291" s="163" t="inlineStr">
        <is>
          <t>https://www.samsungmedison.com</t>
        </is>
      </c>
      <c r="H291" s="161" t="inlineStr">
        <is>
          <t>Not applicable</t>
        </is>
      </c>
      <c r="I291" s="161" t="inlineStr">
        <is>
          <t>Not applicable</t>
        </is>
      </c>
      <c r="J291" s="161" t="inlineStr">
        <is>
          <t>Samsung Electronics majority owned</t>
        </is>
      </c>
      <c r="K291" s="169" t="inlineStr">
        <is>
          <t>C</t>
        </is>
      </c>
      <c r="L291" s="161" t="inlineStr">
        <is>
          <t>The domestic brand objection in Korea is Samsung. Prepare the answer before the first dealer call: they will raise it.</t>
        </is>
      </c>
      <c r="M291" s="161" t="inlineStr">
        <is>
          <t>Not applicable</t>
        </is>
      </c>
      <c r="N291" s="171" t="inlineStr">
        <is>
          <t>REF</t>
        </is>
      </c>
      <c r="O291" s="161" t="inlineStr">
        <is>
          <t>REF UPHELD from v4.</t>
        </is>
      </c>
      <c r="P291" s="161" t="inlineStr">
        <is>
          <t>From search</t>
        </is>
      </c>
      <c r="Q291" s="175" t="n"/>
      <c r="R291" s="175" t="inlineStr">
        <is>
          <t>No outreach email. This row is a competitor, brand subsidiary or local manufacturer, kept in the workbook for market awareness and price benchmarking only.</t>
        </is>
      </c>
      <c r="S291" s="170" t="inlineStr">
        <is>
          <t>REF, do not email</t>
        </is>
      </c>
    </row>
    <row r="292" ht="32.25" customHeight="1" s="104">
      <c r="A292" s="161" t="n">
        <v>288</v>
      </c>
      <c r="B292" s="162" t="inlineStr">
        <is>
          <t>Alpinion Medical Systems 알피니언</t>
        </is>
      </c>
      <c r="C292" s="161" t="inlineStr">
        <is>
          <t>Not started</t>
        </is>
      </c>
      <c r="D292" s="161" t="inlineStr">
        <is>
          <t>Korean ultrasound manufacturer. Point of care and obstetrics and gynaecology</t>
        </is>
      </c>
      <c r="E292" s="161" t="inlineStr">
        <is>
          <t>Competitor</t>
        </is>
      </c>
      <c r="F292" s="161" t="inlineStr">
        <is>
          <t>Anyang</t>
        </is>
      </c>
      <c r="G292" s="163" t="inlineStr">
        <is>
          <t>https://www.alpinion.com</t>
        </is>
      </c>
      <c r="H292" s="161" t="inlineStr">
        <is>
          <t>Not applicable</t>
        </is>
      </c>
      <c r="I292" s="161" t="inlineStr">
        <is>
          <t>Not applicable</t>
        </is>
      </c>
      <c r="J292" s="161" t="inlineStr">
        <is>
          <t>Jingin Holdings majority owned</t>
        </is>
      </c>
      <c r="K292" s="169" t="inlineStr">
        <is>
          <t>C</t>
        </is>
      </c>
      <c r="L292" s="161" t="inlineStr">
        <is>
          <t>The second domestic brand. Their sub dealers are segment experienced and unconflicted if Alpinion is not exclusive, which is a recruitment route rather than a threat.</t>
        </is>
      </c>
      <c r="M292" s="161" t="inlineStr">
        <is>
          <t>Not applicable</t>
        </is>
      </c>
      <c r="N292" s="171" t="inlineStr">
        <is>
          <t>REF</t>
        </is>
      </c>
      <c r="O292" s="161" t="inlineStr">
        <is>
          <t>REF UPHELD from v4.</t>
        </is>
      </c>
      <c r="P292" s="161" t="inlineStr">
        <is>
          <t>From search</t>
        </is>
      </c>
      <c r="Q292" s="175" t="n"/>
      <c r="R292" s="175" t="inlineStr">
        <is>
          <t>No outreach email. This row is a competitor, brand subsidiary or local manufacturer, kept in the workbook for market awareness and price benchmarking only.</t>
        </is>
      </c>
      <c r="S292" s="170" t="inlineStr">
        <is>
          <t>REF, do not email</t>
        </is>
      </c>
    </row>
    <row r="293" ht="24" customHeight="1" s="104">
      <c r="A293" s="161" t="n">
        <v>289</v>
      </c>
      <c r="B293" s="162" t="inlineStr">
        <is>
          <t>SG Healthcare 에스지헬스케어</t>
        </is>
      </c>
      <c r="C293" s="161" t="inlineStr">
        <is>
          <t>Not started</t>
        </is>
      </c>
      <c r="D293" s="161" t="inlineStr">
        <is>
          <t>Korean imaging manufacturer. X-ray, ultrasound and MRI</t>
        </is>
      </c>
      <c r="E293" s="161" t="inlineStr">
        <is>
          <t>Competitor</t>
        </is>
      </c>
      <c r="F293" s="161" t="inlineStr">
        <is>
          <t>Seoul</t>
        </is>
      </c>
      <c r="G293" s="163" t="inlineStr">
        <is>
          <t>https://www.sg-healthcare.com</t>
        </is>
      </c>
      <c r="H293" s="161" t="inlineStr">
        <is>
          <t>Not applicable</t>
        </is>
      </c>
      <c r="I293" s="161" t="inlineStr">
        <is>
          <t>Not applicable</t>
        </is>
      </c>
      <c r="J293" s="161" t="inlineStr">
        <is>
          <t>Named in Korean trade press among the domestic winners of the 한의원 ultrasound opening</t>
        </is>
      </c>
      <c r="K293" s="169" t="inlineStr">
        <is>
          <t>C</t>
        </is>
      </c>
      <c r="L293" s="161" t="inlineStr">
        <is>
          <t>Directly competing for the Korean medicine clinic opening described in the Medistream row. Benchmark their 한의원 pricing.</t>
        </is>
      </c>
      <c r="M293" s="161" t="inlineStr">
        <is>
          <t>Not applicable</t>
        </is>
      </c>
      <c r="N293" s="171" t="inlineStr">
        <is>
          <t>REF</t>
        </is>
      </c>
      <c r="O293" s="161" t="inlineStr">
        <is>
          <t>REF UPHELD from v4.</t>
        </is>
      </c>
      <c r="P293" s="161" t="inlineStr">
        <is>
          <t>From search</t>
        </is>
      </c>
      <c r="Q293" s="175" t="n"/>
      <c r="R293" s="175" t="inlineStr">
        <is>
          <t>No outreach email. This row is a competitor, brand subsidiary or local manufacturer, kept in the workbook for market awareness and price benchmarking only.</t>
        </is>
      </c>
      <c r="S293" s="170" t="inlineStr">
        <is>
          <t>REF, do not email</t>
        </is>
      </c>
    </row>
    <row r="294" ht="21.75" customHeight="1" s="104">
      <c r="A294" s="161" t="n">
        <v>290</v>
      </c>
      <c r="B294" s="162" t="inlineStr">
        <is>
          <t>Healcerion 힐세리온</t>
        </is>
      </c>
      <c r="C294" s="161" t="inlineStr">
        <is>
          <t>Not started</t>
        </is>
      </c>
      <c r="D294" s="161" t="inlineStr">
        <is>
          <t>Korean handheld ultrasound manufacturer, SONON range</t>
        </is>
      </c>
      <c r="E294" s="161" t="inlineStr">
        <is>
          <t>Competitor</t>
        </is>
      </c>
      <c r="F294" s="161" t="inlineStr">
        <is>
          <t>Seoul</t>
        </is>
      </c>
      <c r="G294" s="163" t="inlineStr">
        <is>
          <t>https://www.healcerion.com</t>
        </is>
      </c>
      <c r="H294" s="161" t="inlineStr">
        <is>
          <t>Not applicable</t>
        </is>
      </c>
      <c r="I294" s="161" t="inlineStr">
        <is>
          <t>Not applicable</t>
        </is>
      </c>
      <c r="J294" s="161" t="inlineStr">
        <is>
          <t>Handheld specialist</t>
        </is>
      </c>
      <c r="K294" s="169" t="inlineStr">
        <is>
          <t>C</t>
        </is>
      </c>
      <c r="L294" s="161" t="inlineStr">
        <is>
          <t>The direct domestic competitor to SonoEye. Benchmark price and probe range before pitching handheld anywhere in Korea.</t>
        </is>
      </c>
      <c r="M294" s="161" t="inlineStr">
        <is>
          <t>Not applicable</t>
        </is>
      </c>
      <c r="N294" s="171" t="inlineStr">
        <is>
          <t>REF</t>
        </is>
      </c>
      <c r="O294" s="161" t="inlineStr">
        <is>
          <t>REF UPHELD from v4.</t>
        </is>
      </c>
      <c r="P294" s="161" t="inlineStr">
        <is>
          <t>From search</t>
        </is>
      </c>
      <c r="Q294" s="175" t="n"/>
      <c r="R294" s="175" t="inlineStr">
        <is>
          <t>No outreach email. This row is a competitor, brand subsidiary or local manufacturer, kept in the workbook for market awareness and price benchmarking only.</t>
        </is>
      </c>
      <c r="S294" s="170" t="inlineStr">
        <is>
          <t>REF, do not email</t>
        </is>
      </c>
    </row>
    <row r="295" ht="42.75" customHeight="1" s="104">
      <c r="A295" s="161" t="n">
        <v>291</v>
      </c>
      <c r="B295" s="162" t="inlineStr">
        <is>
          <t>Mindray Medical Korea 마인드레이메디칼코리아</t>
        </is>
      </c>
      <c r="C295" s="161" t="inlineStr">
        <is>
          <t>Not started</t>
        </is>
      </c>
      <c r="D295" s="161" t="inlineStr">
        <is>
          <t>Chinese ultrasound and monitoring manufacturer, Korean subsidiary. Channel includes Herges Healthcare as 총판 and Wonik under an exclusive domestic agreement</t>
        </is>
      </c>
      <c r="E295" s="161" t="inlineStr">
        <is>
          <t>Competitor</t>
        </is>
      </c>
      <c r="F295" s="161" t="inlineStr">
        <is>
          <t>Seoul</t>
        </is>
      </c>
      <c r="G295" s="163" t="inlineStr">
        <is>
          <t>https://www.mindray.com</t>
        </is>
      </c>
      <c r="H295" s="161" t="inlineStr">
        <is>
          <t>Not applicable</t>
        </is>
      </c>
      <c r="I295" s="161" t="inlineStr">
        <is>
          <t>Not applicable</t>
        </is>
      </c>
      <c r="J295" s="161" t="inlineStr">
        <is>
          <t>Korean subsidiary plus appointed distributors</t>
        </is>
      </c>
      <c r="K295" s="169" t="inlineStr">
        <is>
          <t>C</t>
        </is>
      </c>
      <c r="L295" s="161" t="inlineStr">
        <is>
          <t>The most important competitive read in Korea, because Mindray is the price and origin comparison every Korean dealer will make. Map their dealer network: those dealers are the ones who already sell Chinese ultrasound successfully.</t>
        </is>
      </c>
      <c r="M295" s="161" t="inlineStr">
        <is>
          <t>Not applicable</t>
        </is>
      </c>
      <c r="N295" s="171" t="inlineStr">
        <is>
          <t>REF</t>
        </is>
      </c>
      <c r="O295" s="161" t="inlineStr">
        <is>
          <t>REF NEW in v5. Korean channel structure (Herges 총판, Wonik exclusive agreement) confirmed from Korean trade press and Herges' own site.</t>
        </is>
      </c>
      <c r="P295" s="161" t="inlineStr">
        <is>
          <t>Trade press and dealer site</t>
        </is>
      </c>
      <c r="Q295" s="175" t="n"/>
      <c r="R295" s="175" t="inlineStr">
        <is>
          <t>No outreach email. This row is a competitor, brand subsidiary or local manufacturer, kept in the workbook for market awareness and price benchmarking only.</t>
        </is>
      </c>
      <c r="S295" s="170" t="inlineStr">
        <is>
          <t>REF, do not email</t>
        </is>
      </c>
    </row>
    <row r="296" ht="32.25" customHeight="1" s="104">
      <c r="A296" s="161" t="n">
        <v>292</v>
      </c>
      <c r="B296" s="162" t="inlineStr">
        <is>
          <t>GE HealthCare Korea, Philips Korea, Siemens Healthineers Korea</t>
        </is>
      </c>
      <c r="C296" s="161" t="inlineStr">
        <is>
          <t>Not started</t>
        </is>
      </c>
      <c r="D296" s="161" t="inlineStr">
        <is>
          <t>Global brand subsidiaries. The incumbents in Korean hospital imaging</t>
        </is>
      </c>
      <c r="E296" s="161" t="inlineStr">
        <is>
          <t>Competitor</t>
        </is>
      </c>
      <c r="F296" s="161" t="inlineStr">
        <is>
          <t>Seoul</t>
        </is>
      </c>
      <c r="G296" s="161" t="inlineStr">
        <is>
          <t>Not applicable</t>
        </is>
      </c>
      <c r="H296" s="161" t="inlineStr">
        <is>
          <t>Not applicable</t>
        </is>
      </c>
      <c r="I296" s="161" t="inlineStr">
        <is>
          <t>Not applicable</t>
        </is>
      </c>
      <c r="J296" s="161" t="inlineStr">
        <is>
          <t>Brand subsidiaries</t>
        </is>
      </c>
      <c r="K296" s="169" t="inlineStr">
        <is>
          <t>C</t>
        </is>
      </c>
      <c r="L296" s="161" t="inlineStr">
        <is>
          <t>Their Korean sub dealers are segment experienced and often unconflicted at the entry tier. That is the recruitment angle, not the subsidiaries themselves.</t>
        </is>
      </c>
      <c r="M296" s="161" t="inlineStr">
        <is>
          <t>Not applicable</t>
        </is>
      </c>
      <c r="N296" s="171" t="inlineStr">
        <is>
          <t>REF</t>
        </is>
      </c>
      <c r="O296" s="161" t="inlineStr">
        <is>
          <t>REF UPHELD from v4.</t>
        </is>
      </c>
      <c r="P296" s="161" t="inlineStr">
        <is>
          <t>Directory (MFDS)</t>
        </is>
      </c>
      <c r="Q296" s="175" t="n"/>
      <c r="R296" s="175" t="inlineStr">
        <is>
          <t>No outreach email. This row is a competitor, brand subsidiary or local manufacturer, kept in the workbook for market awareness and price benchmarking only.</t>
        </is>
      </c>
      <c r="S296" s="170" t="inlineStr">
        <is>
          <t>REF, do not email</t>
        </is>
      </c>
    </row>
    <row r="297" ht="21.75" customHeight="1" s="104">
      <c r="A297" s="161" t="n">
        <v>293</v>
      </c>
      <c r="B297" s="162" t="inlineStr">
        <is>
          <t>Olympus Korea 올림푸스한국</t>
        </is>
      </c>
      <c r="C297" s="161" t="inlineStr">
        <is>
          <t>Not started</t>
        </is>
      </c>
      <c r="D297" s="161" t="inlineStr">
        <is>
          <t>Endoscopy brand subsidiary. 148 MFDS device records</t>
        </is>
      </c>
      <c r="E297" s="161" t="inlineStr">
        <is>
          <t>Competitor adjacent</t>
        </is>
      </c>
      <c r="F297" s="161" t="inlineStr">
        <is>
          <t>Seoul</t>
        </is>
      </c>
      <c r="G297" s="163" t="inlineStr">
        <is>
          <t>https://www.olympus-korea.co.kr</t>
        </is>
      </c>
      <c r="H297" s="161" t="inlineStr">
        <is>
          <t>Not applicable</t>
        </is>
      </c>
      <c r="I297" s="161" t="inlineStr">
        <is>
          <t>Not applicable</t>
        </is>
      </c>
      <c r="J297" s="161" t="inlineStr">
        <is>
          <t>Brand subsidiary</t>
        </is>
      </c>
      <c r="K297" s="169" t="inlineStr">
        <is>
          <t>C</t>
        </is>
      </c>
      <c r="L297" s="161" t="inlineStr">
        <is>
          <t>Not a target, but their endoscopy sub dealers are exactly the OR and procedure room channel the skill points at.</t>
        </is>
      </c>
      <c r="M297" s="161" t="inlineStr">
        <is>
          <t>Not applicable</t>
        </is>
      </c>
      <c r="N297" s="171" t="inlineStr">
        <is>
          <t>REF</t>
        </is>
      </c>
      <c r="O297" s="161" t="inlineStr">
        <is>
          <t>REF UPHELD from v4.</t>
        </is>
      </c>
      <c r="P297" s="161" t="inlineStr">
        <is>
          <t>Directory (MFDS)</t>
        </is>
      </c>
      <c r="Q297" s="175" t="n"/>
      <c r="R297" s="175" t="inlineStr">
        <is>
          <t>No outreach email. This row is a competitor, brand subsidiary or local manufacturer, kept in the workbook for market awareness and price benchmarking only.</t>
        </is>
      </c>
      <c r="S297" s="170" t="inlineStr">
        <is>
          <t>REF, do not email</t>
        </is>
      </c>
    </row>
    <row r="298" ht="21.75" customHeight="1" s="104">
      <c r="A298" s="161" t="n">
        <v>294</v>
      </c>
      <c r="B298" s="162" t="inlineStr">
        <is>
          <t>Nihon Kohden Korea 니혼코덴코리아</t>
        </is>
      </c>
      <c r="C298" s="161" t="inlineStr">
        <is>
          <t>Not started</t>
        </is>
      </c>
      <c r="D298" s="161" t="inlineStr">
        <is>
          <t>Patient monitoring brand subsidiary. 40 MFDS device records</t>
        </is>
      </c>
      <c r="E298" s="161" t="inlineStr">
        <is>
          <t>Competitor adjacent</t>
        </is>
      </c>
      <c r="F298" s="161" t="inlineStr">
        <is>
          <t>Seoul</t>
        </is>
      </c>
      <c r="G298" s="163" t="inlineStr">
        <is>
          <t>https://www.nihonkohden.co.kr</t>
        </is>
      </c>
      <c r="H298" s="161" t="inlineStr">
        <is>
          <t>Not applicable</t>
        </is>
      </c>
      <c r="I298" s="161" t="inlineStr">
        <is>
          <t>Not applicable</t>
        </is>
      </c>
      <c r="J298" s="161" t="inlineStr">
        <is>
          <t>Brand subsidiary</t>
        </is>
      </c>
      <c r="K298" s="169" t="inlineStr">
        <is>
          <t>C</t>
        </is>
      </c>
      <c r="L298" s="161" t="inlineStr">
        <is>
          <t>Monitoring sub dealers are a recruitment pool for the SonoEye add on play.</t>
        </is>
      </c>
      <c r="M298" s="161" t="inlineStr">
        <is>
          <t>Not applicable</t>
        </is>
      </c>
      <c r="N298" s="171" t="inlineStr">
        <is>
          <t>REF</t>
        </is>
      </c>
      <c r="O298" s="161" t="inlineStr">
        <is>
          <t>REF UPHELD from v4.</t>
        </is>
      </c>
      <c r="P298" s="161" t="inlineStr">
        <is>
          <t>Directory (MFDS)</t>
        </is>
      </c>
      <c r="Q298" s="175" t="n"/>
      <c r="R298" s="175" t="inlineStr">
        <is>
          <t>No outreach email. This row is a competitor, brand subsidiary or local manufacturer, kept in the workbook for market awareness and price benchmarking only.</t>
        </is>
      </c>
      <c r="S298" s="170" t="inlineStr">
        <is>
          <t>REF, do not email</t>
        </is>
      </c>
    </row>
    <row r="299" ht="21.75" customHeight="1" s="104">
      <c r="A299" s="161" t="n">
        <v>295</v>
      </c>
      <c r="B299" s="162" t="inlineStr">
        <is>
          <t>Medtronic, Stryker, Boston Scientific, Johnson and Johnson Korea</t>
        </is>
      </c>
      <c r="C299" s="161" t="inlineStr">
        <is>
          <t>Not started</t>
        </is>
      </c>
      <c r="D299" s="161" t="inlineStr">
        <is>
          <t>Therapy multinational subsidiaries</t>
        </is>
      </c>
      <c r="E299" s="161" t="inlineStr">
        <is>
          <t>Not applicable</t>
        </is>
      </c>
      <c r="F299" s="161" t="inlineStr">
        <is>
          <t>Seoul</t>
        </is>
      </c>
      <c r="G299" s="161" t="inlineStr">
        <is>
          <t>Not applicable</t>
        </is>
      </c>
      <c r="H299" s="161" t="inlineStr">
        <is>
          <t>Not applicable</t>
        </is>
      </c>
      <c r="I299" s="161" t="inlineStr">
        <is>
          <t>Not applicable</t>
        </is>
      </c>
      <c r="J299" s="161" t="inlineStr">
        <is>
          <t>Brand subsidiaries</t>
        </is>
      </c>
      <c r="K299" s="169" t="inlineStr">
        <is>
          <t>C</t>
        </is>
      </c>
      <c r="L299" s="161" t="inlineStr">
        <is>
          <t>Not targets. Listed so the MFDS register names in this tab are not mistaken for recruitable independents.</t>
        </is>
      </c>
      <c r="M299" s="161" t="inlineStr">
        <is>
          <t>Not applicable</t>
        </is>
      </c>
      <c r="N299" s="171" t="inlineStr">
        <is>
          <t>REF</t>
        </is>
      </c>
      <c r="O299" s="161" t="inlineStr">
        <is>
          <t>REF UPHELD from v4.</t>
        </is>
      </c>
      <c r="P299" s="161" t="inlineStr">
        <is>
          <t>Directory (MFDS)</t>
        </is>
      </c>
      <c r="Q299" s="175" t="n"/>
      <c r="R299" s="175" t="inlineStr">
        <is>
          <t>No outreach email. This row is a competitor, brand subsidiary or local manufacturer, kept in the workbook for market awareness and price benchmarking only.</t>
        </is>
      </c>
      <c r="S299" s="170" t="inlineStr">
        <is>
          <t>REF, do not email</t>
        </is>
      </c>
    </row>
    <row r="300" ht="21.75" customHeight="1" s="104">
      <c r="A300" s="161" t="n">
        <v>296</v>
      </c>
      <c r="B300" s="162" t="inlineStr">
        <is>
          <t>BD Korea, Roche Diagnostics Korea, Thermo Fisher Korea</t>
        </is>
      </c>
      <c r="C300" s="161" t="inlineStr">
        <is>
          <t>Not started</t>
        </is>
      </c>
      <c r="D300" s="161" t="inlineStr">
        <is>
          <t>In vitro diagnostics multinational subsidiaries</t>
        </is>
      </c>
      <c r="E300" s="161" t="inlineStr">
        <is>
          <t>Not applicable</t>
        </is>
      </c>
      <c r="F300" s="161" t="inlineStr">
        <is>
          <t>Seoul</t>
        </is>
      </c>
      <c r="G300" s="161" t="inlineStr">
        <is>
          <t>Not applicable</t>
        </is>
      </c>
      <c r="H300" s="161" t="inlineStr">
        <is>
          <t>Not applicable</t>
        </is>
      </c>
      <c r="I300" s="161" t="inlineStr">
        <is>
          <t>Not applicable</t>
        </is>
      </c>
      <c r="J300" s="161" t="inlineStr">
        <is>
          <t>Brand subsidiaries</t>
        </is>
      </c>
      <c r="K300" s="169" t="inlineStr">
        <is>
          <t>C</t>
        </is>
      </c>
      <c r="L300" s="161" t="inlineStr">
        <is>
          <t>Not targets.</t>
        </is>
      </c>
      <c r="M300" s="161" t="inlineStr">
        <is>
          <t>Not applicable</t>
        </is>
      </c>
      <c r="N300" s="171" t="inlineStr">
        <is>
          <t>REF</t>
        </is>
      </c>
      <c r="O300" s="161" t="inlineStr">
        <is>
          <t>REF UPHELD from v4.</t>
        </is>
      </c>
      <c r="P300" s="161" t="inlineStr">
        <is>
          <t>Directory (MFDS)</t>
        </is>
      </c>
      <c r="Q300" s="175" t="n"/>
      <c r="R300" s="175" t="inlineStr">
        <is>
          <t>No outreach email. This row is a competitor, brand subsidiary or local manufacturer, kept in the workbook for market awareness and price benchmarking only.</t>
        </is>
      </c>
      <c r="S300" s="170" t="inlineStr">
        <is>
          <t>REF, do not email</t>
        </is>
      </c>
    </row>
    <row r="301" ht="21.75" customHeight="1" s="104">
      <c r="A301" s="161" t="n">
        <v>297</v>
      </c>
      <c r="B301" s="162" t="inlineStr">
        <is>
          <t>Intuitive, Zimmer Biomet, Smith and Nephew Korea</t>
        </is>
      </c>
      <c r="C301" s="161" t="inlineStr">
        <is>
          <t>Not started</t>
        </is>
      </c>
      <c r="D301" s="161" t="inlineStr">
        <is>
          <t>Surgical multinational subsidiaries</t>
        </is>
      </c>
      <c r="E301" s="161" t="inlineStr">
        <is>
          <t>Not applicable</t>
        </is>
      </c>
      <c r="F301" s="161" t="inlineStr">
        <is>
          <t>Seoul</t>
        </is>
      </c>
      <c r="G301" s="161" t="inlineStr">
        <is>
          <t>Not applicable</t>
        </is>
      </c>
      <c r="H301" s="161" t="inlineStr">
        <is>
          <t>Not applicable</t>
        </is>
      </c>
      <c r="I301" s="161" t="inlineStr">
        <is>
          <t>Not applicable</t>
        </is>
      </c>
      <c r="J301" s="161" t="inlineStr">
        <is>
          <t>Brand subsidiaries</t>
        </is>
      </c>
      <c r="K301" s="169" t="inlineStr">
        <is>
          <t>C</t>
        </is>
      </c>
      <c r="L301" s="161" t="inlineStr">
        <is>
          <t>Not targets.</t>
        </is>
      </c>
      <c r="M301" s="161" t="inlineStr">
        <is>
          <t>Not applicable</t>
        </is>
      </c>
      <c r="N301" s="171" t="inlineStr">
        <is>
          <t>REF</t>
        </is>
      </c>
      <c r="O301" s="161" t="inlineStr">
        <is>
          <t>REF UPHELD from v4.</t>
        </is>
      </c>
      <c r="P301" s="161" t="inlineStr">
        <is>
          <t>Directory (MFDS)</t>
        </is>
      </c>
      <c r="Q301" s="175" t="n"/>
      <c r="R301" s="175" t="inlineStr">
        <is>
          <t>No outreach email. This row is a competitor, brand subsidiary or local manufacturer, kept in the workbook for market awareness and price benchmarking only.</t>
        </is>
      </c>
      <c r="S301" s="170" t="inlineStr">
        <is>
          <t>REF, do not email</t>
        </is>
      </c>
    </row>
    <row r="302" ht="21.75" customHeight="1" s="104">
      <c r="A302" s="161" t="n">
        <v>298</v>
      </c>
      <c r="B302" s="162" t="inlineStr">
        <is>
          <t>Leica Microsystems Korea, Teleflex Korea, Cook Medical Korea, B Braun Korea</t>
        </is>
      </c>
      <c r="C302" s="161" t="inlineStr">
        <is>
          <t>Not started</t>
        </is>
      </c>
      <c r="D302" s="161" t="inlineStr">
        <is>
          <t>Device multinational subsidiaries</t>
        </is>
      </c>
      <c r="E302" s="161" t="inlineStr">
        <is>
          <t>Not applicable</t>
        </is>
      </c>
      <c r="F302" s="161" t="inlineStr">
        <is>
          <t>Seoul</t>
        </is>
      </c>
      <c r="G302" s="161" t="inlineStr">
        <is>
          <t>Not applicable</t>
        </is>
      </c>
      <c r="H302" s="161" t="inlineStr">
        <is>
          <t>Not applicable</t>
        </is>
      </c>
      <c r="I302" s="161" t="inlineStr">
        <is>
          <t>Not applicable</t>
        </is>
      </c>
      <c r="J302" s="161" t="inlineStr">
        <is>
          <t>Brand subsidiaries</t>
        </is>
      </c>
      <c r="K302" s="169" t="inlineStr">
        <is>
          <t>C</t>
        </is>
      </c>
      <c r="L302" s="161" t="inlineStr">
        <is>
          <t>Not targets.</t>
        </is>
      </c>
      <c r="M302" s="161" t="inlineStr">
        <is>
          <t>Not applicable</t>
        </is>
      </c>
      <c r="N302" s="171" t="inlineStr">
        <is>
          <t>REF</t>
        </is>
      </c>
      <c r="O302" s="161" t="inlineStr">
        <is>
          <t>REF UPHELD from v4.</t>
        </is>
      </c>
      <c r="P302" s="161" t="inlineStr">
        <is>
          <t>Directory (MFDS)</t>
        </is>
      </c>
      <c r="Q302" s="175" t="n"/>
      <c r="R302" s="175" t="inlineStr">
        <is>
          <t>No outreach email. This row is a competitor, brand subsidiary or local manufacturer, kept in the workbook for market awareness and price benchmarking only.</t>
        </is>
      </c>
      <c r="S302" s="170" t="inlineStr">
        <is>
          <t>REF, do not email</t>
        </is>
      </c>
    </row>
    <row r="303" ht="32.25" customHeight="1" s="104">
      <c r="A303" s="161" t="n">
        <v>299</v>
      </c>
      <c r="B303" s="162" t="inlineStr">
        <is>
          <t>WS Audiology, Hoya, Essilor Korea, Dentsply Sirona, Straumann, Ivoclar Korea, 3M Korea</t>
        </is>
      </c>
      <c r="C303" s="161" t="inlineStr">
        <is>
          <t>Not started</t>
        </is>
      </c>
      <c r="D303" s="161" t="inlineStr">
        <is>
          <t>Hearing, optical, dental and diversified multinational subsidiaries</t>
        </is>
      </c>
      <c r="E303" s="161" t="inlineStr">
        <is>
          <t>Not applicable</t>
        </is>
      </c>
      <c r="F303" s="161" t="inlineStr">
        <is>
          <t>Seoul</t>
        </is>
      </c>
      <c r="G303" s="161" t="inlineStr">
        <is>
          <t>Not applicable</t>
        </is>
      </c>
      <c r="H303" s="161" t="inlineStr">
        <is>
          <t>Not applicable</t>
        </is>
      </c>
      <c r="I303" s="161" t="inlineStr">
        <is>
          <t>Not applicable</t>
        </is>
      </c>
      <c r="J303" s="161" t="inlineStr">
        <is>
          <t>Brand subsidiaries</t>
        </is>
      </c>
      <c r="K303" s="169" t="inlineStr">
        <is>
          <t>C</t>
        </is>
      </c>
      <c r="L303" s="161" t="inlineStr">
        <is>
          <t>Not targets.</t>
        </is>
      </c>
      <c r="M303" s="161" t="inlineStr">
        <is>
          <t>Not applicable</t>
        </is>
      </c>
      <c r="N303" s="171" t="inlineStr">
        <is>
          <t>REF</t>
        </is>
      </c>
      <c r="O303" s="161" t="inlineStr">
        <is>
          <t>REF UPHELD from v4.</t>
        </is>
      </c>
      <c r="P303" s="161" t="inlineStr">
        <is>
          <t>Directory (MFDS)</t>
        </is>
      </c>
      <c r="Q303" s="175" t="n"/>
      <c r="R303" s="175" t="inlineStr">
        <is>
          <t>No outreach email. This row is a competitor, brand subsidiary or local manufacturer, kept in the workbook for market awareness and price benchmarking only.</t>
        </is>
      </c>
      <c r="S303" s="170" t="inlineStr">
        <is>
          <t>REF, do not email</t>
        </is>
      </c>
    </row>
    <row r="305" ht="14.25" customHeight="1" s="104">
      <c r="B305" s="176" t="inlineStr">
        <is>
          <t>COUNTS</t>
        </is>
      </c>
      <c r="E305" s="176" t="inlineStr">
        <is>
          <t>CONTACT CONFIDENCE</t>
        </is>
      </c>
      <c r="F305" s="177" t="n"/>
    </row>
    <row r="306" ht="14.25" customHeight="1" s="104">
      <c r="B306" s="178" t="inlineStr">
        <is>
          <t>Tier 1 (contact first)</t>
        </is>
      </c>
      <c r="C306" s="177">
        <f>COUNTIF(N5:N303,1)</f>
        <v/>
      </c>
      <c r="E306" s="179" t="inlineStr">
        <is>
          <t>A  email read off the company page</t>
        </is>
      </c>
      <c r="F306" s="177">
        <f>COUNTIF(K5:K303,"A")</f>
        <v/>
      </c>
    </row>
    <row r="307" ht="14.25" customHeight="1" s="104">
      <c r="B307" s="178" t="inlineStr">
        <is>
          <t>Tier 2 (qualify first)</t>
        </is>
      </c>
      <c r="C307" s="177">
        <f>COUNTIF(N5:N303,2)</f>
        <v/>
      </c>
      <c r="E307" s="179" t="inlineStr">
        <is>
          <t>B  verified partial (site live, form only)</t>
        </is>
      </c>
      <c r="F307" s="177">
        <f>COUNTIF(K5:K303,"B")</f>
        <v/>
      </c>
    </row>
    <row r="308" ht="14.25" customHeight="1" s="104">
      <c r="B308" s="178" t="inlineStr">
        <is>
          <t>Tier 3 (long tail)</t>
        </is>
      </c>
      <c r="C308" s="177">
        <f>COUNTIF(N5:N303,3)</f>
        <v/>
      </c>
      <c r="E308" s="179" t="inlineStr">
        <is>
          <t>C  email from a search result of their own page</t>
        </is>
      </c>
      <c r="F308" s="177">
        <f>COUNTIF(K5:K303,"C")</f>
        <v/>
      </c>
    </row>
    <row r="309" ht="14.25" customHeight="1" s="104">
      <c r="B309" s="178" t="inlineStr">
        <is>
          <t>RES (resources, not dealers)</t>
        </is>
      </c>
      <c r="C309" s="177">
        <f>COUNTIF(N5:N303,"RES")</f>
        <v/>
      </c>
      <c r="E309" s="179" t="inlineStr">
        <is>
          <t>D  not verified, confirm the company trades first</t>
        </is>
      </c>
      <c r="F309" s="177">
        <f>COUNTIF(K5:K303,"D")</f>
        <v/>
      </c>
    </row>
    <row r="310" ht="14.25" customHeight="1" s="104">
      <c r="B310" s="178" t="inlineStr">
        <is>
          <t>REF (benchmark only)</t>
        </is>
      </c>
      <c r="C310" s="177">
        <f>COUNTIF(N5:N303,"REF")</f>
        <v/>
      </c>
      <c r="E310" s="179" t="inlineStr">
        <is>
          <t>EMAIL ON FILE (column S = Yes)</t>
        </is>
      </c>
      <c r="F310" s="177">
        <f>COUNTIF(S5:S303,"Yes")</f>
        <v/>
      </c>
    </row>
    <row r="311" ht="14.25" customHeight="1" s="104">
      <c r="B311" s="178" t="inlineStr">
        <is>
          <t>DEALER LEADS (Tier 1 to 3)</t>
        </is>
      </c>
      <c r="C311" s="177">
        <f>SUM(C306:C308)</f>
        <v/>
      </c>
      <c r="E311" s="179" t="inlineStr">
        <is>
          <t>EMAIL TO CONFIRM (column S = Confirm)</t>
        </is>
      </c>
      <c r="F311" s="177">
        <f>COUNTIF(S5:S303,"Confirm")</f>
        <v/>
      </c>
    </row>
    <row r="312" ht="14.25" customHeight="1" s="104">
      <c r="B312" s="178" t="inlineStr">
        <is>
          <t>TOTAL ROWS</t>
        </is>
      </c>
      <c r="C312" s="177">
        <f>COUNTA(B5:B303)</f>
        <v/>
      </c>
      <c r="E312" s="179" t="inlineStr">
        <is>
          <t>DEALER LEADS WITH AN EMAIL</t>
        </is>
      </c>
      <c r="F312" s="177">
        <f>COUNTIFS(N5:N303,"&lt;&gt;REF",N5:N303,"&lt;&gt;RES",I5:I303,"*@*")</f>
        <v/>
      </c>
    </row>
  </sheetData>
  <autoFilter ref="A4:S303"/>
  <conditionalFormatting sqref="C5:C303">
    <cfRule type="cellIs" rank="0" priority="2" equalAverage="0" operator="equal" aboveAverage="0" dxfId="22" text="" percent="0" bottom="0">
      <formula>"Not started"</formula>
    </cfRule>
    <cfRule type="cellIs" rank="0" priority="3" equalAverage="0" operator="equal" aboveAverage="0" dxfId="23" text="" percent="0" bottom="0">
      <formula>"Contacted"</formula>
    </cfRule>
    <cfRule type="cellIs" rank="0" priority="4" equalAverage="0" operator="equal" aboveAverage="0" dxfId="24" text="" percent="0" bottom="0">
      <formula>"Meeting booked"</formula>
    </cfRule>
    <cfRule type="cellIs" rank="0" priority="5" equalAverage="0" operator="equal" aboveAverage="0" dxfId="25" text="" percent="0" bottom="0">
      <formula>"Meeting held"</formula>
    </cfRule>
    <cfRule type="cellIs" rank="0" priority="6" equalAverage="0" operator="equal" aboveAverage="0" dxfId="26" text="" percent="0" bottom="0">
      <formula>"Evaluation placed"</formula>
    </cfRule>
    <cfRule type="cellIs" rank="0" priority="7" equalAverage="0" operator="equal" aboveAverage="0" dxfId="27" text="" percent="0" bottom="0">
      <formula>"Quoted"</formula>
    </cfRule>
    <cfRule type="cellIs" rank="0" priority="8" equalAverage="0" operator="equal" aboveAverage="0" dxfId="28" text="" percent="0" bottom="0">
      <formula>"Won"</formula>
    </cfRule>
    <cfRule type="cellIs" rank="0" priority="9" equalAverage="0" operator="equal" aboveAverage="0" dxfId="29" text="" percent="0" bottom="0">
      <formula>"Declined"</formula>
    </cfRule>
    <cfRule type="cellIs" rank="0" priority="10" equalAverage="0" operator="equal" aboveAverage="0" dxfId="30" text="" percent="0" bottom="0">
      <formula>"Parked"</formula>
    </cfRule>
  </conditionalFormatting>
  <dataValidations count="1">
    <dataValidation sqref="C5:C303" showDropDown="0" showInputMessage="0" showErrorMessage="0" allowBlank="1" type="list" errorStyle="stop" operator="between">
      <formula1>"Not started,Contacted,Meeting booked,Meeting held,Evaluation placed,Quoted,Won,Declined,Parked"</formula1>
      <formula2>0</formula2>
    </dataValidation>
  </dataValidations>
  <hyperlinks>
    <hyperlink xmlns:r="http://schemas.openxmlformats.org/officeDocument/2006/relationships" ref="G5" display="https://soelim.com" r:id="rId1"/>
    <hyperlink xmlns:r="http://schemas.openxmlformats.org/officeDocument/2006/relationships" ref="G6" display="https://genoray.com" r:id="rId2"/>
    <hyperlink xmlns:r="http://schemas.openxmlformats.org/officeDocument/2006/relationships" ref="G7" display="https://www.poskom.com" r:id="rId3"/>
    <hyperlink xmlns:r="http://schemas.openxmlformats.org/officeDocument/2006/relationships" ref="G8" display="https://jpi-korea.com" r:id="rId4"/>
    <hyperlink xmlns:r="http://schemas.openxmlformats.org/officeDocument/2006/relationships" ref="G9" display="http://www.withray.co.kr" r:id="rId5"/>
    <hyperlink xmlns:r="http://schemas.openxmlformats.org/officeDocument/2006/relationships" ref="G10" display="https://daiwha.com" r:id="rId6"/>
    <hyperlink xmlns:r="http://schemas.openxmlformats.org/officeDocument/2006/relationships" ref="G11" display="https://www.einsmed.co.kr" r:id="rId7"/>
    <hyperlink xmlns:r="http://schemas.openxmlformats.org/officeDocument/2006/relationships" ref="G12" display="https://insanm.com" r:id="rId8"/>
    <hyperlink xmlns:r="http://schemas.openxmlformats.org/officeDocument/2006/relationships" ref="G13" display="https://www.asanpharm.co.kr" r:id="rId9"/>
    <hyperlink xmlns:r="http://schemas.openxmlformats.org/officeDocument/2006/relationships" ref="G14" display="https://www.dksh.com/kr-en" r:id="rId10"/>
    <hyperlink xmlns:r="http://schemas.openxmlformats.org/officeDocument/2006/relationships" ref="G15" display="https://drmro.com" r:id="rId11"/>
    <hyperlink xmlns:r="http://schemas.openxmlformats.org/officeDocument/2006/relationships" ref="G16" display="https://dk.co.kr" r:id="rId12"/>
    <hyperlink xmlns:r="http://schemas.openxmlformats.org/officeDocument/2006/relationships" ref="G17" display="https://listem.co.kr" r:id="rId13"/>
    <hyperlink xmlns:r="http://schemas.openxmlformats.org/officeDocument/2006/relationships" ref="G18" display="https://mediana.co.kr" r:id="rId14"/>
    <hyperlink xmlns:r="http://schemas.openxmlformats.org/officeDocument/2006/relationships" ref="G19" display="https://medistream.co.kr" r:id="rId15"/>
    <hyperlink xmlns:r="http://schemas.openxmlformats.org/officeDocument/2006/relationships" ref="G20" display="http://osmedical.co.kr" r:id="rId16"/>
    <hyperlink xmlns:r="http://schemas.openxmlformats.org/officeDocument/2006/relationships" ref="G21" display="https://kahamedical.com" r:id="rId17"/>
    <hyperlink xmlns:r="http://schemas.openxmlformats.org/officeDocument/2006/relationships" ref="G24" display="https://pentaskorea.com" r:id="rId18"/>
    <hyperlink xmlns:r="http://schemas.openxmlformats.org/officeDocument/2006/relationships" ref="G25" display="https://myegm.co.kr" r:id="rId19"/>
    <hyperlink xmlns:r="http://schemas.openxmlformats.org/officeDocument/2006/relationships" ref="G26" display="https://sw88.kr" r:id="rId20"/>
    <hyperlink xmlns:r="http://schemas.openxmlformats.org/officeDocument/2006/relationships" ref="G27" display="https://paranmedical.co.kr" r:id="rId21"/>
    <hyperlink xmlns:r="http://schemas.openxmlformats.org/officeDocument/2006/relationships" ref="G28" display="https://dsmed.kr" r:id="rId22"/>
    <hyperlink xmlns:r="http://schemas.openxmlformats.org/officeDocument/2006/relationships" ref="G29" display="https://kmtec.com" r:id="rId23"/>
    <hyperlink xmlns:r="http://schemas.openxmlformats.org/officeDocument/2006/relationships" ref="G30" display="https://shinhanmedi.com" r:id="rId24"/>
    <hyperlink xmlns:r="http://schemas.openxmlformats.org/officeDocument/2006/relationships" ref="G31" display="https://uicin.com" r:id="rId25"/>
    <hyperlink xmlns:r="http://schemas.openxmlformats.org/officeDocument/2006/relationships" ref="G32" display="https://cherubsmedi.com" r:id="rId26"/>
    <hyperlink xmlns:r="http://schemas.openxmlformats.org/officeDocument/2006/relationships" ref="G33" display="https://mcle.co.kr" r:id="rId27"/>
    <hyperlink xmlns:r="http://schemas.openxmlformats.org/officeDocument/2006/relationships" ref="G34" display="https://dmmed.co.kr" r:id="rId28"/>
    <hyperlink xmlns:r="http://schemas.openxmlformats.org/officeDocument/2006/relationships" ref="G35" display="https://sj1004.co.kr" r:id="rId29"/>
    <hyperlink xmlns:r="http://schemas.openxmlformats.org/officeDocument/2006/relationships" ref="G36" display="https://segimedical.co.kr" r:id="rId30"/>
    <hyperlink xmlns:r="http://schemas.openxmlformats.org/officeDocument/2006/relationships" ref="G37" display="https://mvrkorea.co.kr" r:id="rId31"/>
    <hyperlink xmlns:r="http://schemas.openxmlformats.org/officeDocument/2006/relationships" ref="G38" display="https://sudohc.com" r:id="rId32"/>
    <hyperlink xmlns:r="http://schemas.openxmlformats.org/officeDocument/2006/relationships" ref="G39" display="https://welchallynkorea.kr" r:id="rId33"/>
    <hyperlink xmlns:r="http://schemas.openxmlformats.org/officeDocument/2006/relationships" ref="G40" display="https://daebomedical.co.kr" r:id="rId34"/>
    <hyperlink xmlns:r="http://schemas.openxmlformats.org/officeDocument/2006/relationships" ref="G41" display="https://dreamdoctors.co.kr" r:id="rId35"/>
    <hyperlink xmlns:r="http://schemas.openxmlformats.org/officeDocument/2006/relationships" ref="G42" display="https://hames.co.kr" r:id="rId36"/>
    <hyperlink xmlns:r="http://schemas.openxmlformats.org/officeDocument/2006/relationships" ref="G43" display="https://jw-medical.co.kr" r:id="rId37"/>
    <hyperlink xmlns:r="http://schemas.openxmlformats.org/officeDocument/2006/relationships" ref="G44" display="https://www.medigem.co.kr" r:id="rId38"/>
    <hyperlink xmlns:r="http://schemas.openxmlformats.org/officeDocument/2006/relationships" ref="G45" display="http://herges.co.kr" r:id="rId39"/>
    <hyperlink xmlns:r="http://schemas.openxmlformats.org/officeDocument/2006/relationships" ref="G46" display="https://www.drgemhealthcare.com" r:id="rId40"/>
    <hyperlink xmlns:r="http://schemas.openxmlformats.org/officeDocument/2006/relationships" ref="G47" display="https://www.synex.co.kr" r:id="rId41"/>
    <hyperlink xmlns:r="http://schemas.openxmlformats.org/officeDocument/2006/relationships" ref="G48" display="https://www.gcmediai.com" r:id="rId42"/>
    <hyperlink xmlns:r="http://schemas.openxmlformats.org/officeDocument/2006/relationships" ref="G49" display="https://technomartinc.com" r:id="rId43"/>
    <hyperlink xmlns:r="http://schemas.openxmlformats.org/officeDocument/2006/relationships" ref="G50" display="https://ko.howellmed.com" r:id="rId44"/>
    <hyperlink xmlns:r="http://schemas.openxmlformats.org/officeDocument/2006/relationships" ref="G51" display="https://www.emergobyul.com" r:id="rId45"/>
    <hyperlink xmlns:r="http://schemas.openxmlformats.org/officeDocument/2006/relationships" ref="G57" display="https://healthdyne.co.kr" r:id="rId46"/>
    <hyperlink xmlns:r="http://schemas.openxmlformats.org/officeDocument/2006/relationships" ref="G58" display="https://joinmedical.kr" r:id="rId47"/>
    <hyperlink xmlns:r="http://schemas.openxmlformats.org/officeDocument/2006/relationships" ref="G59" display="https://eujinmed.com" r:id="rId48"/>
    <hyperlink xmlns:r="http://schemas.openxmlformats.org/officeDocument/2006/relationships" ref="G60" display="https://hospi.co.kr" r:id="rId49"/>
    <hyperlink xmlns:r="http://schemas.openxmlformats.org/officeDocument/2006/relationships" ref="G61" display="https://koastron.com" r:id="rId50"/>
    <hyperlink xmlns:r="http://schemas.openxmlformats.org/officeDocument/2006/relationships" ref="G62" display="https://regen119.com" r:id="rId51"/>
    <hyperlink xmlns:r="http://schemas.openxmlformats.org/officeDocument/2006/relationships" ref="G63" display="https://menfiskorea.com" r:id="rId52"/>
    <hyperlink xmlns:r="http://schemas.openxmlformats.org/officeDocument/2006/relationships" ref="G64" display="https://daolphantom.com" r:id="rId53"/>
    <hyperlink xmlns:r="http://schemas.openxmlformats.org/officeDocument/2006/relationships" ref="G65" display="https://teskorea.kr" r:id="rId54"/>
    <hyperlink xmlns:r="http://schemas.openxmlformats.org/officeDocument/2006/relationships" ref="G66" display="https://mrso.co.kr" r:id="rId55"/>
    <hyperlink xmlns:r="http://schemas.openxmlformats.org/officeDocument/2006/relationships" ref="G67" display="https://wmedicalinc.com" r:id="rId56"/>
    <hyperlink xmlns:r="http://schemas.openxmlformats.org/officeDocument/2006/relationships" ref="G68" display="https://snrt.co.kr" r:id="rId57"/>
    <hyperlink xmlns:r="http://schemas.openxmlformats.org/officeDocument/2006/relationships" ref="G69" display="https://medicalsk.com" r:id="rId58"/>
    <hyperlink xmlns:r="http://schemas.openxmlformats.org/officeDocument/2006/relationships" ref="G70" display="https://tropiantech.com" r:id="rId59"/>
    <hyperlink xmlns:r="http://schemas.openxmlformats.org/officeDocument/2006/relationships" ref="G71" display="https://wmedix.com" r:id="rId60"/>
    <hyperlink xmlns:r="http://schemas.openxmlformats.org/officeDocument/2006/relationships" ref="G72" display="https://huwellex.com" r:id="rId61"/>
    <hyperlink xmlns:r="http://schemas.openxmlformats.org/officeDocument/2006/relationships" ref="G73" display="https://nextmedi.co.kr" r:id="rId62"/>
    <hyperlink xmlns:r="http://schemas.openxmlformats.org/officeDocument/2006/relationships" ref="G74" display="https://sejinmt.com" r:id="rId63"/>
    <hyperlink xmlns:r="http://schemas.openxmlformats.org/officeDocument/2006/relationships" ref="G75" display="https://jcure.co.kr" r:id="rId64"/>
    <hyperlink xmlns:r="http://schemas.openxmlformats.org/officeDocument/2006/relationships" ref="G76" display="https://medifine.com" r:id="rId65"/>
    <hyperlink xmlns:r="http://schemas.openxmlformats.org/officeDocument/2006/relationships" ref="G77" display="https://smile-care.co.kr" r:id="rId66"/>
    <hyperlink xmlns:r="http://schemas.openxmlformats.org/officeDocument/2006/relationships" ref="G78" display="https://dhsmedi.com" r:id="rId67"/>
    <hyperlink xmlns:r="http://schemas.openxmlformats.org/officeDocument/2006/relationships" ref="G79" display="https://endoclean-medipia.com" r:id="rId68"/>
    <hyperlink xmlns:r="http://schemas.openxmlformats.org/officeDocument/2006/relationships" ref="G80" display="https://hiltkorea.com" r:id="rId69"/>
    <hyperlink xmlns:r="http://schemas.openxmlformats.org/officeDocument/2006/relationships" ref="G81" display="https://hanju911.com" r:id="rId70"/>
    <hyperlink xmlns:r="http://schemas.openxmlformats.org/officeDocument/2006/relationships" ref="G82" display="https://dukin.com" r:id="rId71"/>
    <hyperlink xmlns:r="http://schemas.openxmlformats.org/officeDocument/2006/relationships" ref="G83" display="https://s-medics.co.kr" r:id="rId72"/>
    <hyperlink xmlns:r="http://schemas.openxmlformats.org/officeDocument/2006/relationships" ref="G84" display="https://hulink.kr" r:id="rId73"/>
    <hyperlink xmlns:r="http://schemas.openxmlformats.org/officeDocument/2006/relationships" ref="G85" display="https://songlimmedical.com" r:id="rId74"/>
    <hyperlink xmlns:r="http://schemas.openxmlformats.org/officeDocument/2006/relationships" ref="G86" display="https://mediplay.co.kr" r:id="rId75"/>
    <hyperlink xmlns:r="http://schemas.openxmlformats.org/officeDocument/2006/relationships" ref="G87" display="https://yeilcare.com" r:id="rId76"/>
    <hyperlink xmlns:r="http://schemas.openxmlformats.org/officeDocument/2006/relationships" ref="G88" display="https://junmedical.co.kr" r:id="rId77"/>
    <hyperlink xmlns:r="http://schemas.openxmlformats.org/officeDocument/2006/relationships" ref="G89" display="https://sjkorea.co.kr" r:id="rId78"/>
    <hyperlink xmlns:r="http://schemas.openxmlformats.org/officeDocument/2006/relationships" ref="G90" display="https://withuscare.com" r:id="rId79"/>
    <hyperlink xmlns:r="http://schemas.openxmlformats.org/officeDocument/2006/relationships" ref="G91" display="https://rnhealthcare.co.kr" r:id="rId80"/>
    <hyperlink xmlns:r="http://schemas.openxmlformats.org/officeDocument/2006/relationships" ref="G92" display="https://xray114.co.kr" r:id="rId81"/>
    <hyperlink xmlns:r="http://schemas.openxmlformats.org/officeDocument/2006/relationships" ref="G93" display="https://snjk.co.kr" r:id="rId82"/>
    <hyperlink xmlns:r="http://schemas.openxmlformats.org/officeDocument/2006/relationships" ref="G94" display="https://iraytec.com" r:id="rId83"/>
    <hyperlink xmlns:r="http://schemas.openxmlformats.org/officeDocument/2006/relationships" ref="G95" display="https://emkr.kr" r:id="rId84"/>
    <hyperlink xmlns:r="http://schemas.openxmlformats.org/officeDocument/2006/relationships" ref="G96" display="https://himed.co.kr" r:id="rId85"/>
    <hyperlink xmlns:r="http://schemas.openxmlformats.org/officeDocument/2006/relationships" ref="G97" display="https://enerf.kr" r:id="rId86"/>
    <hyperlink xmlns:r="http://schemas.openxmlformats.org/officeDocument/2006/relationships" ref="G98" display="https://medi1.co.kr" r:id="rId87"/>
    <hyperlink xmlns:r="http://schemas.openxmlformats.org/officeDocument/2006/relationships" ref="G99" display="https://dwmedi.kr" r:id="rId88"/>
    <hyperlink xmlns:r="http://schemas.openxmlformats.org/officeDocument/2006/relationships" ref="G100" display="https://mediangopen2.com" r:id="rId89"/>
    <hyperlink xmlns:r="http://schemas.openxmlformats.org/officeDocument/2006/relationships" ref="G101" display="https://medicalist.co.kr" r:id="rId90"/>
    <hyperlink xmlns:r="http://schemas.openxmlformats.org/officeDocument/2006/relationships" ref="G102" display="https://mediking.net" r:id="rId91"/>
    <hyperlink xmlns:r="http://schemas.openxmlformats.org/officeDocument/2006/relationships" ref="G103" display="https://smsupply.co.kr" r:id="rId92"/>
    <hyperlink xmlns:r="http://schemas.openxmlformats.org/officeDocument/2006/relationships" ref="G104" display="https://genopy.com" r:id="rId93"/>
    <hyperlink xmlns:r="http://schemas.openxmlformats.org/officeDocument/2006/relationships" ref="G105" display="https://mdpark.co.kr" r:id="rId94"/>
    <hyperlink xmlns:r="http://schemas.openxmlformats.org/officeDocument/2006/relationships" ref="G106" display="https://hyb-company.com" r:id="rId95"/>
    <hyperlink xmlns:r="http://schemas.openxmlformats.org/officeDocument/2006/relationships" ref="G107" display="https://mediinfra.co.kr" r:id="rId96"/>
    <hyperlink xmlns:r="http://schemas.openxmlformats.org/officeDocument/2006/relationships" ref="G108" display="https://gegreenhc.com" r:id="rId97"/>
    <hyperlink xmlns:r="http://schemas.openxmlformats.org/officeDocument/2006/relationships" ref="G109" display="https://carewins.co.kr" r:id="rId98"/>
    <hyperlink xmlns:r="http://schemas.openxmlformats.org/officeDocument/2006/relationships" ref="G110" display="https://xraytech.co.kr" r:id="rId99"/>
    <hyperlink xmlns:r="http://schemas.openxmlformats.org/officeDocument/2006/relationships" ref="G111" display="https://dshc.kr" r:id="rId100"/>
    <hyperlink xmlns:r="http://schemas.openxmlformats.org/officeDocument/2006/relationships" ref="G112" display="https://meoda.kr" r:id="rId101"/>
    <hyperlink xmlns:r="http://schemas.openxmlformats.org/officeDocument/2006/relationships" ref="G113" display="https://piark.net" r:id="rId102"/>
    <hyperlink xmlns:r="http://schemas.openxmlformats.org/officeDocument/2006/relationships" ref="G114" display="https://idenhealth.co.kr" r:id="rId103"/>
    <hyperlink xmlns:r="http://schemas.openxmlformats.org/officeDocument/2006/relationships" ref="G115" display="https://metamedi.net" r:id="rId104"/>
    <hyperlink xmlns:r="http://schemas.openxmlformats.org/officeDocument/2006/relationships" ref="G116" display="https://insunmed.com" r:id="rId105"/>
    <hyperlink xmlns:r="http://schemas.openxmlformats.org/officeDocument/2006/relationships" ref="G117" display="https://medistart.kr" r:id="rId106"/>
    <hyperlink xmlns:r="http://schemas.openxmlformats.org/officeDocument/2006/relationships" ref="G118" display="https://rualab.kr" r:id="rId107"/>
    <hyperlink xmlns:r="http://schemas.openxmlformats.org/officeDocument/2006/relationships" ref="G119" display="https://dmci.co.kr" r:id="rId108"/>
    <hyperlink xmlns:r="http://schemas.openxmlformats.org/officeDocument/2006/relationships" ref="G120" display="https://medipie.co.kr" r:id="rId109"/>
    <hyperlink xmlns:r="http://schemas.openxmlformats.org/officeDocument/2006/relationships" ref="G121" display="https://suwan-medical.com" r:id="rId110"/>
    <hyperlink xmlns:r="http://schemas.openxmlformats.org/officeDocument/2006/relationships" ref="G122" display="https://mediallfor.com" r:id="rId111"/>
    <hyperlink xmlns:r="http://schemas.openxmlformats.org/officeDocument/2006/relationships" ref="G123" display="https://ysmedical.co.kr" r:id="rId112"/>
    <hyperlink xmlns:r="http://schemas.openxmlformats.org/officeDocument/2006/relationships" ref="G124" display="https://lovmediteck.com" r:id="rId113"/>
    <hyperlink xmlns:r="http://schemas.openxmlformats.org/officeDocument/2006/relationships" ref="G125" display="https://irebiomedi.co.kr" r:id="rId114"/>
    <hyperlink xmlns:r="http://schemas.openxmlformats.org/officeDocument/2006/relationships" ref="G126" display="https://mdlounge.co.kr" r:id="rId115"/>
    <hyperlink xmlns:r="http://schemas.openxmlformats.org/officeDocument/2006/relationships" ref="G127" display="https://skmnmc.com" r:id="rId116"/>
    <hyperlink xmlns:r="http://schemas.openxmlformats.org/officeDocument/2006/relationships" ref="G128" display="https://fukuda.co.kr" r:id="rId117"/>
    <hyperlink xmlns:r="http://schemas.openxmlformats.org/officeDocument/2006/relationships" ref="G129" display="https://www.bumyangmedical.com" r:id="rId118"/>
    <hyperlink xmlns:r="http://schemas.openxmlformats.org/officeDocument/2006/relationships" ref="G130" display="https://daeyangmed.com" r:id="rId119"/>
    <hyperlink xmlns:r="http://schemas.openxmlformats.org/officeDocument/2006/relationships" ref="G131" display="https://dowbiomedica.co.kr" r:id="rId120"/>
    <hyperlink xmlns:r="http://schemas.openxmlformats.org/officeDocument/2006/relationships" ref="G132" display="https://dwmdt.com" r:id="rId121"/>
    <hyperlink xmlns:r="http://schemas.openxmlformats.org/officeDocument/2006/relationships" ref="G133" display="http://welcomeams.com (SEE WARNING)" r:id="rId122"/>
    <hyperlink xmlns:r="http://schemas.openxmlformats.org/officeDocument/2006/relationships" ref="G134" display="https://sewoonmedical.co.kr" r:id="rId123"/>
    <hyperlink xmlns:r="http://schemas.openxmlformats.org/officeDocument/2006/relationships" ref="G135" display="https://ljtrade.kr" r:id="rId124"/>
    <hyperlink xmlns:r="http://schemas.openxmlformats.org/officeDocument/2006/relationships" ref="G136" display="http://hyundaimedical.co.kr" r:id="rId125"/>
    <hyperlink xmlns:r="http://schemas.openxmlformats.org/officeDocument/2006/relationships" ref="G138" display="https://www.insunginfo.co.kr" r:id="rId126"/>
    <hyperlink xmlns:r="http://schemas.openxmlformats.org/officeDocument/2006/relationships" ref="G139" display="https://www.gcms.co.kr" r:id="rId127"/>
    <hyperlink xmlns:r="http://schemas.openxmlformats.org/officeDocument/2006/relationships" ref="G140" display="https://www.handok.co.kr" r:id="rId128"/>
    <hyperlink xmlns:r="http://schemas.openxmlformats.org/officeDocument/2006/relationships" ref="G144" display="https://sogoo.co.kr" r:id="rId129"/>
    <hyperlink xmlns:r="http://schemas.openxmlformats.org/officeDocument/2006/relationships" ref="G147" display="https://shinhung.co.kr" r:id="rId130"/>
    <hyperlink xmlns:r="http://schemas.openxmlformats.org/officeDocument/2006/relationships" ref="G149" display="https://gckorea.co.kr" r:id="rId131"/>
    <hyperlink xmlns:r="http://schemas.openxmlformats.org/officeDocument/2006/relationships" ref="G150" display="https://okmk1.com" r:id="rId132"/>
    <hyperlink xmlns:r="http://schemas.openxmlformats.org/officeDocument/2006/relationships" ref="G151" display="https://jinsan.biz" r:id="rId133"/>
    <hyperlink xmlns:r="http://schemas.openxmlformats.org/officeDocument/2006/relationships" ref="G152" display="https://surgitech.kr" r:id="rId134"/>
    <hyperlink xmlns:r="http://schemas.openxmlformats.org/officeDocument/2006/relationships" ref="G153" display="https://inot-meditech.com" r:id="rId135"/>
    <hyperlink xmlns:r="http://schemas.openxmlformats.org/officeDocument/2006/relationships" ref="G154" display="https://danaum.co.kr" r:id="rId136"/>
    <hyperlink xmlns:r="http://schemas.openxmlformats.org/officeDocument/2006/relationships" ref="G155" display="https://dbmedical.co.kr" r:id="rId137"/>
    <hyperlink xmlns:r="http://schemas.openxmlformats.org/officeDocument/2006/relationships" ref="G156" display="https://janitem.co.kr" r:id="rId138"/>
    <hyperlink xmlns:r="http://schemas.openxmlformats.org/officeDocument/2006/relationships" ref="G157" display="https://weverinstruments.com" r:id="rId139"/>
    <hyperlink xmlns:r="http://schemas.openxmlformats.org/officeDocument/2006/relationships" ref="G158" display="https://microlife.co.kr" r:id="rId140"/>
    <hyperlink xmlns:r="http://schemas.openxmlformats.org/officeDocument/2006/relationships" ref="G159" display="https://smtikorea.com" r:id="rId141"/>
    <hyperlink xmlns:r="http://schemas.openxmlformats.org/officeDocument/2006/relationships" ref="G160" display="https://snb.or.kr" r:id="rId142"/>
    <hyperlink xmlns:r="http://schemas.openxmlformats.org/officeDocument/2006/relationships" ref="G161" display="https://forcepsmall.com" r:id="rId143"/>
    <hyperlink xmlns:r="http://schemas.openxmlformats.org/officeDocument/2006/relationships" ref="G162" display="https://konepharma.co.kr" r:id="rId144"/>
    <hyperlink xmlns:r="http://schemas.openxmlformats.org/officeDocument/2006/relationships" ref="G163" display="https://nemectron.co.kr" r:id="rId145"/>
    <hyperlink xmlns:r="http://schemas.openxmlformats.org/officeDocument/2006/relationships" ref="G164" display="https://ebionet.com" r:id="rId146"/>
    <hyperlink xmlns:r="http://schemas.openxmlformats.org/officeDocument/2006/relationships" ref="G165" display="https://daeseuk.com" r:id="rId147"/>
    <hyperlink xmlns:r="http://schemas.openxmlformats.org/officeDocument/2006/relationships" ref="G166" display="https://dsmedics.co.kr" r:id="rId148"/>
    <hyperlink xmlns:r="http://schemas.openxmlformats.org/officeDocument/2006/relationships" ref="G167" display="https://i-handi.co.kr" r:id="rId149"/>
    <hyperlink xmlns:r="http://schemas.openxmlformats.org/officeDocument/2006/relationships" ref="G168" display="https://hlt.co.kr" r:id="rId150"/>
    <hyperlink xmlns:r="http://schemas.openxmlformats.org/officeDocument/2006/relationships" ref="G169" display="https://jiincnt.com" r:id="rId151"/>
    <hyperlink xmlns:r="http://schemas.openxmlformats.org/officeDocument/2006/relationships" ref="G170" display="https://juthis.com" r:id="rId152"/>
    <hyperlink xmlns:r="http://schemas.openxmlformats.org/officeDocument/2006/relationships" ref="G171" display="https://medilabkorea.co.kr" r:id="rId153"/>
    <hyperlink xmlns:r="http://schemas.openxmlformats.org/officeDocument/2006/relationships" ref="G172" display="https://mesdia.com" r:id="rId154"/>
    <hyperlink xmlns:r="http://schemas.openxmlformats.org/officeDocument/2006/relationships" ref="G173" display="https://seongkohn.co.kr" r:id="rId155"/>
    <hyperlink xmlns:r="http://schemas.openxmlformats.org/officeDocument/2006/relationships" ref="G174" display="https://upinemed.co.kr" r:id="rId156"/>
    <hyperlink xmlns:r="http://schemas.openxmlformats.org/officeDocument/2006/relationships" ref="G175" display="https://ymed.co.kr" r:id="rId157"/>
    <hyperlink xmlns:r="http://schemas.openxmlformats.org/officeDocument/2006/relationships" ref="G176" display="https://yushinmedical.com" r:id="rId158"/>
    <hyperlink xmlns:r="http://schemas.openxmlformats.org/officeDocument/2006/relationships" ref="G177" display="https://sang-chung.co.kr" r:id="rId159"/>
    <hyperlink xmlns:r="http://schemas.openxmlformats.org/officeDocument/2006/relationships" ref="G178" display="https://unimedics.co.kr" r:id="rId160"/>
    <hyperlink xmlns:r="http://schemas.openxmlformats.org/officeDocument/2006/relationships" ref="G179" display="https://medihelpline.co.kr" r:id="rId161"/>
    <hyperlink xmlns:r="http://schemas.openxmlformats.org/officeDocument/2006/relationships" ref="G180" display="https://megamedical.co.kr" r:id="rId162"/>
    <hyperlink xmlns:r="http://schemas.openxmlformats.org/officeDocument/2006/relationships" ref="G181" display="https://leaderskr.co.kr" r:id="rId163"/>
    <hyperlink xmlns:r="http://schemas.openxmlformats.org/officeDocument/2006/relationships" ref="G182" display="https://jungnp.com" r:id="rId164"/>
    <hyperlink xmlns:r="http://schemas.openxmlformats.org/officeDocument/2006/relationships" ref="G183" display="https://medifirst.co.kr" r:id="rId165"/>
    <hyperlink xmlns:r="http://schemas.openxmlformats.org/officeDocument/2006/relationships" ref="G184" display="https://medigoodpartners.com" r:id="rId166"/>
    <hyperlink xmlns:r="http://schemas.openxmlformats.org/officeDocument/2006/relationships" ref="G185" display="https://songrabiomed.co.kr" r:id="rId167"/>
    <hyperlink xmlns:r="http://schemas.openxmlformats.org/officeDocument/2006/relationships" ref="G186" display="https://danuricare.com" r:id="rId168"/>
    <hyperlink xmlns:r="http://schemas.openxmlformats.org/officeDocument/2006/relationships" ref="G187" display="https://bsmedicalshop.net" r:id="rId169"/>
    <hyperlink xmlns:r="http://schemas.openxmlformats.org/officeDocument/2006/relationships" ref="G188" display="https://onemedics.com" r:id="rId170"/>
    <hyperlink xmlns:r="http://schemas.openxmlformats.org/officeDocument/2006/relationships" ref="G189" display="https://medione.net" r:id="rId171"/>
    <hyperlink xmlns:r="http://schemas.openxmlformats.org/officeDocument/2006/relationships" ref="G190" display="https://meditechsolution.co.kr" r:id="rId172"/>
    <hyperlink xmlns:r="http://schemas.openxmlformats.org/officeDocument/2006/relationships" ref="G191" display="https://gmedikorea.com" r:id="rId173"/>
    <hyperlink xmlns:r="http://schemas.openxmlformats.org/officeDocument/2006/relationships" ref="G192" display="https://medihealth.kr" r:id="rId174"/>
    <hyperlink xmlns:r="http://schemas.openxmlformats.org/officeDocument/2006/relationships" ref="G193" display="https://mediscopekorea.com" r:id="rId175"/>
    <hyperlink xmlns:r="http://schemas.openxmlformats.org/officeDocument/2006/relationships" ref="G194" display="https://scopeconnection.co.kr" r:id="rId176"/>
    <hyperlink xmlns:r="http://schemas.openxmlformats.org/officeDocument/2006/relationships" ref="G195" display="https://yangjimedical.co.kr" r:id="rId177"/>
    <hyperlink xmlns:r="http://schemas.openxmlformats.org/officeDocument/2006/relationships" ref="G196" display="https://wjsurgical.co.kr" r:id="rId178"/>
    <hyperlink xmlns:r="http://schemas.openxmlformats.org/officeDocument/2006/relationships" ref="G197" display="https://hymnmc.kr" r:id="rId179"/>
    <hyperlink xmlns:r="http://schemas.openxmlformats.org/officeDocument/2006/relationships" ref="G198" display="https://hanilmedipia.co.kr" r:id="rId180"/>
    <hyperlink xmlns:r="http://schemas.openxmlformats.org/officeDocument/2006/relationships" ref="G199" display="https://jlmedicorekorea.co.kr" r:id="rId181"/>
    <hyperlink xmlns:r="http://schemas.openxmlformats.org/officeDocument/2006/relationships" ref="G200" display="https://woojinhealthcare.com" r:id="rId182"/>
    <hyperlink xmlns:r="http://schemas.openxmlformats.org/officeDocument/2006/relationships" ref="G201" display="https://ncmedicare.co.kr" r:id="rId183"/>
    <hyperlink xmlns:r="http://schemas.openxmlformats.org/officeDocument/2006/relationships" ref="G202" display="https://medicalmarket.co.kr" r:id="rId184"/>
    <hyperlink xmlns:r="http://schemas.openxmlformats.org/officeDocument/2006/relationships" ref="G203" display="https://taeyangmedical.com" r:id="rId185"/>
    <hyperlink xmlns:r="http://schemas.openxmlformats.org/officeDocument/2006/relationships" ref="G204" display="https://careskorea.com" r:id="rId186"/>
    <hyperlink xmlns:r="http://schemas.openxmlformats.org/officeDocument/2006/relationships" ref="G205" display="https://medions.co.kr" r:id="rId187"/>
    <hyperlink xmlns:r="http://schemas.openxmlformats.org/officeDocument/2006/relationships" ref="G206" display="https://winnermedi.com" r:id="rId188"/>
    <hyperlink xmlns:r="http://schemas.openxmlformats.org/officeDocument/2006/relationships" ref="G207" display="https://onsemedical.co.kr" r:id="rId189"/>
    <hyperlink xmlns:r="http://schemas.openxmlformats.org/officeDocument/2006/relationships" ref="G208" display="https://busanmedical.kr" r:id="rId190"/>
    <hyperlink xmlns:r="http://schemas.openxmlformats.org/officeDocument/2006/relationships" ref="G209" display="https://shinhwamedical.com" r:id="rId191"/>
    <hyperlink xmlns:r="http://schemas.openxmlformats.org/officeDocument/2006/relationships" ref="G210" display="https://1243.co.kr" r:id="rId192"/>
    <hyperlink xmlns:r="http://schemas.openxmlformats.org/officeDocument/2006/relationships" ref="G211" display="https://daehomedical.com" r:id="rId193"/>
    <hyperlink xmlns:r="http://schemas.openxmlformats.org/officeDocument/2006/relationships" ref="G212" display="https://megamed.kr" r:id="rId194"/>
    <hyperlink xmlns:r="http://schemas.openxmlformats.org/officeDocument/2006/relationships" ref="G213" display="https://onecaremedi.com" r:id="rId195"/>
    <hyperlink xmlns:r="http://schemas.openxmlformats.org/officeDocument/2006/relationships" ref="G214" display="https://wonjumedical.co.kr" r:id="rId196"/>
    <hyperlink xmlns:r="http://schemas.openxmlformats.org/officeDocument/2006/relationships" ref="G215" display="https://findmed.co.kr" r:id="rId197"/>
    <hyperlink xmlns:r="http://schemas.openxmlformats.org/officeDocument/2006/relationships" ref="G216" display="https://koacorp.kr" r:id="rId198"/>
    <hyperlink xmlns:r="http://schemas.openxmlformats.org/officeDocument/2006/relationships" ref="G217" display="https://jongnomedi.com" r:id="rId199"/>
    <hyperlink xmlns:r="http://schemas.openxmlformats.org/officeDocument/2006/relationships" ref="G218" display="https://yacson.com" r:id="rId200"/>
    <hyperlink xmlns:r="http://schemas.openxmlformats.org/officeDocument/2006/relationships" ref="G219" display="https://wymed.co.kr" r:id="rId201"/>
    <hyperlink xmlns:r="http://schemas.openxmlformats.org/officeDocument/2006/relationships" ref="G220" display="https://mymedical.co.kr" r:id="rId202"/>
    <hyperlink xmlns:r="http://schemas.openxmlformats.org/officeDocument/2006/relationships" ref="G221" display="https://samwonmedi.co.kr" r:id="rId203"/>
    <hyperlink xmlns:r="http://schemas.openxmlformats.org/officeDocument/2006/relationships" ref="G222" display="https://shmedical.co.kr" r:id="rId204"/>
    <hyperlink xmlns:r="http://schemas.openxmlformats.org/officeDocument/2006/relationships" ref="G223" display="https://basici.co.kr" r:id="rId205"/>
    <hyperlink xmlns:r="http://schemas.openxmlformats.org/officeDocument/2006/relationships" ref="G224" display="https://mpttech.co.kr" r:id="rId206"/>
    <hyperlink xmlns:r="http://schemas.openxmlformats.org/officeDocument/2006/relationships" ref="G225" display="https://saehanmedi.com" r:id="rId207"/>
    <hyperlink xmlns:r="http://schemas.openxmlformats.org/officeDocument/2006/relationships" ref="G226" display="https://raphamd.co.kr" r:id="rId208"/>
    <hyperlink xmlns:r="http://schemas.openxmlformats.org/officeDocument/2006/relationships" ref="G227" display="https://tomcarekorea.com" r:id="rId209"/>
    <hyperlink xmlns:r="http://schemas.openxmlformats.org/officeDocument/2006/relationships" ref="G228" display="https://ikeymed.com" r:id="rId210"/>
    <hyperlink xmlns:r="http://schemas.openxmlformats.org/officeDocument/2006/relationships" ref="G229" display="https://dongbohc.com" r:id="rId211"/>
    <hyperlink xmlns:r="http://schemas.openxmlformats.org/officeDocument/2006/relationships" ref="G230" display="https://stetho-scope.com" r:id="rId212"/>
    <hyperlink xmlns:r="http://schemas.openxmlformats.org/officeDocument/2006/relationships" ref="G231" display="https://medi-solution.co.kr" r:id="rId213"/>
    <hyperlink xmlns:r="http://schemas.openxmlformats.org/officeDocument/2006/relationships" ref="G232" display="https://medicalnine.com" r:id="rId214"/>
    <hyperlink xmlns:r="http://schemas.openxmlformats.org/officeDocument/2006/relationships" ref="G233" display="https://ezhealthcare.co.kr" r:id="rId215"/>
    <hyperlink xmlns:r="http://schemas.openxmlformats.org/officeDocument/2006/relationships" ref="G234" display="https://medichoice.co.kr" r:id="rId216"/>
    <hyperlink xmlns:r="http://schemas.openxmlformats.org/officeDocument/2006/relationships" ref="G235" display="https://visionfocus.co.kr" r:id="rId217"/>
    <hyperlink xmlns:r="http://schemas.openxmlformats.org/officeDocument/2006/relationships" ref="G236" display="https://nevis.co.kr" r:id="rId218"/>
    <hyperlink xmlns:r="http://schemas.openxmlformats.org/officeDocument/2006/relationships" ref="G237" display="https://yujininc.com" r:id="rId219"/>
    <hyperlink xmlns:r="http://schemas.openxmlformats.org/officeDocument/2006/relationships" ref="G238" display="https://nanomart.kr" r:id="rId220"/>
    <hyperlink xmlns:r="http://schemas.openxmlformats.org/officeDocument/2006/relationships" ref="G239" display="https://ezonmed.com" r:id="rId221"/>
    <hyperlink xmlns:r="http://schemas.openxmlformats.org/officeDocument/2006/relationships" ref="G240" display="https://royalline.co.kr" r:id="rId222"/>
    <hyperlink xmlns:r="http://schemas.openxmlformats.org/officeDocument/2006/relationships" ref="G241" display="https://qmedicare.co.kr" r:id="rId223"/>
    <hyperlink xmlns:r="http://schemas.openxmlformats.org/officeDocument/2006/relationships" ref="G242" display="https://nda25.co.kr" r:id="rId224"/>
    <hyperlink xmlns:r="http://schemas.openxmlformats.org/officeDocument/2006/relationships" ref="G243" display="https://sy-medical.com" r:id="rId225"/>
    <hyperlink xmlns:r="http://schemas.openxmlformats.org/officeDocument/2006/relationships" ref="G244" display="https://apsun.com" r:id="rId226"/>
    <hyperlink xmlns:r="http://schemas.openxmlformats.org/officeDocument/2006/relationships" ref="G245" display="https://feel-korea.com" r:id="rId227"/>
    <hyperlink xmlns:r="http://schemas.openxmlformats.org/officeDocument/2006/relationships" ref="G246" display="https://camedics.co.kr" r:id="rId228"/>
    <hyperlink xmlns:r="http://schemas.openxmlformats.org/officeDocument/2006/relationships" ref="G247" display="https://dasolin.com" r:id="rId229"/>
    <hyperlink xmlns:r="http://schemas.openxmlformats.org/officeDocument/2006/relationships" ref="G248" display="https://care-tech.co.kr" r:id="rId230"/>
    <hyperlink xmlns:r="http://schemas.openxmlformats.org/officeDocument/2006/relationships" ref="G249" display="https://radisentech.com" r:id="rId231"/>
    <hyperlink xmlns:r="http://schemas.openxmlformats.org/officeDocument/2006/relationships" ref="G250" display="https://bontech.co" r:id="rId232"/>
    <hyperlink xmlns:r="http://schemas.openxmlformats.org/officeDocument/2006/relationships" ref="G251" display="https://pixxgen.com" r:id="rId233"/>
    <hyperlink xmlns:r="http://schemas.openxmlformats.org/officeDocument/2006/relationships" ref="G252" display="https://gemss.co.kr" r:id="rId234"/>
    <hyperlink xmlns:r="http://schemas.openxmlformats.org/officeDocument/2006/relationships" ref="G253" display="https://ecoray.kr" r:id="rId235"/>
    <hyperlink xmlns:r="http://schemas.openxmlformats.org/officeDocument/2006/relationships" ref="G254" display="https://bemems.com" r:id="rId236"/>
    <hyperlink xmlns:r="http://schemas.openxmlformats.org/officeDocument/2006/relationships" ref="G255" display="https://jb21.co.kr" r:id="rId237"/>
    <hyperlink xmlns:r="http://schemas.openxmlformats.org/officeDocument/2006/relationships" ref="G256" display="https://yuwonmeditech.com" r:id="rId238"/>
    <hyperlink xmlns:r="http://schemas.openxmlformats.org/officeDocument/2006/relationships" ref="G257" display="https://sm-eng.net" r:id="rId239"/>
    <hyperlink xmlns:r="http://schemas.openxmlformats.org/officeDocument/2006/relationships" ref="G258" display="https://skmeditech.com" r:id="rId240"/>
    <hyperlink xmlns:r="http://schemas.openxmlformats.org/officeDocument/2006/relationships" ref="G259" display="https://imeditech.co.kr" r:id="rId241"/>
    <hyperlink xmlns:r="http://schemas.openxmlformats.org/officeDocument/2006/relationships" ref="G260" display="https://haniltm.kr" r:id="rId242"/>
    <hyperlink xmlns:r="http://schemas.openxmlformats.org/officeDocument/2006/relationships" ref="G261" display="https://marpe2000.com" r:id="rId243"/>
    <hyperlink xmlns:r="http://schemas.openxmlformats.org/officeDocument/2006/relationships" ref="G262" display="https://bojongmc.co.kr" r:id="rId244"/>
    <hyperlink xmlns:r="http://schemas.openxmlformats.org/officeDocument/2006/relationships" ref="G263" display="https://hanmed.net" r:id="rId245"/>
    <hyperlink xmlns:r="http://schemas.openxmlformats.org/officeDocument/2006/relationships" ref="G264" display="https://yunbiotech.com" r:id="rId246"/>
    <hyperlink xmlns:r="http://schemas.openxmlformats.org/officeDocument/2006/relationships" ref="G265" display="https://a-mi.co.kr" r:id="rId247"/>
    <hyperlink xmlns:r="http://schemas.openxmlformats.org/officeDocument/2006/relationships" ref="G266" display="https://manntelcom.cafe24.com" r:id="rId248"/>
    <hyperlink xmlns:r="http://schemas.openxmlformats.org/officeDocument/2006/relationships" ref="G267" display="https://technogymkr.com" r:id="rId249"/>
    <hyperlink xmlns:r="http://schemas.openxmlformats.org/officeDocument/2006/relationships" ref="G268" display="https://ghit.co.kr" r:id="rId250"/>
    <hyperlink xmlns:r="http://schemas.openxmlformats.org/officeDocument/2006/relationships" ref="G269" display="https://renosem.com" r:id="rId251"/>
    <hyperlink xmlns:r="http://schemas.openxmlformats.org/officeDocument/2006/relationships" ref="G270" display="https://eroommeditec.com" r:id="rId252"/>
    <hyperlink xmlns:r="http://schemas.openxmlformats.org/officeDocument/2006/relationships" ref="G271" display="https://nsj21.com" r:id="rId253"/>
    <hyperlink xmlns:r="http://schemas.openxmlformats.org/officeDocument/2006/relationships" ref="G272" display="https://bistos.co.kr" r:id="rId254"/>
    <hyperlink xmlns:r="http://schemas.openxmlformats.org/officeDocument/2006/relationships" ref="G273" display="https://seerstech.com" r:id="rId255"/>
    <hyperlink xmlns:r="http://schemas.openxmlformats.org/officeDocument/2006/relationships" ref="G274" display="https://keepu.pe.kr" r:id="rId256"/>
    <hyperlink xmlns:r="http://schemas.openxmlformats.org/officeDocument/2006/relationships" ref="G275" display="https://realpt.co.kr" r:id="rId257"/>
    <hyperlink xmlns:r="http://schemas.openxmlformats.org/officeDocument/2006/relationships" ref="G276" display="https://skyve.co.kr" r:id="rId258"/>
    <hyperlink xmlns:r="http://schemas.openxmlformats.org/officeDocument/2006/relationships" ref="G277" display="https://ggmed.com" r:id="rId259"/>
    <hyperlink xmlns:r="http://schemas.openxmlformats.org/officeDocument/2006/relationships" ref="G278" display="https://caspisystem.com" r:id="rId260"/>
    <hyperlink xmlns:r="http://schemas.openxmlformats.org/officeDocument/2006/relationships" ref="G279" display="https://medisby.com" r:id="rId261"/>
    <hyperlink xmlns:r="http://schemas.openxmlformats.org/officeDocument/2006/relationships" ref="G280" display="https://schein.co.kr" r:id="rId262"/>
    <hyperlink xmlns:r="http://schemas.openxmlformats.org/officeDocument/2006/relationships" ref="G281" display="https://tivomed.co.kr" r:id="rId263"/>
    <hyperlink xmlns:r="http://schemas.openxmlformats.org/officeDocument/2006/relationships" ref="G282" display="https://mione.co.kr" r:id="rId264"/>
    <hyperlink xmlns:r="http://schemas.openxmlformats.org/officeDocument/2006/relationships" ref="G283" display="https://medishop.or.kr" r:id="rId265"/>
    <hyperlink xmlns:r="http://schemas.openxmlformats.org/officeDocument/2006/relationships" ref="G284" display="http://kmdda.or.kr" r:id="rId266"/>
    <hyperlink xmlns:r="http://schemas.openxmlformats.org/officeDocument/2006/relationships" ref="G285" display="https://emedi.mfds.go.kr" r:id="rId267"/>
    <hyperlink xmlns:r="http://schemas.openxmlformats.org/officeDocument/2006/relationships" ref="G286" display="https://www.kimes.kr" r:id="rId268"/>
    <hyperlink xmlns:r="http://schemas.openxmlformats.org/officeDocument/2006/relationships" ref="G287" display="https://www.kmdia.or.kr" r:id="rId269"/>
    <hyperlink xmlns:r="http://schemas.openxmlformats.org/officeDocument/2006/relationships" ref="G288" display="https://www.hira.or.kr" r:id="rId270"/>
    <hyperlink xmlns:r="http://schemas.openxmlformats.org/officeDocument/2006/relationships" ref="G289" display="https://www.khidi.or.kr" r:id="rId271"/>
    <hyperlink xmlns:r="http://schemas.openxmlformats.org/officeDocument/2006/relationships" ref="G291" display="https://www.samsungmedison.com" r:id="rId272"/>
    <hyperlink xmlns:r="http://schemas.openxmlformats.org/officeDocument/2006/relationships" ref="G292" display="https://www.alpinion.com" r:id="rId273"/>
    <hyperlink xmlns:r="http://schemas.openxmlformats.org/officeDocument/2006/relationships" ref="G293" display="https://www.sg-healthcare.com" r:id="rId274"/>
    <hyperlink xmlns:r="http://schemas.openxmlformats.org/officeDocument/2006/relationships" ref="G294" display="https://www.healcerion.com" r:id="rId275"/>
    <hyperlink xmlns:r="http://schemas.openxmlformats.org/officeDocument/2006/relationships" ref="G295" display="https://www.mindray.com" r:id="rId276"/>
    <hyperlink xmlns:r="http://schemas.openxmlformats.org/officeDocument/2006/relationships" ref="G297" display="https://www.olympus-korea.co.kr" r:id="rId277"/>
    <hyperlink xmlns:r="http://schemas.openxmlformats.org/officeDocument/2006/relationships" ref="G298" display="https://www.nihonkohden.co.kr" r:id="rId278"/>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7030A0"/>
    <outlinePr summaryBelow="1" summaryRight="1"/>
    <pageSetUpPr fitToPage="0"/>
  </sheetPr>
  <dimension ref="A1:S72"/>
  <sheetViews>
    <sheetView showFormulas="0" showGridLines="1"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6796875" defaultRowHeight="14.25" zeroHeight="0" outlineLevelRow="0"/>
  <cols>
    <col width="4" customWidth="1" style="103" min="1" max="1"/>
    <col width="26" customWidth="1" style="103" min="2" max="2"/>
    <col width="16" customWidth="1" style="103" min="3" max="3"/>
    <col width="30" customWidth="1" style="103" min="4" max="4"/>
    <col width="18" customWidth="1" style="103" min="5" max="6"/>
    <col width="20" customWidth="1" style="103" min="7" max="7"/>
    <col width="22" customWidth="1" style="103" min="8" max="8"/>
    <col width="32" customWidth="1" style="103" min="9" max="9"/>
    <col width="30" customWidth="1" style="103" min="10" max="10"/>
    <col width="7" customWidth="1" style="103" min="11" max="11"/>
    <col width="44" customWidth="1" style="103" min="12" max="12"/>
    <col width="18" customWidth="1" style="103" min="13" max="13"/>
    <col width="52" customWidth="1" style="103" min="14" max="14"/>
    <col width="100" customWidth="1" style="103" min="15" max="15"/>
    <col width="30" customWidth="1" style="104" min="16" max="16"/>
    <col width="36" customWidth="1" style="104" min="17" max="17"/>
    <col width="40" customWidth="1" style="104" min="18" max="18"/>
    <col width="34" customWidth="1" style="104" min="19" max="19"/>
  </cols>
  <sheetData>
    <row r="1" ht="18" customHeight="1" s="104">
      <c r="A1" s="117" t="inlineStr">
        <is>
          <t>Japan — Dealer &amp; Channel Targets (68)</t>
        </is>
      </c>
    </row>
    <row r="2" ht="14.25" customHeight="1" s="104">
      <c r="A2" s="118" t="inlineStr">
        <is>
          <t>Dealer model — PMDA + MAH required. Strategy: national anchors (Ship/Medius/Century) + regional JAHID powerhouses per block (Hokkaido→Kyushu). Directory rows are real JAHID members; qualify line cards. TIER RULE (v2's own): Tier 1 needs the right segment, scale/service capability, no obvious competing ultrasound line (or a vet-dedicated channel), AND a working domain. Every tier is justified in the 'Priority rationale' column — see the Priority Audit tab. Emails added 10 Oct 2026: each company website was opened and crawled for a published address, and every website was checked against the Japanese company name; see Email source and Email confidence.</t>
        </is>
      </c>
    </row>
    <row r="4" ht="25.5" customHeight="1" s="104">
      <c r="A4" s="119" t="inlineStr">
        <is>
          <t>#</t>
        </is>
      </c>
      <c r="B4" s="119" t="inlineStr">
        <is>
          <t>Company</t>
        </is>
      </c>
      <c r="C4" s="119" t="inlineStr">
        <is>
          <t>Pipeline stage</t>
        </is>
      </c>
      <c r="D4" s="119" t="inlineStr">
        <is>
          <t>Segment &amp; expertise</t>
        </is>
      </c>
      <c r="E4" s="119" t="inlineStr">
        <is>
          <t>Carries ultrasound?</t>
        </is>
      </c>
      <c r="F4" s="119" t="inlineStr">
        <is>
          <t>Location</t>
        </is>
      </c>
      <c r="G4" s="119" t="inlineStr">
        <is>
          <t>Website</t>
        </is>
      </c>
      <c r="H4" s="119" t="inlineStr">
        <is>
          <t>Phone / contact</t>
        </is>
      </c>
      <c r="I4" s="119" t="inlineStr">
        <is>
          <t>Fit notes for CHISON</t>
        </is>
      </c>
      <c r="J4" s="119" t="inlineStr">
        <is>
          <t>CHISON product focus</t>
        </is>
      </c>
      <c r="K4" s="119" t="inlineStr">
        <is>
          <t>Tier</t>
        </is>
      </c>
      <c r="L4" s="119" t="inlineStr">
        <is>
          <t>Priority rationale</t>
        </is>
      </c>
      <c r="M4" s="119" t="inlineStr">
        <is>
          <t>Source</t>
        </is>
      </c>
      <c r="N4" s="141" t="inlineStr">
        <is>
          <t>Email Title</t>
        </is>
      </c>
      <c r="O4" s="141" t="inlineStr">
        <is>
          <t>Email Body</t>
        </is>
      </c>
      <c r="P4" s="141" t="inlineStr">
        <is>
          <t>Email</t>
        </is>
      </c>
      <c r="Q4" s="141" t="inlineStr">
        <is>
          <t>Other emails found</t>
        </is>
      </c>
      <c r="R4" s="141" t="inlineStr">
        <is>
          <t>Email source</t>
        </is>
      </c>
      <c r="S4" s="141" t="inlineStr">
        <is>
          <t>Email confidence</t>
        </is>
      </c>
    </row>
    <row r="5" ht="39.75" customHeight="1" s="104">
      <c r="A5" s="121" t="n">
        <v>1</v>
      </c>
      <c r="B5" s="122" t="inlineStr">
        <is>
          <t>Century Medical センチュリーメディカル</t>
        </is>
      </c>
      <c r="C5" s="123" t="inlineStr">
        <is>
          <t>Not started</t>
        </is>
      </c>
      <c r="D5" s="121" t="inlineStr">
        <is>
          <t>Veteran importer of foreign medical devices (cardio, imaging, OR)</t>
        </is>
      </c>
      <c r="E5" s="121" t="inlineStr">
        <is>
          <t>Portfolio varies</t>
        </is>
      </c>
      <c r="F5" s="121" t="inlineStr">
        <is>
          <t>Tokyo</t>
        </is>
      </c>
      <c r="G5" s="121" t="inlineStr">
        <is>
          <t>cmi.co.jp</t>
        </is>
      </c>
      <c r="H5" s="121" t="inlineStr">
        <is>
          <t>via website</t>
        </is>
      </c>
      <c r="I5" s="121" t="inlineStr">
        <is>
          <t>THE classic foreign-brand entry partner; no own US brand — prime target</t>
        </is>
      </c>
      <c r="J5" s="121" t="inlineStr">
        <is>
          <t>Full-line import: SonoEye + SonoBook 9 + SonoMax 7 (their foreign-brand playbook)</t>
        </is>
      </c>
      <c r="K5" s="144" t="inlineStr">
        <is>
          <t>1</t>
        </is>
      </c>
      <c r="L5" s="121" t="inlineStr">
        <is>
          <t>Tier 1 — line card unqualified — ask first · verified domain.</t>
        </is>
      </c>
      <c r="M5" s="121" t="inlineStr">
        <is>
          <t>Knowledge — verify</t>
        </is>
      </c>
      <c r="N5" s="145" t="inlineStr">
        <is>
          <t>A full ultrasound ladder for Century Medical センチュリーメディカル: CHISON distribution in Japan</t>
        </is>
      </c>
      <c r="O5" s="108" t="inlineStr">
        <is>
          <t>Dear Century Medical センチュリーメディカル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Yours is the model foreign manufacturers turn to when they want a market entered properly rather than cheaply: Veteran importer of foreign medical devices (cardio, imaging, OR). That is exactly what we are looking for here.
Where CHISON fits your portfolio: this is a full ladder rather than a single product, which suits a house that carries whole categories:
• SonoEye: pocket handheld for bedside point-of-care scanning
• SonoBook 9: the workhorse laptop and our volume seller across Asia
• SonoMax 7: the flagship cart, carrying a full radiology, obstetric and cardiac workload
One principal agreement then covers the tender, the departmental purchase and the clinic purchase, giving you a complete handheld to cart ladder under one supplier agreement.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5" s="108" t="inlineStr">
        <is>
          <t>md_marketing_team@cmi.co.jp</t>
        </is>
      </c>
      <c r="Q5" s="108" t="inlineStr"/>
      <c r="R5" s="108" t="inlineStr">
        <is>
          <t>https://masui-dokkyo.com/27jsnacc/e-exhibition/cmi/</t>
        </is>
      </c>
      <c r="S5" s="108" t="inlineStr">
        <is>
          <t>Likely: indexed on company domain</t>
        </is>
      </c>
    </row>
    <row r="6" ht="39.75" customHeight="1" s="104">
      <c r="A6" s="121" t="n">
        <v>2</v>
      </c>
      <c r="B6" s="122" t="inlineStr">
        <is>
          <t>Gadelius Medical ガデリウス</t>
        </is>
      </c>
      <c r="C6" s="123" t="inlineStr">
        <is>
          <t>Not started</t>
        </is>
      </c>
      <c r="D6" s="121" t="inlineStr">
        <is>
          <t>Importer of premium foreign devices — cardiology, radiology, surgical</t>
        </is>
      </c>
      <c r="E6" s="121" t="inlineStr">
        <is>
          <t>No known US line</t>
        </is>
      </c>
      <c r="F6" s="121" t="inlineStr">
        <is>
          <t>Tokyo</t>
        </is>
      </c>
      <c r="G6" s="121" t="inlineStr">
        <is>
          <t>gadelius-medical.com</t>
        </is>
      </c>
      <c r="H6" s="121" t="inlineStr">
        <is>
          <t>via website</t>
        </is>
      </c>
      <c r="I6" s="121" t="inlineStr">
        <is>
          <t>Foreign-brand importer DNA; adjacent segments — no US conflict</t>
        </is>
      </c>
      <c r="J6" s="121" t="inlineStr">
        <is>
          <t>Premium positioning: SonoMax 7 + SonoAir 70 (fits their high-end import portfolio)</t>
        </is>
      </c>
      <c r="K6" s="144" t="inlineStr">
        <is>
          <t>1</t>
        </is>
      </c>
      <c r="L6" s="121" t="inlineStr">
        <is>
          <t>Tier 1 — no competing ultrasound line · verified domain.</t>
        </is>
      </c>
      <c r="M6" s="121" t="inlineStr">
        <is>
          <t>From search</t>
        </is>
      </c>
      <c r="N6" s="145" t="inlineStr">
        <is>
          <t>Adding an ultrasound line to Gadelius Medical ガデリウス: CHISON SonoMax 7 and SonoAir 70</t>
        </is>
      </c>
      <c r="O6" s="108" t="inlineStr">
        <is>
          <t>Dear Gadelius Medical ガデリウス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What you already have is the part we cannot build for ourselves: Importer of premium foreign devices, cardiology, radiology, surgical.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SonoMax 7: the flagship cart, carrying a full radiology, obstetric and cardiac workload
• SonoAir 70: the lightest laptop scanner in its class
That is a portable and a cart option from the same brand, and it adds an imaging modality to your line card without touching a single brand you currently represent.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6" s="108" t="inlineStr">
        <is>
          <t>gpr@gadelius.com</t>
        </is>
      </c>
      <c r="Q6" s="108" t="inlineStr"/>
      <c r="R6" s="108" t="inlineStr">
        <is>
          <t>https://guidelinegeo.com/partners/gadelius-k-k/</t>
        </is>
      </c>
      <c r="S6" s="108" t="inlineStr">
        <is>
          <t>Likely: indexed on company domain; IR or PR inbox, ask to forward to sales</t>
        </is>
      </c>
    </row>
    <row r="7" ht="39.75" customHeight="1" s="104">
      <c r="A7" s="121" t="n">
        <v>3</v>
      </c>
      <c r="B7" s="122" t="inlineStr">
        <is>
          <t>Marubun 丸文</t>
        </is>
      </c>
      <c r="C7" s="123" t="inlineStr">
        <is>
          <t>Not started</t>
        </is>
      </c>
      <c r="D7" s="121" t="inlineStr">
        <is>
          <t>Tokyo-Prime trading co; distributes Clarius wireless US</t>
        </is>
      </c>
      <c r="E7" s="121" t="inlineStr">
        <is>
          <t>Yes — Clarius</t>
        </is>
      </c>
      <c r="F7" s="121" t="inlineStr">
        <is>
          <t>Tokyo</t>
        </is>
      </c>
      <c r="G7" s="121" t="inlineStr">
        <is>
          <t>marubun.co.jp</t>
        </is>
      </c>
      <c r="H7" s="121" t="inlineStr">
        <is>
          <t>Karl Kawabe, Dir. Medical (lead to confirm)</t>
        </is>
      </c>
      <c r="I7" s="121" t="inlineStr">
        <is>
          <t>Proven POCUS go-to-market; direct conflict — approach only re: cart-based line</t>
        </is>
      </c>
      <c r="J7" s="121" t="inlineStr">
        <is>
          <t>Cart/console line only (SonoMax 7, SonoPort) — avoid clash with their Clarius handhelds</t>
        </is>
      </c>
      <c r="K7" s="147" t="inlineStr">
        <is>
          <t>2</t>
        </is>
      </c>
      <c r="L7" s="121" t="inlineStr">
        <is>
          <t>Tier 2 — carries a line (Yes — Clarius) — conflict to qualify · verified domain + direct phone.</t>
        </is>
      </c>
      <c r="M7" s="121" t="inlineStr">
        <is>
          <t>From search</t>
        </is>
      </c>
      <c r="N7" s="145" t="inlineStr">
        <is>
          <t>A value tier beneath your Clarius line: CHISON SonoMax 7 and SonoPort</t>
        </is>
      </c>
      <c r="O7" s="108" t="inlineStr">
        <is>
          <t>Dear Marubun 丸文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position in this category is already established: Tokyo-Prime trading co, distributes Clarius wireless ultrasound. You will therefore assess a new line faster than most, and on the criteria that actually matter: image quality, probe life and service turnaround.
Where CHISON fits your portfolio: CHISON is not positioned against Clarius. It sits beneath it. The accounts you lose on price today are the accounts this line was built for:
• SonoMax 7: the flagship cart, carrying a full radiology, obstetric and cardiac workload
• SonoPort: our new-generation intelligent cart, launched April 2026
That gives you a focused cart offer, so you can hold Clarius at the top of your card and still quote competitively at the lower end of the market.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 s="108" t="inlineStr">
        <is>
          <t>takayuki_ueno@marubun.co.jp</t>
        </is>
      </c>
      <c r="Q7" s="108" t="inlineStr">
        <is>
          <t>kaiseki@marubun.co.jp</t>
        </is>
      </c>
      <c r="R7" s="108" t="inlineStr">
        <is>
          <t>https://www.juse.or.jp/upload/files/47tenji_marubun.pdf</t>
        </is>
      </c>
      <c r="S7" s="108" t="inlineStr">
        <is>
          <t>Likely: indexed on company domain</t>
        </is>
      </c>
    </row>
    <row r="8" ht="39.75" customHeight="1" s="104">
      <c r="A8" s="121" t="n">
        <v>4</v>
      </c>
      <c r="B8" s="122" t="inlineStr">
        <is>
          <t>Muranaka Medical ムラナカ</t>
        </is>
      </c>
      <c r="C8" s="123" t="inlineStr">
        <is>
          <t>Not started</t>
        </is>
      </c>
      <c r="D8" s="121" t="inlineStr">
        <is>
          <t>Surgical instruments, diagnostics, hospital supplies distributor</t>
        </is>
      </c>
      <c r="E8" s="121" t="inlineStr">
        <is>
          <t>Unknown</t>
        </is>
      </c>
      <c r="F8" s="121" t="inlineStr">
        <is>
          <t>Osaka/Tokyo</t>
        </is>
      </c>
      <c r="G8" s="121" t="inlineStr">
        <is>
          <t>muranaka.co.jp</t>
        </is>
      </c>
      <c r="H8" s="121" t="inlineStr">
        <is>
          <t>via website</t>
        </is>
      </c>
      <c r="I8" s="121" t="inlineStr">
        <is>
          <t>National dealer w/ OR strength</t>
        </is>
      </c>
      <c r="J8" s="121" t="inlineStr">
        <is>
          <t>SonoTouch + SonoEye P3 (peri-op, nerve block, vascular access); SonoBook 9 OR cart</t>
        </is>
      </c>
      <c r="K8" s="144" t="inlineStr">
        <is>
          <t>1</t>
        </is>
      </c>
      <c r="L8" s="121" t="inlineStr">
        <is>
          <t>Tier 1 — line card unqualified — ask first · verified domain.</t>
        </is>
      </c>
      <c r="M8" s="121" t="inlineStr">
        <is>
          <t>From search</t>
        </is>
      </c>
      <c r="N8" s="145" t="inlineStr">
        <is>
          <t>CHISON ultrasound for Muranaka Medical ムラナカ: a line-card addition, with PMDA handled by us</t>
        </is>
      </c>
      <c r="O8" s="108" t="inlineStr">
        <is>
          <t>Dear Muranaka Medical ムラナカ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Surgical instruments, diagnostics, hospital supplies distributor, with coverage across Osaka/Tokyo. That is a channel already calling on the departments that buy ultrasound.
Where CHISON fits your portfolio: your channel already reaches the departments that buy ultrasound, so this is a line-card addition rather than a new market. I would suggest starting here:
• SonoTouch: all-touch point-of-care console
• SonoEye P3: pocket handheld for emergency, intensive care and bedside point-of-care scanning
• SonoBook 9: the workhorse laptop and our volume seller across Asia
That is two portable formats at two very different budgets,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8" s="108" t="inlineStr">
        <is>
          <t>muranaka_hpnew@muranaka.co.jp</t>
        </is>
      </c>
      <c r="Q8" s="108" t="inlineStr">
        <is>
          <t>aya_anaka@muranaka.co.jp</t>
        </is>
      </c>
      <c r="R8" s="108" t="inlineStr">
        <is>
          <t>https://www.swann-morton.com/distributors/Far-East--Asia/Japan/Muranaka-Medical-Instruments-CoLtd</t>
        </is>
      </c>
      <c r="S8" s="108" t="inlineStr">
        <is>
          <t>Likely: indexed on company domain</t>
        </is>
      </c>
    </row>
    <row r="9" ht="39.75" customHeight="1" s="104">
      <c r="A9" s="121" t="n">
        <v>5</v>
      </c>
      <c r="B9" s="122" t="inlineStr">
        <is>
          <t>Japan Lifeline 日本ライフライン</t>
        </is>
      </c>
      <c r="C9" s="123" t="inlineStr">
        <is>
          <t>Not started</t>
        </is>
      </c>
      <c r="D9" s="121" t="inlineStr">
        <is>
          <t>Cardio-focused importer/maker, 40+ yrs</t>
        </is>
      </c>
      <c r="E9" s="121" t="inlineStr">
        <is>
          <t>No known US line</t>
        </is>
      </c>
      <c r="F9" s="121" t="inlineStr">
        <is>
          <t>Tokyo</t>
        </is>
      </c>
      <c r="G9" s="121" t="inlineStr">
        <is>
          <t>japanlifeline.com</t>
        </is>
      </c>
      <c r="H9" s="121" t="inlineStr">
        <is>
          <t>via website</t>
        </is>
      </c>
      <c r="I9" s="121" t="inlineStr">
        <is>
          <t>Cardiology channel for echo positioning</t>
        </is>
      </c>
      <c r="J9" s="121" t="inlineStr">
        <is>
          <t>CBit 6 + SonoMax 7 cardiac config; SonoEye P5 phased-array pocket echo</t>
        </is>
      </c>
      <c r="K9" s="147" t="inlineStr">
        <is>
          <t>2</t>
        </is>
      </c>
      <c r="L9" s="121" t="inlineStr">
        <is>
          <t>Tier 2 — no competing ultrasound line · verified domain.</t>
        </is>
      </c>
      <c r="M9" s="121" t="inlineStr">
        <is>
          <t>From search</t>
        </is>
      </c>
      <c r="N9" s="145" t="inlineStr">
        <is>
          <t>Adding an ultrasound line to Japan Lifeline 日本ライフライン: CHISON CBit 6 and SonoMax 7</t>
        </is>
      </c>
      <c r="O9" s="108" t="inlineStr">
        <is>
          <t>Dear Japan Lifeline 日本ライフライン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What you already have is the part we cannot build for ourselves: Cardio-focused importer/maker, 40 and yrs.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CBit 6: mid-range cart built for cardiology, women's health and general radiology
• SonoMax 7: the flagship cart, carrying a full radiology, obstetric and cardiac workload
• SonoEye P5: phone and tablet connected high-frequency handheld for musculoskeletal work, vascular access and small parts
That is both ends of the range, from bedside handheld to hospital cart, and it adds an imaging modality to your line card without touching a single brand you currently represent.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9" s="108" t="inlineStr">
        <is>
          <t>Not published; use contact form</t>
        </is>
      </c>
      <c r="Q9" s="108" t="inlineStr"/>
      <c r="R9" s="108" t="inlineStr">
        <is>
          <t>https://www.japanlifeline.com/contact/form_contact/</t>
        </is>
      </c>
      <c r="S9" s="108" t="inlineStr">
        <is>
          <t>No email published; use the contact form (link in Email source)</t>
        </is>
      </c>
    </row>
    <row r="10" ht="39.75" customHeight="1" s="104">
      <c r="A10" s="121" t="n">
        <v>6</v>
      </c>
      <c r="B10" s="122" t="inlineStr">
        <is>
          <t>Win-Partners ウイン・パートナーズ</t>
        </is>
      </c>
      <c r="C10" s="123" t="inlineStr">
        <is>
          <t>Not started</t>
        </is>
      </c>
      <c r="D10" s="121" t="inlineStr">
        <is>
          <t>Listed cardio device dealer group</t>
        </is>
      </c>
      <c r="E10" s="121" t="inlineStr">
        <is>
          <t>No known US line</t>
        </is>
      </c>
      <c r="F10" s="121" t="inlineStr">
        <is>
          <t>Tokyo</t>
        </is>
      </c>
      <c r="G10" s="121" t="inlineStr">
        <is>
          <t>win-partners.co.jp</t>
        </is>
      </c>
      <c r="H10" s="121" t="inlineStr">
        <is>
          <t>via website</t>
        </is>
      </c>
      <c r="I10" s="121" t="inlineStr">
        <is>
          <t>Cath-lab channel — echo/POC cardiac angle</t>
        </is>
      </c>
      <c r="J10" s="121" t="inlineStr">
        <is>
          <t>CBit 6 + SonoMax 7 cardiac config; SonoEye P5 phased-array pocket echo</t>
        </is>
      </c>
      <c r="K10" s="147" t="inlineStr">
        <is>
          <t>2</t>
        </is>
      </c>
      <c r="L10" s="121" t="inlineStr">
        <is>
          <t>Tier 2 — no competing ultrasound line · verified domain.</t>
        </is>
      </c>
      <c r="M10" s="121" t="inlineStr">
        <is>
          <t>Knowledge — verify</t>
        </is>
      </c>
      <c r="N10" s="145" t="inlineStr">
        <is>
          <t>Adding an ultrasound line to Win-Partners ウイン・パートナーズ: CHISON CBit 6 and SonoMax 7</t>
        </is>
      </c>
      <c r="O10" s="108" t="inlineStr">
        <is>
          <t>Dear Win-Partners ウイン・パートナーズ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What you already have is the part we cannot build for ourselves: Listed cardio device dealer group.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CBit 6: mid-range cart built for cardiology, women's health and general radiology
• SonoMax 7: the flagship cart, carrying a full radiology, obstetric and cardiac workload
• SonoEye P5: phone and tablet connected high-frequency handheld for musculoskeletal work, vascular access and small parts
That is both ends of the range, from bedside handheld to hospital cart, and it adds an imaging modality to your line card without touching a single brand you currently represent.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0" s="108" t="inlineStr">
        <is>
          <t>ir@win-partners.co.jp</t>
        </is>
      </c>
      <c r="Q10" s="108" t="inlineStr"/>
      <c r="R10" s="108" t="inlineStr">
        <is>
          <t>https://www.win-int.co.jp/contact/</t>
        </is>
      </c>
      <c r="S10" s="108" t="inlineStr">
        <is>
          <t>Likely: indexed on company domain; IR or PR inbox, ask to forward to sales</t>
        </is>
      </c>
    </row>
    <row r="11" ht="39.75" customHeight="1" s="104">
      <c r="A11" s="121" t="n">
        <v>7</v>
      </c>
      <c r="B11" s="122" t="inlineStr">
        <is>
          <t>DVx ディーブイエックス</t>
        </is>
      </c>
      <c r="C11" s="123" t="inlineStr">
        <is>
          <t>Not started</t>
        </is>
      </c>
      <c r="D11" s="121" t="inlineStr">
        <is>
          <t>Cardio dealer (5 PMDA records)</t>
        </is>
      </c>
      <c r="E11" s="121" t="inlineStr">
        <is>
          <t>No known US line</t>
        </is>
      </c>
      <c r="F11" s="121" t="inlineStr">
        <is>
          <t>Tokyo</t>
        </is>
      </c>
      <c r="G11" s="121" t="inlineStr">
        <is>
          <t>dvx.co.jp</t>
        </is>
      </c>
      <c r="H11" s="121" t="inlineStr">
        <is>
          <t>via website</t>
        </is>
      </c>
      <c r="I11" s="121" t="inlineStr">
        <is>
          <t>Arrhythmia/cath channel; echo adjacency</t>
        </is>
      </c>
      <c r="J11" s="121" t="inlineStr">
        <is>
          <t>CBit 6 + SonoMax 7 cardiac config; SonoEye P5 phased-array pocket echo</t>
        </is>
      </c>
      <c r="K11" s="147" t="inlineStr">
        <is>
          <t>2</t>
        </is>
      </c>
      <c r="L11" s="121" t="inlineStr">
        <is>
          <t>Tier 2 — no competing ultrasound line · verified domain.</t>
        </is>
      </c>
      <c r="M11" s="121" t="inlineStr">
        <is>
          <t>Directory (JAHID)</t>
        </is>
      </c>
      <c r="N11" s="145" t="inlineStr">
        <is>
          <t>Adding an ultrasound line to DVx ディーブイエックス: CHISON CBit 6 and SonoMax 7</t>
        </is>
      </c>
      <c r="O11" s="108" t="inlineStr">
        <is>
          <t>Dear DVx ディーブイエックス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What you already have is the part we cannot build for ourselves: Cardio dealer.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CBit 6: mid-range cart built for cardiology, women's health and general radiology
• SonoMax 7: the flagship cart, carrying a full radiology, obstetric and cardiac workload
• SonoEye P5: phone and tablet connected high-frequency handheld for musculoskeletal work, vascular access and small parts
That is both ends of the range, from bedside handheld to hospital cart, and it adds an imaging modality to your line card without touching a single brand you currently represent.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1" s="108" t="inlineStr">
        <is>
          <t>management_strategy@dvx.jp</t>
        </is>
      </c>
      <c r="Q11" s="108" t="inlineStr">
        <is>
          <t>jinji@dvx.jp</t>
        </is>
      </c>
      <c r="R11" s="108" t="inlineStr">
        <is>
          <t>https://finance-frontend-pc-dist.west.edge.storage-yahoo.jp/disclosure/20250515/20250513546880.pdf</t>
        </is>
      </c>
      <c r="S11" s="108" t="inlineStr">
        <is>
          <t>Likely: indexed on company domain</t>
        </is>
      </c>
    </row>
    <row r="12" ht="39.75" customHeight="1" s="104">
      <c r="A12" s="121" t="n">
        <v>8</v>
      </c>
      <c r="B12" s="122" t="inlineStr">
        <is>
          <t>Ship Healthcare シップヘルスケア</t>
        </is>
      </c>
      <c r="C12" s="123" t="inlineStr">
        <is>
          <t>Not started</t>
        </is>
      </c>
      <c r="D12" s="121" t="inlineStr">
        <is>
          <t>Listed giant — OR planning/turnkey, imaging, dealer roll-up</t>
        </is>
      </c>
      <c r="E12" s="121" t="inlineStr">
        <is>
          <t>Portfolio varies</t>
        </is>
      </c>
      <c r="F12" s="121" t="inlineStr">
        <is>
          <t>Osaka</t>
        </is>
      </c>
      <c r="G12" s="121" t="inlineStr">
        <is>
          <t>shiphd.co.jp</t>
        </is>
      </c>
      <c r="H12" s="121" t="inlineStr">
        <is>
          <t>via website</t>
        </is>
      </c>
      <c r="I12" s="121" t="inlineStr">
        <is>
          <t>OR/hospital-planning channel; big-league partner for national scale</t>
        </is>
      </c>
      <c r="J12" s="121" t="inlineStr">
        <is>
          <t>Spec-in via OR/turnkey projects: SonoPort + SonoTouch in new hospital builds</t>
        </is>
      </c>
      <c r="K12" s="144" t="inlineStr">
        <is>
          <t>1</t>
        </is>
      </c>
      <c r="L12" s="121" t="inlineStr">
        <is>
          <t>Tier 1 — line card unqualified — ask first · verified domain.</t>
        </is>
      </c>
      <c r="M12" s="121" t="inlineStr">
        <is>
          <t>Knowledge — verify</t>
        </is>
      </c>
      <c r="N12" s="145" t="inlineStr">
        <is>
          <t>A full ultrasound ladder for Ship Healthcare シップヘルスケア: CHISON distribution in Japan</t>
        </is>
      </c>
      <c r="O12" s="108" t="inlineStr">
        <is>
          <t>Dear Ship Healthcare シップヘルスケア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Yours is the model foreign manufacturers turn to when they want a market entered properly rather than cheaply: Listed giant, OR planning/turnkey, imaging, dealer roll-up. That is exactly what we are looking for here.
Where CHISON fits your portfolio: this is a full ladder rather than a single product, which suits a house that carries whole categories:
• SonoPort: our new-generation intelligent cart, launched April 2026
• SonoTouch: all-touch point-of-care console
One principal agreement then covers the tender, the departmental purchase and the clinic purchase, giving you a portable and a cart option from the same brand.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2" s="108" t="inlineStr">
        <is>
          <t>Not published; use contact form</t>
        </is>
      </c>
      <c r="Q12" s="108" t="inlineStr"/>
      <c r="R12" s="108" t="inlineStr">
        <is>
          <t>https://www.shiphd.co.jp/inquiry/</t>
        </is>
      </c>
      <c r="S12" s="108" t="inlineStr">
        <is>
          <t>No email published; use the contact form (link in Email source)</t>
        </is>
      </c>
    </row>
    <row r="13" ht="39.75" customHeight="1" s="104">
      <c r="A13" s="121" t="n">
        <v>9</v>
      </c>
      <c r="B13" s="122" t="inlineStr">
        <is>
          <t>Medius Holdings メディアスHD</t>
        </is>
      </c>
      <c r="C13" s="123" t="inlineStr">
        <is>
          <t>Not started</t>
        </is>
      </c>
      <c r="D13" s="121" t="inlineStr">
        <is>
          <t>Listed dealer holding group (multiple regional dealers)</t>
        </is>
      </c>
      <c r="E13" s="121" t="inlineStr">
        <is>
          <t>Portfolio varies</t>
        </is>
      </c>
      <c r="F13" s="121" t="inlineStr">
        <is>
          <t>Tokyo</t>
        </is>
      </c>
      <c r="G13" s="121" t="inlineStr">
        <is>
          <t>medius.co.jp</t>
        </is>
      </c>
      <c r="H13" s="121" t="inlineStr">
        <is>
          <t>via website</t>
        </is>
      </c>
      <c r="I13" s="121" t="inlineStr">
        <is>
          <t>One relationship → several regional dealers</t>
        </is>
      </c>
      <c r="J13" s="121" t="inlineStr">
        <is>
          <t>Open with SonoEye P3 + SonoBook 9; add QBit 5/CBit 4 carts once service is set up</t>
        </is>
      </c>
      <c r="K13" s="144" t="inlineStr">
        <is>
          <t>1</t>
        </is>
      </c>
      <c r="L13" s="121" t="inlineStr">
        <is>
          <t>Tier 1 — line card unqualified — ask first · verified domain.</t>
        </is>
      </c>
      <c r="M13" s="121" t="inlineStr">
        <is>
          <t>Knowledge — verify</t>
        </is>
      </c>
      <c r="N13" s="145" t="inlineStr">
        <is>
          <t>A full ultrasound ladder for Medius Holdings メディアスHD: CHISON distribution in Japan</t>
        </is>
      </c>
      <c r="O13" s="108" t="inlineStr">
        <is>
          <t>Dear Medius Holdings メディアスHD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Yours is the model foreign manufacturers turn to when they want a market entered properly rather than cheaply: Listed dealer holding group (multiple regional dealers). That is exactly what we are looking for here.
Where CHISON fits your portfolio: this is a full ladder rather than a single product, which suits a house that carries whole categories:
• SonoEye P3: pocket handheld for emergency, intensive care and bedside point-of-care scanning
• SonoBook 9: the workhorse laptop and our volume seller across Asia
• QBit 5: the value console that wins tenders on price-per-exam
One principal agreement then covers the tender, the departmental purchase and the clinic purchase, giving you a complete handheld to cart ladder under one supplier agreement.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3" s="108" t="inlineStr">
        <is>
          <t>muhd.it-managementsm@medius.co.jp</t>
        </is>
      </c>
      <c r="Q13" s="108" t="inlineStr"/>
      <c r="R13" s="108" t="inlineStr">
        <is>
          <t>https://www.medius.co.jp/news/32919/</t>
        </is>
      </c>
      <c r="S13" s="108" t="inlineStr">
        <is>
          <t>Verified: published on company website</t>
        </is>
      </c>
    </row>
    <row r="14" ht="39.75" customHeight="1" s="104">
      <c r="A14" s="121" t="n">
        <v>10</v>
      </c>
      <c r="B14" s="122" t="inlineStr">
        <is>
          <t>Intermedical インターメディカル</t>
        </is>
      </c>
      <c r="C14" s="123" t="inlineStr">
        <is>
          <t>Not started</t>
        </is>
      </c>
      <c r="D14" s="121" t="inlineStr">
        <is>
          <t>US/CT/MRI/endoscope incl. refurbished</t>
        </is>
      </c>
      <c r="E14" s="121" t="inlineStr">
        <is>
          <t>Yes — multi-brand used</t>
        </is>
      </c>
      <c r="F14" s="121" t="inlineStr">
        <is>
          <t>Nagoya</t>
        </is>
      </c>
      <c r="G14" s="121" t="inlineStr">
        <is>
          <t>intermedical.jp</t>
        </is>
      </c>
      <c r="H14" s="121" t="inlineStr">
        <is>
          <t>via website</t>
        </is>
      </c>
      <c r="I14" s="121" t="inlineStr">
        <is>
          <t>Value segment + trade-in economics for clinics</t>
        </is>
      </c>
      <c r="J14" s="121" t="inlineStr">
        <is>
          <t>SonoMax 7 + SonoPort for radiology; XBit 90 premium rooms</t>
        </is>
      </c>
      <c r="K14" s="147" t="inlineStr">
        <is>
          <t>2</t>
        </is>
      </c>
      <c r="L14" s="121" t="inlineStr">
        <is>
          <t>Tier 2 — carries a line (Yes — multi-brand used) — conflict to qualify · verified domain.</t>
        </is>
      </c>
      <c r="M14" s="121" t="inlineStr">
        <is>
          <t>From search</t>
        </is>
      </c>
      <c r="N14" s="145" t="inlineStr">
        <is>
          <t>CHISON ultrasound for Intermedical インターメディカル: a line-card addition, with PMDA handled by us</t>
        </is>
      </c>
      <c r="O14" s="108" t="inlineStr">
        <is>
          <t>Dear Intermedical インターメディカル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position in this category is already established: ultrasound/CT/MRI/endoscope incl. refurbished. You will therefore assess a new line faster than most, and on the criteria that actually matter: image quality, probe life and service turnaround.
Where CHISON fits your portfolio: you already sell ultrasound, so this is a second-brand question rather than a new-category question. CHISON is priced to win the accounts your current line is too expensive for:
• SonoMax 7: the flagship cart, carrying a full radiology, obstetric and cardiac workload
• SonoPort: our new-generation intelligent cart, launched April 2026
• XBit 90: premium cart for departments that want high-end imaging without a high-end budget
That gives you a focused cart offer. If you let me know which brand you carry today, I will show you exactly where CHISON sits against it rather than take up your time on a general presentation.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4" s="108" t="inlineStr">
        <is>
          <t>info@intermedical.jp</t>
        </is>
      </c>
      <c r="Q14" s="108" t="inlineStr"/>
      <c r="R14" s="108" t="inlineStr">
        <is>
          <t>https://www.intermedical.jp/tokushoho/</t>
        </is>
      </c>
      <c r="S14" s="108" t="inlineStr">
        <is>
          <t>Verified: published on company website</t>
        </is>
      </c>
    </row>
    <row r="15" ht="39.75" customHeight="1" s="104">
      <c r="A15" s="121" t="n">
        <v>11</v>
      </c>
      <c r="B15" s="122" t="inlineStr">
        <is>
          <t>Fukuda Denshi フクダ電子</t>
        </is>
      </c>
      <c r="C15" s="123" t="inlineStr">
        <is>
          <t>Not started</t>
        </is>
      </c>
      <c r="D15" s="121" t="inlineStr">
        <is>
          <t>Monitoring/US maker with clinic salesforce (Fukuda Lifetec)</t>
        </is>
      </c>
      <c r="E15" s="121" t="inlineStr">
        <is>
          <t>Yes — own US</t>
        </is>
      </c>
      <c r="F15" s="121" t="inlineStr">
        <is>
          <t>Tokyo</t>
        </is>
      </c>
      <c r="G15" s="121" t="inlineStr">
        <is>
          <t>fukuda.com</t>
        </is>
      </c>
      <c r="H15" s="121" t="inlineStr">
        <is>
          <t>via website</t>
        </is>
      </c>
      <c r="I15" s="121" t="inlineStr">
        <is>
          <t>Partial competitor; only for OEM/co-existence talks</t>
        </is>
      </c>
      <c r="J15" s="121" t="inlineStr">
        <is>
          <t>—</t>
        </is>
      </c>
      <c r="K15" s="149" t="inlineStr">
        <is>
          <t>REF</t>
        </is>
      </c>
      <c r="L15" s="121" t="inlineStr">
        <is>
          <t>REF — competitor or brand subsidiary. Awareness only, not an outreach target.</t>
        </is>
      </c>
      <c r="M15" s="121" t="inlineStr">
        <is>
          <t>From search</t>
        </is>
      </c>
      <c r="N15" s="150" t="inlineStr">
        <is>
          <t>REF row: not an outreach target</t>
        </is>
      </c>
      <c r="O15" s="150" t="inlineStr">
        <is>
          <t>No outreach email. This row is a competitor, brand subsidiary or local manufacturer, kept in the workbook for market awareness and price benchmarking only. Reference note from the list: Partial competitor; only for OEM/co-existence talks</t>
        </is>
      </c>
      <c r="P15" s="150" t="inlineStr">
        <is>
          <t>Not published; use contact form</t>
        </is>
      </c>
      <c r="Q15" s="150" t="inlineStr"/>
      <c r="R15" s="150" t="inlineStr">
        <is>
          <t>https://fukuda.com/global-offices/</t>
        </is>
      </c>
      <c r="S15" s="150" t="inlineStr">
        <is>
          <t>No email published; use the contact form (link in Email source)</t>
        </is>
      </c>
    </row>
    <row r="16" ht="39.75" customHeight="1" s="104">
      <c r="A16" s="121" t="n">
        <v>12</v>
      </c>
      <c r="B16" s="122" t="inlineStr">
        <is>
          <t>Suzuken スズケン (medical device div.)</t>
        </is>
      </c>
      <c r="C16" s="123" t="inlineStr">
        <is>
          <t>Not started</t>
        </is>
      </c>
      <c r="D16" s="121" t="inlineStr">
        <is>
          <t>Pharma wholesale giant w/ device arm</t>
        </is>
      </c>
      <c r="E16" s="121" t="inlineStr">
        <is>
          <t>Portfolio varies</t>
        </is>
      </c>
      <c r="F16" s="121" t="inlineStr">
        <is>
          <t>Nagoya</t>
        </is>
      </c>
      <c r="G16" s="121" t="inlineStr">
        <is>
          <t>suzuken.co.jp</t>
        </is>
      </c>
      <c r="H16" s="121" t="inlineStr">
        <is>
          <t>via website</t>
        </is>
      </c>
      <c r="I16" s="121" t="inlineStr">
        <is>
          <t>Clinic-channel breadth via MRs</t>
        </is>
      </c>
      <c r="J16" s="121" t="inlineStr">
        <is>
          <t>Clinic starter: SonoEye P3 + ECO/EBit 50; SonoGO for premium clinics</t>
        </is>
      </c>
      <c r="K16" s="147" t="inlineStr">
        <is>
          <t>2</t>
        </is>
      </c>
      <c r="L16" s="121" t="inlineStr">
        <is>
          <t>Tier 2 — line card unqualified — ask first · verified domain.</t>
        </is>
      </c>
      <c r="M16" s="121" t="inlineStr">
        <is>
          <t>Knowledge — verify</t>
        </is>
      </c>
      <c r="N16" s="145" t="inlineStr">
        <is>
          <t>A full ultrasound ladder for Suzuken スズケン (medical device div.): CHISON distribution in Japan</t>
        </is>
      </c>
      <c r="O16" s="108" t="inlineStr">
        <is>
          <t>Dear Suzuken スズケン (medical device div.)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Yours is the model foreign manufacturers turn to when they want a market entered properly rather than cheaply: Pharma wholesale giant w/ device arm. That is exactly what we are looking for here.
Where CHISON fits your portfolio: this is a full ladder rather than a single product, which suits a house that carries whole categories:
• SonoEye P3: pocket handheld for emergency, intensive care and bedside point-of-care scanning
• ECO: entry B&amp;W platform for budget and rural tenders
• EBit 50: the value laptop that opens price-sensitive clinic accounts
One principal agreement then covers the tender, the departmental purchase and the clinic purchase, giving you two portable formats at two very different budgets.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6" s="108" t="inlineStr">
        <is>
          <t>Not published; use contact form</t>
        </is>
      </c>
      <c r="Q16" s="108" t="inlineStr"/>
      <c r="R16" s="108" t="inlineStr">
        <is>
          <t>https://reg31.smp.ne.jp/regist/is?SMPFORM=mcnf-lhognf-f8fb3f32d4b332bf4063ed530f093e4c&amp;_ga=2.147284919.1062503863.1685920855-1743269464.1681296221</t>
        </is>
      </c>
      <c r="S16" s="108" t="inlineStr">
        <is>
          <t>No email published; use the contact form (link in Email source)</t>
        </is>
      </c>
    </row>
    <row r="17" ht="39.75" customHeight="1" s="104">
      <c r="A17" s="121" t="n">
        <v>13</v>
      </c>
      <c r="B17" s="122" t="inlineStr">
        <is>
          <t>Yamashita Medical 山下医科器械</t>
        </is>
      </c>
      <c r="C17" s="123" t="inlineStr">
        <is>
          <t>Not started</t>
        </is>
      </c>
      <c r="D17" s="121" t="inlineStr">
        <is>
          <t>Kyushu top hospital dealer (JAHID)</t>
        </is>
      </c>
      <c r="E17" s="121" t="inlineStr">
        <is>
          <t>Unknown</t>
        </is>
      </c>
      <c r="F17" s="121" t="inlineStr">
        <is>
          <t>Kyushu (Saga/Fukuoka)</t>
        </is>
      </c>
      <c r="G17" s="121" t="inlineStr">
        <is>
          <t>yamashitaika.co.jp</t>
        </is>
      </c>
      <c r="H17" s="121" t="inlineStr">
        <is>
          <t>via website</t>
        </is>
      </c>
      <c r="I17" s="121" t="inlineStr">
        <is>
          <t>Regional #1 — Kyushu coverage anchor</t>
        </is>
      </c>
      <c r="J17" s="121" t="inlineStr">
        <is>
          <t>Open with SonoEye P3 + SonoBook 9; add QBit 5/CBit 4 carts once service is set up</t>
        </is>
      </c>
      <c r="K17" s="144" t="inlineStr">
        <is>
          <t>1</t>
        </is>
      </c>
      <c r="L17" s="121" t="inlineStr">
        <is>
          <t>Tier 1 — line card unqualified — ask first · verified domain.</t>
        </is>
      </c>
      <c r="M17" s="121" t="inlineStr">
        <is>
          <t>Directory (JAHID)</t>
        </is>
      </c>
      <c r="N17" s="145" t="inlineStr">
        <is>
          <t>CHISON ultrasound for Kyushu: a new line, with PMDA handled by us</t>
        </is>
      </c>
      <c r="O17" s="108" t="inlineStr">
        <is>
          <t>Dear Yamashita Medical 山下医科器械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Kyushu.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7" s="108" t="inlineStr">
        <is>
          <t>soumu@yamashitaika.co.jp</t>
        </is>
      </c>
      <c r="Q17" s="108" t="inlineStr"/>
      <c r="R17" s="108" t="inlineStr">
        <is>
          <t>https://www.yamashitaika.co.jp/about/</t>
        </is>
      </c>
      <c r="S17" s="108" t="inlineStr">
        <is>
          <t>Verified: published on company website</t>
        </is>
      </c>
    </row>
    <row r="18" ht="39.75" customHeight="1" s="104">
      <c r="A18" s="121" t="n">
        <v>14</v>
      </c>
      <c r="B18" s="122" t="inlineStr">
        <is>
          <t>Kawanishi カワニシ (KHD)</t>
        </is>
      </c>
      <c r="C18" s="123" t="inlineStr">
        <is>
          <t>Not started</t>
        </is>
      </c>
      <c r="D18" s="121" t="inlineStr">
        <is>
          <t>Chugoku top dealer (JAHID; Kawanishi HD)</t>
        </is>
      </c>
      <c r="E18" s="121" t="inlineStr">
        <is>
          <t>Unknown</t>
        </is>
      </c>
      <c r="F18" s="121" t="inlineStr">
        <is>
          <t>Okayama</t>
        </is>
      </c>
      <c r="G18" s="121" t="inlineStr">
        <is>
          <t>kawanishi-md.co.jp</t>
        </is>
      </c>
      <c r="H18" s="121" t="inlineStr">
        <is>
          <t>via website</t>
        </is>
      </c>
      <c r="I18" s="121" t="inlineStr">
        <is>
          <t>Regional anchor — Chugoku</t>
        </is>
      </c>
      <c r="J18" s="121" t="inlineStr">
        <is>
          <t>Open with SonoEye P3 + SonoBook 9; add QBit 5/CBit 4 carts once service is set up</t>
        </is>
      </c>
      <c r="K18" s="144" t="inlineStr">
        <is>
          <t>1</t>
        </is>
      </c>
      <c r="L18" s="121" t="inlineStr">
        <is>
          <t>Tier 1 — line card unqualified — ask first · verified domain.</t>
        </is>
      </c>
      <c r="M18" s="121" t="inlineStr">
        <is>
          <t>Directory (JAHID)</t>
        </is>
      </c>
      <c r="N18" s="145" t="inlineStr">
        <is>
          <t>CHISON ultrasound for Chugoku: a new line, with PMDA handled by us</t>
        </is>
      </c>
      <c r="O18" s="108" t="inlineStr">
        <is>
          <t>Dear Kawanishi カワニシ (KHD)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Chugoku.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8" s="108" t="inlineStr">
        <is>
          <t>info-kbm@kawanishi-md.co.jp</t>
        </is>
      </c>
      <c r="Q18" s="108" t="inlineStr">
        <is>
          <t>2026reckw@kawanishi-md.co.jp, kawanishi-rec@kawanishi-md.co.jp, 2026rec@kawanishi-md.co.jp</t>
        </is>
      </c>
      <c r="R18" s="108" t="inlineStr">
        <is>
          <t>https://kawanishi-bm.co.jp/company/</t>
        </is>
      </c>
      <c r="S18" s="108" t="inlineStr">
        <is>
          <t>Likely: indexed on company domain</t>
        </is>
      </c>
    </row>
    <row r="19" ht="39.75" customHeight="1" s="104">
      <c r="A19" s="121" t="n">
        <v>15</v>
      </c>
      <c r="B19" s="122" t="inlineStr">
        <is>
          <t>Mutoh ムトウ</t>
        </is>
      </c>
      <c r="C19" s="123" t="inlineStr">
        <is>
          <t>Not started</t>
        </is>
      </c>
      <c r="D19" s="121" t="inlineStr">
        <is>
          <t>Hokkaido top dealer (JAHID)</t>
        </is>
      </c>
      <c r="E19" s="121" t="inlineStr">
        <is>
          <t>Unknown</t>
        </is>
      </c>
      <c r="F19" s="121" t="inlineStr">
        <is>
          <t>Sapporo</t>
        </is>
      </c>
      <c r="G19" s="121" t="inlineStr">
        <is>
          <t>wism-mutoh.co.jp</t>
        </is>
      </c>
      <c r="H19" s="121" t="inlineStr">
        <is>
          <t>via website</t>
        </is>
      </c>
      <c r="I19" s="121" t="inlineStr">
        <is>
          <t>Regional anchor — Hokkaido</t>
        </is>
      </c>
      <c r="J19" s="121" t="inlineStr">
        <is>
          <t>Open with SonoEye P3 + SonoBook 9; add QBit 5/CBit 4 carts once service is set up</t>
        </is>
      </c>
      <c r="K19" s="144" t="inlineStr">
        <is>
          <t>1</t>
        </is>
      </c>
      <c r="L19" s="121" t="inlineStr">
        <is>
          <t>Tier 1 — line card unqualified — ask first · verified domain.</t>
        </is>
      </c>
      <c r="M19" s="121" t="inlineStr">
        <is>
          <t>Directory (JAHID)</t>
        </is>
      </c>
      <c r="N19" s="145" t="inlineStr">
        <is>
          <t>CHISON ultrasound for Hokkaido: a new line, with PMDA handled by us</t>
        </is>
      </c>
      <c r="O19" s="108" t="inlineStr">
        <is>
          <t>Dear Mutoh ムトウ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Hokkaido.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19" s="108" t="inlineStr">
        <is>
          <t>jinji-tky@ni.wism-mutoh.co.jp</t>
        </is>
      </c>
      <c r="Q19" s="108" t="inlineStr">
        <is>
          <t>jinji-tky@wism-mutoh.co.jp, jinji-sap@wism-mutoh.co.jp, jinji-sap@ni.wism-mutoh.co.jp</t>
        </is>
      </c>
      <c r="R19" s="108" t="inlineStr">
        <is>
          <t>https://www.wism-mutoh.jp/recruit/</t>
        </is>
      </c>
      <c r="S19" s="108" t="inlineStr">
        <is>
          <t>Likely: indexed on company domain; HR or recruitment inbox, ask to forward to sales</t>
        </is>
      </c>
    </row>
    <row r="20" ht="39.75" customHeight="1" s="104">
      <c r="A20" s="121" t="n">
        <v>16</v>
      </c>
      <c r="B20" s="122" t="inlineStr">
        <is>
          <t>Yagami 八神製作所</t>
        </is>
      </c>
      <c r="C20" s="123" t="inlineStr">
        <is>
          <t>Not started</t>
        </is>
      </c>
      <c r="D20" s="121" t="inlineStr">
        <is>
          <t>Tokai major dealer (JAHID)</t>
        </is>
      </c>
      <c r="E20" s="121" t="inlineStr">
        <is>
          <t>Unknown</t>
        </is>
      </c>
      <c r="F20" s="121" t="inlineStr">
        <is>
          <t>Nagoya</t>
        </is>
      </c>
      <c r="G20" s="121" t="inlineStr">
        <is>
          <t>yagami.co.jp</t>
        </is>
      </c>
      <c r="H20" s="121" t="inlineStr">
        <is>
          <t>via website</t>
        </is>
      </c>
      <c r="I20" s="121" t="inlineStr">
        <is>
          <t>Regional anchor — Tokai</t>
        </is>
      </c>
      <c r="J20" s="121" t="inlineStr">
        <is>
          <t>Open with SonoEye P3 + SonoBook 9; add QBit 5/CBit 4 carts once service is set up</t>
        </is>
      </c>
      <c r="K20" s="144" t="inlineStr">
        <is>
          <t>1</t>
        </is>
      </c>
      <c r="L20" s="121" t="inlineStr">
        <is>
          <t>Tier 1 — line card unqualified — ask first · verified domain.</t>
        </is>
      </c>
      <c r="M20" s="121" t="inlineStr">
        <is>
          <t>Directory (JAHID)</t>
        </is>
      </c>
      <c r="N20" s="145" t="inlineStr">
        <is>
          <t>CHISON ultrasound for Tokai: a new line, with PMDA handled by us</t>
        </is>
      </c>
      <c r="O20" s="108" t="inlineStr">
        <is>
          <t>Dear Yagami 八神製作所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Tokai.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20" s="108" t="inlineStr">
        <is>
          <t>yhhc_stomamail@yagami.co.jp</t>
        </is>
      </c>
      <c r="Q20" s="108" t="inlineStr"/>
      <c r="R20" s="108" t="inlineStr">
        <is>
          <t>https://www.yagami-e-yorisoudan-stoma.com/html/email.html</t>
        </is>
      </c>
      <c r="S20" s="108" t="inlineStr">
        <is>
          <t>Likely: indexed on company domain</t>
        </is>
      </c>
    </row>
    <row r="21" ht="39.75" customHeight="1" s="104">
      <c r="A21" s="121" t="n">
        <v>17</v>
      </c>
      <c r="B21" s="122" t="inlineStr">
        <is>
          <t>Kishiya キシヤ</t>
        </is>
      </c>
      <c r="C21" s="123" t="inlineStr">
        <is>
          <t>Not started</t>
        </is>
      </c>
      <c r="D21" s="121" t="inlineStr">
        <is>
          <t>Kyushu major dealer (JAHID)</t>
        </is>
      </c>
      <c r="E21" s="121" t="inlineStr">
        <is>
          <t>Unknown</t>
        </is>
      </c>
      <c r="F21" s="121" t="inlineStr">
        <is>
          <t>Fukuoka</t>
        </is>
      </c>
      <c r="G21" s="121" t="inlineStr">
        <is>
          <t>kishiya.co.jp</t>
        </is>
      </c>
      <c r="H21" s="121" t="inlineStr">
        <is>
          <t>via website</t>
        </is>
      </c>
      <c r="I21" s="121" t="inlineStr">
        <is>
          <t>Regional anchor — Kyushu</t>
        </is>
      </c>
      <c r="J21" s="121" t="inlineStr">
        <is>
          <t>Open with SonoEye P3 + SonoBook 9; add QBit 5/CBit 4 carts once service is set up</t>
        </is>
      </c>
      <c r="K21" s="144" t="inlineStr">
        <is>
          <t>1</t>
        </is>
      </c>
      <c r="L21" s="121" t="inlineStr">
        <is>
          <t>Tier 1 — line card unqualified — ask first · verified domain.</t>
        </is>
      </c>
      <c r="M21" s="121" t="inlineStr">
        <is>
          <t>Directory (JAHID)</t>
        </is>
      </c>
      <c r="N21" s="145" t="inlineStr">
        <is>
          <t>CHISON ultrasound for Kyushu: a new line, with PMDA handled by us</t>
        </is>
      </c>
      <c r="O21" s="108" t="inlineStr">
        <is>
          <t>Dear Kishiya キシヤ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Kyushu.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21" s="108" t="inlineStr">
        <is>
          <t>jinji@kishiya.co.jp</t>
        </is>
      </c>
      <c r="Q21" s="108" t="inlineStr"/>
      <c r="R21" s="108" t="inlineStr">
        <is>
          <t>https://arwrk.net/recruit/kishiyarecruit/10124530/</t>
        </is>
      </c>
      <c r="S21" s="108" t="inlineStr">
        <is>
          <t>Likely: indexed on company domain; HR or recruitment inbox, ask to forward to sales</t>
        </is>
      </c>
    </row>
    <row r="22" ht="39.75" customHeight="1" s="104">
      <c r="A22" s="121" t="n">
        <v>18</v>
      </c>
      <c r="B22" s="122" t="inlineStr">
        <is>
          <t>TS Alfresa ティーエスアルフレッサ</t>
        </is>
      </c>
      <c r="C22" s="123" t="inlineStr">
        <is>
          <t>Not started</t>
        </is>
      </c>
      <c r="D22" s="121" t="inlineStr">
        <is>
          <t>Chugoku dealer (Alfresa group)</t>
        </is>
      </c>
      <c r="E22" s="121" t="inlineStr">
        <is>
          <t>Unknown</t>
        </is>
      </c>
      <c r="F22" s="121" t="inlineStr">
        <is>
          <t>Hiroshima</t>
        </is>
      </c>
      <c r="G22" s="121" t="inlineStr">
        <is>
          <t>ts-alfresa.co.jp</t>
        </is>
      </c>
      <c r="H22" s="121" t="inlineStr">
        <is>
          <t>via website</t>
        </is>
      </c>
      <c r="I22" s="121" t="inlineStr">
        <is>
          <t>Group-backed regional anchor</t>
        </is>
      </c>
      <c r="J22" s="121" t="inlineStr">
        <is>
          <t>Open with SonoEye P3 + SonoBook 9; add QBit 5/CBit 4 carts once service is set up</t>
        </is>
      </c>
      <c r="K22" s="144" t="inlineStr">
        <is>
          <t>1</t>
        </is>
      </c>
      <c r="L22" s="121" t="inlineStr">
        <is>
          <t>Tier 1 — line card unqualified — ask first · verified domain.</t>
        </is>
      </c>
      <c r="M22" s="121" t="inlineStr">
        <is>
          <t>Directory (JAHID)</t>
        </is>
      </c>
      <c r="N22" s="145" t="inlineStr">
        <is>
          <t>CHISON ultrasound for Chugoku: a new line, with PMDA handled by us</t>
        </is>
      </c>
      <c r="O22" s="108" t="inlineStr">
        <is>
          <t>Dear TS Alfresa ティーエスアルフレッサ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Chugoku.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22" s="108" t="inlineStr">
        <is>
          <t>Not published</t>
        </is>
      </c>
      <c r="Q22" s="108" t="inlineStr"/>
      <c r="R22" s="108" t="inlineStr"/>
      <c r="S22" s="108" t="inlineStr">
        <is>
          <t>No email published; website has no contact page link, phone first</t>
        </is>
      </c>
    </row>
    <row r="23" ht="39.75" customHeight="1" s="104">
      <c r="A23" s="121" t="n">
        <v>19</v>
      </c>
      <c r="B23" s="122" t="inlineStr">
        <is>
          <t>Konishi Medical 小西医療器</t>
        </is>
      </c>
      <c r="C23" s="123" t="inlineStr">
        <is>
          <t>Not started</t>
        </is>
      </c>
      <c r="D23" s="121" t="inlineStr">
        <is>
          <t>Kansai dealer (JAHID)</t>
        </is>
      </c>
      <c r="E23" s="121" t="inlineStr">
        <is>
          <t>Unknown</t>
        </is>
      </c>
      <c r="F23" s="121" t="inlineStr">
        <is>
          <t>Osaka</t>
        </is>
      </c>
      <c r="G23" s="121" t="inlineStr">
        <is>
          <t>kns-md.co.jp</t>
        </is>
      </c>
      <c r="H23" s="121" t="inlineStr">
        <is>
          <t>via website</t>
        </is>
      </c>
      <c r="I23" s="121" t="inlineStr">
        <is>
          <t>Regional anchor — Kansai</t>
        </is>
      </c>
      <c r="J23" s="121" t="inlineStr">
        <is>
          <t>Open with SonoEye P3 + SonoBook 9; add QBit 5/CBit 4 carts once service is set up</t>
        </is>
      </c>
      <c r="K23" s="144" t="inlineStr">
        <is>
          <t>1</t>
        </is>
      </c>
      <c r="L23" s="121" t="inlineStr">
        <is>
          <t>Tier 1 — line card unqualified — ask first · verified domain.</t>
        </is>
      </c>
      <c r="M23" s="121" t="inlineStr">
        <is>
          <t>Directory (JAHID)</t>
        </is>
      </c>
      <c r="N23" s="145" t="inlineStr">
        <is>
          <t>CHISON ultrasound for Kansai: a new line, with PMDA handled by us</t>
        </is>
      </c>
      <c r="O23" s="108" t="inlineStr">
        <is>
          <t>Dear Konishi Medical 小西医療器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Kansai.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23" s="108" t="inlineStr">
        <is>
          <t>recruit@kns-md.co.jp</t>
        </is>
      </c>
      <c r="Q23" s="108" t="inlineStr"/>
      <c r="R23" s="108" t="inlineStr">
        <is>
          <t>https://www.kurashimanet.jp/job/company/888</t>
        </is>
      </c>
      <c r="S23" s="108" t="inlineStr">
        <is>
          <t>Likely: indexed on company domain; HR or recruitment inbox, ask to forward to sales</t>
        </is>
      </c>
    </row>
    <row r="24" ht="39.75" customHeight="1" s="104">
      <c r="A24" s="121" t="n">
        <v>20</v>
      </c>
      <c r="B24" s="122" t="inlineStr">
        <is>
          <t>Matsuyoshi 松吉医科器械</t>
        </is>
      </c>
      <c r="C24" s="123" t="inlineStr">
        <is>
          <t>Not started</t>
        </is>
      </c>
      <c r="D24" s="121" t="inlineStr">
        <is>
          <t>Tokyo dealer, clinic-opening catalog business (1 PMDA rec)</t>
        </is>
      </c>
      <c r="E24" s="121" t="inlineStr">
        <is>
          <t>Unknown</t>
        </is>
      </c>
      <c r="F24" s="121" t="inlineStr">
        <is>
          <t>Tokyo</t>
        </is>
      </c>
      <c r="G24" s="121" t="inlineStr">
        <is>
          <t>matsuyoshi.co.jp</t>
        </is>
      </c>
      <c r="H24" s="121" t="inlineStr">
        <is>
          <t>via website</t>
        </is>
      </c>
      <c r="I24" s="121" t="inlineStr">
        <is>
          <t>Clinic-opening catalog = perfect POCUS shelf</t>
        </is>
      </c>
      <c r="J24" s="121" t="inlineStr">
        <is>
          <t>Catalog SKUs: SonoEye P3 + ECO/EBit 50 (clinic-opening catalog shelf)</t>
        </is>
      </c>
      <c r="K24" s="144" t="inlineStr">
        <is>
          <t>1</t>
        </is>
      </c>
      <c r="L24" s="121" t="inlineStr">
        <is>
          <t>Tier 1 — line card unqualified — ask first · verified domain.</t>
        </is>
      </c>
      <c r="M24" s="121" t="inlineStr">
        <is>
          <t>Directory (JAHID)</t>
        </is>
      </c>
      <c r="N24" s="145" t="inlineStr">
        <is>
          <t>CHISON ultrasound for Matsuyoshi 松吉医科器械: a line-card addition, with PMDA handled by us</t>
        </is>
      </c>
      <c r="O24" s="108" t="inlineStr">
        <is>
          <t>Dear Matsuyoshi 松吉医科器械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Tokyo dealer, clinic-opening catalog business.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ECO: entry B&amp;W platform for budget and rural tenders
• EBit 50: the value laptop that opens price-sensitive clinic accounts
That is two portable formats at two very different budgets,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24" s="108" t="inlineStr">
        <is>
          <t>info@matsuyoshi.co.jp</t>
        </is>
      </c>
      <c r="Q24" s="108" t="inlineStr">
        <is>
          <t>jinji@matsuyoshi.co.jp</t>
        </is>
      </c>
      <c r="R24" s="108" t="inlineStr">
        <is>
          <t>https://www.matsuyoshi.co.jp/faq/</t>
        </is>
      </c>
      <c r="S24" s="108" t="inlineStr">
        <is>
          <t>Verified: published on company website</t>
        </is>
      </c>
    </row>
    <row r="25" ht="39.75" customHeight="1" s="104">
      <c r="A25" s="121" t="n">
        <v>21</v>
      </c>
      <c r="B25" s="122" t="inlineStr">
        <is>
          <t>Kurihara 栗原医療器械店</t>
        </is>
      </c>
      <c r="C25" s="123" t="inlineStr">
        <is>
          <t>Not started</t>
        </is>
      </c>
      <c r="D25" s="121" t="inlineStr">
        <is>
          <t>North-Kanto major dealer</t>
        </is>
      </c>
      <c r="E25" s="121" t="inlineStr">
        <is>
          <t>Unknown</t>
        </is>
      </c>
      <c r="F25" s="121" t="inlineStr">
        <is>
          <t>Gunma</t>
        </is>
      </c>
      <c r="G25" s="121" t="inlineStr">
        <is>
          <t>kurihara.co.jp</t>
        </is>
      </c>
      <c r="H25" s="121" t="inlineStr">
        <is>
          <t>via website</t>
        </is>
      </c>
      <c r="I25" s="121" t="inlineStr">
        <is>
          <t>Regional anchor — N-Kanto</t>
        </is>
      </c>
      <c r="J25" s="121" t="inlineStr">
        <is>
          <t>Open with SonoEye P3 + SonoBook 9; add QBit 5/CBit 4 carts once service is set up</t>
        </is>
      </c>
      <c r="K25" s="147" t="inlineStr">
        <is>
          <t>2</t>
        </is>
      </c>
      <c r="L25" s="121" t="inlineStr">
        <is>
          <t>Tier 2 — line card unqualified — ask first · verified domain.</t>
        </is>
      </c>
      <c r="M25" s="121" t="inlineStr">
        <is>
          <t>Directory (JAHID)</t>
        </is>
      </c>
      <c r="N25" s="145" t="inlineStr">
        <is>
          <t>CHISON ultrasound for North-Kanto: a new line, with PMDA handled by us</t>
        </is>
      </c>
      <c r="O25" s="108" t="inlineStr">
        <is>
          <t>Dear Kurihara 栗原医療器械店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North-Kanto.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25" s="108" t="inlineStr">
        <is>
          <t>nakajima_masashi@kurihara.co.jp</t>
        </is>
      </c>
      <c r="Q25" s="108" t="inlineStr"/>
      <c r="R25" s="108" t="inlineStr">
        <is>
          <t>https://www.daisue.co.jp/bigjob/dennkisetsubi/000535.html</t>
        </is>
      </c>
      <c r="S25" s="108" t="inlineStr">
        <is>
          <t>Likely: indexed on company domain</t>
        </is>
      </c>
    </row>
    <row r="26" ht="39.75" customHeight="1" s="104">
      <c r="A26" s="121" t="n">
        <v>22</v>
      </c>
      <c r="B26" s="122" t="inlineStr">
        <is>
          <t>Takeyama 竹山</t>
        </is>
      </c>
      <c r="C26" s="123" t="inlineStr">
        <is>
          <t>Not started</t>
        </is>
      </c>
      <c r="D26" s="121" t="inlineStr">
        <is>
          <t>Niigata/Tohoku dealer</t>
        </is>
      </c>
      <c r="E26" s="121" t="inlineStr">
        <is>
          <t>Unknown</t>
        </is>
      </c>
      <c r="F26" s="121" t="inlineStr">
        <is>
          <t>Niigata</t>
        </is>
      </c>
      <c r="G26" s="121" t="inlineStr">
        <is>
          <t>takeyama.co.jp</t>
        </is>
      </c>
      <c r="H26" s="121" t="inlineStr">
        <is>
          <t>via website</t>
        </is>
      </c>
      <c r="I26" s="121" t="inlineStr">
        <is>
          <t>Regional anchor — Hokuriku/Tohoku</t>
        </is>
      </c>
      <c r="J26" s="121" t="inlineStr">
        <is>
          <t>Open with SonoEye P3 + SonoBook 9; add QBit 5/CBit 4 carts once service is set up</t>
        </is>
      </c>
      <c r="K26" s="147" t="inlineStr">
        <is>
          <t>2</t>
        </is>
      </c>
      <c r="L26" s="121" t="inlineStr">
        <is>
          <t>Tier 2 — line card unqualified — ask first · verified domain.</t>
        </is>
      </c>
      <c r="M26" s="121" t="inlineStr">
        <is>
          <t>Directory (JAHID)</t>
        </is>
      </c>
      <c r="N26" s="145" t="inlineStr">
        <is>
          <t>CHISON ultrasound for Tohoku: a new line, with PMDA handled by us</t>
        </is>
      </c>
      <c r="O26" s="108" t="inlineStr">
        <is>
          <t>Dear Takeyama 竹山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Tohoku.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26" s="108" t="inlineStr">
        <is>
          <t>Not published; use contact form</t>
        </is>
      </c>
      <c r="Q26" s="108" t="inlineStr"/>
      <c r="R26" s="108" t="inlineStr">
        <is>
          <t>https://www.takeyama.co.jp/contact/</t>
        </is>
      </c>
      <c r="S26" s="108" t="inlineStr">
        <is>
          <t>No email published; use the contact form (link in Email source)</t>
        </is>
      </c>
    </row>
    <row r="27" ht="39.75" customHeight="1" s="104">
      <c r="A27" s="121" t="n">
        <v>23</v>
      </c>
      <c r="B27" s="122" t="inlineStr">
        <is>
          <t>Tomiki 冨木医療器</t>
        </is>
      </c>
      <c r="C27" s="123" t="inlineStr">
        <is>
          <t>Not started</t>
        </is>
      </c>
      <c r="D27" s="121" t="inlineStr">
        <is>
          <t>Hokuriku dealer</t>
        </is>
      </c>
      <c r="E27" s="121" t="inlineStr">
        <is>
          <t>Unknown</t>
        </is>
      </c>
      <c r="F27" s="121" t="inlineStr">
        <is>
          <t>Kanazawa</t>
        </is>
      </c>
      <c r="G27" s="121" t="inlineStr">
        <is>
          <t>tomiki.co.jp</t>
        </is>
      </c>
      <c r="H27" s="121" t="inlineStr">
        <is>
          <t>via website</t>
        </is>
      </c>
      <c r="I27" s="121" t="inlineStr">
        <is>
          <t>Regional — Hokuriku</t>
        </is>
      </c>
      <c r="J27" s="121" t="inlineStr">
        <is>
          <t>Open with SonoEye P3 + SonoBook 9; add QBit 5/CBit 4 carts once service is set up</t>
        </is>
      </c>
      <c r="K27" s="147" t="inlineStr">
        <is>
          <t>2</t>
        </is>
      </c>
      <c r="L27" s="121" t="inlineStr">
        <is>
          <t>Tier 2 — line card unqualified — ask first · verified domain.</t>
        </is>
      </c>
      <c r="M27" s="121" t="inlineStr">
        <is>
          <t>Directory (JAHID)</t>
        </is>
      </c>
      <c r="N27" s="145" t="inlineStr">
        <is>
          <t>CHISON ultrasound for Tomiki 冨木医療器: a line-card addition, with PMDA handled by us</t>
        </is>
      </c>
      <c r="O27" s="108" t="inlineStr">
        <is>
          <t>Dear Tomiki 冨木医療器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Hokuriku dealer, with coverage across Kanazawa.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27" s="108" t="inlineStr">
        <is>
          <t>soumu@tomiki.co.jp</t>
        </is>
      </c>
      <c r="Q27" s="108" t="inlineStr"/>
      <c r="R27" s="108" t="inlineStr">
        <is>
          <t>https://tomiki.co.jp/recruit/</t>
        </is>
      </c>
      <c r="S27" s="108" t="inlineStr">
        <is>
          <t>Verified: published on company website</t>
        </is>
      </c>
    </row>
    <row r="28" ht="39.75" customHeight="1" s="104">
      <c r="A28" s="121" t="n">
        <v>24</v>
      </c>
      <c r="B28" s="122" t="inlineStr">
        <is>
          <t>Fujita フジタ医科器械</t>
        </is>
      </c>
      <c r="C28" s="123" t="inlineStr">
        <is>
          <t>Not started</t>
        </is>
      </c>
      <c r="D28" s="121" t="inlineStr">
        <is>
          <t>Tohoku dealer</t>
        </is>
      </c>
      <c r="E28" s="121" t="inlineStr">
        <is>
          <t>Unknown</t>
        </is>
      </c>
      <c r="F28" s="121" t="inlineStr">
        <is>
          <t>Fukushima</t>
        </is>
      </c>
      <c r="G28" s="121" t="inlineStr">
        <is>
          <t>http://www.fujitaika.co.jp/</t>
        </is>
      </c>
      <c r="H28" s="121" t="inlineStr">
        <is>
          <t>via website</t>
        </is>
      </c>
      <c r="I28" s="121" t="inlineStr">
        <is>
          <t>Regional — Tohoku</t>
        </is>
      </c>
      <c r="J28" s="121" t="inlineStr">
        <is>
          <t>Open with SonoEye P3 + SonoBook 9; add QBit 5/CBit 4 carts once service is set up</t>
        </is>
      </c>
      <c r="K28" s="147" t="inlineStr">
        <is>
          <t>2</t>
        </is>
      </c>
      <c r="L28" s="121" t="inlineStr">
        <is>
          <t>Tier 2 — line card unqualified — ask first · no verified domain.</t>
        </is>
      </c>
      <c r="M28" s="121" t="inlineStr">
        <is>
          <t>Directory (JAHID)</t>
        </is>
      </c>
      <c r="N28" s="145" t="inlineStr">
        <is>
          <t>CHISON ultrasound for Fujita フジタ医科器械: a line-card addition, with PMDA handled by us</t>
        </is>
      </c>
      <c r="O28" s="108" t="inlineStr">
        <is>
          <t>Dear Fujita フジタ医科器械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Tohoku dealer, with coverage across Fukushima.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28" s="108" t="inlineStr">
        <is>
          <t>h_maeda@fujitaika.co.jp</t>
        </is>
      </c>
      <c r="Q28" s="108" t="inlineStr"/>
      <c r="R28" s="108" t="inlineStr">
        <is>
          <t>https://jmia.or.jp/members/member_detail.php?id=252</t>
        </is>
      </c>
      <c r="S28" s="108" t="inlineStr">
        <is>
          <t>Likely: indexed on company domain</t>
        </is>
      </c>
    </row>
    <row r="29" ht="39.75" customHeight="1" s="104">
      <c r="A29" s="121" t="n">
        <v>25</v>
      </c>
      <c r="B29" s="122" t="inlineStr">
        <is>
          <t>Kyowa 協和医科器械</t>
        </is>
      </c>
      <c r="C29" s="123" t="inlineStr">
        <is>
          <t>Not started</t>
        </is>
      </c>
      <c r="D29" s="121" t="inlineStr">
        <is>
          <t>Shizuoka dealer</t>
        </is>
      </c>
      <c r="E29" s="121" t="inlineStr">
        <is>
          <t>Unknown</t>
        </is>
      </c>
      <c r="F29" s="121" t="inlineStr">
        <is>
          <t>Shizuoka</t>
        </is>
      </c>
      <c r="G29" s="121" t="inlineStr">
        <is>
          <t>kyowa-mi.co.jp</t>
        </is>
      </c>
      <c r="H29" s="121" t="inlineStr">
        <is>
          <t>via website</t>
        </is>
      </c>
      <c r="I29" s="121" t="inlineStr">
        <is>
          <t>Regional — Tokai/Shizuoka</t>
        </is>
      </c>
      <c r="J29" s="121" t="inlineStr">
        <is>
          <t>Open with SonoEye P3 + SonoBook 9; add QBit 5/CBit 4 carts once service is set up</t>
        </is>
      </c>
      <c r="K29" s="147" t="inlineStr">
        <is>
          <t>2</t>
        </is>
      </c>
      <c r="L29" s="121" t="inlineStr">
        <is>
          <t>Tier 2 — line card unqualified — ask first · verified domain.</t>
        </is>
      </c>
      <c r="M29" s="121" t="inlineStr">
        <is>
          <t>Directory (JAHID)</t>
        </is>
      </c>
      <c r="N29" s="145" t="inlineStr">
        <is>
          <t>CHISON ultrasound for Kyowa 協和医科器械: a line-card addition, with PMDA handled by us</t>
        </is>
      </c>
      <c r="O29" s="108" t="inlineStr">
        <is>
          <t>Dear Kyowa 協和医科器械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Shizuoka dealer.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29" s="108" t="inlineStr">
        <is>
          <t>Not published</t>
        </is>
      </c>
      <c r="Q29" s="108" t="inlineStr"/>
      <c r="R29" s="108" t="inlineStr"/>
      <c r="S29" s="108" t="inlineStr">
        <is>
          <t>No email published; website has no contact page link, phone first</t>
        </is>
      </c>
    </row>
    <row r="30" ht="39.75" customHeight="1" s="104">
      <c r="A30" s="121" t="n">
        <v>26</v>
      </c>
      <c r="B30" s="122" t="inlineStr">
        <is>
          <t>Astem アステム</t>
        </is>
      </c>
      <c r="C30" s="123" t="inlineStr">
        <is>
          <t>Not started</t>
        </is>
      </c>
      <c r="D30" s="121" t="inlineStr">
        <is>
          <t>Kyushu wholesale group (device div.)</t>
        </is>
      </c>
      <c r="E30" s="121" t="inlineStr">
        <is>
          <t>Unknown</t>
        </is>
      </c>
      <c r="F30" s="121" t="inlineStr">
        <is>
          <t>Oita</t>
        </is>
      </c>
      <c r="G30" s="121" t="inlineStr">
        <is>
          <t>astem-jp.com</t>
        </is>
      </c>
      <c r="H30" s="121" t="inlineStr">
        <is>
          <t>via website</t>
        </is>
      </c>
      <c r="I30" s="121" t="inlineStr">
        <is>
          <t>Regional — Kyushu</t>
        </is>
      </c>
      <c r="J30" s="121" t="inlineStr">
        <is>
          <t>Open with SonoEye P3 + SonoBook 9; add QBit 5/CBit 4 carts once service is set up</t>
        </is>
      </c>
      <c r="K30" s="147" t="inlineStr">
        <is>
          <t>2</t>
        </is>
      </c>
      <c r="L30" s="121" t="inlineStr">
        <is>
          <t>Tier 2 — line card unqualified — ask first · verified domain.</t>
        </is>
      </c>
      <c r="M30" s="121" t="inlineStr">
        <is>
          <t>Directory (JAHID)</t>
        </is>
      </c>
      <c r="N30" s="145" t="inlineStr">
        <is>
          <t>CHISON ultrasound for Astem アステム: a line-card addition, with PMDA handled by us</t>
        </is>
      </c>
      <c r="O30" s="108" t="inlineStr">
        <is>
          <t>Dear Astem アステム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Kyushu wholesale group (device div.), with coverage across Oita.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30" s="108" t="inlineStr">
        <is>
          <t>info@astem-jp.com</t>
        </is>
      </c>
      <c r="Q30" s="108" t="inlineStr"/>
      <c r="R30" s="108" t="inlineStr">
        <is>
          <t>https://astem-jp.com/</t>
        </is>
      </c>
      <c r="S30" s="108" t="inlineStr">
        <is>
          <t>Verified: published on company website</t>
        </is>
      </c>
    </row>
    <row r="31" ht="39.75" customHeight="1" s="104">
      <c r="A31" s="121" t="n">
        <v>27</v>
      </c>
      <c r="B31" s="122" t="inlineStr">
        <is>
          <t>Tokyo Daiyo 東京ダイヨー器械店</t>
        </is>
      </c>
      <c r="C31" s="123" t="inlineStr">
        <is>
          <t>Not started</t>
        </is>
      </c>
      <c r="D31" s="121" t="inlineStr">
        <is>
          <t>Tokyo dealer</t>
        </is>
      </c>
      <c r="E31" s="121" t="inlineStr">
        <is>
          <t>Unknown</t>
        </is>
      </c>
      <c r="F31" s="121" t="inlineStr">
        <is>
          <t>Tokyo</t>
        </is>
      </c>
      <c r="G31" s="121" t="inlineStr">
        <is>
          <t>https://tokyodaiyo.com/</t>
        </is>
      </c>
      <c r="H31" s="121" t="inlineStr">
        <is>
          <t>via website</t>
        </is>
      </c>
      <c r="I31" s="121" t="inlineStr">
        <is>
          <t>Metro dealer</t>
        </is>
      </c>
      <c r="J31" s="121" t="inlineStr">
        <is>
          <t>Open with SonoEye P3 + SonoBook 9; add QBit 5/CBit 4 carts once service is set up</t>
        </is>
      </c>
      <c r="K31" s="147" t="inlineStr">
        <is>
          <t>2</t>
        </is>
      </c>
      <c r="L31" s="121" t="inlineStr">
        <is>
          <t>Tier 2 — line card unqualified — ask first · no verified domain.</t>
        </is>
      </c>
      <c r="M31" s="121" t="inlineStr">
        <is>
          <t>Directory (JAHID)</t>
        </is>
      </c>
      <c r="N31" s="145" t="inlineStr">
        <is>
          <t>CHISON ultrasound for Tokyo Daiyo 東京ダイヨー器械店: a line-card addition, with PMDA handled by us</t>
        </is>
      </c>
      <c r="O31" s="108" t="inlineStr">
        <is>
          <t>Dear Tokyo Daiyo 東京ダイヨー器械店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 are one of the anchor dealers in Tokyo. A national line only reaches a region properly through a house of your standing, which is why I am writing to you directly rather than working outward from the capital.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31" s="108" t="inlineStr">
        <is>
          <t>info@tokyodaiyo.com</t>
        </is>
      </c>
      <c r="Q31" s="108" t="inlineStr"/>
      <c r="R31" s="108" t="inlineStr">
        <is>
          <t>https://tokyodaiyo.com/</t>
        </is>
      </c>
      <c r="S31" s="108" t="inlineStr">
        <is>
          <t>Verified: published on company website</t>
        </is>
      </c>
    </row>
    <row r="32" ht="39.75" customHeight="1" s="104">
      <c r="A32" s="121" t="n">
        <v>28</v>
      </c>
      <c r="B32" s="122" t="inlineStr">
        <is>
          <t>Adachi アダチ</t>
        </is>
      </c>
      <c r="C32" s="123" t="inlineStr">
        <is>
          <t>Not started</t>
        </is>
      </c>
      <c r="D32" s="121" t="inlineStr">
        <is>
          <t>Kyoto dealer (4 PMDA recs)</t>
        </is>
      </c>
      <c r="E32" s="121" t="inlineStr">
        <is>
          <t>Unknown</t>
        </is>
      </c>
      <c r="F32" s="121" t="inlineStr">
        <is>
          <t>Kyoto</t>
        </is>
      </c>
      <c r="G32" s="121" t="inlineStr">
        <is>
          <t>search: 株式会社アダチ 京都</t>
        </is>
      </c>
      <c r="H32" s="121" t="inlineStr">
        <is>
          <t>via website</t>
        </is>
      </c>
      <c r="I32" s="121" t="inlineStr">
        <is>
          <t>Kansai dealer w/ own approvals</t>
        </is>
      </c>
      <c r="J32" s="121" t="inlineStr">
        <is>
          <t>Open with SonoEye P3 + SonoBook 9; add QBit 5/CBit 4 carts once service is set up</t>
        </is>
      </c>
      <c r="K32" s="147" t="inlineStr">
        <is>
          <t>2</t>
        </is>
      </c>
      <c r="L32" s="121" t="inlineStr">
        <is>
          <t>Tier 2 — line card unqualified — ask first · no verified domain.</t>
        </is>
      </c>
      <c r="M32" s="121" t="inlineStr">
        <is>
          <t>Directory (JAHID)</t>
        </is>
      </c>
      <c r="N32" s="145" t="inlineStr">
        <is>
          <t>CHISON ultrasound for Adachi アダチ: a line-card addition, with PMDA handled by us</t>
        </is>
      </c>
      <c r="O32" s="108" t="inlineStr">
        <is>
          <t>Dear Adachi アダチ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Kyoto dealer.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32" s="108" t="inlineStr">
        <is>
          <t>Not published</t>
        </is>
      </c>
      <c r="Q32" s="108" t="inlineStr"/>
      <c r="R32" s="108" t="inlineStr"/>
      <c r="S32" s="108" t="inlineStr">
        <is>
          <t>No email published and no verified website found</t>
        </is>
      </c>
    </row>
    <row r="33" ht="39.75" customHeight="1" s="104">
      <c r="A33" s="121" t="n">
        <v>29</v>
      </c>
      <c r="B33" s="122" t="inlineStr">
        <is>
          <t>Sanwa Medical 三和メディカル</t>
        </is>
      </c>
      <c r="C33" s="123" t="inlineStr">
        <is>
          <t>Not started</t>
        </is>
      </c>
      <c r="D33" s="121" t="inlineStr">
        <is>
          <t>Hospital/clinic equipment dealer — JAHID member (line card to qualify on first call)</t>
        </is>
      </c>
      <c r="E33" s="121" t="inlineStr">
        <is>
          <t>Unknown</t>
        </is>
      </c>
      <c r="F33" s="121" t="inlineStr">
        <is>
          <t>Japan</t>
        </is>
      </c>
      <c r="G33" s="121" t="inlineStr">
        <is>
          <t>https://www.sanwamedical.co.jp/</t>
        </is>
      </c>
      <c r="H33" s="121" t="inlineStr">
        <is>
          <t>via website</t>
        </is>
      </c>
      <c r="I33" s="121" t="inlineStr">
        <is>
          <t>Qualify</t>
        </is>
      </c>
      <c r="J33" s="121" t="inlineStr">
        <is>
          <t>Open with SonoEye P3 + SonoBook 9; add QBit 5/CBit 4 carts once service is set up</t>
        </is>
      </c>
      <c r="K33" s="147" t="inlineStr">
        <is>
          <t>2</t>
        </is>
      </c>
      <c r="L33" s="121" t="inlineStr">
        <is>
          <t>Tier 2 — line card unqualified — ask first · no verified domain.</t>
        </is>
      </c>
      <c r="M33" s="121" t="inlineStr">
        <is>
          <t>Directory (JAHID)</t>
        </is>
      </c>
      <c r="N33" s="145" t="inlineStr">
        <is>
          <t>CHISON ultrasound for Sanwa Medical 三和メディカル: a line-card addition, with PMDA handled by us</t>
        </is>
      </c>
      <c r="O33" s="108" t="inlineStr">
        <is>
          <t>Dear Sanwa Medical 三和メディカル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33" s="108" t="inlineStr">
        <is>
          <t>post@sanwamedical.co.jp</t>
        </is>
      </c>
      <c r="Q33" s="108" t="inlineStr"/>
      <c r="R33" s="108" t="inlineStr">
        <is>
          <t>https://tomidaiganka.info/wp-content/uploads/2020/06/eyelink_vol_22.pdf</t>
        </is>
      </c>
      <c r="S33" s="108" t="inlineStr">
        <is>
          <t>Likely: indexed on company domain</t>
        </is>
      </c>
    </row>
    <row r="34" ht="39.75" customHeight="1" s="104">
      <c r="A34" s="121" t="n">
        <v>30</v>
      </c>
      <c r="B34" s="122" t="inlineStr">
        <is>
          <t>Air Water Link エア・ウォーター・リンク</t>
        </is>
      </c>
      <c r="C34" s="123" t="inlineStr">
        <is>
          <t>Not started</t>
        </is>
      </c>
      <c r="D34" s="121" t="inlineStr">
        <is>
          <t>Air Water group medical dealer</t>
        </is>
      </c>
      <c r="E34" s="121" t="inlineStr">
        <is>
          <t>Unknown</t>
        </is>
      </c>
      <c r="F34" s="121" t="inlineStr">
        <is>
          <t>Japan</t>
        </is>
      </c>
      <c r="G34" s="121" t="inlineStr">
        <is>
          <t>https://www.awlink.co.jp/</t>
        </is>
      </c>
      <c r="H34" s="121" t="inlineStr">
        <is>
          <t>via website</t>
        </is>
      </c>
      <c r="I34" s="121" t="inlineStr">
        <is>
          <t>Industrial-gas group backing; hospital infra channel</t>
        </is>
      </c>
      <c r="J34" s="121" t="inlineStr">
        <is>
          <t>Open with SonoEye P3 + SonoBook 9; add QBit 5/CBit 4 carts once service is set up</t>
        </is>
      </c>
      <c r="K34" s="147" t="inlineStr">
        <is>
          <t>2</t>
        </is>
      </c>
      <c r="L34" s="121" t="inlineStr">
        <is>
          <t>Tier 2 — line card unqualified — ask first · no verified domain.</t>
        </is>
      </c>
      <c r="M34" s="121" t="inlineStr">
        <is>
          <t>Directory (JAHID)</t>
        </is>
      </c>
      <c r="N34" s="145" t="inlineStr">
        <is>
          <t>CHISON ultrasound for Air Water Link エア・ウォーター・リンク: a line-card addition, with PMDA handled by us</t>
        </is>
      </c>
      <c r="O34" s="108" t="inlineStr">
        <is>
          <t>Dear Air Water Link エア・ウォーター・リンク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Air Water group medical dealer,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34" s="108" t="inlineStr">
        <is>
          <t>import@awlink.co.jp</t>
        </is>
      </c>
      <c r="Q34" s="108" t="inlineStr"/>
      <c r="R34" s="108" t="inlineStr">
        <is>
          <t>https://www.awlink.co.jp/contact/</t>
        </is>
      </c>
      <c r="S34" s="108" t="inlineStr">
        <is>
          <t>Verified: published on company website</t>
        </is>
      </c>
    </row>
    <row r="35" ht="39.75" customHeight="1" s="104">
      <c r="A35" s="121" t="n">
        <v>31</v>
      </c>
      <c r="B35" s="122" t="inlineStr">
        <is>
          <t>Crosswill Medical クロスウィルメディカル</t>
        </is>
      </c>
      <c r="C35" s="123" t="inlineStr">
        <is>
          <t>Not started</t>
        </is>
      </c>
      <c r="D35" s="121" t="inlineStr">
        <is>
          <t>Hospital/clinic equipment dealer — JAHID member (line card to qualify on first call)</t>
        </is>
      </c>
      <c r="E35" s="121" t="inlineStr">
        <is>
          <t>Unknown</t>
        </is>
      </c>
      <c r="F35" s="121" t="inlineStr">
        <is>
          <t>Japan</t>
        </is>
      </c>
      <c r="G35" s="121" t="inlineStr">
        <is>
          <t>https://crosswill.co.jp/</t>
        </is>
      </c>
      <c r="H35" s="121" t="inlineStr">
        <is>
          <t>via website</t>
        </is>
      </c>
      <c r="I35" s="121" t="inlineStr">
        <is>
          <t>Qualify</t>
        </is>
      </c>
      <c r="J35" s="121" t="inlineStr">
        <is>
          <t>Open with SonoEye P3 + SonoBook 9; add QBit 5/CBit 4 carts once service is set up</t>
        </is>
      </c>
      <c r="K35" s="148" t="inlineStr">
        <is>
          <t>3</t>
        </is>
      </c>
      <c r="L35" s="121" t="inlineStr">
        <is>
          <t>Tier 3 — line card unqualified — ask first · no verified domain.</t>
        </is>
      </c>
      <c r="M35" s="121" t="inlineStr">
        <is>
          <t>Directory (JAHID)</t>
        </is>
      </c>
      <c r="N35" s="145" t="inlineStr">
        <is>
          <t>CHISON ultrasound for Crosswill Medical クロスウィルメディカル: a line-card addition, with PMDA handled by us</t>
        </is>
      </c>
      <c r="O35" s="108" t="inlineStr">
        <is>
          <t>Dear Crosswill Medical クロスウィルメディカル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35" s="108" t="inlineStr">
        <is>
          <t>info@crosswill.co.jp</t>
        </is>
      </c>
      <c r="Q35" s="108" t="inlineStr">
        <is>
          <t>privacy@crosswill.co.jp</t>
        </is>
      </c>
      <c r="R35" s="108" t="inlineStr">
        <is>
          <t>https://crosswill.co.jp/company/profile.php</t>
        </is>
      </c>
      <c r="S35" s="108" t="inlineStr">
        <is>
          <t>Verified: published on company website</t>
        </is>
      </c>
    </row>
    <row r="36" ht="39.75" customHeight="1" s="104">
      <c r="A36" s="121" t="n">
        <v>32</v>
      </c>
      <c r="B36" s="122" t="inlineStr">
        <is>
          <t>Inomedics イノメディックス</t>
        </is>
      </c>
      <c r="C36" s="123" t="inlineStr">
        <is>
          <t>Not started</t>
        </is>
      </c>
      <c r="D36" s="121" t="inlineStr">
        <is>
          <t>Cardio dealer</t>
        </is>
      </c>
      <c r="E36" s="121" t="inlineStr">
        <is>
          <t>No known US line</t>
        </is>
      </c>
      <c r="F36" s="121" t="inlineStr">
        <is>
          <t>Tokyo</t>
        </is>
      </c>
      <c r="G36" s="121" t="inlineStr">
        <is>
          <t>inomedics.co.jp</t>
        </is>
      </c>
      <c r="H36" s="121" t="inlineStr">
        <is>
          <t>via website</t>
        </is>
      </c>
      <c r="I36" s="121" t="inlineStr">
        <is>
          <t>Cath-lab channel</t>
        </is>
      </c>
      <c r="J36" s="121" t="inlineStr">
        <is>
          <t>CBit 6 + SonoMax 7 cardiac config; SonoEye P5 phased-array pocket echo</t>
        </is>
      </c>
      <c r="K36" s="147" t="inlineStr">
        <is>
          <t>2</t>
        </is>
      </c>
      <c r="L36" s="121" t="inlineStr">
        <is>
          <t>Tier 2 — no competing ultrasound line · verified domain.</t>
        </is>
      </c>
      <c r="M36" s="121" t="inlineStr">
        <is>
          <t>Directory (JAHID)</t>
        </is>
      </c>
      <c r="N36" s="145" t="inlineStr">
        <is>
          <t>Adding an ultrasound line to Inomedics イノメディックス: CHISON CBit 6 and SonoMax 7</t>
        </is>
      </c>
      <c r="O36" s="108" t="inlineStr">
        <is>
          <t>Dear Inomedics イノメディックス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What you already have is the part we cannot build for ourselves: Cardio dealer. That is precisely the customer base diagnostic ultrasound sells into, and as far as I can establish you do not currently carry an ultrasound line.
Where CHISON fits your portfolio: ultrasound sells to the same buyer you already call on, on the same visit, so there is no new customer base to build. I would suggest starting here:
• CBit 6: mid-range cart built for cardiology, women's health and general radiology
• SonoMax 7: the flagship cart, carrying a full radiology, obstetric and cardiac workload
• SonoEye P5: phone and tablet connected high-frequency handheld for musculoskeletal work, vascular access and small parts
That is both ends of the range, from bedside handheld to hospital cart, and it adds an imaging modality to your line card without touching a single brand you currently represent.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36" s="108" t="inlineStr">
        <is>
          <t>Not published</t>
        </is>
      </c>
      <c r="Q36" s="108" t="inlineStr"/>
      <c r="R36" s="108" t="inlineStr"/>
      <c r="S36" s="108" t="inlineStr">
        <is>
          <t>No email published; website has no contact page link, phone first</t>
        </is>
      </c>
    </row>
    <row r="37" ht="39.75" customHeight="1" s="104">
      <c r="A37" s="121" t="n">
        <v>33</v>
      </c>
      <c r="B37" s="122" t="inlineStr">
        <is>
          <t>Medic メディック</t>
        </is>
      </c>
      <c r="C37" s="123" t="inlineStr">
        <is>
          <t>Not started</t>
        </is>
      </c>
      <c r="D37" s="121" t="inlineStr">
        <is>
          <t>Hospital/clinic equipment dealer — JAHID member (line card to qualify on first call)</t>
        </is>
      </c>
      <c r="E37" s="121" t="inlineStr">
        <is>
          <t>Unknown</t>
        </is>
      </c>
      <c r="F37" s="121" t="inlineStr">
        <is>
          <t>Japan</t>
        </is>
      </c>
      <c r="G37" s="121" t="inlineStr">
        <is>
          <t>http://www.medic-grp.co.jp/</t>
        </is>
      </c>
      <c r="H37" s="121" t="inlineStr">
        <is>
          <t>via website</t>
        </is>
      </c>
      <c r="I37" s="121" t="inlineStr">
        <is>
          <t>Qualify</t>
        </is>
      </c>
      <c r="J37" s="121" t="inlineStr">
        <is>
          <t>Open with SonoEye P3 + SonoBook 9; add QBit 5/CBit 4 carts once service is set up</t>
        </is>
      </c>
      <c r="K37" s="148" t="inlineStr">
        <is>
          <t>3</t>
        </is>
      </c>
      <c r="L37" s="121" t="inlineStr">
        <is>
          <t>Tier 3 — line card unqualified — ask first · no verified domain.</t>
        </is>
      </c>
      <c r="M37" s="121" t="inlineStr">
        <is>
          <t>Directory (JAHID)</t>
        </is>
      </c>
      <c r="N37" s="145" t="inlineStr">
        <is>
          <t>CHISON ultrasound for Medic メディック: a line-card addition, with PMDA handled by us</t>
        </is>
      </c>
      <c r="O37" s="108" t="inlineStr">
        <is>
          <t>Dear Medic メディック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37" s="108" t="inlineStr">
        <is>
          <t>s-soumu@medic-grp.co.jp</t>
        </is>
      </c>
      <c r="Q37" s="108" t="inlineStr"/>
      <c r="R37" s="108" t="inlineStr">
        <is>
          <t>https://www.gakujo.ne.jp/campus/company/baseinfo/32511/</t>
        </is>
      </c>
      <c r="S37" s="108" t="inlineStr">
        <is>
          <t>Likely: indexed on company domain</t>
        </is>
      </c>
    </row>
    <row r="38" ht="39.75" customHeight="1" s="104">
      <c r="A38" s="121" t="n">
        <v>34</v>
      </c>
      <c r="B38" s="122" t="inlineStr">
        <is>
          <t>ITI アイティーアイ</t>
        </is>
      </c>
      <c r="C38" s="123" t="inlineStr">
        <is>
          <t>Not started</t>
        </is>
      </c>
      <c r="D38" s="121" t="inlineStr">
        <is>
          <t>Hospital/clinic equipment dealer — JAHID member (line card to qualify on first call)</t>
        </is>
      </c>
      <c r="E38" s="121" t="inlineStr">
        <is>
          <t>Unknown</t>
        </is>
      </c>
      <c r="F38" s="121" t="inlineStr">
        <is>
          <t>Japan</t>
        </is>
      </c>
      <c r="G38" s="121" t="inlineStr">
        <is>
          <t>https://www.iti-e.co.jp/</t>
        </is>
      </c>
      <c r="H38" s="121" t="inlineStr">
        <is>
          <t>via website</t>
        </is>
      </c>
      <c r="I38" s="121" t="inlineStr">
        <is>
          <t>Qualify</t>
        </is>
      </c>
      <c r="J38" s="121" t="inlineStr">
        <is>
          <t>Open with SonoEye P3 + SonoBook 9; add QBit 5/CBit 4 carts once service is set up</t>
        </is>
      </c>
      <c r="K38" s="148" t="inlineStr">
        <is>
          <t>3</t>
        </is>
      </c>
      <c r="L38" s="121" t="inlineStr">
        <is>
          <t>Tier 3 — line card unqualified — ask first · no verified domain.</t>
        </is>
      </c>
      <c r="M38" s="121" t="inlineStr">
        <is>
          <t>Directory (JAHID)</t>
        </is>
      </c>
      <c r="N38" s="145" t="inlineStr">
        <is>
          <t>CHISON ultrasound for ITI アイティーアイ: a line-card addition, with PMDA handled by us</t>
        </is>
      </c>
      <c r="O38" s="108" t="inlineStr">
        <is>
          <t>Dear ITI アイティーアイ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38" s="108" t="inlineStr">
        <is>
          <t>recruit-info@iti-e.co.jp</t>
        </is>
      </c>
      <c r="Q38" s="108" t="inlineStr"/>
      <c r="R38" s="108" t="inlineStr">
        <is>
          <t>https://job.mynavi.jp/27/pc/search/corp218744/recruiting_course27031568/recruiting_course.html</t>
        </is>
      </c>
      <c r="S38" s="108" t="inlineStr">
        <is>
          <t>Likely: indexed on company domain; HR or recruitment inbox, ask to forward to sales</t>
        </is>
      </c>
    </row>
    <row r="39" ht="39.75" customHeight="1" s="104">
      <c r="A39" s="121" t="n">
        <v>35</v>
      </c>
      <c r="B39" s="122" t="inlineStr">
        <is>
          <t>MC エムシー</t>
        </is>
      </c>
      <c r="C39" s="123" t="inlineStr">
        <is>
          <t>Not started</t>
        </is>
      </c>
      <c r="D39" s="121" t="inlineStr">
        <is>
          <t>Hospital/clinic equipment dealer — JAHID member (line card to qualify on first call)</t>
        </is>
      </c>
      <c r="E39" s="121" t="inlineStr">
        <is>
          <t>Unknown</t>
        </is>
      </c>
      <c r="F39" s="121" t="inlineStr">
        <is>
          <t>Japan</t>
        </is>
      </c>
      <c r="G39" s="121" t="inlineStr">
        <is>
          <t>https://www.welcome-mc.co.jp/</t>
        </is>
      </c>
      <c r="H39" s="121" t="inlineStr">
        <is>
          <t>via website</t>
        </is>
      </c>
      <c r="I39" s="121" t="inlineStr">
        <is>
          <t>Qualify</t>
        </is>
      </c>
      <c r="J39" s="121" t="inlineStr">
        <is>
          <t>Open with SonoEye P3 + SonoBook 9; add QBit 5/CBit 4 carts once service is set up</t>
        </is>
      </c>
      <c r="K39" s="148" t="inlineStr">
        <is>
          <t>3</t>
        </is>
      </c>
      <c r="L39" s="121" t="inlineStr">
        <is>
          <t>Tier 3 — line card unqualified — ask first · no verified domain.</t>
        </is>
      </c>
      <c r="M39" s="121" t="inlineStr">
        <is>
          <t>Directory (JAHID)</t>
        </is>
      </c>
      <c r="N39" s="145" t="inlineStr">
        <is>
          <t>CHISON ultrasound for MC エムシー: a line-card addition, with PMDA handled by us</t>
        </is>
      </c>
      <c r="O39" s="108" t="inlineStr">
        <is>
          <t>Dear MC エムシー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39" s="108" t="inlineStr">
        <is>
          <t>Not published; use contact form</t>
        </is>
      </c>
      <c r="Q39" s="108" t="inlineStr"/>
      <c r="R39" s="108" t="inlineStr">
        <is>
          <t>https://www.welcome-mc.co.jp/contact/</t>
        </is>
      </c>
      <c r="S39" s="108" t="inlineStr">
        <is>
          <t>No email published; use the contact form (link in Email source)</t>
        </is>
      </c>
    </row>
    <row r="40" ht="39.75" customHeight="1" s="104">
      <c r="A40" s="121" t="n">
        <v>36</v>
      </c>
      <c r="B40" s="122" t="inlineStr">
        <is>
          <t>Medical Service メディカルサービス</t>
        </is>
      </c>
      <c r="C40" s="123" t="inlineStr">
        <is>
          <t>Not started</t>
        </is>
      </c>
      <c r="D40" s="121" t="inlineStr">
        <is>
          <t>Hospital/clinic equipment dealer — JAHID member (line card to qualify on first call)</t>
        </is>
      </c>
      <c r="E40" s="121" t="inlineStr">
        <is>
          <t>Unknown</t>
        </is>
      </c>
      <c r="F40" s="121" t="inlineStr">
        <is>
          <t>Japan</t>
        </is>
      </c>
      <c r="G40" s="121" t="inlineStr">
        <is>
          <t>http://www.medical-sv.jp/</t>
        </is>
      </c>
      <c r="H40" s="121" t="inlineStr">
        <is>
          <t>via website</t>
        </is>
      </c>
      <c r="I40" s="121" t="inlineStr">
        <is>
          <t>Qualify</t>
        </is>
      </c>
      <c r="J40" s="121" t="inlineStr">
        <is>
          <t>Open with SonoEye P3 + SonoBook 9; add QBit 5/CBit 4 carts once service is set up</t>
        </is>
      </c>
      <c r="K40" s="148" t="inlineStr">
        <is>
          <t>3</t>
        </is>
      </c>
      <c r="L40" s="121" t="inlineStr">
        <is>
          <t>Tier 3 — line card unqualified — ask first · no verified domain.</t>
        </is>
      </c>
      <c r="M40" s="121" t="inlineStr">
        <is>
          <t>Directory (JAHID)</t>
        </is>
      </c>
      <c r="N40" s="145" t="inlineStr">
        <is>
          <t>CHISON ultrasound for Medical Service メディカルサービス: a line-card addition, with PMDA handled by us</t>
        </is>
      </c>
      <c r="O40" s="108" t="inlineStr">
        <is>
          <t>Dear Medical Service メディカルサービス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40" s="108" t="inlineStr">
        <is>
          <t>ms.hirosaki@medical-sv.jp</t>
        </is>
      </c>
      <c r="Q40" s="108" t="inlineStr">
        <is>
          <t>ms.sendai@medical-sv.jp, ms.aomori@medical-sv.jp</t>
        </is>
      </c>
      <c r="R40" s="108" t="inlineStr">
        <is>
          <t>http://www.medical-sv.jp/about.html</t>
        </is>
      </c>
      <c r="S40" s="108" t="inlineStr">
        <is>
          <t>Verified: published on company website</t>
        </is>
      </c>
    </row>
    <row r="41" ht="39.75" customHeight="1" s="104">
      <c r="A41" s="121" t="n">
        <v>37</v>
      </c>
      <c r="B41" s="122" t="inlineStr">
        <is>
          <t>Medico メディコ</t>
        </is>
      </c>
      <c r="C41" s="123" t="inlineStr">
        <is>
          <t>Not started</t>
        </is>
      </c>
      <c r="D41" s="121" t="inlineStr">
        <is>
          <t>Hospital/clinic equipment dealer — JAHID member (line card to qualify on first call)</t>
        </is>
      </c>
      <c r="E41" s="121" t="inlineStr">
        <is>
          <t>Unknown</t>
        </is>
      </c>
      <c r="F41" s="121" t="inlineStr">
        <is>
          <t>Japan</t>
        </is>
      </c>
      <c r="G41" s="121" t="inlineStr">
        <is>
          <t>https://medieco.co.jp/</t>
        </is>
      </c>
      <c r="H41" s="121" t="inlineStr">
        <is>
          <t>via website</t>
        </is>
      </c>
      <c r="I41" s="121" t="inlineStr">
        <is>
          <t>Qualify</t>
        </is>
      </c>
      <c r="J41" s="121" t="inlineStr">
        <is>
          <t>Open with SonoEye P3 + SonoBook 9; add QBit 5/CBit 4 carts once service is set up</t>
        </is>
      </c>
      <c r="K41" s="148" t="inlineStr">
        <is>
          <t>3</t>
        </is>
      </c>
      <c r="L41" s="121" t="inlineStr">
        <is>
          <t>Tier 3 — line card unqualified — ask first · no verified domain.</t>
        </is>
      </c>
      <c r="M41" s="121" t="inlineStr">
        <is>
          <t>Directory (JAHID)</t>
        </is>
      </c>
      <c r="N41" s="145" t="inlineStr">
        <is>
          <t>CHISON ultrasound for Medico メディコ: a line-card addition, with PMDA handled by us</t>
        </is>
      </c>
      <c r="O41" s="108" t="inlineStr">
        <is>
          <t>Dear Medico メディコ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41" s="108" t="inlineStr">
        <is>
          <t>Not published; use contact form</t>
        </is>
      </c>
      <c r="Q41" s="108" t="inlineStr"/>
      <c r="R41" s="108" t="inlineStr">
        <is>
          <t>https://medieco.co.jp/contact/</t>
        </is>
      </c>
      <c r="S41" s="108" t="inlineStr">
        <is>
          <t>No email published; use the contact form (link in Email source)</t>
        </is>
      </c>
    </row>
    <row r="42" ht="39.75" customHeight="1" s="104">
      <c r="A42" s="121" t="n">
        <v>38</v>
      </c>
      <c r="B42" s="122" t="inlineStr">
        <is>
          <t>M.E. エム・イー</t>
        </is>
      </c>
      <c r="C42" s="123" t="inlineStr">
        <is>
          <t>Not started</t>
        </is>
      </c>
      <c r="D42" s="121" t="inlineStr">
        <is>
          <t>Hospital/clinic equipment dealer — JAHID member (line card to qualify on first call)</t>
        </is>
      </c>
      <c r="E42" s="121" t="inlineStr">
        <is>
          <t>Unknown</t>
        </is>
      </c>
      <c r="F42" s="121" t="inlineStr">
        <is>
          <t>Japan</t>
        </is>
      </c>
      <c r="G42" s="121" t="inlineStr">
        <is>
          <t>https://kkme.co.jp/</t>
        </is>
      </c>
      <c r="H42" s="121" t="inlineStr">
        <is>
          <t>via website</t>
        </is>
      </c>
      <c r="I42" s="121" t="inlineStr">
        <is>
          <t>Qualify</t>
        </is>
      </c>
      <c r="J42" s="121" t="inlineStr">
        <is>
          <t>Open with SonoEye P3 + SonoBook 9; add QBit 5/CBit 4 carts once service is set up</t>
        </is>
      </c>
      <c r="K42" s="148" t="inlineStr">
        <is>
          <t>3</t>
        </is>
      </c>
      <c r="L42" s="121" t="inlineStr">
        <is>
          <t>Tier 3 — line card unqualified — ask first · no verified domain.</t>
        </is>
      </c>
      <c r="M42" s="121" t="inlineStr">
        <is>
          <t>Directory (JAHID)</t>
        </is>
      </c>
      <c r="N42" s="145" t="inlineStr">
        <is>
          <t>CHISON ultrasound for M.E. エム・イー: a line-card addition, with PMDA handled by us</t>
        </is>
      </c>
      <c r="O42" s="108" t="inlineStr">
        <is>
          <t>Dear M.E. エム・イー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42" s="108" t="inlineStr">
        <is>
          <t>monika.iwabuchi@kkme.co.jp</t>
        </is>
      </c>
      <c r="Q42" s="108" t="inlineStr"/>
      <c r="R42" s="108" t="inlineStr">
        <is>
          <t>https://job.mynavi.jp/27/pc/search/corp112890/recruiting_course27016731/recruiting_course.html?site_preference=pc</t>
        </is>
      </c>
      <c r="S42" s="108" t="inlineStr">
        <is>
          <t>Likely: indexed on company domain</t>
        </is>
      </c>
    </row>
    <row r="43" ht="39.75" customHeight="1" s="104">
      <c r="A43" s="121" t="n">
        <v>39</v>
      </c>
      <c r="B43" s="122" t="inlineStr">
        <is>
          <t>Marubun Tsusho 丸文通商</t>
        </is>
      </c>
      <c r="C43" s="123" t="inlineStr">
        <is>
          <t>Not started</t>
        </is>
      </c>
      <c r="D43" s="121" t="inlineStr">
        <is>
          <t>Nagano dealer (distinct from Marubun Corp)</t>
        </is>
      </c>
      <c r="E43" s="121" t="inlineStr">
        <is>
          <t>Unknown</t>
        </is>
      </c>
      <c r="F43" s="121" t="inlineStr">
        <is>
          <t>Nagano</t>
        </is>
      </c>
      <c r="G43" s="121" t="inlineStr">
        <is>
          <t>marubun-tsusho.co.jp</t>
        </is>
      </c>
      <c r="H43" s="121" t="inlineStr">
        <is>
          <t>via website</t>
        </is>
      </c>
      <c r="I43" s="121" t="inlineStr">
        <is>
          <t>Regional — Shinshu</t>
        </is>
      </c>
      <c r="J43" s="121" t="inlineStr">
        <is>
          <t>SonoMax 7 + SonoPort for radiology; XBit 90 premium rooms</t>
        </is>
      </c>
      <c r="K43" s="147" t="inlineStr">
        <is>
          <t>2</t>
        </is>
      </c>
      <c r="L43" s="121" t="inlineStr">
        <is>
          <t>Tier 2 — line card unqualified — ask first · verified domain.</t>
        </is>
      </c>
      <c r="M43" s="121" t="inlineStr">
        <is>
          <t>Directory (JAHID)</t>
        </is>
      </c>
      <c r="N43" s="145" t="inlineStr">
        <is>
          <t>CHISON ultrasound for Marubun Tsusho 丸文通商: a line-card addition, with PMDA handled by us</t>
        </is>
      </c>
      <c r="O43" s="108" t="inlineStr">
        <is>
          <t>Dear Marubun Tsusho 丸文通商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Nagano dealer (distinct from Marubun Corp). That is a channel already calling on the departments that buy ultrasound.
Where CHISON fits your portfolio: your channel already reaches the departments that buy ultrasound, so this is a line-card addition rather than a new market. I would suggest starting here:
• SonoMax 7: the flagship cart, carrying a full radiology, obstetric and cardiac workload
• SonoPort: our new-generation intelligent cart, launched April 2026
• XBit 90: premium cart for departments that want high-end imaging without a high-end budget
That is a focused cart offer,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43" s="108" t="inlineStr">
        <is>
          <t>Not published</t>
        </is>
      </c>
      <c r="Q43" s="108" t="inlineStr"/>
      <c r="R43" s="108" t="inlineStr"/>
      <c r="S43" s="108" t="inlineStr">
        <is>
          <t>No email published; website has no contact page link, phone first</t>
        </is>
      </c>
    </row>
    <row r="44" ht="39.75" customHeight="1" s="104">
      <c r="A44" s="121" t="n">
        <v>40</v>
      </c>
      <c r="B44" s="122" t="inlineStr">
        <is>
          <t>UTM ユー・ティー・エム</t>
        </is>
      </c>
      <c r="C44" s="123" t="inlineStr">
        <is>
          <t>Not started</t>
        </is>
      </c>
      <c r="D44" s="121" t="inlineStr">
        <is>
          <t>Dealer w/ 6 PMDA records</t>
        </is>
      </c>
      <c r="E44" s="121" t="inlineStr">
        <is>
          <t>Unknown</t>
        </is>
      </c>
      <c r="F44" s="121" t="inlineStr">
        <is>
          <t>Japan</t>
        </is>
      </c>
      <c r="G44" s="121" t="inlineStr">
        <is>
          <t>https://www.utm-m.co.jp/</t>
        </is>
      </c>
      <c r="H44" s="121" t="inlineStr">
        <is>
          <t>via website</t>
        </is>
      </c>
      <c r="I44" s="121" t="inlineStr">
        <is>
          <t>Own approvals = import-capable</t>
        </is>
      </c>
      <c r="J44" s="121" t="inlineStr">
        <is>
          <t>Open with SonoEye P3 + SonoBook 9; add QBit 5/CBit 4 carts once service is set up</t>
        </is>
      </c>
      <c r="K44" s="147" t="inlineStr">
        <is>
          <t>2</t>
        </is>
      </c>
      <c r="L44" s="121" t="inlineStr">
        <is>
          <t>Tier 2 — line card unqualified — ask first · no verified domain.</t>
        </is>
      </c>
      <c r="M44" s="121" t="inlineStr">
        <is>
          <t>Directory (JAHID)</t>
        </is>
      </c>
      <c r="N44" s="145" t="inlineStr">
        <is>
          <t>CHISON ultrasound for UTM ユー・ティー・エム: a line-card addition, with PMDA handled by us</t>
        </is>
      </c>
      <c r="O44" s="108" t="inlineStr">
        <is>
          <t>Dear UTM ユー・ティー・エム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Dealer w/,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44" s="108" t="inlineStr">
        <is>
          <t>Not published; use contact form</t>
        </is>
      </c>
      <c r="Q44" s="108" t="inlineStr"/>
      <c r="R44" s="108" t="inlineStr">
        <is>
          <t>https://www.utm-m.co.jp/お問い合わせ/</t>
        </is>
      </c>
      <c r="S44" s="108" t="inlineStr">
        <is>
          <t>No email published; use the contact form (link in Email source)</t>
        </is>
      </c>
    </row>
    <row r="45" ht="39.75" customHeight="1" s="104">
      <c r="A45" s="121" t="n">
        <v>41</v>
      </c>
      <c r="B45" s="122" t="inlineStr">
        <is>
          <t>Sunmedix サンメディックス</t>
        </is>
      </c>
      <c r="C45" s="123" t="inlineStr">
        <is>
          <t>Not started</t>
        </is>
      </c>
      <c r="D45" s="121" t="inlineStr">
        <is>
          <t>Hospital/clinic equipment dealer — JAHID member (line card to qualify on first call)</t>
        </is>
      </c>
      <c r="E45" s="121" t="inlineStr">
        <is>
          <t>Unknown</t>
        </is>
      </c>
      <c r="F45" s="121" t="inlineStr">
        <is>
          <t>Japan</t>
        </is>
      </c>
      <c r="G45" s="121" t="inlineStr">
        <is>
          <t>https://www.sunmedix.co.jp/</t>
        </is>
      </c>
      <c r="H45" s="121" t="inlineStr">
        <is>
          <t>via website</t>
        </is>
      </c>
      <c r="I45" s="121" t="inlineStr">
        <is>
          <t>Qualify</t>
        </is>
      </c>
      <c r="J45" s="121" t="inlineStr">
        <is>
          <t>Open with SonoEye P3 + SonoBook 9; add QBit 5/CBit 4 carts once service is set up</t>
        </is>
      </c>
      <c r="K45" s="148" t="inlineStr">
        <is>
          <t>3</t>
        </is>
      </c>
      <c r="L45" s="121" t="inlineStr">
        <is>
          <t>Tier 3 — line card unqualified — ask first · no verified domain.</t>
        </is>
      </c>
      <c r="M45" s="121" t="inlineStr">
        <is>
          <t>Directory (JAHID)</t>
        </is>
      </c>
      <c r="N45" s="145" t="inlineStr">
        <is>
          <t>CHISON ultrasound for Sunmedix サンメディックス: a line-card addition, with PMDA handled by us</t>
        </is>
      </c>
      <c r="O45" s="108" t="inlineStr">
        <is>
          <t>Dear Sunmedix サンメディックス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45" s="108" t="inlineStr">
        <is>
          <t>midorija@sunmedix.co.jp</t>
        </is>
      </c>
      <c r="Q45" s="108" t="inlineStr">
        <is>
          <t>smx-recruit@sunmedix.co.jp</t>
        </is>
      </c>
      <c r="R45" s="108" t="inlineStr">
        <is>
          <t>https://www.midorija-sunmedix.net/</t>
        </is>
      </c>
      <c r="S45" s="108" t="inlineStr">
        <is>
          <t>Likely: indexed on company domain</t>
        </is>
      </c>
    </row>
    <row r="46" ht="39.75" customHeight="1" s="104">
      <c r="A46" s="121" t="n">
        <v>42</v>
      </c>
      <c r="B46" s="122" t="inlineStr">
        <is>
          <t>Heartlife ハートライフ</t>
        </is>
      </c>
      <c r="C46" s="123" t="inlineStr">
        <is>
          <t>Not started</t>
        </is>
      </c>
      <c r="D46" s="121" t="inlineStr">
        <is>
          <t>Hospital/clinic equipment dealer — JAHID member (line card to qualify on first call)</t>
        </is>
      </c>
      <c r="E46" s="121" t="inlineStr">
        <is>
          <t>Unknown</t>
        </is>
      </c>
      <c r="F46" s="121" t="inlineStr">
        <is>
          <t>Japan</t>
        </is>
      </c>
      <c r="G46" s="121" t="inlineStr">
        <is>
          <t>https://www.hlcg.co.jp/</t>
        </is>
      </c>
      <c r="H46" s="121" t="inlineStr">
        <is>
          <t>via website</t>
        </is>
      </c>
      <c r="I46" s="121" t="inlineStr">
        <is>
          <t>Cardio-named; qualify</t>
        </is>
      </c>
      <c r="J46" s="121" t="inlineStr">
        <is>
          <t>CBit 6 + SonoMax 7 cardiac config; SonoEye P5 phased-array pocket echo</t>
        </is>
      </c>
      <c r="K46" s="148" t="inlineStr">
        <is>
          <t>3</t>
        </is>
      </c>
      <c r="L46" s="121" t="inlineStr">
        <is>
          <t>Tier 3 — line card unqualified — ask first · no verified domain.</t>
        </is>
      </c>
      <c r="M46" s="121" t="inlineStr">
        <is>
          <t>Directory (JAHID)</t>
        </is>
      </c>
      <c r="N46" s="145" t="inlineStr">
        <is>
          <t>CHISON ultrasound for Heartlife ハートライフ: a line-card addition, with PMDA handled by us</t>
        </is>
      </c>
      <c r="O46" s="108" t="inlineStr">
        <is>
          <t>Dear Heartlife ハートライフ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CBit 6: mid-range cart built for cardiology, women's health and general radiology
• SonoMax 7: the flagship cart, carrying a full radiology, obstetric and cardiac workload
• SonoEye P5: phone and tablet connected high-frequency handheld for musculoskeletal work, vascular access and small parts
That is both ends of the range, from bedside handheld to hospital cart,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46" s="108" t="inlineStr">
        <is>
          <t>Not published; use contact form</t>
        </is>
      </c>
      <c r="Q46" s="108" t="inlineStr"/>
      <c r="R46" s="108" t="inlineStr">
        <is>
          <t>https://www.hlcg.co.jp/contact/</t>
        </is>
      </c>
      <c r="S46" s="108" t="inlineStr">
        <is>
          <t>No email published; use the contact form (link in Email source)</t>
        </is>
      </c>
    </row>
    <row r="47" ht="39.75" customHeight="1" s="104">
      <c r="A47" s="121" t="n">
        <v>43</v>
      </c>
      <c r="B47" s="122" t="inlineStr">
        <is>
          <t>Mast マスト</t>
        </is>
      </c>
      <c r="C47" s="123" t="inlineStr">
        <is>
          <t>Not started</t>
        </is>
      </c>
      <c r="D47" s="121" t="inlineStr">
        <is>
          <t>Hospital/clinic equipment dealer — JAHID member (line card to qualify on first call)</t>
        </is>
      </c>
      <c r="E47" s="121" t="inlineStr">
        <is>
          <t>Unknown</t>
        </is>
      </c>
      <c r="F47" s="121" t="inlineStr">
        <is>
          <t>Japan</t>
        </is>
      </c>
      <c r="G47" s="121" t="inlineStr">
        <is>
          <t>https://www.mast-iida.co.jp/</t>
        </is>
      </c>
      <c r="H47" s="121" t="inlineStr">
        <is>
          <t>via website</t>
        </is>
      </c>
      <c r="I47" s="121" t="inlineStr">
        <is>
          <t>Qualify</t>
        </is>
      </c>
      <c r="J47" s="121" t="inlineStr">
        <is>
          <t>Open with SonoEye P3 + SonoBook 9; add QBit 5/CBit 4 carts once service is set up</t>
        </is>
      </c>
      <c r="K47" s="148" t="inlineStr">
        <is>
          <t>3</t>
        </is>
      </c>
      <c r="L47" s="121" t="inlineStr">
        <is>
          <t>Tier 3 — line card unqualified — ask first · no verified domain.</t>
        </is>
      </c>
      <c r="M47" s="121" t="inlineStr">
        <is>
          <t>Directory (JAHID)</t>
        </is>
      </c>
      <c r="N47" s="145" t="inlineStr">
        <is>
          <t>CHISON ultrasound for Mast マスト: a line-card addition, with PMDA handled by us</t>
        </is>
      </c>
      <c r="O47" s="108" t="inlineStr">
        <is>
          <t>Dear Mast マスト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47" s="108" t="inlineStr">
        <is>
          <t>m.hara@mast-iida.co.jp</t>
        </is>
      </c>
      <c r="Q47" s="108" t="inlineStr"/>
      <c r="R47" s="108" t="inlineStr">
        <is>
          <t>https://www.mast-iida.co.jp/posts/dGyF7nOi</t>
        </is>
      </c>
      <c r="S47" s="108" t="inlineStr">
        <is>
          <t>Likely: indexed on company domain</t>
        </is>
      </c>
    </row>
    <row r="48" ht="39.75" customHeight="1" s="104">
      <c r="A48" s="121" t="n">
        <v>44</v>
      </c>
      <c r="B48" s="122" t="inlineStr">
        <is>
          <t>Fuji Ika Seiki 富士医科精器</t>
        </is>
      </c>
      <c r="C48" s="123" t="inlineStr">
        <is>
          <t>Not started</t>
        </is>
      </c>
      <c r="D48" s="121" t="inlineStr">
        <is>
          <t>Hospital/clinic equipment dealer — JAHID member (line card to qualify on first call)</t>
        </is>
      </c>
      <c r="E48" s="121" t="inlineStr">
        <is>
          <t>Unknown</t>
        </is>
      </c>
      <c r="F48" s="121" t="inlineStr">
        <is>
          <t>Japan</t>
        </is>
      </c>
      <c r="G48" s="121" t="inlineStr">
        <is>
          <t>https://www.fujiika.jp/</t>
        </is>
      </c>
      <c r="H48" s="121" t="inlineStr">
        <is>
          <t>via website</t>
        </is>
      </c>
      <c r="I48" s="121" t="inlineStr">
        <is>
          <t>Qualify</t>
        </is>
      </c>
      <c r="J48" s="121" t="inlineStr">
        <is>
          <t>Open with SonoEye P3 + SonoBook 9; add QBit 5/CBit 4 carts once service is set up</t>
        </is>
      </c>
      <c r="K48" s="148" t="inlineStr">
        <is>
          <t>3</t>
        </is>
      </c>
      <c r="L48" s="121" t="inlineStr">
        <is>
          <t>Tier 3 — line card unqualified — ask first · no verified domain.</t>
        </is>
      </c>
      <c r="M48" s="121" t="inlineStr">
        <is>
          <t>Directory (JAHID)</t>
        </is>
      </c>
      <c r="N48" s="145" t="inlineStr">
        <is>
          <t>CHISON ultrasound for Fuji Ika Seiki 富士医科精器: a line-card addition, with PMDA handled by us</t>
        </is>
      </c>
      <c r="O48" s="108" t="inlineStr">
        <is>
          <t>Dear Fuji Ika Seiki 富士医科精器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48" s="108" t="inlineStr">
        <is>
          <t>Not published; use contact form</t>
        </is>
      </c>
      <c r="Q48" s="108" t="inlineStr"/>
      <c r="R48" s="108" t="inlineStr">
        <is>
          <t>https://www.fujiika.jp/06_otoiawase/01_otoiawase.html</t>
        </is>
      </c>
      <c r="S48" s="108" t="inlineStr">
        <is>
          <t>No email published; use the contact form (link in Email source)</t>
        </is>
      </c>
    </row>
    <row r="49" ht="39.75" customHeight="1" s="104">
      <c r="A49" s="121" t="n">
        <v>45</v>
      </c>
      <c r="B49" s="122" t="inlineStr">
        <is>
          <t>I-Vision アイ・ビジョン</t>
        </is>
      </c>
      <c r="C49" s="123" t="inlineStr">
        <is>
          <t>Not started</t>
        </is>
      </c>
      <c r="D49" s="121" t="inlineStr">
        <is>
          <t>Dealer, 2 PMDA recs</t>
        </is>
      </c>
      <c r="E49" s="121" t="inlineStr">
        <is>
          <t>Unknown</t>
        </is>
      </c>
      <c r="F49" s="121" t="inlineStr">
        <is>
          <t>Japan</t>
        </is>
      </c>
      <c r="G49" s="121" t="inlineStr">
        <is>
          <t>https://eye-vision.co.jp/</t>
        </is>
      </c>
      <c r="H49" s="121" t="inlineStr">
        <is>
          <t>via website</t>
        </is>
      </c>
      <c r="I49" s="121" t="inlineStr">
        <is>
          <t>Qualify</t>
        </is>
      </c>
      <c r="J49" s="121" t="inlineStr">
        <is>
          <t>Open with SonoEye P3 + SonoBook 9; add QBit 5/CBit 4 carts once service is set up</t>
        </is>
      </c>
      <c r="K49" s="148" t="inlineStr">
        <is>
          <t>3</t>
        </is>
      </c>
      <c r="L49" s="121" t="inlineStr">
        <is>
          <t>Tier 3 — line card unqualified — ask first · no verified domain.</t>
        </is>
      </c>
      <c r="M49" s="121" t="inlineStr">
        <is>
          <t>Directory (JAHID)</t>
        </is>
      </c>
      <c r="N49" s="145" t="inlineStr">
        <is>
          <t>CHISON ultrasound for I-Vision アイ・ビジョン: a line-card addition, with PMDA handled by us</t>
        </is>
      </c>
      <c r="O49" s="108" t="inlineStr">
        <is>
          <t>Dear I-Vision アイ・ビジョン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Dealer, 2 PMDA recs,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49" s="108" t="inlineStr">
        <is>
          <t>Not published; use contact form</t>
        </is>
      </c>
      <c r="Q49" s="108" t="inlineStr"/>
      <c r="R49" s="108" t="inlineStr">
        <is>
          <t>https://eye-vision.co.jp/contact/</t>
        </is>
      </c>
      <c r="S49" s="108" t="inlineStr">
        <is>
          <t>No email published; use the contact form (link in Email source)</t>
        </is>
      </c>
    </row>
    <row r="50" ht="39.75" customHeight="1" s="104">
      <c r="A50" s="121" t="n">
        <v>46</v>
      </c>
      <c r="B50" s="122" t="inlineStr">
        <is>
          <t>Kyoto Medical Design 京都医療設計</t>
        </is>
      </c>
      <c r="C50" s="123" t="inlineStr">
        <is>
          <t>Not started</t>
        </is>
      </c>
      <c r="D50" s="121" t="inlineStr">
        <is>
          <t>Dealer, 2 PMDA recs</t>
        </is>
      </c>
      <c r="E50" s="121" t="inlineStr">
        <is>
          <t>Unknown</t>
        </is>
      </c>
      <c r="F50" s="121" t="inlineStr">
        <is>
          <t>Kyoto</t>
        </is>
      </c>
      <c r="G50" s="121" t="inlineStr">
        <is>
          <t>https://www.kyoto-mp.co.jp/</t>
        </is>
      </c>
      <c r="H50" s="121" t="inlineStr">
        <is>
          <t>via website</t>
        </is>
      </c>
      <c r="I50" s="121" t="inlineStr">
        <is>
          <t>Qualify</t>
        </is>
      </c>
      <c r="J50" s="121" t="inlineStr">
        <is>
          <t>Open with SonoEye P3 + SonoBook 9; add QBit 5/CBit 4 carts once service is set up</t>
        </is>
      </c>
      <c r="K50" s="148" t="inlineStr">
        <is>
          <t>3</t>
        </is>
      </c>
      <c r="L50" s="121" t="inlineStr">
        <is>
          <t>Tier 3 — line card unqualified — ask first · no verified domain.</t>
        </is>
      </c>
      <c r="M50" s="121" t="inlineStr">
        <is>
          <t>Directory (JAHID)</t>
        </is>
      </c>
      <c r="N50" s="145" t="inlineStr">
        <is>
          <t>CHISON ultrasound for Kyoto Medical Design 京都医療設計: a line-card addition, with PMDA handled by us</t>
        </is>
      </c>
      <c r="O50" s="108" t="inlineStr">
        <is>
          <t>Dear Kyoto Medical Design 京都医療設計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Dealer, 2 PMDA recs, with coverage across Kyoto.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50" s="108" t="inlineStr">
        <is>
          <t>hr@kyoto-mp.co.jp</t>
        </is>
      </c>
      <c r="Q50" s="108" t="inlineStr"/>
      <c r="R50" s="108" t="inlineStr">
        <is>
          <t>https://www.kyoto-mp.co.jp/employment/</t>
        </is>
      </c>
      <c r="S50" s="108" t="inlineStr">
        <is>
          <t>Verified: published on company website; HR or recruitment inbox, ask to forward to sales</t>
        </is>
      </c>
    </row>
    <row r="51" ht="39.75" customHeight="1" s="104">
      <c r="A51" s="121" t="n">
        <v>47</v>
      </c>
      <c r="B51" s="122" t="inlineStr">
        <is>
          <t>Hayashidera Medinol 林寺メディノール</t>
        </is>
      </c>
      <c r="C51" s="123" t="inlineStr">
        <is>
          <t>Not started</t>
        </is>
      </c>
      <c r="D51" s="121" t="inlineStr">
        <is>
          <t>Hokuriku dealer, 2 PMDA recs</t>
        </is>
      </c>
      <c r="E51" s="121" t="inlineStr">
        <is>
          <t>Unknown</t>
        </is>
      </c>
      <c r="F51" s="121" t="inlineStr">
        <is>
          <t>Kanazawa</t>
        </is>
      </c>
      <c r="G51" s="121" t="inlineStr">
        <is>
          <t>https://www.hayashidera.com/</t>
        </is>
      </c>
      <c r="H51" s="121" t="inlineStr">
        <is>
          <t>via website</t>
        </is>
      </c>
      <c r="I51" s="121" t="inlineStr">
        <is>
          <t>Regional — Hokuriku</t>
        </is>
      </c>
      <c r="J51" s="121" t="inlineStr">
        <is>
          <t>Open with SonoEye P3 + SonoBook 9; add QBit 5/CBit 4 carts once service is set up</t>
        </is>
      </c>
      <c r="K51" s="148" t="inlineStr">
        <is>
          <t>3</t>
        </is>
      </c>
      <c r="L51" s="121" t="inlineStr">
        <is>
          <t>Tier 3 — line card unqualified — ask first · no verified domain.</t>
        </is>
      </c>
      <c r="M51" s="121" t="inlineStr">
        <is>
          <t>Directory (JAHID)</t>
        </is>
      </c>
      <c r="N51" s="145" t="inlineStr">
        <is>
          <t>CHISON ultrasound for Hayashidera Medinol 林寺メディノール: a line-card addition, with PMDA handled by us</t>
        </is>
      </c>
      <c r="O51" s="108" t="inlineStr">
        <is>
          <t>Dear Hayashidera Medinol 林寺メディノール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Hokuriku dealer, 2 PMDA recs, with coverage across Kanazawa.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51" s="108" t="inlineStr">
        <is>
          <t>Not published; use contact form</t>
        </is>
      </c>
      <c r="Q51" s="108" t="inlineStr"/>
      <c r="R51" s="108" t="inlineStr">
        <is>
          <t>https://www.hayashidera.com/contact/</t>
        </is>
      </c>
      <c r="S51" s="108" t="inlineStr">
        <is>
          <t>No email published; use the contact form (link in Email source)</t>
        </is>
      </c>
    </row>
    <row r="52" ht="39.75" customHeight="1" s="104">
      <c r="A52" s="121" t="n">
        <v>48</v>
      </c>
      <c r="B52" s="122" t="inlineStr">
        <is>
          <t>Az Science アズサイエンス</t>
        </is>
      </c>
      <c r="C52" s="123" t="inlineStr">
        <is>
          <t>Not started</t>
        </is>
      </c>
      <c r="D52" s="121" t="inlineStr">
        <is>
          <t>Nagano dealer</t>
        </is>
      </c>
      <c r="E52" s="121" t="inlineStr">
        <is>
          <t>Unknown</t>
        </is>
      </c>
      <c r="F52" s="121" t="inlineStr">
        <is>
          <t>Nagano</t>
        </is>
      </c>
      <c r="G52" s="121" t="inlineStr">
        <is>
          <t>azscience.jp</t>
        </is>
      </c>
      <c r="H52" s="121" t="inlineStr">
        <is>
          <t>via website</t>
        </is>
      </c>
      <c r="I52" s="121" t="inlineStr">
        <is>
          <t>Regional — Shinshu</t>
        </is>
      </c>
      <c r="J52" s="121" t="inlineStr">
        <is>
          <t>Open with SonoEye P3 + SonoBook 9; add QBit 5/CBit 4 carts once service is set up</t>
        </is>
      </c>
      <c r="K52" s="148" t="inlineStr">
        <is>
          <t>3</t>
        </is>
      </c>
      <c r="L52" s="121" t="inlineStr">
        <is>
          <t>Tier 3 — line card unqualified — ask first · verified domain.</t>
        </is>
      </c>
      <c r="M52" s="121" t="inlineStr">
        <is>
          <t>Directory (JAHID)</t>
        </is>
      </c>
      <c r="N52" s="145" t="inlineStr">
        <is>
          <t>CHISON ultrasound for Az Science アズサイエンス: a line-card addition, with PMDA handled by us</t>
        </is>
      </c>
      <c r="O52" s="108" t="inlineStr">
        <is>
          <t>Dear Az Science アズサイエンス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Nagano dealer.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52" s="108" t="inlineStr">
        <is>
          <t>Not published; use contact form</t>
        </is>
      </c>
      <c r="Q52" s="108" t="inlineStr"/>
      <c r="R52" s="108" t="inlineStr">
        <is>
          <t>https://www.azscience.jp/contact/</t>
        </is>
      </c>
      <c r="S52" s="108" t="inlineStr">
        <is>
          <t>No email published; use the contact form (link in Email source)</t>
        </is>
      </c>
    </row>
    <row r="53" ht="39.75" customHeight="1" s="104">
      <c r="A53" s="121" t="n">
        <v>49</v>
      </c>
      <c r="B53" s="122" t="inlineStr">
        <is>
          <t>Tesco テスコ</t>
        </is>
      </c>
      <c r="C53" s="123" t="inlineStr">
        <is>
          <t>Not started</t>
        </is>
      </c>
      <c r="D53" s="121" t="inlineStr">
        <is>
          <t>Hospital/clinic equipment dealer — JAHID member (line card to qualify on first call)</t>
        </is>
      </c>
      <c r="E53" s="121" t="inlineStr">
        <is>
          <t>Unknown</t>
        </is>
      </c>
      <c r="F53" s="121" t="inlineStr">
        <is>
          <t>Japan</t>
        </is>
      </c>
      <c r="G53" s="121" t="inlineStr">
        <is>
          <t>http://www.tesco-j.co.jp/</t>
        </is>
      </c>
      <c r="H53" s="121" t="inlineStr">
        <is>
          <t>via website</t>
        </is>
      </c>
      <c r="I53" s="121" t="inlineStr">
        <is>
          <t>Qualify</t>
        </is>
      </c>
      <c r="J53" s="121" t="inlineStr">
        <is>
          <t>Open with SonoEye P3 + SonoBook 9; add QBit 5/CBit 4 carts once service is set up</t>
        </is>
      </c>
      <c r="K53" s="148" t="inlineStr">
        <is>
          <t>3</t>
        </is>
      </c>
      <c r="L53" s="121" t="inlineStr">
        <is>
          <t>Tier 3 — line card unqualified — ask first · no verified domain.</t>
        </is>
      </c>
      <c r="M53" s="121" t="inlineStr">
        <is>
          <t>Directory (JAHID)</t>
        </is>
      </c>
      <c r="N53" s="145" t="inlineStr">
        <is>
          <t>CHISON ultrasound for Tesco テスコ: a line-card addition, with PMDA handled by us</t>
        </is>
      </c>
      <c r="O53" s="108" t="inlineStr">
        <is>
          <t>Dear Tesco テスコ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53" s="108" t="inlineStr">
        <is>
          <t>hori@tesco-j.co.jp</t>
        </is>
      </c>
      <c r="Q53" s="108" t="inlineStr">
        <is>
          <t>itakura@tesco-j.co.jp</t>
        </is>
      </c>
      <c r="R53" s="108" t="inlineStr">
        <is>
          <t>http://www.tesco-j.co.jp/privacy/index.html</t>
        </is>
      </c>
      <c r="S53" s="108" t="inlineStr">
        <is>
          <t>Verified: published on company website</t>
        </is>
      </c>
    </row>
    <row r="54" ht="39.75" customHeight="1" s="104">
      <c r="A54" s="121" t="n">
        <v>50</v>
      </c>
      <c r="B54" s="122" t="inlineStr">
        <is>
          <t>Makoto Ika Seiki マコト医科精機</t>
        </is>
      </c>
      <c r="C54" s="123" t="inlineStr">
        <is>
          <t>Not started</t>
        </is>
      </c>
      <c r="D54" s="121" t="inlineStr">
        <is>
          <t>Hospital/clinic equipment dealer — JAHID member (line card to qualify on first call)</t>
        </is>
      </c>
      <c r="E54" s="121" t="inlineStr">
        <is>
          <t>Unknown</t>
        </is>
      </c>
      <c r="F54" s="121" t="inlineStr">
        <is>
          <t>Japan</t>
        </is>
      </c>
      <c r="G54" s="121" t="inlineStr">
        <is>
          <t>https://www.makotomc.co.jp/</t>
        </is>
      </c>
      <c r="H54" s="121" t="inlineStr">
        <is>
          <t>via website</t>
        </is>
      </c>
      <c r="I54" s="121" t="inlineStr">
        <is>
          <t>Qualify</t>
        </is>
      </c>
      <c r="J54" s="121" t="inlineStr">
        <is>
          <t>Open with SonoEye P3 + SonoBook 9; add QBit 5/CBit 4 carts once service is set up</t>
        </is>
      </c>
      <c r="K54" s="148" t="inlineStr">
        <is>
          <t>3</t>
        </is>
      </c>
      <c r="L54" s="121" t="inlineStr">
        <is>
          <t>Tier 3 — line card unqualified — ask first · no verified domain.</t>
        </is>
      </c>
      <c r="M54" s="121" t="inlineStr">
        <is>
          <t>Directory (JAHID)</t>
        </is>
      </c>
      <c r="N54" s="145" t="inlineStr">
        <is>
          <t>CHISON ultrasound for Makoto Ika Seiki マコト医科精機: a line-card addition, with PMDA handled by us</t>
        </is>
      </c>
      <c r="O54" s="108" t="inlineStr">
        <is>
          <t>Dear Makoto Ika Seiki マコト医科精機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54" s="108" t="inlineStr">
        <is>
          <t>Not published; use contact form</t>
        </is>
      </c>
      <c r="Q54" s="108" t="inlineStr"/>
      <c r="R54" s="108" t="inlineStr">
        <is>
          <t>https://www.makotomc.co.jp/contact-us</t>
        </is>
      </c>
      <c r="S54" s="108" t="inlineStr">
        <is>
          <t>No email published; use the contact form (link in Email source)</t>
        </is>
      </c>
    </row>
    <row r="55" ht="39.75" customHeight="1" s="104">
      <c r="A55" s="121" t="n">
        <v>51</v>
      </c>
      <c r="B55" s="122" t="inlineStr">
        <is>
          <t>Yayoi やよい</t>
        </is>
      </c>
      <c r="C55" s="123" t="inlineStr">
        <is>
          <t>Not started</t>
        </is>
      </c>
      <c r="D55" s="121" t="inlineStr">
        <is>
          <t>Hospital/clinic equipment dealer — JAHID member (line card to qualify on first call)</t>
        </is>
      </c>
      <c r="E55" s="121" t="inlineStr">
        <is>
          <t>Unknown</t>
        </is>
      </c>
      <c r="F55" s="121" t="inlineStr">
        <is>
          <t>Japan</t>
        </is>
      </c>
      <c r="G55" s="121" t="inlineStr">
        <is>
          <t>http://www.kk-yayoi.co.jp/</t>
        </is>
      </c>
      <c r="H55" s="121" t="inlineStr">
        <is>
          <t>via website</t>
        </is>
      </c>
      <c r="I55" s="121" t="inlineStr">
        <is>
          <t>Qualify</t>
        </is>
      </c>
      <c r="J55" s="121" t="inlineStr">
        <is>
          <t>Open with SonoEye P3 + SonoBook 9; add QBit 5/CBit 4 carts once service is set up</t>
        </is>
      </c>
      <c r="K55" s="148" t="inlineStr">
        <is>
          <t>3</t>
        </is>
      </c>
      <c r="L55" s="121" t="inlineStr">
        <is>
          <t>Tier 3 — line card unqualified — ask first · no verified domain.</t>
        </is>
      </c>
      <c r="M55" s="121" t="inlineStr">
        <is>
          <t>Directory (JAHID)</t>
        </is>
      </c>
      <c r="N55" s="145" t="inlineStr">
        <is>
          <t>CHISON ultrasound for Yayoi やよい: a line-card addition, with PMDA handled by us</t>
        </is>
      </c>
      <c r="O55" s="108" t="inlineStr">
        <is>
          <t>Dear Yayoi やよい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55" s="108" t="inlineStr">
        <is>
          <t>info@kk-yayoi.co.jp</t>
        </is>
      </c>
      <c r="Q55" s="108" t="inlineStr"/>
      <c r="R55" s="108" t="inlineStr">
        <is>
          <t>http://www.kk-yayoi.co.jp/contact/</t>
        </is>
      </c>
      <c r="S55" s="108" t="inlineStr">
        <is>
          <t>Verified: published on company website</t>
        </is>
      </c>
    </row>
    <row r="56" ht="39.75" customHeight="1" s="104">
      <c r="A56" s="121" t="n">
        <v>52</v>
      </c>
      <c r="B56" s="122" t="inlineStr">
        <is>
          <t>Astec アステック</t>
        </is>
      </c>
      <c r="C56" s="123" t="inlineStr">
        <is>
          <t>Not started</t>
        </is>
      </c>
      <c r="D56" s="121" t="inlineStr">
        <is>
          <t>Hospital/clinic equipment dealer — JAHID member (line card to qualify on first call)</t>
        </is>
      </c>
      <c r="E56" s="121" t="inlineStr">
        <is>
          <t>Unknown</t>
        </is>
      </c>
      <c r="F56" s="121" t="inlineStr">
        <is>
          <t>Japan</t>
        </is>
      </c>
      <c r="G56" s="121" t="inlineStr">
        <is>
          <t>https://www.astec-corp.co.jp/</t>
        </is>
      </c>
      <c r="H56" s="121" t="inlineStr">
        <is>
          <t>via website</t>
        </is>
      </c>
      <c r="I56" s="121" t="inlineStr">
        <is>
          <t>Qualify</t>
        </is>
      </c>
      <c r="J56" s="121" t="inlineStr">
        <is>
          <t>Open with SonoEye P3 + SonoBook 9; add QBit 5/CBit 4 carts once service is set up</t>
        </is>
      </c>
      <c r="K56" s="148" t="inlineStr">
        <is>
          <t>3</t>
        </is>
      </c>
      <c r="L56" s="121" t="inlineStr">
        <is>
          <t>Tier 3 — line card unqualified — ask first · no verified domain.</t>
        </is>
      </c>
      <c r="M56" s="121" t="inlineStr">
        <is>
          <t>Directory (JAHID)</t>
        </is>
      </c>
      <c r="N56" s="145" t="inlineStr">
        <is>
          <t>CHISON ultrasound for Astec アステック: a line-card addition, with PMDA handled by us</t>
        </is>
      </c>
      <c r="O56" s="108" t="inlineStr">
        <is>
          <t>Dear Astec アステック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56" s="108" t="inlineStr">
        <is>
          <t>saiyo@astec-corp.co.jp</t>
        </is>
      </c>
      <c r="Q56" s="108" t="inlineStr"/>
      <c r="R56" s="108" t="inlineStr">
        <is>
          <t>https://www.astec-corp.co.jp/category/information/feed</t>
        </is>
      </c>
      <c r="S56" s="108" t="inlineStr">
        <is>
          <t>Verified: published on company website; HR or recruitment inbox, ask to forward to sales</t>
        </is>
      </c>
    </row>
    <row r="57" ht="39.75" customHeight="1" s="104">
      <c r="A57" s="121" t="n">
        <v>53</v>
      </c>
      <c r="B57" s="122" t="inlineStr">
        <is>
          <t>Mitas ミタス</t>
        </is>
      </c>
      <c r="C57" s="123" t="inlineStr">
        <is>
          <t>Not started</t>
        </is>
      </c>
      <c r="D57" s="121" t="inlineStr">
        <is>
          <t>Hospital/clinic equipment dealer — JAHID member (line card to qualify on first call)</t>
        </is>
      </c>
      <c r="E57" s="121" t="inlineStr">
        <is>
          <t>Unknown</t>
        </is>
      </c>
      <c r="F57" s="121" t="inlineStr">
        <is>
          <t>Japan</t>
        </is>
      </c>
      <c r="G57" s="121" t="inlineStr">
        <is>
          <t>https://www.mitas-inc.co.jp/</t>
        </is>
      </c>
      <c r="H57" s="121" t="inlineStr">
        <is>
          <t>via website</t>
        </is>
      </c>
      <c r="I57" s="121" t="inlineStr">
        <is>
          <t>Qualify</t>
        </is>
      </c>
      <c r="J57" s="121" t="inlineStr">
        <is>
          <t>Open with SonoEye P3 + SonoBook 9; add QBit 5/CBit 4 carts once service is set up</t>
        </is>
      </c>
      <c r="K57" s="148" t="inlineStr">
        <is>
          <t>3</t>
        </is>
      </c>
      <c r="L57" s="121" t="inlineStr">
        <is>
          <t>Tier 3 — line card unqualified — ask first · no verified domain.</t>
        </is>
      </c>
      <c r="M57" s="121" t="inlineStr">
        <is>
          <t>Directory (JAHID)</t>
        </is>
      </c>
      <c r="N57" s="145" t="inlineStr">
        <is>
          <t>CHISON ultrasound for Mitas ミタス: a line-card addition, with PMDA handled by us</t>
        </is>
      </c>
      <c r="O57" s="108" t="inlineStr">
        <is>
          <t>Dear Mitas ミタス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57" s="108" t="inlineStr">
        <is>
          <t>lifecare@mitas-inc.co.jp</t>
        </is>
      </c>
      <c r="Q57" s="108" t="inlineStr">
        <is>
          <t>recruit@mitas-inc.co.jp</t>
        </is>
      </c>
      <c r="R57" s="108" t="inlineStr">
        <is>
          <t>https://www.ansin-do.jp/about/</t>
        </is>
      </c>
      <c r="S57" s="108" t="inlineStr">
        <is>
          <t>Likely: indexed on company domain</t>
        </is>
      </c>
    </row>
    <row r="58" ht="39.75" customHeight="1" s="104">
      <c r="A58" s="121" t="n">
        <v>54</v>
      </c>
      <c r="B58" s="122" t="inlineStr">
        <is>
          <t>Medis メディス</t>
        </is>
      </c>
      <c r="C58" s="123" t="inlineStr">
        <is>
          <t>Not started</t>
        </is>
      </c>
      <c r="D58" s="121" t="inlineStr">
        <is>
          <t>Hospital/clinic equipment dealer — JAHID member (line card to qualify on first call)</t>
        </is>
      </c>
      <c r="E58" s="121" t="inlineStr">
        <is>
          <t>Unknown</t>
        </is>
      </c>
      <c r="F58" s="121" t="inlineStr">
        <is>
          <t>Japan</t>
        </is>
      </c>
      <c r="G58" s="121" t="inlineStr">
        <is>
          <t>https://www.medis.bz/</t>
        </is>
      </c>
      <c r="H58" s="121" t="inlineStr">
        <is>
          <t>via website</t>
        </is>
      </c>
      <c r="I58" s="121" t="inlineStr">
        <is>
          <t>Qualify</t>
        </is>
      </c>
      <c r="J58" s="121" t="inlineStr">
        <is>
          <t>Open with SonoEye P3 + SonoBook 9; add QBit 5/CBit 4 carts once service is set up</t>
        </is>
      </c>
      <c r="K58" s="148" t="inlineStr">
        <is>
          <t>3</t>
        </is>
      </c>
      <c r="L58" s="121" t="inlineStr">
        <is>
          <t>Tier 3 — line card unqualified — ask first · no verified domain.</t>
        </is>
      </c>
      <c r="M58" s="121" t="inlineStr">
        <is>
          <t>Directory (JAHID)</t>
        </is>
      </c>
      <c r="N58" s="145" t="inlineStr">
        <is>
          <t>CHISON ultrasound for Medis メディス: a line-card addition, with PMDA handled by us</t>
        </is>
      </c>
      <c r="O58" s="108" t="inlineStr">
        <is>
          <t>Dear Medis メディス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58" s="108" t="inlineStr">
        <is>
          <t>Not published</t>
        </is>
      </c>
      <c r="Q58" s="108" t="inlineStr"/>
      <c r="R58" s="108" t="inlineStr"/>
      <c r="S58" s="108" t="inlineStr">
        <is>
          <t>No email published; website has no contact page link, phone first</t>
        </is>
      </c>
    </row>
    <row r="59" ht="39.75" customHeight="1" s="104">
      <c r="A59" s="121" t="n">
        <v>55</v>
      </c>
      <c r="B59" s="122" t="inlineStr">
        <is>
          <t>Miwa Kikai 三輪器械</t>
        </is>
      </c>
      <c r="C59" s="123" t="inlineStr">
        <is>
          <t>Not started</t>
        </is>
      </c>
      <c r="D59" s="121" t="inlineStr">
        <is>
          <t>Hospital/clinic equipment dealer — JAHID member (line card to qualify on first call)</t>
        </is>
      </c>
      <c r="E59" s="121" t="inlineStr">
        <is>
          <t>Unknown</t>
        </is>
      </c>
      <c r="F59" s="121" t="inlineStr">
        <is>
          <t>Japan</t>
        </is>
      </c>
      <c r="G59" s="121" t="inlineStr">
        <is>
          <t>https://www.kk-miwa.co.jp/</t>
        </is>
      </c>
      <c r="H59" s="121" t="inlineStr">
        <is>
          <t>via website</t>
        </is>
      </c>
      <c r="I59" s="121" t="inlineStr">
        <is>
          <t>Qualify</t>
        </is>
      </c>
      <c r="J59" s="121" t="inlineStr">
        <is>
          <t>Open with SonoEye P3 + SonoBook 9; add QBit 5/CBit 4 carts once service is set up</t>
        </is>
      </c>
      <c r="K59" s="148" t="inlineStr">
        <is>
          <t>3</t>
        </is>
      </c>
      <c r="L59" s="121" t="inlineStr">
        <is>
          <t>Tier 3 — line card unqualified — ask first · no verified domain.</t>
        </is>
      </c>
      <c r="M59" s="121" t="inlineStr">
        <is>
          <t>Directory (JAHID)</t>
        </is>
      </c>
      <c r="N59" s="145" t="inlineStr">
        <is>
          <t>CHISON ultrasound for Miwa Kikai 三輪器械: a line-card addition, with PMDA handled by us</t>
        </is>
      </c>
      <c r="O59" s="108" t="inlineStr">
        <is>
          <t>Dear Miwa Kikai 三輪器械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59" s="108" t="inlineStr">
        <is>
          <t>jinji@kk-miwa.co.jp</t>
        </is>
      </c>
      <c r="Q59" s="108" t="inlineStr"/>
      <c r="R59" s="108" t="inlineStr">
        <is>
          <t>https://job.mynavi.jp/27/pc/search/corp279322/recruiting_course27012290/recruiting_course.html?func=corpinfo</t>
        </is>
      </c>
      <c r="S59" s="108" t="inlineStr">
        <is>
          <t>Likely: indexed on company domain; HR or recruitment inbox, ask to forward to sales</t>
        </is>
      </c>
    </row>
    <row r="60" ht="39.75" customHeight="1" s="104">
      <c r="A60" s="121" t="n">
        <v>56</v>
      </c>
      <c r="B60" s="122" t="inlineStr">
        <is>
          <t>Sanyo 三陽</t>
        </is>
      </c>
      <c r="C60" s="123" t="inlineStr">
        <is>
          <t>Not started</t>
        </is>
      </c>
      <c r="D60" s="121" t="inlineStr">
        <is>
          <t>Hospital/clinic equipment dealer — JAHID member (line card to qualify on first call)</t>
        </is>
      </c>
      <c r="E60" s="121" t="inlineStr">
        <is>
          <t>Unknown</t>
        </is>
      </c>
      <c r="F60" s="121" t="inlineStr">
        <is>
          <t>Japan</t>
        </is>
      </c>
      <c r="G60" s="121" t="inlineStr">
        <is>
          <t>http://www.med-sanyo.com/</t>
        </is>
      </c>
      <c r="H60" s="121" t="inlineStr">
        <is>
          <t>via website</t>
        </is>
      </c>
      <c r="I60" s="121" t="inlineStr">
        <is>
          <t>Qualify</t>
        </is>
      </c>
      <c r="J60" s="121" t="inlineStr">
        <is>
          <t>Open with SonoEye P3 + SonoBook 9; add QBit 5/CBit 4 carts once service is set up</t>
        </is>
      </c>
      <c r="K60" s="148" t="inlineStr">
        <is>
          <t>3</t>
        </is>
      </c>
      <c r="L60" s="121" t="inlineStr">
        <is>
          <t>Tier 3 — line card unqualified — ask first · no verified domain.</t>
        </is>
      </c>
      <c r="M60" s="121" t="inlineStr">
        <is>
          <t>Directory (JAHID)</t>
        </is>
      </c>
      <c r="N60" s="145" t="inlineStr">
        <is>
          <t>CHISON ultrasound for Sanyo 三陽: a line-card addition, with PMDA handled by us</t>
        </is>
      </c>
      <c r="O60" s="108" t="inlineStr">
        <is>
          <t>Dear Sanyo 三陽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60" s="108" t="inlineStr">
        <is>
          <t>urata@med-sanyo.com</t>
        </is>
      </c>
      <c r="Q60" s="108" t="inlineStr">
        <is>
          <t>kumada@med-sanyo.com</t>
        </is>
      </c>
      <c r="R60" s="108" t="inlineStr">
        <is>
          <t>https://jp.indeed.com/viewjob?jk=733ec008df286c21</t>
        </is>
      </c>
      <c r="S60" s="108" t="inlineStr">
        <is>
          <t>Likely: indexed on company domain</t>
        </is>
      </c>
    </row>
    <row r="61" ht="39.75" customHeight="1" s="104">
      <c r="A61" s="121" t="n">
        <v>57</v>
      </c>
      <c r="B61" s="122" t="inlineStr">
        <is>
          <t>Nagoya Irika 名古屋医理科商会</t>
        </is>
      </c>
      <c r="C61" s="123" t="inlineStr">
        <is>
          <t>Not started</t>
        </is>
      </c>
      <c r="D61" s="121" t="inlineStr">
        <is>
          <t>Hospital/clinic equipment dealer — JAHID member (line card to qualify on first call)</t>
        </is>
      </c>
      <c r="E61" s="121" t="inlineStr">
        <is>
          <t>Unknown</t>
        </is>
      </c>
      <c r="F61" s="121" t="inlineStr">
        <is>
          <t>Nagoya</t>
        </is>
      </c>
      <c r="G61" s="121" t="inlineStr">
        <is>
          <t>https://www.irika.co.jp/</t>
        </is>
      </c>
      <c r="H61" s="121" t="inlineStr">
        <is>
          <t>via website</t>
        </is>
      </c>
      <c r="I61" s="121" t="inlineStr">
        <is>
          <t>Tokai-region dealer</t>
        </is>
      </c>
      <c r="J61" s="121" t="inlineStr">
        <is>
          <t>Open with SonoEye P3 + SonoBook 9; add QBit 5/CBit 4 carts once service is set up</t>
        </is>
      </c>
      <c r="K61" s="148" t="inlineStr">
        <is>
          <t>3</t>
        </is>
      </c>
      <c r="L61" s="121" t="inlineStr">
        <is>
          <t>Tier 3 — line card unqualified — ask first · no verified domain.</t>
        </is>
      </c>
      <c r="M61" s="121" t="inlineStr">
        <is>
          <t>Directory (JAHID)</t>
        </is>
      </c>
      <c r="N61" s="145" t="inlineStr">
        <is>
          <t>CHISON ultrasound for Nagoya Irika 名古屋医理科商会: a line-card addition, with PMDA handled by us</t>
        </is>
      </c>
      <c r="O61" s="108" t="inlineStr">
        <is>
          <t>Dear Nagoya Irika 名古屋医理科商会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Nagoya.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61" s="108" t="inlineStr">
        <is>
          <t>Not published</t>
        </is>
      </c>
      <c r="Q61" s="108" t="inlineStr"/>
      <c r="R61" s="108" t="inlineStr"/>
      <c r="S61" s="108" t="inlineStr">
        <is>
          <t>No email published; website has no contact page link, phone first</t>
        </is>
      </c>
    </row>
    <row r="62" ht="39.75" customHeight="1" s="104">
      <c r="A62" s="121" t="n">
        <v>58</v>
      </c>
      <c r="B62" s="122" t="inlineStr">
        <is>
          <t>Shiga 志賀医科器械店</t>
        </is>
      </c>
      <c r="C62" s="123" t="inlineStr">
        <is>
          <t>Not started</t>
        </is>
      </c>
      <c r="D62" s="121" t="inlineStr">
        <is>
          <t>Hospital/clinic equipment dealer — JAHID member (line card to qualify on first call)</t>
        </is>
      </c>
      <c r="E62" s="121" t="inlineStr">
        <is>
          <t>Unknown</t>
        </is>
      </c>
      <c r="F62" s="121" t="inlineStr">
        <is>
          <t>Kumamoto (verify)</t>
        </is>
      </c>
      <c r="G62" s="121" t="inlineStr">
        <is>
          <t>https://shigaika.com/</t>
        </is>
      </c>
      <c r="H62" s="121" t="inlineStr">
        <is>
          <t>via website</t>
        </is>
      </c>
      <c r="I62" s="121" t="inlineStr">
        <is>
          <t>Kyushu-region dealer</t>
        </is>
      </c>
      <c r="J62" s="121" t="inlineStr">
        <is>
          <t>Open with SonoEye P3 + SonoBook 9; add QBit 5/CBit 4 carts once service is set up</t>
        </is>
      </c>
      <c r="K62" s="148" t="inlineStr">
        <is>
          <t>3</t>
        </is>
      </c>
      <c r="L62" s="121" t="inlineStr">
        <is>
          <t>Tier 3 — line card unqualified — ask first · no verified domain.</t>
        </is>
      </c>
      <c r="M62" s="121" t="inlineStr">
        <is>
          <t>Directory (JAHID)</t>
        </is>
      </c>
      <c r="N62" s="145" t="inlineStr">
        <is>
          <t>CHISON ultrasound for Shiga 志賀医科器械店: a line-card addition, with PMDA handled by us</t>
        </is>
      </c>
      <c r="O62" s="108" t="inlineStr">
        <is>
          <t>Dear Shiga 志賀医科器械店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Kumamoto (verify).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62" s="108" t="inlineStr">
        <is>
          <t>shigaika@shigaika.com</t>
        </is>
      </c>
      <c r="Q62" s="108" t="inlineStr"/>
      <c r="R62" s="108" t="inlineStr">
        <is>
          <t>https://shigaika.com/contact</t>
        </is>
      </c>
      <c r="S62" s="108" t="inlineStr">
        <is>
          <t>Verified: published on company website</t>
        </is>
      </c>
    </row>
    <row r="63" ht="39.75" customHeight="1" s="104">
      <c r="A63" s="121" t="n">
        <v>59</v>
      </c>
      <c r="B63" s="122" t="inlineStr">
        <is>
          <t>Maruki 丸木医科器械</t>
        </is>
      </c>
      <c r="C63" s="123" t="inlineStr">
        <is>
          <t>Not started</t>
        </is>
      </c>
      <c r="D63" s="121" t="inlineStr">
        <is>
          <t>Hospital/clinic equipment dealer — JAHID member (line card to qualify on first call)</t>
        </is>
      </c>
      <c r="E63" s="121" t="inlineStr">
        <is>
          <t>Unknown</t>
        </is>
      </c>
      <c r="F63" s="121" t="inlineStr">
        <is>
          <t>Japan</t>
        </is>
      </c>
      <c r="G63" s="121" t="inlineStr">
        <is>
          <t>https://maruki-ms.co.jp/</t>
        </is>
      </c>
      <c r="H63" s="121" t="inlineStr">
        <is>
          <t>via website</t>
        </is>
      </c>
      <c r="I63" s="121" t="inlineStr">
        <is>
          <t>Qualify</t>
        </is>
      </c>
      <c r="J63" s="121" t="inlineStr">
        <is>
          <t>Open with SonoEye P3 + SonoBook 9; add QBit 5/CBit 4 carts once service is set up</t>
        </is>
      </c>
      <c r="K63" s="148" t="inlineStr">
        <is>
          <t>3</t>
        </is>
      </c>
      <c r="L63" s="121" t="inlineStr">
        <is>
          <t>Tier 3 — line card unqualified — ask first · no verified domain.</t>
        </is>
      </c>
      <c r="M63" s="121" t="inlineStr">
        <is>
          <t>Directory (JAHID)</t>
        </is>
      </c>
      <c r="N63" s="145" t="inlineStr">
        <is>
          <t>CHISON ultrasound for Maruki 丸木医科器械: a line-card addition, with PMDA handled by us</t>
        </is>
      </c>
      <c r="O63" s="108" t="inlineStr">
        <is>
          <t>Dear Maruki 丸木医科器械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63" s="108" t="inlineStr">
        <is>
          <t>stomacare@maruki-ms.co.jp</t>
        </is>
      </c>
      <c r="Q63" s="108" t="inlineStr">
        <is>
          <t>jinji@maruki-ms.co.jp</t>
        </is>
      </c>
      <c r="R63" s="108" t="inlineStr">
        <is>
          <t>http://maruki-stomacare.com/?mode=sk</t>
        </is>
      </c>
      <c r="S63" s="108" t="inlineStr">
        <is>
          <t>Likely: indexed on company domain</t>
        </is>
      </c>
    </row>
    <row r="64" ht="39.75" customHeight="1" s="104">
      <c r="A64" s="121" t="n">
        <v>60</v>
      </c>
      <c r="B64" s="122" t="inlineStr">
        <is>
          <t>Goyo 五洋医療器</t>
        </is>
      </c>
      <c r="C64" s="123" t="inlineStr">
        <is>
          <t>Not started</t>
        </is>
      </c>
      <c r="D64" s="121" t="inlineStr">
        <is>
          <t>Hospital/clinic equipment dealer — JAHID member (line card to qualify on first call)</t>
        </is>
      </c>
      <c r="E64" s="121" t="inlineStr">
        <is>
          <t>Unknown</t>
        </is>
      </c>
      <c r="F64" s="121" t="inlineStr">
        <is>
          <t>Japan</t>
        </is>
      </c>
      <c r="G64" s="121" t="inlineStr">
        <is>
          <t>https://www.goyoh-medical.jp/</t>
        </is>
      </c>
      <c r="H64" s="121" t="inlineStr">
        <is>
          <t>via website</t>
        </is>
      </c>
      <c r="I64" s="121" t="inlineStr">
        <is>
          <t>Qualify</t>
        </is>
      </c>
      <c r="J64" s="121" t="inlineStr">
        <is>
          <t>Open with SonoEye P3 + SonoBook 9; add QBit 5/CBit 4 carts once service is set up</t>
        </is>
      </c>
      <c r="K64" s="148" t="inlineStr">
        <is>
          <t>3</t>
        </is>
      </c>
      <c r="L64" s="121" t="inlineStr">
        <is>
          <t>Tier 3 — line card unqualified — ask first · no verified domain.</t>
        </is>
      </c>
      <c r="M64" s="121" t="inlineStr">
        <is>
          <t>Directory (JAHID)</t>
        </is>
      </c>
      <c r="N64" s="145" t="inlineStr">
        <is>
          <t>CHISON ultrasound for Goyo 五洋医療器: a line-card addition, with PMDA handled by us</t>
        </is>
      </c>
      <c r="O64" s="108" t="inlineStr">
        <is>
          <t>Dear Goyo 五洋医療器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64" s="108" t="inlineStr">
        <is>
          <t>h-ookubo@goyoh-medical.jp</t>
        </is>
      </c>
      <c r="Q64" s="108" t="inlineStr">
        <is>
          <t>rose_field@goyoh-medical.jp, goyoh-hr@goyoh-medical.jp</t>
        </is>
      </c>
      <c r="R64" s="108" t="inlineStr">
        <is>
          <t>https://www.kansai.meti.go.jp/2-4bio/KRIC/touroku_leaflets/goyoh_medical.pdf</t>
        </is>
      </c>
      <c r="S64" s="108" t="inlineStr">
        <is>
          <t>Likely: indexed on company domain</t>
        </is>
      </c>
    </row>
    <row r="65" ht="39.75" customHeight="1" s="104">
      <c r="A65" s="121" t="n">
        <v>61</v>
      </c>
      <c r="B65" s="122" t="inlineStr">
        <is>
          <t>MM Corporation ＭＭコーポレーション</t>
        </is>
      </c>
      <c r="C65" s="123" t="inlineStr">
        <is>
          <t>Not started</t>
        </is>
      </c>
      <c r="D65" s="121" t="inlineStr">
        <is>
          <t>Hospital/clinic equipment dealer — JAHID member (line card to qualify on first call)</t>
        </is>
      </c>
      <c r="E65" s="121" t="inlineStr">
        <is>
          <t>Unknown</t>
        </is>
      </c>
      <c r="F65" s="121" t="inlineStr">
        <is>
          <t>Japan</t>
        </is>
      </c>
      <c r="G65" s="121" t="inlineStr">
        <is>
          <t>https://www.mm-corp.co.jp/</t>
        </is>
      </c>
      <c r="H65" s="121" t="inlineStr">
        <is>
          <t>via website</t>
        </is>
      </c>
      <c r="I65" s="121" t="inlineStr">
        <is>
          <t>Qualify</t>
        </is>
      </c>
      <c r="J65" s="121" t="inlineStr">
        <is>
          <t>Open with SonoEye P3 + SonoBook 9; add QBit 5/CBit 4 carts once service is set up</t>
        </is>
      </c>
      <c r="K65" s="148" t="inlineStr">
        <is>
          <t>3</t>
        </is>
      </c>
      <c r="L65" s="121" t="inlineStr">
        <is>
          <t>Tier 3 — line card unqualified — ask first · no verified domain.</t>
        </is>
      </c>
      <c r="M65" s="121" t="inlineStr">
        <is>
          <t>Directory (JAHID)</t>
        </is>
      </c>
      <c r="N65" s="145" t="inlineStr">
        <is>
          <t>CHISON ultrasound for MM Corporation ＭＭコーポレーション: a line-card addition, with PMDA handled by us</t>
        </is>
      </c>
      <c r="O65" s="108" t="inlineStr">
        <is>
          <t>Dear MM Corporation ＭＭコーポレーション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Hospital/clinic equipment dealer, JAHID member,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65" s="108" t="inlineStr">
        <is>
          <t>Not published; use contact form</t>
        </is>
      </c>
      <c r="Q65" s="108" t="inlineStr"/>
      <c r="R65" s="108" t="inlineStr">
        <is>
          <t>https://www.mm-corp.co.jp/inquiry.html</t>
        </is>
      </c>
      <c r="S65" s="108" t="inlineStr">
        <is>
          <t>No email published; use the contact form (link in Email source)</t>
        </is>
      </c>
    </row>
    <row r="66" ht="39.75" customHeight="1" s="104">
      <c r="A66" s="121" t="n">
        <v>62</v>
      </c>
      <c r="B66" s="122" t="inlineStr">
        <is>
          <t>JAHID 日本医療機器販売業協会</t>
        </is>
      </c>
      <c r="C66" s="123" t="inlineStr">
        <is>
          <t>Not started</t>
        </is>
      </c>
      <c r="D66" s="121" t="inlineStr">
        <is>
          <t>Dealer trade association — full member roster</t>
        </is>
      </c>
      <c r="E66" s="121" t="inlineStr">
        <is>
          <t>Resource</t>
        </is>
      </c>
      <c r="F66" s="121" t="inlineStr">
        <is>
          <t>Tokyo</t>
        </is>
      </c>
      <c r="G66" s="121" t="inlineStr">
        <is>
          <t>jahid.or.jp</t>
        </is>
      </c>
      <c r="H66" s="121" t="inlineStr">
        <is>
          <t>via website</t>
        </is>
      </c>
      <c r="I66" s="121" t="inlineStr">
        <is>
          <t>Master source for every regional dealer</t>
        </is>
      </c>
      <c r="J66" s="121" t="inlineStr">
        <is>
          <t>— (channel resource — no product pitch)</t>
        </is>
      </c>
      <c r="K66" s="148" t="inlineStr">
        <is>
          <t>3-Resource</t>
        </is>
      </c>
      <c r="L66" s="121" t="inlineStr">
        <is>
          <t>Resource — association, expo, registry or directory used to source more leads, not a company to pitch.</t>
        </is>
      </c>
      <c r="M66" s="121" t="inlineStr">
        <is>
          <t>From search</t>
        </is>
      </c>
      <c r="N66" s="145" t="inlineStr">
        <is>
          <t>Membership and member directory enquiry: AstraMed Healthcare (CHISON ultrasound)</t>
        </is>
      </c>
      <c r="O66" s="108" t="inlineStr">
        <is>
          <t>Dear JAHID 日本医療機器販売業協会 Secretariat,
I am Casper Tan, Senior Regional Sales Manager at AstraMed Healthcare, the CHISON Medical Technologies subsidiary responsible for this region. We are establishing distribution in Japan this year. CHISON has manufactured diagnostic ultrasound in Wuxi, China since 1996 and sells into more than 100 countries, with CE and US FDA clearance.
I have two requests, if I may. First, could you tell me what membership involves for a company in our position, including category, criteria, annual fee and the access it carries? Second, is the member directory available to members or to the trade, and does the association run any programme introducing overseas manufacturers to member distributors?
We are looking for a small number of serious partners rather than broad coverage, so any guidance on the appropriate route would be very welcome.
Best regards,
Casper Tan
Senior Regional Sales Manager
AstraMed Healthcare, a subsidiary of CHISON Medical Technologies</t>
        </is>
      </c>
      <c r="P66" s="108" t="inlineStr">
        <is>
          <t>info@jahid.or.jp</t>
        </is>
      </c>
      <c r="Q66" s="108" t="inlineStr"/>
      <c r="R66" s="108" t="inlineStr">
        <is>
          <t>https://jahid.or.jp/contact</t>
        </is>
      </c>
      <c r="S66" s="108" t="inlineStr">
        <is>
          <t>Verified: published on company website</t>
        </is>
      </c>
    </row>
    <row r="67" ht="39.75" customHeight="1" s="104">
      <c r="A67" s="121" t="n">
        <v>63</v>
      </c>
      <c r="B67" s="122" t="inlineStr">
        <is>
          <t>Canon Medical (OEM relationship)</t>
        </is>
      </c>
      <c r="C67" s="123" t="inlineStr">
        <is>
          <t>Not started</t>
        </is>
      </c>
      <c r="D67" s="121" t="inlineStr">
        <is>
          <t>CHISON ODM partner — brand-trust bridge</t>
        </is>
      </c>
      <c r="E67" s="121" t="inlineStr">
        <is>
          <t>Competitor/Partner</t>
        </is>
      </c>
      <c r="F67" s="121" t="inlineStr">
        <is>
          <t>Tochigi</t>
        </is>
      </c>
      <c r="G67" s="121" t="inlineStr">
        <is>
          <t>global.medical.canon</t>
        </is>
      </c>
      <c r="H67" s="121" t="inlineStr">
        <is>
          <t>—</t>
        </is>
      </c>
      <c r="I67" s="121" t="inlineStr">
        <is>
          <t>Handle via HQ; frames JP entry as access not tech</t>
        </is>
      </c>
      <c r="J67" s="121" t="inlineStr">
        <is>
          <t>—</t>
        </is>
      </c>
      <c r="K67" s="149" t="inlineStr">
        <is>
          <t>REF</t>
        </is>
      </c>
      <c r="L67" s="121" t="inlineStr">
        <is>
          <t>REF — competitor or brand subsidiary. Awareness only, not an outreach target.</t>
        </is>
      </c>
      <c r="M67" s="121" t="inlineStr">
        <is>
          <t>Knowledge</t>
        </is>
      </c>
      <c r="N67" s="150" t="inlineStr">
        <is>
          <t>REF row: not an outreach target</t>
        </is>
      </c>
      <c r="O67" s="150" t="inlineStr">
        <is>
          <t>No outreach email. This row is a competitor, brand subsidiary or local manufacturer, kept in the workbook for market awareness and price benchmarking only. Reference note from the list: Handle via HQ; frames JP entry as access not tech</t>
        </is>
      </c>
      <c r="P67" s="150" t="inlineStr">
        <is>
          <t>inquiry@hk.medical.canon</t>
        </is>
      </c>
      <c r="Q67" s="150" t="inlineStr"/>
      <c r="R67" s="150" t="inlineStr">
        <is>
          <t>https://global.medical.canon/contact/</t>
        </is>
      </c>
      <c r="S67" s="150" t="inlineStr">
        <is>
          <t>Verified: published on company website</t>
        </is>
      </c>
    </row>
    <row r="68" ht="39.75" customHeight="1" s="104">
      <c r="A68" s="121" t="n">
        <v>64</v>
      </c>
      <c r="B68" s="122" t="inlineStr">
        <is>
          <t>Green Medical グリーンメディカル</t>
        </is>
      </c>
      <c r="C68" s="123" t="inlineStr">
        <is>
          <t>Not started</t>
        </is>
      </c>
      <c r="D68" s="121" t="inlineStr">
        <is>
          <t>Ultrasound-specialist dealer — new/used Aloka, Canon, GE, Philips systems</t>
        </is>
      </c>
      <c r="E68" s="121" t="inlineStr">
        <is>
          <t>Yes — multi-brand US</t>
        </is>
      </c>
      <c r="F68" s="121" t="inlineStr">
        <is>
          <t>Japan</t>
        </is>
      </c>
      <c r="G68" s="121" t="inlineStr">
        <is>
          <t>green-medical.jp</t>
        </is>
      </c>
      <c r="H68" s="121" t="inlineStr">
        <is>
          <t>via website</t>
        </is>
      </c>
      <c r="I68" s="121" t="inlineStr">
        <is>
          <t>US-native dealer, no single-brand lock — SonoGO/SonoMax refresh pitch to its installed base</t>
        </is>
      </c>
      <c r="J68" s="121" t="inlineStr">
        <is>
          <t>SonoGO (3-in-1) + SonoMax 7 refresh pitch to their Aloka/Canon installed base; EBit 50 for their used-market buyers</t>
        </is>
      </c>
      <c r="K68" s="147" t="inlineStr">
        <is>
          <t>2</t>
        </is>
      </c>
      <c r="L68" s="121" t="inlineStr">
        <is>
          <t>green-medical.jp is a USED / REFURBISHED medical equipment trader (中古医療機器の販売・買取) — it buys and resells second-hand systems rather than building a new brand, which is why its line card reads 'multi-brand US'. Wrong business model for a new-distributor appointment, so not 'contact first'. Kept at Tier 2 rather than dropped because their customers are price-sensitive clinics — the same buyer CHISON's value tier targets — and a trade-in/upgrade play is worth one qualifying call.</t>
        </is>
      </c>
      <c r="M68" s="121" t="inlineStr">
        <is>
          <t>Prior list v3 ✓site</t>
        </is>
      </c>
      <c r="N68" s="145" t="inlineStr">
        <is>
          <t>CHISON ultrasound for Green Medical グリーンメディカル: a line-card addition, with PMDA handled by us</t>
        </is>
      </c>
      <c r="O68" s="108" t="inlineStr">
        <is>
          <t>Dear Green Medical グリーンメディカル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position in this category is already established: Ultrasound-specialist dealer, new/used Aloka, Canon, GE, Philips systems. You will therefore assess a new line faster than most, and on the criteria that actually matter: image quality, probe life and service turnaround.
Where CHISON fits your portfolio: you already sell ultrasound, so this is a second-brand question rather than a new-category question. CHISON is priced to win the accounts your current line is too expensive for:
• SonoGO: launched July 2026, the first 3-in-1 platform, working as tablet, laptop and trolley in one system with SonoAI on board
• SonoMax 7: the flagship cart, carrying a full radiology, obstetric and cardiac workload
• EBit 50: the value laptop that opens price-sensitive clinic accounts
That gives you a portable and a cart option from the same brand. If you let me know which brand you carry today, I will show you exactly where CHISON sits against it rather than take up your time on a general presentation.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68" s="108" t="inlineStr">
        <is>
          <t>Not published; use contact form</t>
        </is>
      </c>
      <c r="Q68" s="108" t="inlineStr"/>
      <c r="R68" s="108" t="inlineStr">
        <is>
          <t>https://www.green-medical.jp/inquiry/general</t>
        </is>
      </c>
      <c r="S68" s="108" t="inlineStr">
        <is>
          <t>No email published; use the contact form (link in Email source)</t>
        </is>
      </c>
    </row>
    <row r="69" ht="39.75" customHeight="1" s="104">
      <c r="A69" s="121" t="n">
        <v>65</v>
      </c>
      <c r="B69" s="122" t="inlineStr">
        <is>
          <t>Fair Medical フェアメディカル</t>
        </is>
      </c>
      <c r="C69" s="123" t="inlineStr">
        <is>
          <t>Not started</t>
        </is>
      </c>
      <c r="D69" s="121" t="inlineStr">
        <is>
          <t>Ultrasound &amp; imaging dealer — Canon/Hitachi/GE/Philips</t>
        </is>
      </c>
      <c r="E69" s="121" t="inlineStr">
        <is>
          <t>Yes — multi-brand US</t>
        </is>
      </c>
      <c r="F69" s="121" t="inlineStr">
        <is>
          <t>Japan</t>
        </is>
      </c>
      <c r="G69" s="121" t="inlineStr">
        <is>
          <t>fair-medical.jp</t>
        </is>
      </c>
      <c r="H69" s="121" t="inlineStr">
        <is>
          <t>via website</t>
        </is>
      </c>
      <c r="I69" s="121" t="inlineStr">
        <is>
          <t>Same profile as Green Medical — second wave</t>
        </is>
      </c>
      <c r="J69" s="121" t="inlineStr">
        <is>
          <t>SonoGO + SonoAir 70 as the multi-brand alternative line; EBit 50 value tier</t>
        </is>
      </c>
      <c r="K69" s="147" t="inlineStr">
        <is>
          <t>2</t>
        </is>
      </c>
      <c r="L69" s="121" t="inlineStr">
        <is>
          <t>Tier 2 — carries a line (Yes — multi-brand US) — conflict to qualify · verified domain.</t>
        </is>
      </c>
      <c r="M69" s="121" t="inlineStr">
        <is>
          <t>Prior list v3 ✓site</t>
        </is>
      </c>
      <c r="N69" s="145" t="inlineStr">
        <is>
          <t>CHISON ultrasound for Fair Medical フェアメディカル: a line-card addition, with PMDA handled by us</t>
        </is>
      </c>
      <c r="O69" s="108" t="inlineStr">
        <is>
          <t>Dear Fair Medical フェアメディカル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position in this category is already established: Ultrasound &amp; imaging dealer, Canon/Hitachi/GE/Philips. You will therefore assess a new line faster than most, and on the criteria that actually matter: image quality, probe life and service turnaround.
Where CHISON fits your portfolio: you already sell ultrasound, so this is a second-brand question rather than a new-category question. CHISON is priced to win the accounts your current line is too expensive for:
• SonoGO: launched July 2026, the first 3-in-1 platform, working as tablet, laptop and trolley in one system with SonoAI on board
• SonoAir 70: the lightest laptop scanner in its class
• EBit 50: the value laptop that opens price-sensitive clinic accounts
That gives you a focused portable offer. If you let me know which brand you carry today, I will show you exactly where CHISON sits against it rather than take up your time on a general presentation.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69" s="108" t="inlineStr">
        <is>
          <t>info@fair-medical.jp</t>
        </is>
      </c>
      <c r="Q69" s="108" t="inlineStr">
        <is>
          <t>yamanaka@fair-medical.jp, s-takamori@fair-medical.jp</t>
        </is>
      </c>
      <c r="R69" s="108" t="inlineStr">
        <is>
          <t>https://www.fair-medical.jp/en</t>
        </is>
      </c>
      <c r="S69" s="108" t="inlineStr">
        <is>
          <t>Likely: indexed on company domain</t>
        </is>
      </c>
    </row>
    <row r="70" ht="39.75" customHeight="1" s="104">
      <c r="A70" s="121" t="n">
        <v>66</v>
      </c>
      <c r="B70" s="122" t="inlineStr">
        <is>
          <t>HOYU Healthcare ホーユー</t>
        </is>
      </c>
      <c r="C70" s="123" t="inlineStr">
        <is>
          <t>Not started</t>
        </is>
      </c>
      <c r="D70" s="121" t="inlineStr">
        <is>
          <t>Diagnostic imaging dealer — new &amp; used systems</t>
        </is>
      </c>
      <c r="E70" s="121" t="inlineStr">
        <is>
          <t>Yes — multi-brand</t>
        </is>
      </c>
      <c r="F70" s="121" t="inlineStr">
        <is>
          <t>Japan</t>
        </is>
      </c>
      <c r="G70" s="121" t="inlineStr">
        <is>
          <t>hoyu-healthcare.co.jp</t>
        </is>
      </c>
      <c r="H70" s="121" t="inlineStr">
        <is>
          <t>via website</t>
        </is>
      </c>
      <c r="I70" s="121" t="inlineStr">
        <is>
          <t>Value/refurb segment — EBit/ECO fit</t>
        </is>
      </c>
      <c r="J70" s="121" t="inlineStr">
        <is>
          <t>SonoMax 7 + SonoPort for radiology; XBit 90 premium rooms</t>
        </is>
      </c>
      <c r="K70" s="147" t="inlineStr">
        <is>
          <t>2</t>
        </is>
      </c>
      <c r="L70" s="121" t="inlineStr">
        <is>
          <t>Tier 2 — carries a line (Yes — multi-brand) — conflict to qualify · verified domain.</t>
        </is>
      </c>
      <c r="M70" s="121" t="inlineStr">
        <is>
          <t>Prior list v3 — verify</t>
        </is>
      </c>
      <c r="N70" s="145" t="inlineStr">
        <is>
          <t>CHISON ultrasound for HOYU Healthcare ホーユー: a line-card addition, with PMDA handled by us</t>
        </is>
      </c>
      <c r="O70" s="108" t="inlineStr">
        <is>
          <t>Dear HOYU Healthcare ホーユー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position in this category is already established: Diagnostic imaging dealer, new &amp; used systems. You will therefore assess a new line faster than most, and on the criteria that actually matter: image quality, probe life and service turnaround.
Where CHISON fits your portfolio: you already sell ultrasound, so this is a second-brand question rather than a new-category question. CHISON is priced to win the accounts your current line is too expensive for:
• SonoMax 7: the flagship cart, carrying a full radiology, obstetric and cardiac workload
• SonoPort: our new-generation intelligent cart, launched April 2026
• XBit 90: premium cart for departments that want high-end imaging without a high-end budget
That gives you a focused cart offer. If you let me know which brand you carry today, I will show you exactly where CHISON sits against it rather than take up your time on a general presentation.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c r="P70" s="108" t="inlineStr">
        <is>
          <t>meg@hoyu-healthcare.co.jp</t>
        </is>
      </c>
      <c r="Q70" s="108" t="inlineStr"/>
      <c r="R70" s="108" t="inlineStr">
        <is>
          <t>https://www.hoyu-healthcare.co.jp/en/</t>
        </is>
      </c>
      <c r="S70" s="108" t="inlineStr">
        <is>
          <t>Verified: published on company website</t>
        </is>
      </c>
    </row>
    <row r="71" ht="39.75" customHeight="1" s="104">
      <c r="A71" s="121" t="n">
        <v>67</v>
      </c>
      <c r="B71" s="122" t="inlineStr">
        <is>
          <t>Kainos カイノス</t>
        </is>
      </c>
      <c r="C71" s="123" t="inlineStr">
        <is>
          <t>Not started</t>
        </is>
      </c>
      <c r="D71" s="121" t="inlineStr">
        <is>
          <t>Diagnostics/imaging distribution (IVD heritage)</t>
        </is>
      </c>
      <c r="E71" s="121" t="inlineStr">
        <is>
          <t>Unknown</t>
        </is>
      </c>
      <c r="F71" s="121" t="inlineStr">
        <is>
          <t>Tokyo</t>
        </is>
      </c>
      <c r="G71" s="121" t="inlineStr">
        <is>
          <t>kainos.co.jp</t>
        </is>
      </c>
      <c r="H71" s="121" t="inlineStr">
        <is>
          <t>+81-3-5291-2700</t>
        </is>
      </c>
      <c r="I71" s="121" t="inlineStr">
        <is>
          <t>Qualify device-side scope</t>
        </is>
      </c>
      <c r="J71" s="121" t="inlineStr">
        <is>
          <t>SonoMax 7 + SonoPort for radiology; XBit 90 premium rooms</t>
        </is>
      </c>
      <c r="K71" s="148" t="inlineStr">
        <is>
          <t>3</t>
        </is>
      </c>
      <c r="L71" s="121" t="inlineStr">
        <is>
          <t>Tier 3 — line card unqualified — ask first · verified domain + direct phone.</t>
        </is>
      </c>
      <c r="M71" s="121" t="inlineStr">
        <is>
          <t>Prior list v3 — verify</t>
        </is>
      </c>
      <c r="N71" s="145" t="inlineStr">
        <is>
          <t>CHISON ultrasound for Kainos カイノス: a line-card addition, with PMDA handled by us</t>
        </is>
      </c>
      <c r="O71" s="108" t="inlineStr">
        <is>
          <t>Dear Kainos カイノス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Diagnostics/imaging distribution (IVD heritage), with coverage across Tokyo. That is a channel already calling on the departments that buy ultrasound.
Where CHISON fits your portfolio: your channel already reaches the departments that buy ultrasound, so this is a line-card addition rather than a new market. I would suggest starting here:
• SonoMax 7: the flagship cart, carrying a full radiology, obstetric and cardiac workload
• SonoPort: our new-generation intelligent cart, launched April 2026
• XBit 90: premium cart for departments that want high-end imaging without a high-end budget
That is a focused cart offer,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71" s="108" t="inlineStr">
        <is>
          <t>hotline@kainos.co.jp</t>
        </is>
      </c>
      <c r="Q71" s="108" t="inlineStr"/>
      <c r="R71" s="108" t="inlineStr">
        <is>
          <t>https://www.kainos.co.jp/corpinfo/compliance/</t>
        </is>
      </c>
      <c r="S71" s="108" t="inlineStr">
        <is>
          <t>Verified: published on company website</t>
        </is>
      </c>
    </row>
    <row r="72" ht="39.75" customHeight="1" s="104">
      <c r="A72" s="121" t="n">
        <v>68</v>
      </c>
      <c r="B72" s="122" t="inlineStr">
        <is>
          <t>Japan Medical Company</t>
        </is>
      </c>
      <c r="C72" s="123" t="inlineStr">
        <is>
          <t>Not started</t>
        </is>
      </c>
      <c r="D72" s="121" t="inlineStr">
        <is>
          <t>Medical equipment distribution</t>
        </is>
      </c>
      <c r="E72" s="121" t="inlineStr">
        <is>
          <t>Unknown</t>
        </is>
      </c>
      <c r="F72" s="121" t="inlineStr">
        <is>
          <t>Japan</t>
        </is>
      </c>
      <c r="G72" s="121" t="inlineStr">
        <is>
          <t>japanmedicalcompany.co.jp</t>
        </is>
      </c>
      <c r="H72" s="121" t="inlineStr">
        <is>
          <t>via website</t>
        </is>
      </c>
      <c r="I72" s="121" t="inlineStr">
        <is>
          <t>Qualify</t>
        </is>
      </c>
      <c r="J72" s="121" t="inlineStr">
        <is>
          <t>Open with SonoEye P3 + SonoBook 9; add QBit 5/CBit 4 carts once service is set up</t>
        </is>
      </c>
      <c r="K72" s="148" t="inlineStr">
        <is>
          <t>3</t>
        </is>
      </c>
      <c r="L72" s="121" t="inlineStr">
        <is>
          <t>Tier 3 — line card unqualified — ask first · verified domain.</t>
        </is>
      </c>
      <c r="M72" s="121" t="inlineStr">
        <is>
          <t>Prior list v3 — verify</t>
        </is>
      </c>
      <c r="N72" s="145" t="inlineStr">
        <is>
          <t>CHISON ultrasound for Japan Medical Company: a line-card addition, with PMDA handled by us</t>
        </is>
      </c>
      <c r="O72" s="108" t="inlineStr">
        <is>
          <t>Dear Japan Medical Company team,
I am Casper Tan, Senior Regional Sales Manager at AstraMed Healthcare, the CHISON Medical Technologies subsidiary responsible for this region. I am building the Japan channel this year. CHISON has manufactured diagnostic ultrasound in Wuxi, China since 1996, sells into more than 100 countries and is the only ultrasound manufacturer listed on China's STAR Market (688358). The platform carries CE and US FDA clearance, and CHISON is an established ODM supplier to Japanese brands, so the engineering will not be unfamiliar to you. As AstraMed is the manufacturer's own subsidiary rather than an importer, you would be dealing with the factory directly.
Your profile, as I understand it from the outside: Medical equipment distribution, with coverage across Japan. That is a channel already calling on the departments that buy ultrasound.
Where CHISON fits your portfolio: your channel already reaches the departments that buy ultrasound, so this is a line-card addition rather than a new market. I would suggest starting here:
• SonoEye P3: pocket handheld for emergency, intensive care and bedside point-of-care scanning
• SonoBook 9: the workhorse laptop and our volume seller across Asia
• QBit 5: the value console that wins tenders on price-per-exam
That is a complete handheld to cart ladder under one supplier agreement, so you can quote into a small clinic and into a hospital department without carrying two supplier relationships. If you already represent an ultrasound brand, do let me know which and I will show you where CHISON sits relative to it.
On the commercial side we carry the load that normally makes a new import line unattractive. PMDA registration sits under our MAH structure, Japanese language IFU and labelling are prepared by us, and we provide application training for your sales staff, a demonstration unit for first accounts, and regional parts and probe stock so that your service response stays fast.
If this is worth a look, I would welcome fifteen or twenty minutes to compare line cards and establish where the fit sits. I am happy to send the catalogue and indicative dealer pricing ahead of the call.
Best regards,
Casper Tan
Senior Regional Sales Manager
AstraMed Healthcare, a subsidiary of CHISON Medical Technologies</t>
        </is>
      </c>
      <c r="P72" s="108" t="inlineStr">
        <is>
          <t>choice@japanmedicalcompany.co.jp</t>
        </is>
      </c>
      <c r="Q72" s="108" t="inlineStr"/>
      <c r="R72" s="108" t="inlineStr">
        <is>
          <t>https://japanmedicalcompany.co.jp/research/</t>
        </is>
      </c>
      <c r="S72" s="108" t="inlineStr">
        <is>
          <t>Verified: published on company website</t>
        </is>
      </c>
    </row>
  </sheetData>
  <autoFilter ref="A4:S72"/>
  <conditionalFormatting sqref="C5:C72">
    <cfRule type="cellIs" rank="0" priority="2" equalAverage="0" operator="equal" aboveAverage="0" dxfId="7" text="" percent="0" bottom="0">
      <formula>"Not started"</formula>
    </cfRule>
    <cfRule type="cellIs" rank="0" priority="3" equalAverage="0" operator="equal" aboveAverage="0" dxfId="8" text="" percent="0" bottom="0">
      <formula>"Contacted"</formula>
    </cfRule>
    <cfRule type="cellIs" rank="0" priority="4" equalAverage="0" operator="equal" aboveAverage="0" dxfId="9" text="" percent="0" bottom="0">
      <formula>"Meeting booked"</formula>
    </cfRule>
    <cfRule type="cellIs" rank="0" priority="5" equalAverage="0" operator="equal" aboveAverage="0" dxfId="10" text="" percent="0" bottom="0">
      <formula>"Meeting held"</formula>
    </cfRule>
    <cfRule type="cellIs" rank="0" priority="6" equalAverage="0" operator="equal" aboveAverage="0" dxfId="11" text="" percent="0" bottom="0">
      <formula>"Evaluation placed"</formula>
    </cfRule>
    <cfRule type="cellIs" rank="0" priority="7" equalAverage="0" operator="equal" aboveAverage="0" dxfId="12" text="" percent="0" bottom="0">
      <formula>"Quoted"</formula>
    </cfRule>
    <cfRule type="cellIs" rank="0" priority="8" equalAverage="0" operator="equal" aboveAverage="0" dxfId="13" text="" percent="0" bottom="0">
      <formula>"Won"</formula>
    </cfRule>
    <cfRule type="cellIs" rank="0" priority="9" equalAverage="0" operator="equal" aboveAverage="0" dxfId="14" text="" percent="0" bottom="0">
      <formula>"Declined"</formula>
    </cfRule>
    <cfRule type="cellIs" rank="0" priority="10" equalAverage="0" operator="equal" aboveAverage="0" dxfId="15" text="" percent="0" bottom="0">
      <formula>"Parked"</formula>
    </cfRule>
  </conditionalFormatting>
  <dataValidations count="1">
    <dataValidation sqref="C5:C72" showDropDown="0" showInputMessage="0" showErrorMessage="0" allowBlank="1" type="list" errorStyle="stop" operator="between">
      <formula1>"Not started,Contacted,Meeting booked,Meeting held,Evaluation placed,Quoted,Won,Declined,Parked"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outlinePr summaryBelow="1" summaryRight="1"/>
    <pageSetUpPr/>
  </sheetPr>
  <dimension ref="A1:AG313"/>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 customWidth="1" style="104" min="1" max="1"/>
    <col width="26" customWidth="1" style="104" min="2" max="2"/>
    <col width="24" customWidth="1" style="104" min="3" max="3"/>
    <col width="22" customWidth="1" style="104" min="4" max="4"/>
    <col width="11" customWidth="1" style="104" min="5" max="5"/>
    <col width="16" customWidth="1" style="104" min="6" max="6"/>
    <col width="30" customWidth="1" style="104" min="7" max="7"/>
    <col width="40" customWidth="1" style="104" min="8" max="8"/>
    <col width="26" customWidth="1" style="104" min="9" max="9"/>
    <col width="30" customWidth="1" style="104" min="10" max="10"/>
    <col width="30" customWidth="1" style="104" min="11" max="11"/>
    <col width="22" customWidth="1" style="104" min="12" max="12"/>
    <col width="18" customWidth="1" style="104" min="13" max="13"/>
    <col width="12" customWidth="1" style="104" min="14" max="14"/>
    <col width="22" customWidth="1" style="104" min="15" max="15"/>
    <col width="14" customWidth="1" style="104" min="16" max="16"/>
    <col width="14" customWidth="1" style="104" min="17" max="17"/>
    <col width="16" customWidth="1" style="104" min="18" max="18"/>
    <col width="9" customWidth="1" style="104" min="19" max="19"/>
    <col width="6" customWidth="1" style="104" min="20" max="20"/>
    <col width="50" customWidth="1" style="104" min="21" max="21"/>
    <col width="60" customWidth="1" style="104" min="22" max="22"/>
    <col width="12" customWidth="1" style="104" min="23" max="23"/>
    <col width="60" customWidth="1" style="104" min="24" max="24"/>
    <col width="40" customWidth="1" style="104" min="25" max="25"/>
    <col width="22" customWidth="1" style="104" min="26" max="26"/>
    <col width="34" customWidth="1" style="104" min="27" max="27"/>
    <col width="44" customWidth="1" style="104" min="28" max="28"/>
    <col width="44" customWidth="1" style="104" min="29" max="29"/>
    <col width="15" customWidth="1" style="104" min="30" max="30"/>
    <col width="36" customWidth="1" style="104" min="31" max="31"/>
    <col width="40" customWidth="1" style="104" min="32" max="32"/>
    <col width="34" customWidth="1" style="104" min="33" max="33"/>
  </cols>
  <sheetData>
    <row r="1">
      <c r="A1" s="180" t="inlineStr">
        <is>
          <t>Japan Additional, Dealer and Distributor Leads (288)</t>
        </is>
      </c>
    </row>
    <row r="2">
      <c r="A2" s="181" t="inlineStr">
        <is>
          <t>Human diagnostic ultrasound only. New leads beyond the 68 on Japan Dealers (deduplicated by Japanese name). Tier A = MAH route, B = imaging or ultrasound seller without MAH, C = regional general dealer. Built 10 Oct 2026. Emails added 10 Oct 2026: each company website was opened and crawled for a published address, and every website was checked against the Japanese company name; see Email source and Email confidence.</t>
        </is>
      </c>
    </row>
    <row r="4">
      <c r="A4" s="182" t="inlineStr">
        <is>
          <t>No.</t>
        </is>
      </c>
      <c r="B4" s="182" t="inlineStr">
        <is>
          <t>Company (English)</t>
        </is>
      </c>
      <c r="C4" s="182" t="inlineStr">
        <is>
          <t>Company (Japanese)</t>
        </is>
      </c>
      <c r="D4" s="182" t="inlineStr">
        <is>
          <t>法人番号</t>
        </is>
      </c>
      <c r="E4" s="182" t="inlineStr">
        <is>
          <t>HQ prefecture</t>
        </is>
      </c>
      <c r="F4" s="182" t="inlineStr">
        <is>
          <t>Region</t>
        </is>
      </c>
      <c r="G4" s="182" t="inlineStr">
        <is>
          <t>Website</t>
        </is>
      </c>
      <c r="H4" s="182" t="inlineStr">
        <is>
          <t>Licences held</t>
        </is>
      </c>
      <c r="I4" s="182" t="inlineStr">
        <is>
          <t>Brands carried</t>
        </is>
      </c>
      <c r="J4" s="182" t="inlineStr">
        <is>
          <t>Segments served</t>
        </is>
      </c>
      <c r="K4" s="182" t="inlineStr">
        <is>
          <t>Coverage area</t>
        </is>
      </c>
      <c r="L4" s="182" t="inlineStr">
        <is>
          <t>Est. revenue or headcount</t>
        </is>
      </c>
      <c r="M4" s="182" t="inlineStr">
        <is>
          <t>Key contact name</t>
        </is>
      </c>
      <c r="N4" s="182" t="inlineStr">
        <is>
          <t>Title</t>
        </is>
      </c>
      <c r="O4" s="182" t="inlineStr">
        <is>
          <t>Email</t>
        </is>
      </c>
      <c r="P4" s="182" t="inlineStr">
        <is>
          <t>Phone</t>
        </is>
      </c>
      <c r="Q4" s="182" t="inlineStr">
        <is>
          <t>LinkedIn</t>
        </is>
      </c>
      <c r="R4" s="182" t="inlineStr">
        <is>
          <t>Contact confidence</t>
        </is>
      </c>
      <c r="S4" s="182" t="inlineStr">
        <is>
          <t>Fit score /35</t>
        </is>
      </c>
      <c r="T4" s="182" t="inlineStr">
        <is>
          <t>Tier</t>
        </is>
      </c>
      <c r="U4" s="182" t="inlineStr">
        <is>
          <t>Why they fit</t>
        </is>
      </c>
      <c r="V4" s="182" t="inlineStr">
        <is>
          <t>Suggested opening angle</t>
        </is>
      </c>
      <c r="W4" s="182" t="inlineStr">
        <is>
          <t>Also serves vet (Y/N)</t>
        </is>
      </c>
      <c r="X4" s="182" t="inlineStr">
        <is>
          <t>Source links</t>
        </is>
      </c>
      <c r="Y4" s="182" t="inlineStr">
        <is>
          <t>CHISON product to lead with</t>
        </is>
      </c>
      <c r="Z4" s="182" t="inlineStr">
        <is>
          <t>Score breakdown (Reg, Imaging, Conflict, Coverage, Reach, Service, Openness)</t>
        </is>
      </c>
      <c r="AA4" s="182" t="inlineStr">
        <is>
          <t>Address (where found)</t>
        </is>
      </c>
      <c r="AB4" s="182" t="inlineStr">
        <is>
          <t>Verification status</t>
        </is>
      </c>
      <c r="AC4" s="182" t="inlineStr">
        <is>
          <t>Flags</t>
        </is>
      </c>
      <c r="AD4" s="182" t="inlineStr">
        <is>
          <t>Pipeline stage</t>
        </is>
      </c>
      <c r="AE4" s="182" t="inlineStr">
        <is>
          <t>Other emails found</t>
        </is>
      </c>
      <c r="AF4" s="182" t="inlineStr">
        <is>
          <t>Email source</t>
        </is>
      </c>
      <c r="AG4" s="182" t="inlineStr">
        <is>
          <t>Email confidence</t>
        </is>
      </c>
    </row>
    <row r="5">
      <c r="A5" s="183" t="n">
        <v>1</v>
      </c>
      <c r="B5" s="183" t="inlineStr">
        <is>
          <t>Yuman Network</t>
        </is>
      </c>
      <c r="C5" s="183" t="inlineStr">
        <is>
          <t>ユーマンネットワーク</t>
        </is>
      </c>
      <c r="D5" s="183" t="inlineStr">
        <is>
          <t>Not retrieved (NTA lookup blocked in this session)</t>
        </is>
      </c>
      <c r="E5" s="183" t="inlineStr">
        <is>
          <t>東京都</t>
        </is>
      </c>
      <c r="F5" s="183" t="inlineStr">
        <is>
          <t>Kanto</t>
        </is>
      </c>
      <c r="G5" s="183" t="inlineStr">
        <is>
          <t>Not confirmed (company site not opened; network policy blocked direct access)</t>
        </is>
      </c>
      <c r="H5" s="183" t="inlineStr">
        <is>
          <t>MAH confirmed: PMDA listing shows it as 製造販売業者 for KOSMOS ultrasound</t>
        </is>
      </c>
      <c r="I5" s="183" t="inlineStr">
        <is>
          <t>KOSMOS handheld ultrasound (EchoNous) as MAH</t>
        </is>
      </c>
      <c r="J5" s="183" t="inlineStr">
        <is>
          <t>Ultrasound</t>
        </is>
      </c>
      <c r="K5" s="183" t="inlineStr">
        <is>
          <t>東京都 (regional; branch network not confirmed)</t>
        </is>
      </c>
      <c r="L5" s="183" t="inlineStr">
        <is>
          <t>Not found</t>
        </is>
      </c>
      <c r="M5" s="183" t="inlineStr">
        <is>
          <t>Not identified</t>
        </is>
      </c>
      <c r="N5" s="183" t="inlineStr">
        <is>
          <t>Not identified</t>
        </is>
      </c>
      <c r="O5" s="183" t="inlineStr">
        <is>
          <t>Not published; use company inquiry form</t>
        </is>
      </c>
      <c r="P5" s="183" t="inlineStr">
        <is>
          <t>Not confirmed</t>
        </is>
      </c>
      <c r="Q5" s="183" t="inlineStr">
        <is>
          <t>Not identified</t>
        </is>
      </c>
      <c r="R5" s="184" t="inlineStr">
        <is>
          <t>Unverified</t>
        </is>
      </c>
      <c r="S5" s="183" t="n">
        <v>27</v>
      </c>
      <c r="T5" s="185" t="inlineStr">
        <is>
          <t>A</t>
        </is>
      </c>
      <c r="U5" s="183" t="inlineStr">
        <is>
          <t>Holds or very likely holds a 製造販売業 licence through its import business, which removes the biggest Japan entry barrier. Already in imaging, so ultrasound is a natural line extension.</t>
        </is>
      </c>
      <c r="V5"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5" s="183" t="inlineStr">
        <is>
          <t>N (not identified)</t>
        </is>
      </c>
      <c r="X5" s="186" t="inlineStr">
        <is>
          <t>https://www.pmda.go.jp/PmdaSearch/kikiDetail/GeneralList/221ABBZX00092000_A_01 ; https://pmda.go.jp PmdaSearch (KOSMOS Series 製造販売/有限会社ユーマンネットワーク)</t>
        </is>
      </c>
      <c r="Y5" s="183" t="inlineStr">
        <is>
          <t>SonoBook 9 and SonoMax 7 carts plus SonoGO (no head to head with their KOSMOS handheld)</t>
        </is>
      </c>
      <c r="Z5" s="183" t="inlineStr">
        <is>
          <t>5, 5, 3, 3, 5, 2, 4</t>
        </is>
      </c>
      <c r="AA5" s="183" t="inlineStr">
        <is>
          <t>Not found</t>
        </is>
      </c>
      <c r="AB5" s="183" t="inlineStr">
        <is>
          <t>Directory or search listing; not opened (direct site access blocked)</t>
        </is>
      </c>
      <c r="AC5" s="183" t="inlineStr">
        <is>
          <t>No expired licence or ended distribution agreement found</t>
        </is>
      </c>
      <c r="AD5" s="183" t="inlineStr">
        <is>
          <t>Not started</t>
        </is>
      </c>
      <c r="AE5" s="183" t="inlineStr"/>
      <c r="AF5" s="183" t="inlineStr"/>
      <c r="AG5" s="183" t="inlineStr">
        <is>
          <t>No email published and no verified website found</t>
        </is>
      </c>
    </row>
    <row r="6">
      <c r="A6" s="183" t="n">
        <v>2</v>
      </c>
      <c r="B6" s="183" t="inlineStr">
        <is>
          <t>Toyo Medic</t>
        </is>
      </c>
      <c r="C6" s="183" t="inlineStr">
        <is>
          <t>東洋メディック</t>
        </is>
      </c>
      <c r="D6" s="183" t="inlineStr">
        <is>
          <t>Not retrieved (NTA lookup blocked in this session)</t>
        </is>
      </c>
      <c r="E6" s="183" t="inlineStr">
        <is>
          <t>東京都</t>
        </is>
      </c>
      <c r="F6" s="183" t="inlineStr">
        <is>
          <t>Kanto</t>
        </is>
      </c>
      <c r="G6" s="183" t="inlineStr">
        <is>
          <t>https://www.toyo-medic.co.jp/</t>
        </is>
      </c>
      <c r="H6" s="183" t="inlineStr">
        <is>
          <t>MAH implied: Imports diagnostic and radiology devices as Japan general agent; 製造販売業 licence implied, confirm class</t>
        </is>
      </c>
      <c r="I6" s="183" t="inlineStr">
        <is>
          <t>Not identified in published sources</t>
        </is>
      </c>
      <c r="J6" s="183" t="inlineStr">
        <is>
          <t>Radiology and imaging</t>
        </is>
      </c>
      <c r="K6" s="183" t="inlineStr">
        <is>
          <t>東京都; Osaka Nagoya Fukuoka Sapporo Sendai</t>
        </is>
      </c>
      <c r="L6" s="183" t="inlineStr">
        <is>
          <t>Est 1982</t>
        </is>
      </c>
      <c r="M6" s="183" t="inlineStr">
        <is>
          <t>Not identified</t>
        </is>
      </c>
      <c r="N6" s="183" t="inlineStr">
        <is>
          <t>Not identified</t>
        </is>
      </c>
      <c r="O6" s="183" t="inlineStr">
        <is>
          <t>kankyou@toyo-medic.co.jp</t>
        </is>
      </c>
      <c r="P6" s="183" t="inlineStr">
        <is>
          <t>Not confirmed</t>
        </is>
      </c>
      <c r="Q6" s="183" t="inlineStr">
        <is>
          <t>Not identified</t>
        </is>
      </c>
      <c r="R6" s="187" t="inlineStr">
        <is>
          <t>Company inquiry only</t>
        </is>
      </c>
      <c r="S6" s="183" t="n">
        <v>26</v>
      </c>
      <c r="T6" s="185" t="inlineStr">
        <is>
          <t>A</t>
        </is>
      </c>
      <c r="U6" s="183" t="inlineStr">
        <is>
          <t>Holds or very likely holds a 製造販売業 licence through its import business, which removes the biggest Japan entry barrier. Already in imaging, so ultrasound is a natural line extension.</t>
        </is>
      </c>
      <c r="V6"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6" s="183" t="inlineStr">
        <is>
          <t>N (not identified)</t>
        </is>
      </c>
      <c r="X6" s="186" t="inlineStr">
        <is>
          <t>https://www.r-agent.com/company/05319/ ; https://mynavi-agent.jp/corpdetail/12673/</t>
        </is>
      </c>
      <c r="Y6" s="183" t="inlineStr">
        <is>
          <t>SonoMax 7 plus SonoPort for radiology departments; SonoAir 70 portable</t>
        </is>
      </c>
      <c r="Z6" s="183" t="inlineStr">
        <is>
          <t>4, 4, 3, 2, 5, 4, 4</t>
        </is>
      </c>
      <c r="AA6" s="183" t="inlineStr">
        <is>
          <t>東京都千代田区飯田橋3丁目8番5号</t>
        </is>
      </c>
      <c r="AB6" s="183" t="inlineStr">
        <is>
          <t>Verified in 10% recheck</t>
        </is>
      </c>
      <c r="AC6" s="183" t="inlineStr">
        <is>
          <t>Holding group overlap: same ITOCHU group as Century Medical (existing row 1). Ask which entity should own the conversation. No expired licence or ended distribution agreement found</t>
        </is>
      </c>
      <c r="AD6" s="183" t="inlineStr">
        <is>
          <t>Not started</t>
        </is>
      </c>
      <c r="AE6" s="183" t="inlineStr">
        <is>
          <t>marketing-d2@toyo-medic.co.jp</t>
        </is>
      </c>
      <c r="AF6" s="183" t="inlineStr">
        <is>
          <t>https://apmc-mwe.org/mwe2024/kigyo/data/A07400.html</t>
        </is>
      </c>
      <c r="AG6" s="183" t="inlineStr">
        <is>
          <t>Likely: indexed on company domain</t>
        </is>
      </c>
    </row>
    <row r="7">
      <c r="A7" s="183" t="n">
        <v>3</v>
      </c>
      <c r="B7" s="183" t="inlineStr">
        <is>
          <t>ICST</t>
        </is>
      </c>
      <c r="C7" s="183" t="inlineStr">
        <is>
          <t>ICST</t>
        </is>
      </c>
      <c r="D7" s="183" t="inlineStr">
        <is>
          <t>Not retrieved (NTA lookup blocked in this session)</t>
        </is>
      </c>
      <c r="E7" s="183" t="inlineStr">
        <is>
          <t>埼玉県</t>
        </is>
      </c>
      <c r="F7" s="183" t="inlineStr">
        <is>
          <t>Kanto</t>
        </is>
      </c>
      <c r="G7" s="183" t="inlineStr">
        <is>
          <t>https://icst.jp/</t>
        </is>
      </c>
      <c r="H7" s="183" t="inlineStr">
        <is>
          <t>MAH confirmed: Press release describes DMAH (選任製造販売業者) service for foreign makers</t>
        </is>
      </c>
      <c r="I7" s="183" t="inlineStr">
        <is>
          <t>Not identified in published sources</t>
        </is>
      </c>
      <c r="J7" s="183" t="inlineStr">
        <is>
          <t>General medical equipment (hospitals and clinics)</t>
        </is>
      </c>
      <c r="K7" s="183" t="inlineStr">
        <is>
          <t>埼玉県 (regional; branch network not confirmed)</t>
        </is>
      </c>
      <c r="L7" s="183" t="inlineStr">
        <is>
          <t>Not found</t>
        </is>
      </c>
      <c r="M7" s="183" t="inlineStr">
        <is>
          <t>Not identified</t>
        </is>
      </c>
      <c r="N7" s="183" t="inlineStr">
        <is>
          <t>Not identified</t>
        </is>
      </c>
      <c r="O7" s="183" t="inlineStr">
        <is>
          <t>info@icst.jp</t>
        </is>
      </c>
      <c r="P7" s="183" t="inlineStr">
        <is>
          <t>Not confirmed</t>
        </is>
      </c>
      <c r="Q7" s="183" t="inlineStr">
        <is>
          <t>Not identified</t>
        </is>
      </c>
      <c r="R7" s="184" t="inlineStr">
        <is>
          <t>Unverified</t>
        </is>
      </c>
      <c r="S7" s="183" t="n">
        <v>24</v>
      </c>
      <c r="T7" s="185" t="inlineStr">
        <is>
          <t>A</t>
        </is>
      </c>
      <c r="U7" s="183" t="inlineStr">
        <is>
          <t>Offers DMAH (選任製造販売業者) service to foreign makers; can hold the CHISON certification so a dealer network can sell without its own MAH.</t>
        </is>
      </c>
      <c r="V7" s="183" t="inlineStr">
        <is>
          <t>Ask about DMAH service scope, fees and timeline for a Class II 汎用超音波画像診断装置 via a Registered Certification Body; share FDA clearance and QMS documents.</t>
        </is>
      </c>
      <c r="W7" s="183" t="inlineStr">
        <is>
          <t>N (not identified)</t>
        </is>
      </c>
      <c r="X7" s="186" t="inlineStr">
        <is>
          <t>https://www.atpress.ne.jp/news/11004 ; https://baseconnect.in/companies/prefecture/5b2e6d00-cfba-4d0b-850d-54757e4b4d7f/category/b2358a1c-c4c6-46f4-a0b1-dee3a1b30a0b</t>
        </is>
      </c>
      <c r="Y7" s="183" t="inlineStr">
        <is>
          <t>Not a sales channel: DMAH partner for the CHISON Class II certification file</t>
        </is>
      </c>
      <c r="Z7" s="183" t="inlineStr">
        <is>
          <t>5, 2, 3, 3, 3, 4, 4</t>
        </is>
      </c>
      <c r="AA7" s="183" t="inlineStr">
        <is>
          <t>Not found</t>
        </is>
      </c>
      <c r="AB7" s="183" t="inlineStr">
        <is>
          <t>Directory or search listing; not opened (direct site access blocked)</t>
        </is>
      </c>
      <c r="AC7" s="183" t="inlineStr">
        <is>
          <t>No expired licence or ended distribution agreement found</t>
        </is>
      </c>
      <c r="AD7" s="183" t="inlineStr">
        <is>
          <t>Not started</t>
        </is>
      </c>
      <c r="AE7" s="183" t="inlineStr">
        <is>
          <t>y-yoshinaka@icst.jp</t>
        </is>
      </c>
      <c r="AF7" s="183" t="inlineStr">
        <is>
          <t>https://saitama-global-bizmatch.jp/exhibiting_companies/icst+corporation</t>
        </is>
      </c>
      <c r="AG7" s="183" t="inlineStr">
        <is>
          <t>Likely: indexed on company domain</t>
        </is>
      </c>
    </row>
    <row r="8">
      <c r="A8" s="183" t="n">
        <v>4</v>
      </c>
      <c r="B8" s="183" t="inlineStr">
        <is>
          <t>Mizoue Project Japan</t>
        </is>
      </c>
      <c r="C8" s="183" t="inlineStr">
        <is>
          <t>MIZOUE PROJECT JAPAN</t>
        </is>
      </c>
      <c r="D8" s="183" t="inlineStr">
        <is>
          <t>Not retrieved (NTA lookup blocked in this session)</t>
        </is>
      </c>
      <c r="E8" s="183" t="inlineStr">
        <is>
          <t>広島県</t>
        </is>
      </c>
      <c r="F8" s="183" t="inlineStr">
        <is>
          <t>Chugoku and Shikoku</t>
        </is>
      </c>
      <c r="G8" s="183" t="inlineStr">
        <is>
          <t>https://www.mizoueproject.com/</t>
        </is>
      </c>
      <c r="H8" s="183" t="inlineStr">
        <is>
          <t>MAH confirmed: Hiroshima prefecture document states it holds a medical device 製造販売業 licence</t>
        </is>
      </c>
      <c r="I8" s="183" t="inlineStr">
        <is>
          <t>Own WiZ handheld ultrasound (Sharp display partner)</t>
        </is>
      </c>
      <c r="J8" s="183" t="inlineStr">
        <is>
          <t>Ultrasound</t>
        </is>
      </c>
      <c r="K8" s="183" t="inlineStr">
        <is>
          <t>広島県 (regional; branch network not confirmed)</t>
        </is>
      </c>
      <c r="L8" s="183" t="inlineStr">
        <is>
          <t>Not found</t>
        </is>
      </c>
      <c r="M8" s="183" t="inlineStr">
        <is>
          <t>Not identified</t>
        </is>
      </c>
      <c r="N8" s="183" t="inlineStr">
        <is>
          <t>Not identified</t>
        </is>
      </c>
      <c r="O8" s="183" t="inlineStr">
        <is>
          <t>toiawase@mizoueproject.com</t>
        </is>
      </c>
      <c r="P8" s="183" t="inlineStr">
        <is>
          <t>Not confirmed</t>
        </is>
      </c>
      <c r="Q8" s="183" t="inlineStr">
        <is>
          <t>Not identified</t>
        </is>
      </c>
      <c r="R8" s="184" t="inlineStr">
        <is>
          <t>Unverified</t>
        </is>
      </c>
      <c r="S8" s="183" t="n">
        <v>24</v>
      </c>
      <c r="T8" s="185" t="inlineStr">
        <is>
          <t>A</t>
        </is>
      </c>
      <c r="U8" s="183" t="inlineStr">
        <is>
          <t>Holds or very likely holds a 製造販売業 licence through its import business, which removes the biggest Japan entry barrier. Already in imaging, so ultrasound is a natural line extension.</t>
        </is>
      </c>
      <c r="V8"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8" s="183" t="inlineStr">
        <is>
          <t>N (not identified)</t>
        </is>
      </c>
      <c r="X8" s="186" t="inlineStr">
        <is>
          <t>https://www.pref.hiroshima.lg.jp/uploaded/attachment/261374.pdf ; https://corporate.jp.sharp/news/171219-a.pdf</t>
        </is>
      </c>
      <c r="Y8" s="183" t="inlineStr">
        <is>
          <t>Cart and laptop tier (SonoBook 9, SonoMax 7) or OEM talk; avoid handheld overlap with WiZ</t>
        </is>
      </c>
      <c r="Z8" s="183" t="inlineStr">
        <is>
          <t>5, 5, 2, 3, 3, 2, 4</t>
        </is>
      </c>
      <c r="AA8" s="183" t="inlineStr">
        <is>
          <t>Not found</t>
        </is>
      </c>
      <c r="AB8" s="183" t="inlineStr">
        <is>
          <t>Directory or search listing; not opened (direct site access blocked)</t>
        </is>
      </c>
      <c r="AC8" s="183" t="inlineStr">
        <is>
          <t>No expired licence or ended distribution agreement found</t>
        </is>
      </c>
      <c r="AD8" s="183" t="inlineStr">
        <is>
          <t>Not started</t>
        </is>
      </c>
      <c r="AE8" s="183" t="inlineStr"/>
      <c r="AF8" s="183" t="inlineStr">
        <is>
          <t>https://www.mizoueproject.com/FormMail/Inquiry/FormMail.html</t>
        </is>
      </c>
      <c r="AG8" s="183" t="inlineStr">
        <is>
          <t>Verified: published on company website</t>
        </is>
      </c>
    </row>
    <row r="9">
      <c r="A9" s="183" t="n">
        <v>5</v>
      </c>
      <c r="B9" s="183" t="inlineStr">
        <is>
          <t>Eastech</t>
        </is>
      </c>
      <c r="C9" s="183" t="inlineStr">
        <is>
          <t>イーステック</t>
        </is>
      </c>
      <c r="D9" s="183" t="inlineStr">
        <is>
          <t>Not retrieved (NTA lookup blocked in this session)</t>
        </is>
      </c>
      <c r="E9" s="183" t="inlineStr">
        <is>
          <t>東京都</t>
        </is>
      </c>
      <c r="F9" s="183" t="inlineStr">
        <is>
          <t>Kanto</t>
        </is>
      </c>
      <c r="G9" s="183" t="inlineStr">
        <is>
          <t>https://www.eastek.co.jp/</t>
        </is>
      </c>
      <c r="H9" s="183" t="inlineStr">
        <is>
          <t>MAH implied: Makes and wholesales ultrasound and mammography products; 製造販売業 licence implied</t>
        </is>
      </c>
      <c r="I9" s="183" t="inlineStr">
        <is>
          <t>Not identified in published sources</t>
        </is>
      </c>
      <c r="J9" s="183" t="inlineStr">
        <is>
          <t>Ultrasound, Radiology and imaging</t>
        </is>
      </c>
      <c r="K9" s="183" t="inlineStr">
        <is>
          <t>東京都 (regional; branch network not confirmed)</t>
        </is>
      </c>
      <c r="L9" s="183" t="inlineStr">
        <is>
          <t>Not found</t>
        </is>
      </c>
      <c r="M9" s="183" t="inlineStr">
        <is>
          <t>Not identified</t>
        </is>
      </c>
      <c r="N9" s="183" t="inlineStr">
        <is>
          <t>Not identified</t>
        </is>
      </c>
      <c r="O9" s="183" t="inlineStr">
        <is>
          <t>info@eastek.co.jp</t>
        </is>
      </c>
      <c r="P9" s="183" t="inlineStr">
        <is>
          <t>Not confirmed</t>
        </is>
      </c>
      <c r="Q9" s="183" t="inlineStr">
        <is>
          <t>Not identified</t>
        </is>
      </c>
      <c r="R9" s="184" t="inlineStr">
        <is>
          <t>Unverified</t>
        </is>
      </c>
      <c r="S9" s="183" t="n">
        <v>23</v>
      </c>
      <c r="T9" s="185" t="inlineStr">
        <is>
          <t>A</t>
        </is>
      </c>
      <c r="U9" s="183" t="inlineStr">
        <is>
          <t>Holds or very likely holds a 製造販売業 licence through its import business, which removes the biggest Japan entry barrier. Already in imaging, so ultrasound is a natural line extension.</t>
        </is>
      </c>
      <c r="V9"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9" s="183" t="inlineStr">
        <is>
          <t>N (not identified)</t>
        </is>
      </c>
      <c r="X9" s="186" t="inlineStr">
        <is>
          <t>https://baseconnect.in/companies/prefecture/a30ebdff-361b-42be-8372-1b0d350f48a0/keyword/2517ed26-1f2b-4156-ab10-55a6dc901a56</t>
        </is>
      </c>
      <c r="Y9" s="183" t="inlineStr">
        <is>
          <t>SonoGO and SonoAir 30/70 as a mid tier portable line; SonoEye P3 for POCUS</t>
        </is>
      </c>
      <c r="Z9" s="183" t="inlineStr">
        <is>
          <t>4, 5, 3, 3, 3, 2, 3</t>
        </is>
      </c>
      <c r="AA9" s="183" t="inlineStr">
        <is>
          <t>Not found</t>
        </is>
      </c>
      <c r="AB9" s="183" t="inlineStr">
        <is>
          <t>Directory or search listing; not opened (direct site access blocked)</t>
        </is>
      </c>
      <c r="AC9" s="183" t="inlineStr">
        <is>
          <t>No expired licence or ended distribution agreement found</t>
        </is>
      </c>
      <c r="AD9" s="183" t="inlineStr">
        <is>
          <t>Not started</t>
        </is>
      </c>
      <c r="AE9" s="183" t="inlineStr"/>
      <c r="AF9" s="183" t="inlineStr">
        <is>
          <t>https://www.eastek.co.jp/company.html</t>
        </is>
      </c>
      <c r="AG9" s="183" t="inlineStr">
        <is>
          <t>Verified: published on company website</t>
        </is>
      </c>
    </row>
    <row r="10">
      <c r="A10" s="183" t="n">
        <v>6</v>
      </c>
      <c r="B10" s="183" t="inlineStr">
        <is>
          <t>MAGnet</t>
        </is>
      </c>
      <c r="C10" s="183" t="inlineStr">
        <is>
          <t>MAGnet</t>
        </is>
      </c>
      <c r="D10" s="183" t="inlineStr">
        <is>
          <t>Not retrieved (NTA lookup blocked in this session)</t>
        </is>
      </c>
      <c r="E10" s="183" t="inlineStr">
        <is>
          <t>東京都</t>
        </is>
      </c>
      <c r="F10" s="183" t="inlineStr">
        <is>
          <t>Kanto</t>
        </is>
      </c>
      <c r="G10" s="186" t="inlineStr">
        <is>
          <t>https://magnet-japan.net</t>
        </is>
      </c>
      <c r="H10" s="183" t="inlineStr">
        <is>
          <t>MAH implied: Imports sleep and respiratory devices; licence implied</t>
        </is>
      </c>
      <c r="I10" s="183" t="inlineStr">
        <is>
          <t>Not identified in published sources</t>
        </is>
      </c>
      <c r="J10" s="183" t="inlineStr">
        <is>
          <t>Anaesthesia, ICU and respiratory, Sleep medicine</t>
        </is>
      </c>
      <c r="K10" s="183" t="inlineStr">
        <is>
          <t>東京都; Nagoya Osaka Fukuoka</t>
        </is>
      </c>
      <c r="L10" s="183" t="inlineStr">
        <is>
          <t>Est 2008; about 25 staff</t>
        </is>
      </c>
      <c r="M10" s="183" t="inlineStr">
        <is>
          <t>Not identified</t>
        </is>
      </c>
      <c r="N10" s="183" t="inlineStr">
        <is>
          <t>Not identified</t>
        </is>
      </c>
      <c r="O10" s="183" t="inlineStr">
        <is>
          <t>Not published; use contact form</t>
        </is>
      </c>
      <c r="P10" s="183" t="inlineStr">
        <is>
          <t>Not confirmed</t>
        </is>
      </c>
      <c r="Q10" s="183" t="inlineStr">
        <is>
          <t>Not identified</t>
        </is>
      </c>
      <c r="R10" s="187" t="inlineStr">
        <is>
          <t>Likely</t>
        </is>
      </c>
      <c r="S10" s="183" t="n">
        <v>23</v>
      </c>
      <c r="T10" s="185" t="inlineStr">
        <is>
          <t>A</t>
        </is>
      </c>
      <c r="U10" s="183" t="inlineStr">
        <is>
          <t>Holds or very likely holds a 製造販売業 licence through its import business, which removes the biggest Japan entry barrier. Imaging line not yet carried, so CHISON fills a gap rather than competing.</t>
        </is>
      </c>
      <c r="V10"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0" s="183" t="inlineStr">
        <is>
          <t>N (not identified)</t>
        </is>
      </c>
      <c r="X10" s="186" t="inlineStr">
        <is>
          <t>https://www.careercross.com/company/pdf-591894 ; https://baseconnect.in/companies/prefecture/a30ebdff-361b-42be-8372-1b0d350f48a0/keyword/93424367-66f3-4226-9851-da8b3b5ab067</t>
        </is>
      </c>
      <c r="Y10" s="183" t="inlineStr">
        <is>
          <t>SonoEye P3 for FAST, lung and vascular access (POCUS)</t>
        </is>
      </c>
      <c r="Z10" s="183" t="inlineStr">
        <is>
          <t>4, 2, 3, 2, 4, 4, 4</t>
        </is>
      </c>
      <c r="AA10" s="183" t="inlineStr">
        <is>
          <t>東京都文京区本郷3丁目42番5号 MFC本郷ビル3F</t>
        </is>
      </c>
      <c r="AB10" s="183" t="inlineStr">
        <is>
          <t>Verified in 10% recheck</t>
        </is>
      </c>
      <c r="AC10" s="183" t="inlineStr">
        <is>
          <t>No expired licence or ended distribution agreement found</t>
        </is>
      </c>
      <c r="AD10" s="183" t="inlineStr">
        <is>
          <t>Not started</t>
        </is>
      </c>
      <c r="AE10" s="183" t="inlineStr"/>
      <c r="AF10" s="183" t="inlineStr">
        <is>
          <t>https://www.magnet-japan.net/contactus</t>
        </is>
      </c>
      <c r="AG10" s="183" t="inlineStr">
        <is>
          <t>No email published; use the contact form (link in Email source)</t>
        </is>
      </c>
    </row>
    <row r="11">
      <c r="A11" s="183" t="n">
        <v>7</v>
      </c>
      <c r="B11" s="183" t="inlineStr">
        <is>
          <t>Euro Meditech</t>
        </is>
      </c>
      <c r="C11" s="183" t="inlineStr">
        <is>
          <t>ユーロメディテック</t>
        </is>
      </c>
      <c r="D11" s="183" t="inlineStr">
        <is>
          <t>Not retrieved (NTA lookup blocked in this session)</t>
        </is>
      </c>
      <c r="E11" s="183" t="inlineStr">
        <is>
          <t>東京都</t>
        </is>
      </c>
      <c r="F11" s="183" t="inlineStr">
        <is>
          <t>Kanto</t>
        </is>
      </c>
      <c r="G11" s="183" t="inlineStr">
        <is>
          <t>https://www.euro-meditec.co.jp/</t>
        </is>
      </c>
      <c r="H11" s="183" t="inlineStr">
        <is>
          <t>MAH implied: Imports radiotherapy systems; 製造販売業 licence implied, confirm class</t>
        </is>
      </c>
      <c r="I11" s="183" t="inlineStr">
        <is>
          <t>Not identified in published sources</t>
        </is>
      </c>
      <c r="J11" s="183" t="inlineStr">
        <is>
          <t>Radiation oncology</t>
        </is>
      </c>
      <c r="K11" s="183" t="inlineStr">
        <is>
          <t>東京都 (regional; branch network not confirmed)</t>
        </is>
      </c>
      <c r="L11" s="183" t="inlineStr">
        <is>
          <t>Not found</t>
        </is>
      </c>
      <c r="M11" s="183" t="inlineStr">
        <is>
          <t>Not identified</t>
        </is>
      </c>
      <c r="N11" s="183" t="inlineStr">
        <is>
          <t>Not identified</t>
        </is>
      </c>
      <c r="O11" s="183" t="inlineStr">
        <is>
          <t>info@euro-meditec.co.jp</t>
        </is>
      </c>
      <c r="P11" s="183" t="inlineStr">
        <is>
          <t>Not confirmed</t>
        </is>
      </c>
      <c r="Q11" s="183" t="inlineStr">
        <is>
          <t>Not identified</t>
        </is>
      </c>
      <c r="R11" s="184" t="inlineStr">
        <is>
          <t>Unverified</t>
        </is>
      </c>
      <c r="S11" s="183" t="n">
        <v>22</v>
      </c>
      <c r="T11" s="185" t="inlineStr">
        <is>
          <t>A</t>
        </is>
      </c>
      <c r="U11" s="183" t="inlineStr">
        <is>
          <t>Holds or very likely holds a 製造販売業 licence through its import business, which removes the biggest Japan entry barrier. Already in imaging, so ultrasound is a natural line extension.</t>
        </is>
      </c>
      <c r="V11"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1" s="183" t="inlineStr">
        <is>
          <t>N (not identified)</t>
        </is>
      </c>
      <c r="X11" s="186" t="inlineStr">
        <is>
          <t>https://mynavi-agent.jp/corpdetail/1161/ (search result set; reconfirm page)</t>
        </is>
      </c>
      <c r="Y11" s="183" t="inlineStr">
        <is>
          <t>SonoMax 7 plus SonoPort for radiology departments; SonoAir 70 portable</t>
        </is>
      </c>
      <c r="Z11" s="183" t="inlineStr">
        <is>
          <t>4, 2, 3, 2, 3, 4, 4</t>
        </is>
      </c>
      <c r="AA11" s="183" t="inlineStr">
        <is>
          <t>Not found</t>
        </is>
      </c>
      <c r="AB11" s="183" t="inlineStr">
        <is>
          <t>Directory or search listing; not opened (direct site access blocked)</t>
        </is>
      </c>
      <c r="AC11" s="183" t="inlineStr">
        <is>
          <t>No expired licence or ended distribution agreement found</t>
        </is>
      </c>
      <c r="AD11" s="183" t="inlineStr">
        <is>
          <t>Not started</t>
        </is>
      </c>
      <c r="AE11" s="183" t="inlineStr">
        <is>
          <t>dosimetry-support@euro-meditec.co.jp</t>
        </is>
      </c>
      <c r="AF11" s="183" t="inlineStr">
        <is>
          <t>https://www.euro-meditec.co.jp/beamscan/</t>
        </is>
      </c>
      <c r="AG11" s="183" t="inlineStr">
        <is>
          <t>Verified: published on company website</t>
        </is>
      </c>
    </row>
    <row r="12">
      <c r="A12" s="183" t="n">
        <v>8</v>
      </c>
      <c r="B12" s="183" t="inlineStr">
        <is>
          <t>MC Healthcare</t>
        </is>
      </c>
      <c r="C12" s="183" t="inlineStr">
        <is>
          <t>エム・シー・ヘルスケア</t>
        </is>
      </c>
      <c r="D12" s="183" t="inlineStr">
        <is>
          <t>Not retrieved (NTA lookup blocked in this session)</t>
        </is>
      </c>
      <c r="E12" s="183" t="inlineStr">
        <is>
          <t>東京都</t>
        </is>
      </c>
      <c r="F12" s="183" t="inlineStr">
        <is>
          <t>Kanto</t>
        </is>
      </c>
      <c r="G12" s="183" t="inlineStr">
        <is>
          <t>https://mc-healthcare.co.jp/</t>
        </is>
      </c>
      <c r="H12" s="183" t="inlineStr">
        <is>
          <t>MAH implied: Mitsubishi Corp group; imports and sells latest devices; licence implied</t>
        </is>
      </c>
      <c r="I12" s="183" t="inlineStr">
        <is>
          <t>Not identified in published sources</t>
        </is>
      </c>
      <c r="J12" s="183" t="inlineStr">
        <is>
          <t>Hospitals</t>
        </is>
      </c>
      <c r="K12" s="183" t="inlineStr">
        <is>
          <t>東京都 (regional; branch network not confirmed)</t>
        </is>
      </c>
      <c r="L12" s="183" t="inlineStr">
        <is>
          <t>Not found</t>
        </is>
      </c>
      <c r="M12" s="183" t="inlineStr">
        <is>
          <t>Not identified</t>
        </is>
      </c>
      <c r="N12" s="183" t="inlineStr">
        <is>
          <t>Not identified</t>
        </is>
      </c>
      <c r="O12" s="183" t="inlineStr">
        <is>
          <t>Not published; use contact form</t>
        </is>
      </c>
      <c r="P12" s="183" t="inlineStr">
        <is>
          <t>Not confirmed</t>
        </is>
      </c>
      <c r="Q12" s="183" t="inlineStr">
        <is>
          <t>Not identified</t>
        </is>
      </c>
      <c r="R12" s="184" t="inlineStr">
        <is>
          <t>Likely</t>
        </is>
      </c>
      <c r="S12" s="183" t="n">
        <v>22</v>
      </c>
      <c r="T12" s="185" t="inlineStr">
        <is>
          <t>A</t>
        </is>
      </c>
      <c r="U12" s="183" t="inlineStr">
        <is>
          <t>Holds or very likely holds a 製造販売業 licence through its import business, which removes the biggest Japan entry barrier. Imaging line not yet carried, so CHISON fills a gap rather than competing.</t>
        </is>
      </c>
      <c r="V12"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2" s="183" t="inlineStr">
        <is>
          <t>N (not identified)</t>
        </is>
      </c>
      <c r="X12" s="186" t="inlineStr">
        <is>
          <t>https://directscout.recruit.co.jp/job_descriptions/7637910 (search result set; reconfirm page)</t>
        </is>
      </c>
      <c r="Y12" s="183" t="inlineStr">
        <is>
          <t>SonoEye P3 plus SonoAir 30 for GP and clinic accounts</t>
        </is>
      </c>
      <c r="Z12" s="183" t="inlineStr">
        <is>
          <t>4, 2, 3, 2, 5, 2, 4</t>
        </is>
      </c>
      <c r="AA12" s="183" t="inlineStr">
        <is>
          <t>Not found</t>
        </is>
      </c>
      <c r="AB12" s="183" t="inlineStr">
        <is>
          <t>Directory or search listing; not opened (direct site access blocked)</t>
        </is>
      </c>
      <c r="AC12" s="183" t="inlineStr">
        <is>
          <t>No expired licence or ended distribution agreement found</t>
        </is>
      </c>
      <c r="AD12" s="183" t="inlineStr">
        <is>
          <t>Not started</t>
        </is>
      </c>
      <c r="AE12" s="183" t="inlineStr"/>
      <c r="AF12" s="183" t="inlineStr">
        <is>
          <t>https://mc-healthcare.co.jp/contact/</t>
        </is>
      </c>
      <c r="AG12" s="183" t="inlineStr">
        <is>
          <t>No email published; use the contact form (link in Email source)</t>
        </is>
      </c>
    </row>
    <row r="13">
      <c r="A13" s="183" t="n">
        <v>9</v>
      </c>
      <c r="B13" s="183" t="inlineStr">
        <is>
          <t>Unimedic</t>
        </is>
      </c>
      <c r="C13" s="183" t="inlineStr">
        <is>
          <t>ユニメディック</t>
        </is>
      </c>
      <c r="D13" s="183" t="inlineStr">
        <is>
          <t>Not retrieved (NTA lookup blocked in this session)</t>
        </is>
      </c>
      <c r="E13" s="183" t="inlineStr">
        <is>
          <t>大阪府</t>
        </is>
      </c>
      <c r="F13" s="183" t="inlineStr">
        <is>
          <t>Kansai</t>
        </is>
      </c>
      <c r="G13" s="183" t="inlineStr">
        <is>
          <t>https://unimedic.co.jp/</t>
        </is>
      </c>
      <c r="H13" s="183" t="inlineStr">
        <is>
          <t>MAH implied: Imports surgical instruments; 製造販売業 licence implied</t>
        </is>
      </c>
      <c r="I13" s="183" t="inlineStr">
        <is>
          <t>Not identified in published sources</t>
        </is>
      </c>
      <c r="J13" s="183" t="inlineStr">
        <is>
          <t>Surgery and OR</t>
        </is>
      </c>
      <c r="K13" s="183" t="inlineStr">
        <is>
          <t>大阪府 (regional; branch network not confirmed)</t>
        </is>
      </c>
      <c r="L13" s="183" t="inlineStr">
        <is>
          <t>Not found</t>
        </is>
      </c>
      <c r="M13" s="183" t="inlineStr">
        <is>
          <t>Not identified</t>
        </is>
      </c>
      <c r="N13" s="183" t="inlineStr">
        <is>
          <t>Not identified</t>
        </is>
      </c>
      <c r="O13" s="183" t="inlineStr">
        <is>
          <t>inquiry@unimedic.co.jp</t>
        </is>
      </c>
      <c r="P13" s="183" t="inlineStr">
        <is>
          <t>Not confirmed</t>
        </is>
      </c>
      <c r="Q13" s="183" t="inlineStr">
        <is>
          <t>Not identified</t>
        </is>
      </c>
      <c r="R13" s="184" t="inlineStr">
        <is>
          <t>Unverified</t>
        </is>
      </c>
      <c r="S13" s="183" t="n">
        <v>22</v>
      </c>
      <c r="T13" s="185" t="inlineStr">
        <is>
          <t>A</t>
        </is>
      </c>
      <c r="U13" s="183" t="inlineStr">
        <is>
          <t>Holds or very likely holds a 製造販売業 licence through its import business, which removes the biggest Japan entry barrier. Imaging line not yet carried, so CHISON fills a gap rather than competing.</t>
        </is>
      </c>
      <c r="V13"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3" s="183" t="inlineStr">
        <is>
          <t>N (not identified)</t>
        </is>
      </c>
      <c r="X13" s="186" t="inlineStr">
        <is>
          <t>https://baseconnect.in/companies/prefecture/d80b180e-5fd9-4082-8cdc-a510179a3475/keyword/89941b4e-2dd1-4848-8957-48af280a31e0</t>
        </is>
      </c>
      <c r="Y13" s="183" t="inlineStr">
        <is>
          <t>SonoTouch plus SonoEye P3 (nerve block, vascular access, peri operative)</t>
        </is>
      </c>
      <c r="Z13" s="183" t="inlineStr">
        <is>
          <t>4, 2, 3, 2, 3, 4, 4</t>
        </is>
      </c>
      <c r="AA13" s="183" t="inlineStr">
        <is>
          <t>Not found</t>
        </is>
      </c>
      <c r="AB13" s="183" t="inlineStr">
        <is>
          <t>Directory or search listing; not opened (direct site access blocked)</t>
        </is>
      </c>
      <c r="AC13" s="183" t="inlineStr">
        <is>
          <t>No expired licence or ended distribution agreement found</t>
        </is>
      </c>
      <c r="AD13" s="183" t="inlineStr">
        <is>
          <t>Not started</t>
        </is>
      </c>
      <c r="AE13" s="183" t="inlineStr"/>
      <c r="AF13" s="183" t="inlineStr">
        <is>
          <t>https://unimedic.co.jp/pages/23/</t>
        </is>
      </c>
      <c r="AG13" s="183" t="inlineStr">
        <is>
          <t>Likely: indexed on company domain</t>
        </is>
      </c>
    </row>
    <row r="14">
      <c r="A14" s="183" t="n">
        <v>10</v>
      </c>
      <c r="B14" s="183" t="inlineStr">
        <is>
          <t>IMI Co.</t>
        </is>
      </c>
      <c r="C14" s="183" t="inlineStr">
        <is>
          <t>アイ・エム・アイ</t>
        </is>
      </c>
      <c r="D14" s="183" t="inlineStr">
        <is>
          <t>Not retrieved (NTA lookup blocked in this session)</t>
        </is>
      </c>
      <c r="E14" s="183" t="inlineStr">
        <is>
          <t>埼玉県</t>
        </is>
      </c>
      <c r="F14" s="183" t="inlineStr">
        <is>
          <t>Kanto</t>
        </is>
      </c>
      <c r="G14" s="183" t="inlineStr">
        <is>
          <t>https://www.imimed.co.jp/</t>
        </is>
      </c>
      <c r="H14" s="183" t="inlineStr">
        <is>
          <t>MAH implied: Imports ventilators and monitoring; 製造販売業 licence implied</t>
        </is>
      </c>
      <c r="I14" s="183" t="inlineStr">
        <is>
          <t>Not identified in published sources</t>
        </is>
      </c>
      <c r="J14" s="183" t="inlineStr">
        <is>
          <t>Anaesthesia, ICU and respiratory, Surgery and OR</t>
        </is>
      </c>
      <c r="K14" s="183" t="inlineStr">
        <is>
          <t>埼玉県 (regional; branch network not confirmed)</t>
        </is>
      </c>
      <c r="L14" s="183" t="inlineStr">
        <is>
          <t>Not found</t>
        </is>
      </c>
      <c r="M14" s="183" t="inlineStr">
        <is>
          <t>Not identified</t>
        </is>
      </c>
      <c r="N14" s="183" t="inlineStr">
        <is>
          <t>Not identified</t>
        </is>
      </c>
      <c r="O14" s="183" t="inlineStr">
        <is>
          <t>Not published; use contact form</t>
        </is>
      </c>
      <c r="P14" s="183" t="inlineStr">
        <is>
          <t>Not confirmed</t>
        </is>
      </c>
      <c r="Q14" s="183" t="inlineStr">
        <is>
          <t>Not identified</t>
        </is>
      </c>
      <c r="R14" s="184" t="inlineStr">
        <is>
          <t>Likely</t>
        </is>
      </c>
      <c r="S14" s="183" t="n">
        <v>21</v>
      </c>
      <c r="T14" s="185" t="inlineStr">
        <is>
          <t>A</t>
        </is>
      </c>
      <c r="U14" s="183" t="inlineStr">
        <is>
          <t>Holds or very likely holds a 製造販売業 licence through its import business, which removes the biggest Japan entry barrier. Imaging line not yet carried, so CHISON fills a gap rather than competing.</t>
        </is>
      </c>
      <c r="V14"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4" s="183" t="inlineStr">
        <is>
          <t>N (not identified)</t>
        </is>
      </c>
      <c r="X14" s="186" t="inlineStr">
        <is>
          <t>https://baseconnect.in/companies/prefecture/5b2e6d00-cfba-4d0b-850d-54757e4b4d7f/category/b2358a1c-c4c6-46f4-a0b1-dee3a1b30a0b</t>
        </is>
      </c>
      <c r="Y14" s="183" t="inlineStr">
        <is>
          <t>SonoTouch plus SonoEye P3 (nerve block, vascular access, peri operative)</t>
        </is>
      </c>
      <c r="Z14" s="183" t="inlineStr">
        <is>
          <t>4, 3, 3, 2, 3, 2, 4</t>
        </is>
      </c>
      <c r="AA14" s="183" t="inlineStr">
        <is>
          <t>Not found</t>
        </is>
      </c>
      <c r="AB14" s="183" t="inlineStr">
        <is>
          <t>Directory or search listing; not opened (direct site access blocked)</t>
        </is>
      </c>
      <c r="AC14" s="183" t="inlineStr">
        <is>
          <t>No expired licence or ended distribution agreement found</t>
        </is>
      </c>
      <c r="AD14" s="183" t="inlineStr">
        <is>
          <t>Not started</t>
        </is>
      </c>
      <c r="AE14" s="183" t="inlineStr"/>
      <c r="AF14" s="183" t="inlineStr">
        <is>
          <t>https://www.imimed.co.jp/contact/medical/?t=7</t>
        </is>
      </c>
      <c r="AG14" s="183" t="inlineStr">
        <is>
          <t>No email published; use the contact form (link in Email source)</t>
        </is>
      </c>
    </row>
    <row r="15">
      <c r="A15" s="183" t="n">
        <v>11</v>
      </c>
      <c r="B15" s="183" t="inlineStr">
        <is>
          <t>Toki Boeki (TKB Group)</t>
        </is>
      </c>
      <c r="C15" s="183" t="inlineStr">
        <is>
          <t>東機貿</t>
        </is>
      </c>
      <c r="D15" s="183" t="inlineStr">
        <is>
          <t>Not retrieved (NTA lookup blocked in this session)</t>
        </is>
      </c>
      <c r="E15" s="183" t="inlineStr">
        <is>
          <t>東京都</t>
        </is>
      </c>
      <c r="F15" s="183" t="inlineStr">
        <is>
          <t>Kanto</t>
        </is>
      </c>
      <c r="G15" s="183" t="inlineStr">
        <is>
          <t>https://www.tokibo.co.jp/</t>
        </is>
      </c>
      <c r="H15" s="183" t="inlineStr">
        <is>
          <t>MAH implied: 70 year import house; 製造販売業 licence implied, confirm class</t>
        </is>
      </c>
      <c r="I15" s="183" t="inlineStr">
        <is>
          <t>Not identified in published sources</t>
        </is>
      </c>
      <c r="J15" s="183" t="inlineStr">
        <is>
          <t>General medical equipment (hospitals and clinics)</t>
        </is>
      </c>
      <c r="K15" s="183" t="inlineStr">
        <is>
          <t>東京都 (regional; branch network not confirmed)</t>
        </is>
      </c>
      <c r="L15" s="183" t="inlineStr">
        <is>
          <t>Not found</t>
        </is>
      </c>
      <c r="M15" s="183" t="inlineStr">
        <is>
          <t>Not identified</t>
        </is>
      </c>
      <c r="N15" s="183" t="inlineStr">
        <is>
          <t>Not identified</t>
        </is>
      </c>
      <c r="O15" s="183" t="inlineStr">
        <is>
          <t>Not published; use contact form</t>
        </is>
      </c>
      <c r="P15" s="183" t="inlineStr">
        <is>
          <t>Not confirmed</t>
        </is>
      </c>
      <c r="Q15" s="183" t="inlineStr">
        <is>
          <t>Not identified</t>
        </is>
      </c>
      <c r="R15" s="184" t="inlineStr">
        <is>
          <t>Likely</t>
        </is>
      </c>
      <c r="S15" s="183" t="n">
        <v>21</v>
      </c>
      <c r="T15" s="185" t="inlineStr">
        <is>
          <t>A</t>
        </is>
      </c>
      <c r="U15" s="183" t="inlineStr">
        <is>
          <t>Holds or very likely holds a 製造販売業 licence through its import business, which removes the biggest Japan entry barrier. Imaging line not yet carried, so CHISON fills a gap rather than competing.</t>
        </is>
      </c>
      <c r="V15"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5" s="183" t="inlineStr">
        <is>
          <t>N (not identified)</t>
        </is>
      </c>
      <c r="X15" s="186" t="inlineStr">
        <is>
          <t>https://careerconnection.jp/review/82545/jobinfo/</t>
        </is>
      </c>
      <c r="Y15" s="183" t="inlineStr">
        <is>
          <t>SonoEye P3 plus SonoAir 30 for GP and clinic accounts</t>
        </is>
      </c>
      <c r="Z15" s="183" t="inlineStr">
        <is>
          <t>4, 2, 3, 3, 3, 2, 4</t>
        </is>
      </c>
      <c r="AA15" s="183" t="inlineStr">
        <is>
          <t>Not found</t>
        </is>
      </c>
      <c r="AB15" s="183" t="inlineStr">
        <is>
          <t>Directory or search listing; not opened (direct site access blocked)</t>
        </is>
      </c>
      <c r="AC15" s="183" t="inlineStr">
        <is>
          <t>No expired licence or ended distribution agreement found</t>
        </is>
      </c>
      <c r="AD15" s="183" t="inlineStr">
        <is>
          <t>Not started</t>
        </is>
      </c>
      <c r="AE15" s="183" t="inlineStr"/>
      <c r="AF15" s="183" t="inlineStr">
        <is>
          <t>https://www.tokibo.co.jp/contact/</t>
        </is>
      </c>
      <c r="AG15" s="183" t="inlineStr">
        <is>
          <t>No email published; use the contact form (link in Email source)</t>
        </is>
      </c>
    </row>
    <row r="16">
      <c r="A16" s="183" t="n">
        <v>12</v>
      </c>
      <c r="B16" s="183" t="inlineStr">
        <is>
          <t>Total Medical Supply</t>
        </is>
      </c>
      <c r="C16" s="183" t="inlineStr">
        <is>
          <t>トータルメディカルサプライ</t>
        </is>
      </c>
      <c r="D16" s="183" t="inlineStr">
        <is>
          <t>Not retrieved (NTA lookup blocked in this session)</t>
        </is>
      </c>
      <c r="E16" s="183" t="inlineStr">
        <is>
          <t>兵庫県</t>
        </is>
      </c>
      <c r="F16" s="183" t="inlineStr">
        <is>
          <t>Kansai</t>
        </is>
      </c>
      <c r="G16" s="183" t="inlineStr">
        <is>
          <t>http://www.totalms.jp/</t>
        </is>
      </c>
      <c r="H16" s="183" t="inlineStr">
        <is>
          <t>MAH implied: Imports anaesthesia machines and ventilators; 製造販売業 licence implied</t>
        </is>
      </c>
      <c r="I16" s="183" t="inlineStr">
        <is>
          <t>Not identified in published sources</t>
        </is>
      </c>
      <c r="J16" s="183" t="inlineStr">
        <is>
          <t>Anaesthesia, ICU and respiratory</t>
        </is>
      </c>
      <c r="K16" s="183" t="inlineStr">
        <is>
          <t>兵庫県 (regional; branch network not confirmed)</t>
        </is>
      </c>
      <c r="L16" s="183" t="inlineStr">
        <is>
          <t>Not found</t>
        </is>
      </c>
      <c r="M16" s="183" t="inlineStr">
        <is>
          <t>Not identified</t>
        </is>
      </c>
      <c r="N16" s="183" t="inlineStr">
        <is>
          <t>Not identified</t>
        </is>
      </c>
      <c r="O16" s="183" t="inlineStr">
        <is>
          <t>Not published; use contact form</t>
        </is>
      </c>
      <c r="P16" s="183" t="inlineStr">
        <is>
          <t>Not confirmed</t>
        </is>
      </c>
      <c r="Q16" s="183" t="inlineStr">
        <is>
          <t>Not identified</t>
        </is>
      </c>
      <c r="R16" s="184" t="inlineStr">
        <is>
          <t>Likely</t>
        </is>
      </c>
      <c r="S16" s="183" t="n">
        <v>21</v>
      </c>
      <c r="T16" s="185" t="inlineStr">
        <is>
          <t>A</t>
        </is>
      </c>
      <c r="U16" s="183" t="inlineStr">
        <is>
          <t>Holds or very likely holds a 製造販売業 licence through its import business, which removes the biggest Japan entry barrier. Imaging line not yet carried, so CHISON fills a gap rather than competing.</t>
        </is>
      </c>
      <c r="V16"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6" s="183" t="inlineStr">
        <is>
          <t>N (not identified)</t>
        </is>
      </c>
      <c r="X16" s="186" t="inlineStr">
        <is>
          <t>https://baseconnect.in/companies/prefecture/912d7b2d-41c2-4923-a5c1-6666f9834966/keyword/14f3dcec-9cd5-4be5-84e1-ddccb7bd228c</t>
        </is>
      </c>
      <c r="Y16" s="183" t="inlineStr">
        <is>
          <t>SonoTouch plus SonoEye P3 (nerve block, vascular access, peri operative)</t>
        </is>
      </c>
      <c r="Z16" s="183" t="inlineStr">
        <is>
          <t>4, 3, 3, 2, 3, 2, 4</t>
        </is>
      </c>
      <c r="AA16" s="183" t="inlineStr">
        <is>
          <t>Not found</t>
        </is>
      </c>
      <c r="AB16" s="183" t="inlineStr">
        <is>
          <t>Directory or search listing; not opened (direct site access blocked)</t>
        </is>
      </c>
      <c r="AC16" s="183" t="inlineStr">
        <is>
          <t>No expired licence or ended distribution agreement found</t>
        </is>
      </c>
      <c r="AD16" s="183" t="inlineStr">
        <is>
          <t>Not started</t>
        </is>
      </c>
      <c r="AE16" s="183" t="inlineStr"/>
      <c r="AF16" s="183" t="inlineStr">
        <is>
          <t>http://www.totalms.jp/contact</t>
        </is>
      </c>
      <c r="AG16" s="183" t="inlineStr">
        <is>
          <t>No email published; use the contact form (link in Email source)</t>
        </is>
      </c>
    </row>
    <row r="17">
      <c r="A17" s="183" t="n">
        <v>13</v>
      </c>
      <c r="B17" s="183" t="inlineStr">
        <is>
          <t>Medicon (Osaka)</t>
        </is>
      </c>
      <c r="C17" s="183" t="inlineStr">
        <is>
          <t>メディコン</t>
        </is>
      </c>
      <c r="D17" s="183" t="inlineStr">
        <is>
          <t>Not retrieved (NTA lookup blocked in this session)</t>
        </is>
      </c>
      <c r="E17" s="183" t="inlineStr">
        <is>
          <t>大阪府</t>
        </is>
      </c>
      <c r="F17" s="183" t="inlineStr">
        <is>
          <t>Kansai</t>
        </is>
      </c>
      <c r="G17" s="183" t="inlineStr">
        <is>
          <t>https://www.info-cdcwatch.jp/customer/?m=CDCTop</t>
        </is>
      </c>
      <c r="H17" s="183" t="inlineStr">
        <is>
          <t>MAH implied: Surgical device importer; 製造販売業 licence implied</t>
        </is>
      </c>
      <c r="I17" s="183" t="inlineStr">
        <is>
          <t>Not identified in published sources</t>
        </is>
      </c>
      <c r="J17" s="183" t="inlineStr">
        <is>
          <t>Surgery and OR</t>
        </is>
      </c>
      <c r="K17" s="183" t="inlineStr">
        <is>
          <t>大阪府 (regional; branch network not confirmed)</t>
        </is>
      </c>
      <c r="L17" s="183" t="inlineStr">
        <is>
          <t>Not found</t>
        </is>
      </c>
      <c r="M17" s="183" t="inlineStr">
        <is>
          <t>Not identified</t>
        </is>
      </c>
      <c r="N17" s="183" t="inlineStr">
        <is>
          <t>Not identified</t>
        </is>
      </c>
      <c r="O17" s="183" t="inlineStr">
        <is>
          <t>Not published; use company inquiry form</t>
        </is>
      </c>
      <c r="P17" s="183" t="inlineStr">
        <is>
          <t>Not confirmed</t>
        </is>
      </c>
      <c r="Q17" s="183" t="inlineStr">
        <is>
          <t>Not identified</t>
        </is>
      </c>
      <c r="R17" s="184" t="inlineStr">
        <is>
          <t>Company inquiry only</t>
        </is>
      </c>
      <c r="S17" s="183" t="n">
        <v>21</v>
      </c>
      <c r="T17" s="185" t="inlineStr">
        <is>
          <t>A</t>
        </is>
      </c>
      <c r="U17" s="183" t="inlineStr">
        <is>
          <t>Holds or very likely holds a 製造販売業 licence through its import business, which removes the biggest Japan entry barrier. Imaging line not yet carried, so CHISON fills a gap rather than competing.</t>
        </is>
      </c>
      <c r="V17"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7" s="183" t="inlineStr">
        <is>
          <t>N (not identified)</t>
        </is>
      </c>
      <c r="X17" s="186" t="inlineStr">
        <is>
          <t>https://baseconnect.in/companies/prefecture/d80b180e-5fd9-4082-8cdc-a510179a3475/keyword/89941b4e-2dd1-4848-8957-48af280a31e0</t>
        </is>
      </c>
      <c r="Y17" s="183" t="inlineStr">
        <is>
          <t>SonoTouch plus SonoEye P3 (nerve block, vascular access, peri operative)</t>
        </is>
      </c>
      <c r="Z17" s="183" t="inlineStr">
        <is>
          <t>4, 2, 3, 3, 3, 2, 4</t>
        </is>
      </c>
      <c r="AA17" s="183" t="inlineStr">
        <is>
          <t>Not found</t>
        </is>
      </c>
      <c r="AB17" s="183" t="inlineStr">
        <is>
          <t>Directory or search listing; not opened (direct site access blocked)</t>
        </is>
      </c>
      <c r="AC17" s="183" t="inlineStr">
        <is>
          <t>No expired licence or ended distribution agreement found</t>
        </is>
      </c>
      <c r="AD17" s="183" t="inlineStr">
        <is>
          <t>Not started</t>
        </is>
      </c>
      <c r="AE17" s="183" t="inlineStr"/>
      <c r="AF17" s="183" t="inlineStr"/>
      <c r="AG17" s="183" t="inlineStr">
        <is>
          <t>No email published; website has no contact page link, phone first</t>
        </is>
      </c>
    </row>
    <row r="18">
      <c r="A18" s="183" t="n">
        <v>14</v>
      </c>
      <c r="B18" s="183" t="inlineStr">
        <is>
          <t>Heiwa Iryo Kikai</t>
        </is>
      </c>
      <c r="C18" s="183" t="inlineStr">
        <is>
          <t>平和医療器械</t>
        </is>
      </c>
      <c r="D18" s="183" t="inlineStr">
        <is>
          <t>Not retrieved (NTA lookup blocked in this session)</t>
        </is>
      </c>
      <c r="E18" s="183" t="inlineStr">
        <is>
          <t>山口県</t>
        </is>
      </c>
      <c r="F18" s="183" t="inlineStr">
        <is>
          <t>Chugoku and Shikoku</t>
        </is>
      </c>
      <c r="G18" s="183" t="inlineStr">
        <is>
          <t>https://heiwairyo.co.jp/</t>
        </is>
      </c>
      <c r="H18" s="183" t="inlineStr">
        <is>
          <t>MAH implied: Imports surgical devices and does OEM manufacturing; 製造販売業 licence implied</t>
        </is>
      </c>
      <c r="I18" s="183" t="inlineStr">
        <is>
          <t>Not identified in published sources</t>
        </is>
      </c>
      <c r="J18" s="183" t="inlineStr">
        <is>
          <t>Surgery and OR</t>
        </is>
      </c>
      <c r="K18" s="183" t="inlineStr">
        <is>
          <t>山口県 (regional; branch network not confirmed)</t>
        </is>
      </c>
      <c r="L18" s="183" t="inlineStr">
        <is>
          <t>Not found</t>
        </is>
      </c>
      <c r="M18" s="183" t="inlineStr">
        <is>
          <t>Not identified</t>
        </is>
      </c>
      <c r="N18" s="183" t="inlineStr">
        <is>
          <t>Not identified</t>
        </is>
      </c>
      <c r="O18" s="183" t="inlineStr">
        <is>
          <t>info@heiwairyo.co.jp</t>
        </is>
      </c>
      <c r="P18" s="183" t="inlineStr">
        <is>
          <t>Not confirmed</t>
        </is>
      </c>
      <c r="Q18" s="183" t="inlineStr">
        <is>
          <t>Not identified</t>
        </is>
      </c>
      <c r="R18" s="184" t="inlineStr">
        <is>
          <t>Unverified</t>
        </is>
      </c>
      <c r="S18" s="183" t="n">
        <v>21</v>
      </c>
      <c r="T18" s="185" t="inlineStr">
        <is>
          <t>A</t>
        </is>
      </c>
      <c r="U18" s="183" t="inlineStr">
        <is>
          <t>Holds or very likely holds a 製造販売業 licence through its import business, which removes the biggest Japan entry barrier. Imaging line not yet carried, so CHISON fills a gap rather than competing.</t>
        </is>
      </c>
      <c r="V18"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8" s="183" t="inlineStr">
        <is>
          <t>N (not identified)</t>
        </is>
      </c>
      <c r="X18" s="186" t="inlineStr">
        <is>
          <t>https://www.pref.yamaguchi.lg.jp/uploaded/attachment/60067.pdf</t>
        </is>
      </c>
      <c r="Y18" s="183" t="inlineStr">
        <is>
          <t>SonoTouch plus SonoEye P3 (nerve block, vascular access, peri operative)</t>
        </is>
      </c>
      <c r="Z18" s="183" t="inlineStr">
        <is>
          <t>4, 2, 3, 3, 3, 2, 4</t>
        </is>
      </c>
      <c r="AA18" s="183" t="inlineStr">
        <is>
          <t>Not found</t>
        </is>
      </c>
      <c r="AB18" s="183" t="inlineStr">
        <is>
          <t>Directory or search listing; not opened (direct site access blocked)</t>
        </is>
      </c>
      <c r="AC18" s="183" t="inlineStr">
        <is>
          <t>No expired licence or ended distribution agreement found</t>
        </is>
      </c>
      <c r="AD18" s="183" t="inlineStr">
        <is>
          <t>Not started</t>
        </is>
      </c>
      <c r="AE18" s="183" t="inlineStr"/>
      <c r="AF18" s="183" t="inlineStr">
        <is>
          <t>https://heiwairyo.co.jp/company/</t>
        </is>
      </c>
      <c r="AG18" s="183" t="inlineStr">
        <is>
          <t>Verified: published on company website</t>
        </is>
      </c>
    </row>
    <row r="19">
      <c r="A19" s="183" t="n">
        <v>15</v>
      </c>
      <c r="B19" s="183" t="inlineStr">
        <is>
          <t>Meiyu</t>
        </is>
      </c>
      <c r="C19" s="183" t="inlineStr">
        <is>
          <t>名優</t>
        </is>
      </c>
      <c r="D19" s="183" t="inlineStr">
        <is>
          <t>Not retrieved (NTA lookup blocked in this session)</t>
        </is>
      </c>
      <c r="E19" s="183" t="inlineStr">
        <is>
          <t>千葉県</t>
        </is>
      </c>
      <c r="F19" s="183" t="inlineStr">
        <is>
          <t>Kanto</t>
        </is>
      </c>
      <c r="G19" s="183" t="inlineStr">
        <is>
          <t>https://meilleur.co.jp/</t>
        </is>
      </c>
      <c r="H19" s="183" t="inlineStr">
        <is>
          <t>MAH implied: Imports ENT devices; 製造販売業 licence implied</t>
        </is>
      </c>
      <c r="I19" s="183" t="inlineStr">
        <is>
          <t>Not identified in published sources</t>
        </is>
      </c>
      <c r="J19" s="183" t="inlineStr">
        <is>
          <t>ENT</t>
        </is>
      </c>
      <c r="K19" s="183" t="inlineStr">
        <is>
          <t>千葉県 (regional; branch network not confirmed)</t>
        </is>
      </c>
      <c r="L19" s="183" t="inlineStr">
        <is>
          <t>Not found</t>
        </is>
      </c>
      <c r="M19" s="183" t="inlineStr">
        <is>
          <t>Not identified</t>
        </is>
      </c>
      <c r="N19" s="183" t="inlineStr">
        <is>
          <t>Not identified</t>
        </is>
      </c>
      <c r="O19" s="183" t="inlineStr">
        <is>
          <t>Not published; use contact form</t>
        </is>
      </c>
      <c r="P19" s="183" t="inlineStr">
        <is>
          <t>Not confirmed</t>
        </is>
      </c>
      <c r="Q19" s="183" t="inlineStr">
        <is>
          <t>Not identified</t>
        </is>
      </c>
      <c r="R19" s="184" t="inlineStr">
        <is>
          <t>Likely</t>
        </is>
      </c>
      <c r="S19" s="183" t="n">
        <v>20</v>
      </c>
      <c r="T19" s="185" t="inlineStr">
        <is>
          <t>A</t>
        </is>
      </c>
      <c r="U19" s="183" t="inlineStr">
        <is>
          <t>Holds or very likely holds a 製造販売業 licence through its import business, which removes the biggest Japan entry barrier. Imaging line not yet carried, so CHISON fills a gap rather than competing.</t>
        </is>
      </c>
      <c r="V19" s="183" t="inlineStr">
        <is>
          <t>Open with the MAH question: would they act as 製造販売業者 for CHISON Class II ultrasound under third party certification? Lead with US FDA clearance, OEM and R&amp;D work for global brands, and Singapore General Hospital as a reference site. No price or delivery talk until the certification route is agreed.</t>
        </is>
      </c>
      <c r="W19" s="183" t="inlineStr">
        <is>
          <t>N (not identified)</t>
        </is>
      </c>
      <c r="X19" s="186" t="inlineStr">
        <is>
          <t>https://baseconnect.in/companies/prefecture/3420045f-8609-4232-9407-75407ae4e6e8/keyword/89941b4e-2dd1-4848-8957-48af280a31e0</t>
        </is>
      </c>
      <c r="Y19" s="183" t="inlineStr">
        <is>
          <t>SonoEye P5 for head and neck</t>
        </is>
      </c>
      <c r="Z19" s="183" t="inlineStr">
        <is>
          <t>4, 2, 3, 2, 3, 2, 4</t>
        </is>
      </c>
      <c r="AA19" s="183" t="inlineStr">
        <is>
          <t>Not found</t>
        </is>
      </c>
      <c r="AB19" s="183" t="inlineStr">
        <is>
          <t>Directory or search listing; not opened (direct site access blocked)</t>
        </is>
      </c>
      <c r="AC19" s="183" t="inlineStr">
        <is>
          <t>No expired licence or ended distribution agreement found</t>
        </is>
      </c>
      <c r="AD19" s="183" t="inlineStr">
        <is>
          <t>Not started</t>
        </is>
      </c>
      <c r="AE19" s="183" t="inlineStr"/>
      <c r="AF19" s="183" t="inlineStr">
        <is>
          <t>https://meilleur.co.jp/contact/</t>
        </is>
      </c>
      <c r="AG19" s="183" t="inlineStr">
        <is>
          <t>No email published; use the contact form (link in Email source)</t>
        </is>
      </c>
    </row>
    <row r="20">
      <c r="A20" s="183" t="n">
        <v>16</v>
      </c>
      <c r="B20" s="183" t="inlineStr">
        <is>
          <t>Nisshin Denshi Service</t>
        </is>
      </c>
      <c r="C20" s="183" t="inlineStr">
        <is>
          <t>日信電子サービス</t>
        </is>
      </c>
      <c r="D20" s="183" t="inlineStr">
        <is>
          <t>Not retrieved (NTA lookup blocked in this session)</t>
        </is>
      </c>
      <c r="E20" s="183" t="inlineStr">
        <is>
          <t>東京都</t>
        </is>
      </c>
      <c r="F20" s="183" t="inlineStr">
        <is>
          <t>Kanto</t>
        </is>
      </c>
      <c r="G20" s="186" t="inlineStr">
        <is>
          <t>https://www.open-nes.co.jp/ (from prefecture PR card; live status not checked)</t>
        </is>
      </c>
      <c r="H20" s="183" t="inlineStr">
        <is>
          <t>No MAH found; device sales licence (高度管理医療機器等販売業) not confirmed</t>
        </is>
      </c>
      <c r="I20" s="183" t="inlineStr">
        <is>
          <t>Not identified in published sources</t>
        </is>
      </c>
      <c r="J20" s="183" t="inlineStr">
        <is>
          <t>Ultrasound, Radiology and imaging</t>
        </is>
      </c>
      <c r="K20" s="183" t="inlineStr">
        <is>
          <t>東京都 (regional; branch network not confirmed)</t>
        </is>
      </c>
      <c r="L20" s="183" t="inlineStr">
        <is>
          <t>Consolidated revenue about JPY 20.5bn (FY3/2026, job site figure); capital JPY 480m</t>
        </is>
      </c>
      <c r="M20" s="183" t="inlineStr">
        <is>
          <t>Not identified</t>
        </is>
      </c>
      <c r="N20" s="183" t="inlineStr">
        <is>
          <t>Not identified</t>
        </is>
      </c>
      <c r="O20" s="183" t="inlineStr">
        <is>
          <t>jinji-group@open-nes.co.jp</t>
        </is>
      </c>
      <c r="P20" s="183" t="inlineStr">
        <is>
          <t>Not confirmed</t>
        </is>
      </c>
      <c r="Q20" s="183" t="inlineStr">
        <is>
          <t>Not identified</t>
        </is>
      </c>
      <c r="R20" s="187" t="inlineStr">
        <is>
          <t>Company inquiry only</t>
        </is>
      </c>
      <c r="S20" s="183" t="n">
        <v>26</v>
      </c>
      <c r="T20" s="188" t="inlineStr">
        <is>
          <t>B</t>
        </is>
      </c>
      <c r="U20" s="183" t="inlineStr">
        <is>
          <t>Already sells or services ultrasound, so the team can demo and support from day one; needs a partner MAH.</t>
        </is>
      </c>
      <c r="V20" s="183" t="inlineStr">
        <is>
          <t>Ask which segments their current ultrasound line leaves uncovered (portable, POCUS, price sensitive clinics) and offer CHISON as the complementary mid tier.</t>
        </is>
      </c>
      <c r="W20" s="183" t="inlineStr">
        <is>
          <t>N (not identified)</t>
        </is>
      </c>
      <c r="X20" s="186" t="inlineStr">
        <is>
          <t>https://www.pref.saitama.lg.jp/documents/236621/0220_nisshindenshiservice.pdf ; https://careerconnection.jp/review/947/jobinfo/</t>
        </is>
      </c>
      <c r="Y20" s="183" t="inlineStr">
        <is>
          <t>SonoGO and SonoAir 30/70 as a mid tier portable line; SonoEye P3 for POCUS</t>
        </is>
      </c>
      <c r="Z20" s="183" t="inlineStr">
        <is>
          <t>2, 5, 3, 3, 5, 5, 3</t>
        </is>
      </c>
      <c r="AA20" s="183" t="inlineStr">
        <is>
          <t>東京都墨田区押上1丁目1番2号 東京スカイツリーイーストタワー15F (HQ per Saitama PR card)</t>
        </is>
      </c>
      <c r="AB20" s="183" t="inlineStr">
        <is>
          <t>Verified in 10% recheck. Correction: HQ is Tokyo Sumida, not Saitama; Saitama prefecture profiles the company</t>
        </is>
      </c>
      <c r="AC20" s="183" t="inlineStr">
        <is>
          <t>No expired licence or ended distribution agreement found</t>
        </is>
      </c>
      <c r="AD20" s="183" t="inlineStr">
        <is>
          <t>Not started</t>
        </is>
      </c>
      <c r="AE20" s="183" t="inlineStr"/>
      <c r="AF20" s="183" t="inlineStr">
        <is>
          <t>https://job.mynavi.jp/27/pc/search/corp75992/employment.html</t>
        </is>
      </c>
      <c r="AG20" s="183" t="inlineStr">
        <is>
          <t>Likely: indexed on company domain; HR or recruitment inbox, ask to forward to sales</t>
        </is>
      </c>
    </row>
    <row r="21">
      <c r="A21" s="183" t="n">
        <v>17</v>
      </c>
      <c r="B21" s="183" t="inlineStr">
        <is>
          <t>K's Medical</t>
        </is>
      </c>
      <c r="C21" s="183" t="inlineStr">
        <is>
          <t>ケーズメディカル</t>
        </is>
      </c>
      <c r="D21" s="183" t="inlineStr">
        <is>
          <t>Not retrieved (NTA lookup blocked in this session)</t>
        </is>
      </c>
      <c r="E21" s="183" t="inlineStr">
        <is>
          <t>東京都</t>
        </is>
      </c>
      <c r="F21" s="183" t="inlineStr">
        <is>
          <t>Kanto</t>
        </is>
      </c>
      <c r="G21" s="183" t="inlineStr">
        <is>
          <t>https://www.kz-medical.co.jp/</t>
        </is>
      </c>
      <c r="H21" s="183" t="inlineStr">
        <is>
          <t>No MAH found; device sales licence (高度管理医療機器等販売業) not confirmed</t>
        </is>
      </c>
      <c r="I21" s="183" t="inlineStr">
        <is>
          <t>Not identified in published sources</t>
        </is>
      </c>
      <c r="J21" s="183" t="inlineStr">
        <is>
          <t>Ultrasound, Clinics and GP (開業医)</t>
        </is>
      </c>
      <c r="K21" s="183" t="inlineStr">
        <is>
          <t>東京都 (regional; branch network not confirmed)</t>
        </is>
      </c>
      <c r="L21" s="183" t="inlineStr">
        <is>
          <t>Not found</t>
        </is>
      </c>
      <c r="M21" s="183" t="inlineStr">
        <is>
          <t>Not identified</t>
        </is>
      </c>
      <c r="N21" s="183" t="inlineStr">
        <is>
          <t>Not identified</t>
        </is>
      </c>
      <c r="O21" s="183" t="inlineStr">
        <is>
          <t>Not published; use company inquiry form</t>
        </is>
      </c>
      <c r="P21" s="183" t="inlineStr">
        <is>
          <t>Not confirmed</t>
        </is>
      </c>
      <c r="Q21" s="183" t="inlineStr">
        <is>
          <t>Not identified</t>
        </is>
      </c>
      <c r="R21" s="184" t="inlineStr">
        <is>
          <t>Company inquiry only</t>
        </is>
      </c>
      <c r="S21" s="183" t="n">
        <v>25</v>
      </c>
      <c r="T21" s="188" t="inlineStr">
        <is>
          <t>B</t>
        </is>
      </c>
      <c r="U21" s="183" t="inlineStr">
        <is>
          <t>Already sells or services ultrasound, so the team can demo and support from day one; needs a partner MAH.</t>
        </is>
      </c>
      <c r="V21" s="183" t="inlineStr">
        <is>
          <t>Ask which segments their current ultrasound line leaves uncovered (portable, POCUS, price sensitive clinics) and offer CHISON as the complementary mid tier.</t>
        </is>
      </c>
      <c r="W21" s="183" t="inlineStr">
        <is>
          <t>N (not identified)</t>
        </is>
      </c>
      <c r="X21" s="186" t="inlineStr">
        <is>
          <t>https://baseconnect.in/companies/prefecture/a30ebdff-361b-42be-8372-1b0d350f48a0/keyword/2517ed26-1f2b-4156-ab10-55a6dc901a56</t>
        </is>
      </c>
      <c r="Y21" s="183" t="inlineStr">
        <is>
          <t>SonoGO and SonoAir 30/70 as a mid tier portable line; SonoEye P3 for POCUS</t>
        </is>
      </c>
      <c r="Z21" s="183" t="inlineStr">
        <is>
          <t>2, 5, 3, 5, 3, 4, 3</t>
        </is>
      </c>
      <c r="AA21" s="183" t="inlineStr">
        <is>
          <t>Not found</t>
        </is>
      </c>
      <c r="AB21" s="183" t="inlineStr">
        <is>
          <t>Directory or search listing; not opened (direct site access blocked)</t>
        </is>
      </c>
      <c r="AC21" s="183" t="inlineStr">
        <is>
          <t>No expired licence or ended distribution agreement found</t>
        </is>
      </c>
      <c r="AD21" s="183" t="inlineStr">
        <is>
          <t>Not started</t>
        </is>
      </c>
      <c r="AE21" s="183" t="inlineStr"/>
      <c r="AF21" s="183" t="inlineStr"/>
      <c r="AG21" s="183" t="inlineStr">
        <is>
          <t>No email published; website has no contact page link, phone first</t>
        </is>
      </c>
    </row>
    <row r="22">
      <c r="A22" s="183" t="n">
        <v>18</v>
      </c>
      <c r="B22" s="183" t="inlineStr">
        <is>
          <t>Umekawa Ika Kikaiten</t>
        </is>
      </c>
      <c r="C22" s="183" t="inlineStr">
        <is>
          <t>梅川医科器械店</t>
        </is>
      </c>
      <c r="D22" s="183" t="inlineStr">
        <is>
          <t>Not retrieved (NTA lookup blocked in this session)</t>
        </is>
      </c>
      <c r="E22" s="183" t="inlineStr">
        <is>
          <t>北海道</t>
        </is>
      </c>
      <c r="F22" s="183" t="inlineStr">
        <is>
          <t>Tohoku and Hokkaido</t>
        </is>
      </c>
      <c r="G22" s="183" t="inlineStr">
        <is>
          <t>https://www.umekawa-mc.co.jp/</t>
        </is>
      </c>
      <c r="H22" s="183" t="inlineStr">
        <is>
          <t>No MAH found; device sales licence (高度管理医療機器等販売業) not confirmed</t>
        </is>
      </c>
      <c r="I22" s="183" t="inlineStr">
        <is>
          <t>Not identified in published sources</t>
        </is>
      </c>
      <c r="J22" s="183" t="inlineStr">
        <is>
          <t>Radiology and imaging, Clinics and GP (開業医)</t>
        </is>
      </c>
      <c r="K22" s="183" t="inlineStr">
        <is>
          <t>北海道; Hokkaido</t>
        </is>
      </c>
      <c r="L22" s="183" t="inlineStr">
        <is>
          <t>Not found</t>
        </is>
      </c>
      <c r="M22" s="183" t="inlineStr">
        <is>
          <t>Not identified</t>
        </is>
      </c>
      <c r="N22" s="183" t="inlineStr">
        <is>
          <t>Not identified</t>
        </is>
      </c>
      <c r="O22" s="183" t="inlineStr">
        <is>
          <t>contact@umekawa-mc.co.jp</t>
        </is>
      </c>
      <c r="P22" s="183" t="inlineStr">
        <is>
          <t>Not confirmed</t>
        </is>
      </c>
      <c r="Q22" s="183" t="inlineStr">
        <is>
          <t>Not identified</t>
        </is>
      </c>
      <c r="R22" s="184" t="inlineStr">
        <is>
          <t>Unverified</t>
        </is>
      </c>
      <c r="S22" s="183" t="n">
        <v>24</v>
      </c>
      <c r="T22" s="188" t="inlineStr">
        <is>
          <t>B</t>
        </is>
      </c>
      <c r="U22" s="183" t="inlineStr">
        <is>
          <t>Imaging dealer (X ray, CT, MRI or radiology) with the right hospital departments; ultrasound adds to the same buyers; needs a partner MAH.</t>
        </is>
      </c>
      <c r="V22" s="183" t="inlineStr">
        <is>
          <t>Position ultrasound as the add on for their existing radiology customers; ask whether they would sell under a partner MAH and run first demos.</t>
        </is>
      </c>
      <c r="W22" s="183" t="inlineStr">
        <is>
          <t>N (not identified)</t>
        </is>
      </c>
      <c r="X22" s="186" t="inlineStr">
        <is>
          <t>https://compalyze.co.jp/company/3430001002008</t>
        </is>
      </c>
      <c r="Y22" s="183" t="inlineStr">
        <is>
          <t>SonoMax 7 plus SonoPort for radiology departments; SonoAir 70 portable</t>
        </is>
      </c>
      <c r="Z22" s="183" t="inlineStr">
        <is>
          <t>2, 4, 3, 5, 3, 4, 3</t>
        </is>
      </c>
      <c r="AA22" s="183" t="inlineStr">
        <is>
          <t>Not found</t>
        </is>
      </c>
      <c r="AB22" s="183" t="inlineStr">
        <is>
          <t>Directory or search listing; not opened (direct site access blocked)</t>
        </is>
      </c>
      <c r="AC22" s="183" t="inlineStr">
        <is>
          <t>No expired licence or ended distribution agreement found</t>
        </is>
      </c>
      <c r="AD22" s="183" t="inlineStr">
        <is>
          <t>Not started</t>
        </is>
      </c>
      <c r="AE22" s="183" t="inlineStr"/>
      <c r="AF22" s="183" t="inlineStr">
        <is>
          <t>https://www.umekawa-mc.co.jp/contact.php</t>
        </is>
      </c>
      <c r="AG22" s="183" t="inlineStr">
        <is>
          <t>Verified: published on company website</t>
        </is>
      </c>
    </row>
    <row r="23">
      <c r="A23" s="183" t="n">
        <v>19</v>
      </c>
      <c r="B23" s="183" t="inlineStr">
        <is>
          <t>Tamura Iryokiki Hanbai</t>
        </is>
      </c>
      <c r="C23" s="183" t="inlineStr">
        <is>
          <t>タムラ医療機器販売</t>
        </is>
      </c>
      <c r="D23" s="183" t="inlineStr">
        <is>
          <t>Not retrieved (NTA lookup blocked in this session)</t>
        </is>
      </c>
      <c r="E23" s="183" t="inlineStr">
        <is>
          <t>埼玉県</t>
        </is>
      </c>
      <c r="F23" s="183" t="inlineStr">
        <is>
          <t>Kanto</t>
        </is>
      </c>
      <c r="G23" s="183" t="inlineStr">
        <is>
          <t>https://kaigonomori-t-group.com/</t>
        </is>
      </c>
      <c r="H23" s="183" t="inlineStr">
        <is>
          <t>No MAH found; device sales licence (高度管理医療機器等販売業) not confirmed</t>
        </is>
      </c>
      <c r="I23" s="183" t="inlineStr">
        <is>
          <t>Not identified in published sources</t>
        </is>
      </c>
      <c r="J23" s="183" t="inlineStr">
        <is>
          <t>Ultrasound, Radiology and imaging, Clinics and GP (開業医), Hospitals, Welfare and care</t>
        </is>
      </c>
      <c r="K23" s="183" t="inlineStr">
        <is>
          <t>埼玉県 (regional; branch network not confirmed)</t>
        </is>
      </c>
      <c r="L23" s="183" t="inlineStr">
        <is>
          <t>Est 1972</t>
        </is>
      </c>
      <c r="M23" s="183" t="inlineStr">
        <is>
          <t>Not identified</t>
        </is>
      </c>
      <c r="N23" s="183" t="inlineStr">
        <is>
          <t>Not identified</t>
        </is>
      </c>
      <c r="O23" s="183" t="inlineStr">
        <is>
          <t>Not published; use contact form</t>
        </is>
      </c>
      <c r="P23" s="183" t="inlineStr">
        <is>
          <t>Not confirmed</t>
        </is>
      </c>
      <c r="Q23" s="183" t="inlineStr">
        <is>
          <t>Not identified</t>
        </is>
      </c>
      <c r="R23" s="187" t="inlineStr">
        <is>
          <t>Likely</t>
        </is>
      </c>
      <c r="S23" s="183" t="n">
        <v>23</v>
      </c>
      <c r="T23" s="188" t="inlineStr">
        <is>
          <t>B</t>
        </is>
      </c>
      <c r="U23" s="183" t="inlineStr">
        <is>
          <t>Already sells or services ultrasound, so the team can demo and support from day one; needs a partner MAH.</t>
        </is>
      </c>
      <c r="V23" s="183" t="inlineStr">
        <is>
          <t>Ask which segments their current ultrasound line leaves uncovered (portable, POCUS, price sensitive clinics) and offer CHISON as the complementary mid tier.</t>
        </is>
      </c>
      <c r="W23" s="183" t="inlineStr">
        <is>
          <t>N (not identified)</t>
        </is>
      </c>
      <c r="X23" s="186" t="inlineStr">
        <is>
          <t>https://compalyze.co.jp/company/6030001055134 ; https://www.r-agent.com/company/c7230/ (search set) ; https://kaigo.homes.co.jp/scare/ad11/area110201/cc13/</t>
        </is>
      </c>
      <c r="Y23" s="183" t="inlineStr">
        <is>
          <t>SonoGO and SonoAir 30/70 as a mid tier portable line; SonoEye P3 for POCUS</t>
        </is>
      </c>
      <c r="Z23" s="183" t="inlineStr">
        <is>
          <t>2, 5, 3, 5, 3, 2, 3</t>
        </is>
      </c>
      <c r="AA23" s="183" t="inlineStr">
        <is>
          <t>Kawagoe office: 埼玉県川越市霞ケ関北2丁目2番13号 (care listing)</t>
        </is>
      </c>
      <c r="AB23" s="183" t="inlineStr">
        <is>
          <t>Directory or search listing; not opened (direct site access blocked)</t>
        </is>
      </c>
      <c r="AC23" s="183" t="inlineStr">
        <is>
          <t>No expired licence or ended distribution agreement found</t>
        </is>
      </c>
      <c r="AD23" s="183" t="inlineStr">
        <is>
          <t>Not started</t>
        </is>
      </c>
      <c r="AE23" s="183" t="inlineStr"/>
      <c r="AF23" s="183" t="inlineStr">
        <is>
          <t>https://kaigonomori-t-group.com/inquiry</t>
        </is>
      </c>
      <c r="AG23" s="183" t="inlineStr">
        <is>
          <t>No email published; use the contact form (link in Email source)</t>
        </is>
      </c>
    </row>
    <row r="24">
      <c r="A24" s="183" t="n">
        <v>20</v>
      </c>
      <c r="B24" s="183" t="inlineStr">
        <is>
          <t>Keiyo Shinwa</t>
        </is>
      </c>
      <c r="C24" s="183" t="inlineStr">
        <is>
          <t>京葉新和</t>
        </is>
      </c>
      <c r="D24" s="183" t="inlineStr">
        <is>
          <t>Not retrieved (NTA lookup blocked in this session)</t>
        </is>
      </c>
      <c r="E24" s="183" t="inlineStr">
        <is>
          <t>千葉県</t>
        </is>
      </c>
      <c r="F24" s="183" t="inlineStr">
        <is>
          <t>Kanto</t>
        </is>
      </c>
      <c r="G24" s="183" t="inlineStr">
        <is>
          <t>http://www.keiyo-shinwa.co.jp/</t>
        </is>
      </c>
      <c r="H24" s="183" t="inlineStr">
        <is>
          <t>No MAH found; device sales licence (高度管理医療機器等販売業) not confirmed</t>
        </is>
      </c>
      <c r="I24" s="183" t="inlineStr">
        <is>
          <t>Not identified in published sources</t>
        </is>
      </c>
      <c r="J24" s="183" t="inlineStr">
        <is>
          <t>Radiology and imaging</t>
        </is>
      </c>
      <c r="K24" s="183" t="inlineStr">
        <is>
          <t>千葉県 (regional; branch network not confirmed)</t>
        </is>
      </c>
      <c r="L24" s="183" t="inlineStr">
        <is>
          <t>Not found</t>
        </is>
      </c>
      <c r="M24" s="183" t="inlineStr">
        <is>
          <t>Not identified</t>
        </is>
      </c>
      <c r="N24" s="183" t="inlineStr">
        <is>
          <t>Not identified</t>
        </is>
      </c>
      <c r="O24" s="183" t="inlineStr">
        <is>
          <t>info@keiyo-shinwa.co.jp</t>
        </is>
      </c>
      <c r="P24" s="183" t="inlineStr">
        <is>
          <t>Not confirmed</t>
        </is>
      </c>
      <c r="Q24" s="183" t="inlineStr">
        <is>
          <t>Not identified</t>
        </is>
      </c>
      <c r="R24" s="184" t="inlineStr">
        <is>
          <t>Unverified</t>
        </is>
      </c>
      <c r="S24" s="183" t="n">
        <v>22</v>
      </c>
      <c r="T24" s="188" t="inlineStr">
        <is>
          <t>B</t>
        </is>
      </c>
      <c r="U24" s="183" t="inlineStr">
        <is>
          <t>Imaging dealer (X ray, CT, MRI or radiology) with the right hospital departments; ultrasound adds to the same buyers; needs a partner MAH.</t>
        </is>
      </c>
      <c r="V24" s="183" t="inlineStr">
        <is>
          <t>Position ultrasound as the add on for their existing radiology customers; ask whether they would sell under a partner MAH and run first demos.</t>
        </is>
      </c>
      <c r="W24" s="183" t="inlineStr">
        <is>
          <t>N (not identified)</t>
        </is>
      </c>
      <c r="X24" s="186" t="inlineStr">
        <is>
          <t>https://baseconnect.in/companies/prefecture/3420045f-8609-4232-9407-75407ae4e6e8/category/b2358a1c-c4c6-46f4-a0b1-dee3a1b30a0b</t>
        </is>
      </c>
      <c r="Y24" s="183" t="inlineStr">
        <is>
          <t>SonoMax 7 plus SonoPort for radiology departments; SonoAir 70 portable</t>
        </is>
      </c>
      <c r="Z24" s="183" t="inlineStr">
        <is>
          <t>2, 4, 3, 3, 3, 4, 3</t>
        </is>
      </c>
      <c r="AA24" s="183" t="inlineStr">
        <is>
          <t>Not found</t>
        </is>
      </c>
      <c r="AB24" s="183" t="inlineStr">
        <is>
          <t>Directory or search listing; not opened (direct site access blocked)</t>
        </is>
      </c>
      <c r="AC24" s="183" t="inlineStr">
        <is>
          <t>No expired licence or ended distribution agreement found</t>
        </is>
      </c>
      <c r="AD24" s="183" t="inlineStr">
        <is>
          <t>Not started</t>
        </is>
      </c>
      <c r="AE24" s="183" t="inlineStr"/>
      <c r="AF24" s="183" t="inlineStr">
        <is>
          <t>http://www.keiyo-shinwa.co.jp/</t>
        </is>
      </c>
      <c r="AG24" s="183" t="inlineStr">
        <is>
          <t>Verified: published on company website</t>
        </is>
      </c>
    </row>
    <row r="25">
      <c r="A25" s="183" t="n">
        <v>21</v>
      </c>
      <c r="B25" s="183" t="inlineStr">
        <is>
          <t>TK Planning</t>
        </is>
      </c>
      <c r="C25" s="183" t="inlineStr">
        <is>
          <t>TKプランニング</t>
        </is>
      </c>
      <c r="D25" s="183" t="inlineStr">
        <is>
          <t>Not retrieved (NTA lookup blocked in this session)</t>
        </is>
      </c>
      <c r="E25" s="183" t="inlineStr">
        <is>
          <t>千葉県</t>
        </is>
      </c>
      <c r="F25" s="183" t="inlineStr">
        <is>
          <t>Kanto</t>
        </is>
      </c>
      <c r="G25" s="183" t="inlineStr">
        <is>
          <t>https://tk-pl.com/</t>
        </is>
      </c>
      <c r="H25" s="183" t="inlineStr">
        <is>
          <t>No MAH found; device sales licence (高度管理医療機器等販売業) not confirmed</t>
        </is>
      </c>
      <c r="I25" s="183" t="inlineStr">
        <is>
          <t>Not identified in published sources</t>
        </is>
      </c>
      <c r="J25" s="183" t="inlineStr">
        <is>
          <t>General medical equipment (hospitals and clinics)</t>
        </is>
      </c>
      <c r="K25" s="183" t="inlineStr">
        <is>
          <t>千葉県 (regional; branch network not confirmed)</t>
        </is>
      </c>
      <c r="L25" s="183" t="inlineStr">
        <is>
          <t>Not found</t>
        </is>
      </c>
      <c r="M25" s="183" t="inlineStr">
        <is>
          <t>Not identified</t>
        </is>
      </c>
      <c r="N25" s="183" t="inlineStr">
        <is>
          <t>Not identified</t>
        </is>
      </c>
      <c r="O25" s="183" t="inlineStr">
        <is>
          <t>Not published; use contact form</t>
        </is>
      </c>
      <c r="P25" s="183" t="inlineStr">
        <is>
          <t>Not confirmed</t>
        </is>
      </c>
      <c r="Q25" s="183" t="inlineStr">
        <is>
          <t>Not identified</t>
        </is>
      </c>
      <c r="R25" s="184" t="inlineStr">
        <is>
          <t>Likely</t>
        </is>
      </c>
      <c r="S25" s="183" t="n">
        <v>22</v>
      </c>
      <c r="T25" s="188" t="inlineStr">
        <is>
          <t>B</t>
        </is>
      </c>
      <c r="U25" s="183" t="inlineStr">
        <is>
          <t>Imaging dealer (X ray, CT, MRI or radiology) with the right hospital departments; ultrasound adds to the same buyers; needs a partner MAH.</t>
        </is>
      </c>
      <c r="V25" s="183" t="inlineStr">
        <is>
          <t>Position ultrasound as the add on for their existing radiology customers; ask whether they would sell under a partner MAH and run first demos.</t>
        </is>
      </c>
      <c r="W25" s="183" t="inlineStr">
        <is>
          <t>N (not identified)</t>
        </is>
      </c>
      <c r="X25" s="186" t="inlineStr">
        <is>
          <t>https://baseconnect.in/companies/prefecture/3420045f-8609-4232-9407-75407ae4e6e8/category/b2358a1c-c4c6-46f4-a0b1-dee3a1b30a0b</t>
        </is>
      </c>
      <c r="Y25" s="183" t="inlineStr">
        <is>
          <t>SonoEye P3 plus SonoAir 30 for GP and clinic accounts</t>
        </is>
      </c>
      <c r="Z25" s="183" t="inlineStr">
        <is>
          <t>2, 4, 3, 3, 3, 4, 3</t>
        </is>
      </c>
      <c r="AA25" s="183" t="inlineStr">
        <is>
          <t>Not found</t>
        </is>
      </c>
      <c r="AB25" s="183" t="inlineStr">
        <is>
          <t>Directory or search listing; not opened (direct site access blocked)</t>
        </is>
      </c>
      <c r="AC25" s="183" t="inlineStr">
        <is>
          <t>No expired licence or ended distribution agreement found</t>
        </is>
      </c>
      <c r="AD25" s="183" t="inlineStr">
        <is>
          <t>Not started</t>
        </is>
      </c>
      <c r="AE25" s="183" t="inlineStr"/>
      <c r="AF25" s="183" t="inlineStr">
        <is>
          <t>https://tk-pl.com/contact/</t>
        </is>
      </c>
      <c r="AG25" s="183" t="inlineStr">
        <is>
          <t>No email published; use the contact form (link in Email source)</t>
        </is>
      </c>
    </row>
    <row r="26">
      <c r="A26" s="183" t="n">
        <v>22</v>
      </c>
      <c r="B26" s="183" t="inlineStr">
        <is>
          <t>Image One</t>
        </is>
      </c>
      <c r="C26" s="183" t="inlineStr">
        <is>
          <t>イメージワン</t>
        </is>
      </c>
      <c r="D26" s="183" t="inlineStr">
        <is>
          <t>Not retrieved (NTA lookup blocked in this session)</t>
        </is>
      </c>
      <c r="E26" s="183" t="inlineStr">
        <is>
          <t>東京都</t>
        </is>
      </c>
      <c r="F26" s="183" t="inlineStr">
        <is>
          <t>Kanto</t>
        </is>
      </c>
      <c r="G26" s="183" t="inlineStr">
        <is>
          <t>https://www.imageone.co.jp/</t>
        </is>
      </c>
      <c r="H26" s="183" t="inlineStr">
        <is>
          <t>No MAH found; device sales licence (高度管理医療機器等販売業) not confirmed</t>
        </is>
      </c>
      <c r="I26" s="183" t="inlineStr">
        <is>
          <t>Not identified in published sources</t>
        </is>
      </c>
      <c r="J26" s="183" t="inlineStr">
        <is>
          <t>Radiology and imaging</t>
        </is>
      </c>
      <c r="K26" s="183" t="inlineStr">
        <is>
          <t>東京都 (regional; branch network not confirmed)</t>
        </is>
      </c>
      <c r="L26" s="183" t="inlineStr">
        <is>
          <t>Not found</t>
        </is>
      </c>
      <c r="M26" s="183" t="inlineStr">
        <is>
          <t>Not identified</t>
        </is>
      </c>
      <c r="N26" s="183" t="inlineStr">
        <is>
          <t>Not identified</t>
        </is>
      </c>
      <c r="O26" s="183" t="inlineStr">
        <is>
          <t>whistleblowing@imageone.co.jp</t>
        </is>
      </c>
      <c r="P26" s="183" t="inlineStr">
        <is>
          <t>Not confirmed</t>
        </is>
      </c>
      <c r="Q26" s="183" t="inlineStr">
        <is>
          <t>Not identified</t>
        </is>
      </c>
      <c r="R26" s="184" t="inlineStr">
        <is>
          <t>Unverified</t>
        </is>
      </c>
      <c r="S26" s="183" t="n">
        <v>22</v>
      </c>
      <c r="T26" s="188" t="inlineStr">
        <is>
          <t>B</t>
        </is>
      </c>
      <c r="U26" s="183" t="inlineStr">
        <is>
          <t>Imaging dealer (X ray, CT, MRI or radiology) with the right hospital departments; ultrasound adds to the same buyers; needs a partner MAH.</t>
        </is>
      </c>
      <c r="V26" s="183" t="inlineStr">
        <is>
          <t>Position ultrasound as the add on for their existing radiology customers; ask whether they would sell under a partner MAH and run first demos.</t>
        </is>
      </c>
      <c r="W26" s="183" t="inlineStr">
        <is>
          <t>N (not identified)</t>
        </is>
      </c>
      <c r="X26" s="186" t="inlineStr">
        <is>
          <t>https://www2.jpx.co.jp/disc/26670/140120190403400264.pdf</t>
        </is>
      </c>
      <c r="Y26" s="183" t="inlineStr">
        <is>
          <t>SonoMax 7 plus SonoPort for radiology departments; SonoAir 70 portable</t>
        </is>
      </c>
      <c r="Z26" s="183" t="inlineStr">
        <is>
          <t>2, 4, 3, 3, 5, 2, 3</t>
        </is>
      </c>
      <c r="AA26" s="183" t="inlineStr">
        <is>
          <t>Not found</t>
        </is>
      </c>
      <c r="AB26" s="183" t="inlineStr">
        <is>
          <t>Directory or search listing; not opened (direct site access blocked)</t>
        </is>
      </c>
      <c r="AC26" s="183" t="inlineStr">
        <is>
          <t>No expired licence or ended distribution agreement found</t>
        </is>
      </c>
      <c r="AD26" s="183" t="inlineStr">
        <is>
          <t>Not started</t>
        </is>
      </c>
      <c r="AE26" s="183" t="inlineStr">
        <is>
          <t>privacy@imageone.co.jp</t>
        </is>
      </c>
      <c r="AF26" s="183" t="inlineStr">
        <is>
          <t>https://www.imageone.co.jp/governance/</t>
        </is>
      </c>
      <c r="AG26" s="183" t="inlineStr">
        <is>
          <t>Verified: published on company website</t>
        </is>
      </c>
    </row>
    <row r="27">
      <c r="A27" s="183" t="n">
        <v>23</v>
      </c>
      <c r="B27" s="183" t="inlineStr">
        <is>
          <t>IB Japan</t>
        </is>
      </c>
      <c r="C27" s="183" t="inlineStr">
        <is>
          <t>アイビージャパン</t>
        </is>
      </c>
      <c r="D27" s="183" t="inlineStr">
        <is>
          <t>Not retrieved (NTA lookup blocked in this session)</t>
        </is>
      </c>
      <c r="E27" s="183" t="inlineStr">
        <is>
          <t>神奈川県</t>
        </is>
      </c>
      <c r="F27" s="183" t="inlineStr">
        <is>
          <t>Kanto</t>
        </is>
      </c>
      <c r="G27" s="183" t="inlineStr">
        <is>
          <t>https://ivyjapan.com/</t>
        </is>
      </c>
      <c r="H27" s="183" t="inlineStr">
        <is>
          <t>No MAH found; device sales licence (高度管理医療機器等販売業) not confirmed</t>
        </is>
      </c>
      <c r="I27" s="183" t="inlineStr">
        <is>
          <t>Not identified in published sources</t>
        </is>
      </c>
      <c r="J27" s="183" t="inlineStr">
        <is>
          <t>Radiology and imaging, Clinics and GP (開業医), Hospitals</t>
        </is>
      </c>
      <c r="K27" s="183" t="inlineStr">
        <is>
          <t>神奈川県 (regional; branch network not confirmed)</t>
        </is>
      </c>
      <c r="L27" s="183" t="inlineStr">
        <is>
          <t>Not found</t>
        </is>
      </c>
      <c r="M27" s="183" t="inlineStr">
        <is>
          <t>Not identified</t>
        </is>
      </c>
      <c r="N27" s="183" t="inlineStr">
        <is>
          <t>Not identified</t>
        </is>
      </c>
      <c r="O27" s="183" t="inlineStr">
        <is>
          <t>Not published; use contact form</t>
        </is>
      </c>
      <c r="P27" s="183" t="inlineStr">
        <is>
          <t>Not confirmed</t>
        </is>
      </c>
      <c r="Q27" s="183" t="inlineStr">
        <is>
          <t>Not identified</t>
        </is>
      </c>
      <c r="R27" s="184" t="inlineStr">
        <is>
          <t>Likely</t>
        </is>
      </c>
      <c r="S27" s="183" t="n">
        <v>22</v>
      </c>
      <c r="T27" s="188" t="inlineStr">
        <is>
          <t>B</t>
        </is>
      </c>
      <c r="U27" s="183" t="inlineStr">
        <is>
          <t>Imaging dealer (X ray, CT, MRI or radiology) with the right hospital departments; ultrasound adds to the same buyers; needs a partner MAH.</t>
        </is>
      </c>
      <c r="V27" s="183" t="inlineStr">
        <is>
          <t>Position ultrasound as the add on for their existing radiology customers; ask whether they would sell under a partner MAH and run first demos.</t>
        </is>
      </c>
      <c r="W27" s="183" t="inlineStr">
        <is>
          <t>N (not identified)</t>
        </is>
      </c>
      <c r="X27" s="186" t="inlineStr">
        <is>
          <t>https://baseconnect.in/companies/prefecture/9c059a11-e5ef-470d-a270-47022ad1f973/category/e8b4fb2e-8cf9-473d-be34-3f729e65fdf3</t>
        </is>
      </c>
      <c r="Y27" s="183" t="inlineStr">
        <is>
          <t>SonoMax 7 plus SonoPort for radiology departments; SonoAir 70 portable</t>
        </is>
      </c>
      <c r="Z27" s="183" t="inlineStr">
        <is>
          <t>2, 4, 3, 5, 3, 2, 3</t>
        </is>
      </c>
      <c r="AA27" s="183" t="inlineStr">
        <is>
          <t>Not found</t>
        </is>
      </c>
      <c r="AB27" s="183" t="inlineStr">
        <is>
          <t>Directory or search listing; not opened (direct site access blocked)</t>
        </is>
      </c>
      <c r="AC27" s="183" t="inlineStr">
        <is>
          <t>No expired licence or ended distribution agreement found</t>
        </is>
      </c>
      <c r="AD27" s="183" t="inlineStr">
        <is>
          <t>Not started</t>
        </is>
      </c>
      <c r="AE27" s="183" t="inlineStr"/>
      <c r="AF27" s="183" t="inlineStr">
        <is>
          <t>https://ivyjapan.com/inquiry</t>
        </is>
      </c>
      <c r="AG27" s="183" t="inlineStr">
        <is>
          <t>No email published; use the contact form (link in Email source)</t>
        </is>
      </c>
    </row>
    <row r="28">
      <c r="A28" s="183" t="n">
        <v>24</v>
      </c>
      <c r="B28" s="183" t="inlineStr">
        <is>
          <t>Pro Medical</t>
        </is>
      </c>
      <c r="C28" s="183" t="inlineStr">
        <is>
          <t>プロメディカル</t>
        </is>
      </c>
      <c r="D28" s="183" t="inlineStr">
        <is>
          <t>Not retrieved (NTA lookup blocked in this session)</t>
        </is>
      </c>
      <c r="E28" s="183" t="inlineStr">
        <is>
          <t>石川県</t>
        </is>
      </c>
      <c r="F28" s="183" t="inlineStr">
        <is>
          <t>Chubu</t>
        </is>
      </c>
      <c r="G28" s="183" t="inlineStr">
        <is>
          <t>http://promedi.co.jp/</t>
        </is>
      </c>
      <c r="H28" s="183" t="inlineStr">
        <is>
          <t>No MAH found; device sales licence (高度管理医療機器等販売業) not confirmed</t>
        </is>
      </c>
      <c r="I28" s="183" t="inlineStr">
        <is>
          <t>Not identified in published sources</t>
        </is>
      </c>
      <c r="J28" s="183" t="inlineStr">
        <is>
          <t>Emergency and disaster, Orthopaedics and rehab, Clinics and GP (開業医), Hospitals</t>
        </is>
      </c>
      <c r="K28" s="183" t="inlineStr">
        <is>
          <t>石川県 (regional; branch network not confirmed)</t>
        </is>
      </c>
      <c r="L28" s="183" t="inlineStr">
        <is>
          <t>Not found</t>
        </is>
      </c>
      <c r="M28" s="183" t="inlineStr">
        <is>
          <t>Not identified</t>
        </is>
      </c>
      <c r="N28" s="183" t="inlineStr">
        <is>
          <t>Not identified</t>
        </is>
      </c>
      <c r="O28" s="183" t="inlineStr">
        <is>
          <t>Not published; use contact form</t>
        </is>
      </c>
      <c r="P28" s="183" t="inlineStr">
        <is>
          <t>Not confirmed</t>
        </is>
      </c>
      <c r="Q28" s="183" t="inlineStr">
        <is>
          <t>Not identified</t>
        </is>
      </c>
      <c r="R28" s="184" t="inlineStr">
        <is>
          <t>Likely</t>
        </is>
      </c>
      <c r="S28" s="183" t="n">
        <v>22</v>
      </c>
      <c r="T28" s="188" t="inlineStr">
        <is>
          <t>B</t>
        </is>
      </c>
      <c r="U28" s="183" t="inlineStr">
        <is>
          <t>Imaging dealer (X ray, CT, MRI or radiology) with the right hospital departments; ultrasound adds to the same buyers; needs a partner MAH.</t>
        </is>
      </c>
      <c r="V28" s="183" t="inlineStr">
        <is>
          <t>Position ultrasound as the add on for their existing radiology customers; ask whether they would sell under a partner MAH and run first demos.</t>
        </is>
      </c>
      <c r="W28" s="183" t="inlineStr">
        <is>
          <t>N (not identified)</t>
        </is>
      </c>
      <c r="X28" s="186" t="inlineStr">
        <is>
          <t>https://baseconnect.in/companies/prefecture/4637ba90-383b-4656-8be1-ca34c7f7244f/keyword/89941b4e-2dd1-4848-8957-48af280a31e0 ; https://compalyze.co.jp (search 2026 10 10)</t>
        </is>
      </c>
      <c r="Y28" s="183" t="inlineStr">
        <is>
          <t>SonoEye P3 for FAST, lung and vascular access (POCUS)</t>
        </is>
      </c>
      <c r="Z28" s="183" t="inlineStr">
        <is>
          <t>2, 4, 3, 5, 3, 2, 3</t>
        </is>
      </c>
      <c r="AA28" s="183" t="inlineStr">
        <is>
          <t>Not found</t>
        </is>
      </c>
      <c r="AB28" s="183" t="inlineStr">
        <is>
          <t>Directory or search listing; not opened (direct site access blocked)</t>
        </is>
      </c>
      <c r="AC28" s="183" t="inlineStr">
        <is>
          <t>No expired licence or ended distribution agreement found</t>
        </is>
      </c>
      <c r="AD28" s="183" t="inlineStr">
        <is>
          <t>Not started</t>
        </is>
      </c>
      <c r="AE28" s="183" t="inlineStr"/>
      <c r="AF28" s="183" t="inlineStr">
        <is>
          <t>http://promedi.co.jp/contact/</t>
        </is>
      </c>
      <c r="AG28" s="183" t="inlineStr">
        <is>
          <t>No email published; use the contact form (link in Email source)</t>
        </is>
      </c>
    </row>
    <row r="29">
      <c r="A29" s="183" t="n">
        <v>25</v>
      </c>
      <c r="B29" s="183" t="inlineStr">
        <is>
          <t>Tokyo Iryo Kagaku</t>
        </is>
      </c>
      <c r="C29" s="183" t="inlineStr">
        <is>
          <t>東京医療化学</t>
        </is>
      </c>
      <c r="D29" s="183" t="inlineStr">
        <is>
          <t>Not retrieved (NTA lookup blocked in this session)</t>
        </is>
      </c>
      <c r="E29" s="183" t="inlineStr">
        <is>
          <t>東京都</t>
        </is>
      </c>
      <c r="F29" s="183" t="inlineStr">
        <is>
          <t>Kanto</t>
        </is>
      </c>
      <c r="G29" s="183" t="inlineStr">
        <is>
          <t>https://www.tokyoiryokagaku.co.jp/</t>
        </is>
      </c>
      <c r="H29" s="183" t="inlineStr">
        <is>
          <t>No MAH found; device sales licence (高度管理医療機器等販売業) not confirmed</t>
        </is>
      </c>
      <c r="I29" s="183" t="inlineStr">
        <is>
          <t>Not identified in published sources</t>
        </is>
      </c>
      <c r="J29" s="183" t="inlineStr">
        <is>
          <t>Ultrasound</t>
        </is>
      </c>
      <c r="K29" s="183" t="inlineStr">
        <is>
          <t>東京都 (regional; branch network not confirmed)</t>
        </is>
      </c>
      <c r="L29" s="183" t="inlineStr">
        <is>
          <t>Not found</t>
        </is>
      </c>
      <c r="M29" s="183" t="inlineStr">
        <is>
          <t>Not identified</t>
        </is>
      </c>
      <c r="N29" s="183" t="inlineStr">
        <is>
          <t>Not identified</t>
        </is>
      </c>
      <c r="O29" s="183" t="inlineStr">
        <is>
          <t>chijun@tokyoiryokagaku.co.jp</t>
        </is>
      </c>
      <c r="P29" s="183" t="inlineStr">
        <is>
          <t>Not confirmed</t>
        </is>
      </c>
      <c r="Q29" s="183" t="inlineStr">
        <is>
          <t>Not identified</t>
        </is>
      </c>
      <c r="R29" s="184" t="inlineStr">
        <is>
          <t>Unverified</t>
        </is>
      </c>
      <c r="S29" s="183" t="n">
        <v>21</v>
      </c>
      <c r="T29" s="188" t="inlineStr">
        <is>
          <t>B</t>
        </is>
      </c>
      <c r="U29" s="183" t="inlineStr">
        <is>
          <t>Already sells or services ultrasound, so the team can demo and support from day one; needs a partner MAH.</t>
        </is>
      </c>
      <c r="V29" s="183" t="inlineStr">
        <is>
          <t>Ask which segments their current ultrasound line leaves uncovered (portable, POCUS, price sensitive clinics) and offer CHISON as the complementary mid tier.</t>
        </is>
      </c>
      <c r="W29" s="183" t="inlineStr">
        <is>
          <t>N (not identified)</t>
        </is>
      </c>
      <c r="X29" s="186" t="inlineStr">
        <is>
          <t>https://baseconnect.in/companies/prefecture/a30ebdff-361b-42be-8372-1b0d350f48a0/keyword/2517ed26-1f2b-4156-ab10-55a6dc901a56</t>
        </is>
      </c>
      <c r="Y29" s="183" t="inlineStr">
        <is>
          <t>SonoGO and SonoAir 30/70 as a mid tier portable line; SonoEye P3 for POCUS</t>
        </is>
      </c>
      <c r="Z29" s="183" t="inlineStr">
        <is>
          <t>2, 5, 3, 3, 3, 2, 3</t>
        </is>
      </c>
      <c r="AA29" s="183" t="inlineStr">
        <is>
          <t>Not found</t>
        </is>
      </c>
      <c r="AB29" s="183" t="inlineStr">
        <is>
          <t>Directory or search listing; not opened (direct site access blocked)</t>
        </is>
      </c>
      <c r="AC29" s="183" t="inlineStr">
        <is>
          <t>No expired licence or ended distribution agreement found</t>
        </is>
      </c>
      <c r="AD29" s="183" t="inlineStr">
        <is>
          <t>Not started</t>
        </is>
      </c>
      <c r="AE29" s="183" t="inlineStr"/>
      <c r="AF29" s="183" t="inlineStr">
        <is>
          <t>https://tgstat.com/channel/AAAAAFZawKi0tpS90fWgzg</t>
        </is>
      </c>
      <c r="AG29" s="183" t="inlineStr">
        <is>
          <t>Likely: indexed on company domain</t>
        </is>
      </c>
    </row>
    <row r="30">
      <c r="A30" s="183" t="n">
        <v>26</v>
      </c>
      <c r="B30" s="183" t="inlineStr">
        <is>
          <t>Omukai Ika Seiki</t>
        </is>
      </c>
      <c r="C30" s="183" t="inlineStr">
        <is>
          <t>大向医科精器</t>
        </is>
      </c>
      <c r="D30" s="183" t="inlineStr">
        <is>
          <t>Not retrieved (NTA lookup blocked in this session)</t>
        </is>
      </c>
      <c r="E30" s="183" t="inlineStr">
        <is>
          <t>東京都</t>
        </is>
      </c>
      <c r="F30" s="183" t="inlineStr">
        <is>
          <t>Kanto</t>
        </is>
      </c>
      <c r="G30" s="183" t="inlineStr">
        <is>
          <t>Not confirmed (company site not opened; network policy blocked direct access)</t>
        </is>
      </c>
      <c r="H30" s="183" t="inlineStr">
        <is>
          <t>No MAH found; device sales licence (高度管理医療機器等販売業) not confirmed</t>
        </is>
      </c>
      <c r="I30" s="183" t="inlineStr">
        <is>
          <t>Not identified in published sources</t>
        </is>
      </c>
      <c r="J30" s="183" t="inlineStr">
        <is>
          <t>Radiology and imaging</t>
        </is>
      </c>
      <c r="K30" s="183" t="inlineStr">
        <is>
          <t>東京都 (regional; branch network not confirmed)</t>
        </is>
      </c>
      <c r="L30" s="183" t="inlineStr">
        <is>
          <t>Not found</t>
        </is>
      </c>
      <c r="M30" s="183" t="inlineStr">
        <is>
          <t>Not identified</t>
        </is>
      </c>
      <c r="N30" s="183" t="inlineStr">
        <is>
          <t>Not identified</t>
        </is>
      </c>
      <c r="O30" s="183" t="inlineStr">
        <is>
          <t>Not published; use company inquiry form</t>
        </is>
      </c>
      <c r="P30" s="183" t="inlineStr">
        <is>
          <t>Not confirmed</t>
        </is>
      </c>
      <c r="Q30" s="183" t="inlineStr">
        <is>
          <t>Not identified</t>
        </is>
      </c>
      <c r="R30" s="184" t="inlineStr">
        <is>
          <t>Unverified</t>
        </is>
      </c>
      <c r="S30" s="183" t="n">
        <v>21</v>
      </c>
      <c r="T30" s="188" t="inlineStr">
        <is>
          <t>B</t>
        </is>
      </c>
      <c r="U30" s="183" t="inlineStr">
        <is>
          <t>Imaging dealer (X ray, CT, MRI or radiology) with the right hospital departments; ultrasound adds to the same buyers; needs a partner MAH.</t>
        </is>
      </c>
      <c r="V30" s="183" t="inlineStr">
        <is>
          <t>Position ultrasound as the add on for their existing radiology customers; ask whether they would sell under a partner MAH and run first demos.</t>
        </is>
      </c>
      <c r="W30" s="183" t="inlineStr">
        <is>
          <t>N (not identified)</t>
        </is>
      </c>
      <c r="X30" s="186" t="inlineStr">
        <is>
          <t>https://baseconnect.in/companies/prefecture/a30ebdff-361b-42be-8372-1b0d350f48a0/keyword/2517ed26-1f2b-4156-ab10-55a6dc901a56</t>
        </is>
      </c>
      <c r="Y30" s="183" t="inlineStr">
        <is>
          <t>SonoMax 7 plus SonoPort for radiology departments; SonoAir 70 portable</t>
        </is>
      </c>
      <c r="Z30" s="183" t="inlineStr">
        <is>
          <t>2, 4, 3, 3, 3, 2, 4</t>
        </is>
      </c>
      <c r="AA30" s="183" t="inlineStr">
        <is>
          <t>Not found</t>
        </is>
      </c>
      <c r="AB30" s="183" t="inlineStr">
        <is>
          <t>Recheck: no independent confirmation found; directory listing only</t>
        </is>
      </c>
      <c r="AC30" s="183" t="inlineStr">
        <is>
          <t>No expired licence or ended distribution agreement found</t>
        </is>
      </c>
      <c r="AD30" s="183" t="inlineStr">
        <is>
          <t>Not started</t>
        </is>
      </c>
      <c r="AE30" s="183" t="inlineStr"/>
      <c r="AF30" s="183" t="inlineStr"/>
      <c r="AG30" s="183" t="inlineStr">
        <is>
          <t>No email published and no verified website found</t>
        </is>
      </c>
    </row>
    <row r="31">
      <c r="A31" s="183" t="n">
        <v>27</v>
      </c>
      <c r="B31" s="183" t="inlineStr">
        <is>
          <t>Hospital Supply Japan</t>
        </is>
      </c>
      <c r="C31" s="183" t="inlineStr">
        <is>
          <t>ホスピタルサプライジャパン</t>
        </is>
      </c>
      <c r="D31" s="183" t="inlineStr">
        <is>
          <t>Not retrieved (NTA lookup blocked in this session)</t>
        </is>
      </c>
      <c r="E31" s="183" t="inlineStr">
        <is>
          <t>東京都</t>
        </is>
      </c>
      <c r="F31" s="183" t="inlineStr">
        <is>
          <t>Kanto</t>
        </is>
      </c>
      <c r="G31" s="183" t="inlineStr">
        <is>
          <t>Not confirmed (company site not opened; network policy blocked direct access)</t>
        </is>
      </c>
      <c r="H31" s="183" t="inlineStr">
        <is>
          <t>No MAH found; device sales licence (高度管理医療機器等販売業) not confirmed</t>
        </is>
      </c>
      <c r="I31" s="183" t="inlineStr">
        <is>
          <t>Not identified in published sources</t>
        </is>
      </c>
      <c r="J31" s="183" t="inlineStr">
        <is>
          <t>Ultrasound</t>
        </is>
      </c>
      <c r="K31" s="183" t="inlineStr">
        <is>
          <t>東京都 (regional; branch network not confirmed)</t>
        </is>
      </c>
      <c r="L31" s="183" t="inlineStr">
        <is>
          <t>Not found</t>
        </is>
      </c>
      <c r="M31" s="183" t="inlineStr">
        <is>
          <t>Not identified</t>
        </is>
      </c>
      <c r="N31" s="183" t="inlineStr">
        <is>
          <t>Not identified</t>
        </is>
      </c>
      <c r="O31" s="183" t="inlineStr">
        <is>
          <t>Not published; use company inquiry form</t>
        </is>
      </c>
      <c r="P31" s="183" t="inlineStr">
        <is>
          <t>Not confirmed</t>
        </is>
      </c>
      <c r="Q31" s="183" t="inlineStr">
        <is>
          <t>Not identified</t>
        </is>
      </c>
      <c r="R31" s="184" t="inlineStr">
        <is>
          <t>Unverified</t>
        </is>
      </c>
      <c r="S31" s="183" t="n">
        <v>21</v>
      </c>
      <c r="T31" s="188" t="inlineStr">
        <is>
          <t>B</t>
        </is>
      </c>
      <c r="U31" s="183" t="inlineStr">
        <is>
          <t>Already sells or services ultrasound, so the team can demo and support from day one; needs a partner MAH.</t>
        </is>
      </c>
      <c r="V31" s="183" t="inlineStr">
        <is>
          <t>Ask which segments their current ultrasound line leaves uncovered (portable, POCUS, price sensitive clinics) and offer CHISON as the complementary mid tier.</t>
        </is>
      </c>
      <c r="W31" s="183" t="inlineStr">
        <is>
          <t>N (not identified)</t>
        </is>
      </c>
      <c r="X31" s="186" t="inlineStr">
        <is>
          <t>https://baseconnect.in/companies/prefecture/a30ebdff-361b-42be-8372-1b0d350f48a0/keyword/2517ed26-1f2b-4156-ab10-55a6dc901a56</t>
        </is>
      </c>
      <c r="Y31" s="183" t="inlineStr">
        <is>
          <t>SonoGO and SonoAir 30/70 as a mid tier portable line; SonoEye P3 for POCUS</t>
        </is>
      </c>
      <c r="Z31" s="183" t="inlineStr">
        <is>
          <t>2, 5, 3, 3, 3, 2, 3</t>
        </is>
      </c>
      <c r="AA31" s="183" t="inlineStr">
        <is>
          <t>Not found</t>
        </is>
      </c>
      <c r="AB31" s="183" t="inlineStr">
        <is>
          <t>Directory or search listing; not opened (direct site access blocked)</t>
        </is>
      </c>
      <c r="AC31" s="183" t="inlineStr">
        <is>
          <t>No expired licence or ended distribution agreement found</t>
        </is>
      </c>
      <c r="AD31" s="183" t="inlineStr">
        <is>
          <t>Not started</t>
        </is>
      </c>
      <c r="AE31" s="183" t="inlineStr"/>
      <c r="AF31" s="183" t="inlineStr"/>
      <c r="AG31" s="183" t="inlineStr">
        <is>
          <t>No email published and no verified website found</t>
        </is>
      </c>
    </row>
    <row r="32">
      <c r="A32" s="183" t="n">
        <v>28</v>
      </c>
      <c r="B32" s="183" t="inlineStr">
        <is>
          <t>Medicare (Yokohama)</t>
        </is>
      </c>
      <c r="C32" s="183" t="inlineStr">
        <is>
          <t>メディケアー</t>
        </is>
      </c>
      <c r="D32" s="183" t="inlineStr">
        <is>
          <t>Not retrieved (NTA lookup blocked in this session)</t>
        </is>
      </c>
      <c r="E32" s="183" t="inlineStr">
        <is>
          <t>神奈川県</t>
        </is>
      </c>
      <c r="F32" s="183" t="inlineStr">
        <is>
          <t>Kanto</t>
        </is>
      </c>
      <c r="G32" s="183" t="inlineStr">
        <is>
          <t>https://www.mc-tehart.com/</t>
        </is>
      </c>
      <c r="H32" s="183" t="inlineStr">
        <is>
          <t>No MAH found; device sales licence (高度管理医療機器等販売業) not confirmed</t>
        </is>
      </c>
      <c r="I32" s="183" t="inlineStr">
        <is>
          <t>Not identified in published sources</t>
        </is>
      </c>
      <c r="J32" s="183" t="inlineStr">
        <is>
          <t>Ultrasound</t>
        </is>
      </c>
      <c r="K32" s="183" t="inlineStr">
        <is>
          <t>神奈川県 (regional; branch network not confirmed)</t>
        </is>
      </c>
      <c r="L32" s="183" t="inlineStr">
        <is>
          <t>Not found</t>
        </is>
      </c>
      <c r="M32" s="183" t="inlineStr">
        <is>
          <t>Not identified</t>
        </is>
      </c>
      <c r="N32" s="183" t="inlineStr">
        <is>
          <t>Not identified</t>
        </is>
      </c>
      <c r="O32" s="183" t="inlineStr">
        <is>
          <t>saiyo@mc-tehart.com</t>
        </is>
      </c>
      <c r="P32" s="183" t="inlineStr">
        <is>
          <t>Not confirmed</t>
        </is>
      </c>
      <c r="Q32" s="183" t="inlineStr">
        <is>
          <t>Not identified</t>
        </is>
      </c>
      <c r="R32" s="184" t="inlineStr">
        <is>
          <t>Unverified</t>
        </is>
      </c>
      <c r="S32" s="183" t="n">
        <v>21</v>
      </c>
      <c r="T32" s="188" t="inlineStr">
        <is>
          <t>B</t>
        </is>
      </c>
      <c r="U32" s="183" t="inlineStr">
        <is>
          <t>Already sells or services ultrasound, so the team can demo and support from day one; needs a partner MAH.</t>
        </is>
      </c>
      <c r="V32" s="183" t="inlineStr">
        <is>
          <t>Ask which segments their current ultrasound line leaves uncovered (portable, POCUS, price sensitive clinics) and offer CHISON as the complementary mid tier.</t>
        </is>
      </c>
      <c r="W32" s="183" t="inlineStr">
        <is>
          <t>N (not identified)</t>
        </is>
      </c>
      <c r="X32" s="186" t="inlineStr">
        <is>
          <t>https://baseconnect.in/companies/prefecture/9c059a11-e5ef-470d-a270-47022ad1f973/category/e8b4fb2e-8cf9-473d-be34-3f729e65fdf3</t>
        </is>
      </c>
      <c r="Y32" s="183" t="inlineStr">
        <is>
          <t>SonoGO and SonoAir 30/70 as a mid tier portable line; SonoEye P3 for POCUS</t>
        </is>
      </c>
      <c r="Z32" s="183" t="inlineStr">
        <is>
          <t>2, 5, 3, 3, 3, 2, 3</t>
        </is>
      </c>
      <c r="AA32" s="183" t="inlineStr">
        <is>
          <t>Not found</t>
        </is>
      </c>
      <c r="AB32" s="183" t="inlineStr">
        <is>
          <t>Directory or search listing; not opened (direct site access blocked)</t>
        </is>
      </c>
      <c r="AC32" s="183" t="inlineStr">
        <is>
          <t>No expired licence or ended distribution agreement found</t>
        </is>
      </c>
      <c r="AD32" s="183" t="inlineStr">
        <is>
          <t>Not started</t>
        </is>
      </c>
      <c r="AE32" s="183" t="inlineStr"/>
      <c r="AF32" s="183" t="inlineStr">
        <is>
          <t>https://job.mynavi.jp/27/pc/search/corp91469/recruiting_course27027677/recruiting_course.html</t>
        </is>
      </c>
      <c r="AG32" s="183" t="inlineStr">
        <is>
          <t>Likely: indexed on company domain; HR or recruitment inbox, ask to forward to sales</t>
        </is>
      </c>
    </row>
    <row r="33">
      <c r="A33" s="183" t="n">
        <v>29</v>
      </c>
      <c r="B33" s="183" t="inlineStr">
        <is>
          <t>Joshin Ho Iryo</t>
        </is>
      </c>
      <c r="C33" s="183" t="inlineStr">
        <is>
          <t>上晋放医療</t>
        </is>
      </c>
      <c r="D33" s="183" t="inlineStr">
        <is>
          <t>Not retrieved (NTA lookup blocked in this session)</t>
        </is>
      </c>
      <c r="E33" s="183" t="inlineStr">
        <is>
          <t>茨城県</t>
        </is>
      </c>
      <c r="F33" s="183" t="inlineStr">
        <is>
          <t>Kanto</t>
        </is>
      </c>
      <c r="G33" s="183" t="inlineStr">
        <is>
          <t>https://joshinho.sakura.ne.jp/</t>
        </is>
      </c>
      <c r="H33" s="183" t="inlineStr">
        <is>
          <t>No MAH found; device sales licence (高度管理医療機器等販売業) not confirmed</t>
        </is>
      </c>
      <c r="I33" s="183" t="inlineStr">
        <is>
          <t>Canon Medical (per directory)</t>
        </is>
      </c>
      <c r="J33" s="183" t="inlineStr">
        <is>
          <t>Radiology and imaging</t>
        </is>
      </c>
      <c r="K33" s="183" t="inlineStr">
        <is>
          <t>茨城県 (regional; branch network not confirmed)</t>
        </is>
      </c>
      <c r="L33" s="183" t="inlineStr">
        <is>
          <t>Not found</t>
        </is>
      </c>
      <c r="M33" s="183" t="inlineStr">
        <is>
          <t>Not identified</t>
        </is>
      </c>
      <c r="N33" s="183" t="inlineStr">
        <is>
          <t>Not identified</t>
        </is>
      </c>
      <c r="O33" s="183" t="inlineStr">
        <is>
          <t>joshinho@joshinho.sakura.ne.jp</t>
        </is>
      </c>
      <c r="P33" s="183" t="inlineStr">
        <is>
          <t>Not confirmed</t>
        </is>
      </c>
      <c r="Q33" s="183" t="inlineStr">
        <is>
          <t>Not identified</t>
        </is>
      </c>
      <c r="R33" s="184" t="inlineStr">
        <is>
          <t>Unverified</t>
        </is>
      </c>
      <c r="S33" s="183" t="n">
        <v>21</v>
      </c>
      <c r="T33" s="188" t="inlineStr">
        <is>
          <t>B</t>
        </is>
      </c>
      <c r="U33" s="183" t="inlineStr">
        <is>
          <t>Imaging dealer (X ray, CT, MRI or radiology) with the right hospital departments; ultrasound adds to the same buyers; needs a partner MAH.</t>
        </is>
      </c>
      <c r="V33" s="183" t="inlineStr">
        <is>
          <t>Carries Canon: pitch only the portable and handheld tier Canon does not push in clinics (SonoEye, SonoAir); ask which accounts their console line leaves unserved.</t>
        </is>
      </c>
      <c r="W33" s="183" t="inlineStr">
        <is>
          <t>N (not identified)</t>
        </is>
      </c>
      <c r="X33" s="186" t="inlineStr">
        <is>
          <t>https://baseconnect.in/companies/prefecture/d8203dea-91e2-41c3-a785-b80aa997273c/category/b2358a1c-c4c6-46f4-a0b1-dee3a1b30a0b</t>
        </is>
      </c>
      <c r="Y33" s="183" t="inlineStr">
        <is>
          <t>SonoMax 7 plus SonoPort for radiology departments; SonoAir 70 portable</t>
        </is>
      </c>
      <c r="Z33" s="183" t="inlineStr">
        <is>
          <t>2, 4, 2, 3, 3, 4, 3</t>
        </is>
      </c>
      <c r="AA33" s="183" t="inlineStr">
        <is>
          <t>Not found</t>
        </is>
      </c>
      <c r="AB33" s="183" t="inlineStr">
        <is>
          <t>Directory or search listing; not opened (direct site access blocked)</t>
        </is>
      </c>
      <c r="AC33" s="183" t="inlineStr">
        <is>
          <t>No expired licence or ended distribution agreement found</t>
        </is>
      </c>
      <c r="AD33" s="183" t="inlineStr">
        <is>
          <t>Not started</t>
        </is>
      </c>
      <c r="AE33" s="183" t="inlineStr"/>
      <c r="AF33" s="183" t="inlineStr">
        <is>
          <t>https://joshinho.sakura.ne.jp/page05.html</t>
        </is>
      </c>
      <c r="AG33" s="183" t="inlineStr">
        <is>
          <t>Verified: published on company website</t>
        </is>
      </c>
    </row>
    <row r="34">
      <c r="A34" s="183" t="n">
        <v>30</v>
      </c>
      <c r="B34" s="183" t="inlineStr">
        <is>
          <t>Nihon Medical System</t>
        </is>
      </c>
      <c r="C34" s="183" t="inlineStr">
        <is>
          <t>日本メディカルシステム</t>
        </is>
      </c>
      <c r="D34" s="183" t="inlineStr">
        <is>
          <t>Not retrieved (NTA lookup blocked in this session)</t>
        </is>
      </c>
      <c r="E34" s="183" t="inlineStr">
        <is>
          <t>兵庫県</t>
        </is>
      </c>
      <c r="F34" s="183" t="inlineStr">
        <is>
          <t>Kansai</t>
        </is>
      </c>
      <c r="G34" s="183" t="inlineStr">
        <is>
          <t>https://www.jmsys.co.jp/</t>
        </is>
      </c>
      <c r="H34" s="183" t="inlineStr">
        <is>
          <t>No MAH found; device sales licence (高度管理医療機器等販売業) not confirmed</t>
        </is>
      </c>
      <c r="I34" s="183" t="inlineStr">
        <is>
          <t>Not identified in published sources</t>
        </is>
      </c>
      <c r="J34" s="183" t="inlineStr">
        <is>
          <t>Radiology and imaging, Hospitals</t>
        </is>
      </c>
      <c r="K34" s="183" t="inlineStr">
        <is>
          <t>兵庫県 (regional; branch network not confirmed)</t>
        </is>
      </c>
      <c r="L34" s="183" t="inlineStr">
        <is>
          <t>Not found</t>
        </is>
      </c>
      <c r="M34" s="183" t="inlineStr">
        <is>
          <t>Not identified</t>
        </is>
      </c>
      <c r="N34" s="183" t="inlineStr">
        <is>
          <t>Not identified</t>
        </is>
      </c>
      <c r="O34" s="183" t="inlineStr">
        <is>
          <t>newph@jmsys.co.jp</t>
        </is>
      </c>
      <c r="P34" s="183" t="inlineStr">
        <is>
          <t>Not confirmed</t>
        </is>
      </c>
      <c r="Q34" s="183" t="inlineStr">
        <is>
          <t>Not identified</t>
        </is>
      </c>
      <c r="R34" s="184" t="inlineStr">
        <is>
          <t>Unverified</t>
        </is>
      </c>
      <c r="S34" s="183" t="n">
        <v>21</v>
      </c>
      <c r="T34" s="188" t="inlineStr">
        <is>
          <t>B</t>
        </is>
      </c>
      <c r="U34" s="183" t="inlineStr">
        <is>
          <t>Imaging dealer (X ray, CT, MRI or radiology) with the right hospital departments; ultrasound adds to the same buyers; needs a partner MAH.</t>
        </is>
      </c>
      <c r="V34" s="183" t="inlineStr">
        <is>
          <t>Position ultrasound as the add on for their existing radiology customers; ask whether they would sell under a partner MAH and run first demos.</t>
        </is>
      </c>
      <c r="W34" s="183" t="inlineStr">
        <is>
          <t>N (not identified)</t>
        </is>
      </c>
      <c r="X34" s="186" t="inlineStr">
        <is>
          <t>https://baseconnect.in/companies/prefecture/912d7b2d-41c2-4923-a5c1-6666f9834966/keyword/14f3dcec-9cd5-4be5-84e1-ddccb7bd228c</t>
        </is>
      </c>
      <c r="Y34" s="183" t="inlineStr">
        <is>
          <t>SonoMax 7 plus SonoPort for radiology departments; SonoAir 70 portable</t>
        </is>
      </c>
      <c r="Z34" s="183" t="inlineStr">
        <is>
          <t>2, 4, 3, 4, 3, 2, 3</t>
        </is>
      </c>
      <c r="AA34" s="183" t="inlineStr">
        <is>
          <t>Not found</t>
        </is>
      </c>
      <c r="AB34" s="183" t="inlineStr">
        <is>
          <t>Directory or search listing; not opened (direct site access blocked)</t>
        </is>
      </c>
      <c r="AC34" s="183" t="inlineStr">
        <is>
          <t>No expired licence or ended distribution agreement found</t>
        </is>
      </c>
      <c r="AD34" s="183" t="inlineStr">
        <is>
          <t>Not started</t>
        </is>
      </c>
      <c r="AE34" s="183" t="inlineStr">
        <is>
          <t>ontakesan@jmsys.co.jp</t>
        </is>
      </c>
      <c r="AF34" s="183" t="inlineStr">
        <is>
          <t>https://job.mynavi.jp/28/pc/corpinfo/displayInternship/index?optNo=yntXs&amp;corpId=86533</t>
        </is>
      </c>
      <c r="AG34" s="183" t="inlineStr">
        <is>
          <t>Likely: indexed on company domain</t>
        </is>
      </c>
    </row>
    <row r="35">
      <c r="A35" s="183" t="n">
        <v>31</v>
      </c>
      <c r="B35" s="183" t="inlineStr">
        <is>
          <t>Kyoritsu Ika Kikai</t>
        </is>
      </c>
      <c r="C35" s="183" t="inlineStr">
        <is>
          <t>共立医科器械</t>
        </is>
      </c>
      <c r="D35" s="183" t="inlineStr">
        <is>
          <t>Not retrieved (NTA lookup blocked in this session)</t>
        </is>
      </c>
      <c r="E35" s="183" t="inlineStr">
        <is>
          <t>岩手県</t>
        </is>
      </c>
      <c r="F35" s="183" t="inlineStr">
        <is>
          <t>Tohoku and Hokkaido</t>
        </is>
      </c>
      <c r="G35" s="183" t="inlineStr">
        <is>
          <t>https://kmic.co.jp/</t>
        </is>
      </c>
      <c r="H35" s="183" t="inlineStr">
        <is>
          <t>No MAH found; device sales licence (高度管理医療機器等販売業) not confirmed</t>
        </is>
      </c>
      <c r="I35" s="183" t="inlineStr">
        <is>
          <t>Not identified in published sources</t>
        </is>
      </c>
      <c r="J35" s="183" t="inlineStr">
        <is>
          <t>General medical equipment (hospitals and clinics)</t>
        </is>
      </c>
      <c r="K35" s="183" t="inlineStr">
        <is>
          <t>岩手県; Iwate Aomori Akita</t>
        </is>
      </c>
      <c r="L35" s="183" t="inlineStr">
        <is>
          <t>Not found</t>
        </is>
      </c>
      <c r="M35" s="183" t="inlineStr">
        <is>
          <t>Not identified</t>
        </is>
      </c>
      <c r="N35" s="183" t="inlineStr">
        <is>
          <t>Not identified</t>
        </is>
      </c>
      <c r="O35" s="183" t="inlineStr">
        <is>
          <t>Not published; use contact form</t>
        </is>
      </c>
      <c r="P35" s="183" t="inlineStr">
        <is>
          <t>Not confirmed</t>
        </is>
      </c>
      <c r="Q35" s="183" t="inlineStr">
        <is>
          <t>Not identified</t>
        </is>
      </c>
      <c r="R35" s="184" t="inlineStr">
        <is>
          <t>Likely</t>
        </is>
      </c>
      <c r="S35" s="183" t="n">
        <v>21</v>
      </c>
      <c r="T35" s="188" t="inlineStr">
        <is>
          <t>B</t>
        </is>
      </c>
      <c r="U35" s="183" t="inlineStr">
        <is>
          <t>Imaging dealer (X ray, CT, MRI or radiology) with the right hospital departments; ultrasound adds to the same buyers; needs a partner MAH.</t>
        </is>
      </c>
      <c r="V35" s="183" t="inlineStr">
        <is>
          <t>Position ultrasound as the add on for their existing radiology customers; ask whether they would sell under a partner MAH and run first demos.</t>
        </is>
      </c>
      <c r="W35" s="183" t="inlineStr">
        <is>
          <t>N (not identified)</t>
        </is>
      </c>
      <c r="X35" s="186" t="inlineStr">
        <is>
          <t>https://job.rikunabi.com/job_descriptions/4511bb0b2d226083</t>
        </is>
      </c>
      <c r="Y35" s="183" t="inlineStr">
        <is>
          <t>SonoEye P3 plus SonoAir 30 for GP and clinic accounts</t>
        </is>
      </c>
      <c r="Z35" s="183" t="inlineStr">
        <is>
          <t>2, 4, 3, 3, 4, 2, 3</t>
        </is>
      </c>
      <c r="AA35" s="183" t="inlineStr">
        <is>
          <t>Not found</t>
        </is>
      </c>
      <c r="AB35" s="183" t="inlineStr">
        <is>
          <t>Directory or search listing; not opened (direct site access blocked)</t>
        </is>
      </c>
      <c r="AC35" s="183" t="inlineStr">
        <is>
          <t>No expired licence or ended distribution agreement found</t>
        </is>
      </c>
      <c r="AD35" s="183" t="inlineStr">
        <is>
          <t>Not started</t>
        </is>
      </c>
      <c r="AE35" s="183" t="inlineStr"/>
      <c r="AF35" s="183" t="inlineStr">
        <is>
          <t>https://kmic.co.jp/pages/4/</t>
        </is>
      </c>
      <c r="AG35" s="183" t="inlineStr">
        <is>
          <t>No email published; use the contact form (link in Email source)</t>
        </is>
      </c>
    </row>
    <row r="36">
      <c r="A36" s="183" t="n">
        <v>32</v>
      </c>
      <c r="B36" s="183" t="inlineStr">
        <is>
          <t>Fukuyama Ika</t>
        </is>
      </c>
      <c r="C36" s="183" t="inlineStr">
        <is>
          <t>福山医科</t>
        </is>
      </c>
      <c r="D36" s="183" t="inlineStr">
        <is>
          <t>Not retrieved (NTA lookup blocked in this session)</t>
        </is>
      </c>
      <c r="E36" s="183" t="inlineStr">
        <is>
          <t>千葉県</t>
        </is>
      </c>
      <c r="F36" s="183" t="inlineStr">
        <is>
          <t>Kanto</t>
        </is>
      </c>
      <c r="G36" s="183" t="inlineStr">
        <is>
          <t>https://fukuyamaika.co.jp/</t>
        </is>
      </c>
      <c r="H36" s="183" t="inlineStr">
        <is>
          <t>No MAH found; device sales licence (高度管理医療機器等販売業) not confirmed</t>
        </is>
      </c>
      <c r="I36" s="183" t="inlineStr">
        <is>
          <t>Not identified in published sources</t>
        </is>
      </c>
      <c r="J36" s="183" t="inlineStr">
        <is>
          <t>Radiology and imaging</t>
        </is>
      </c>
      <c r="K36" s="183" t="inlineStr">
        <is>
          <t>千葉県 (regional; branch network not confirmed)</t>
        </is>
      </c>
      <c r="L36" s="183" t="inlineStr">
        <is>
          <t>Not found</t>
        </is>
      </c>
      <c r="M36" s="183" t="inlineStr">
        <is>
          <t>Not identified</t>
        </is>
      </c>
      <c r="N36" s="183" t="inlineStr">
        <is>
          <t>Not identified</t>
        </is>
      </c>
      <c r="O36" s="183" t="inlineStr">
        <is>
          <t>Not published; use contact form</t>
        </is>
      </c>
      <c r="P36" s="183" t="inlineStr">
        <is>
          <t>Not confirmed</t>
        </is>
      </c>
      <c r="Q36" s="183" t="inlineStr">
        <is>
          <t>Not identified</t>
        </is>
      </c>
      <c r="R36" s="184" t="inlineStr">
        <is>
          <t>Likely</t>
        </is>
      </c>
      <c r="S36" s="183" t="n">
        <v>20</v>
      </c>
      <c r="T36" s="188" t="inlineStr">
        <is>
          <t>B</t>
        </is>
      </c>
      <c r="U36" s="183" t="inlineStr">
        <is>
          <t>Imaging dealer (X ray, CT, MRI or radiology) with the right hospital departments; ultrasound adds to the same buyers; needs a partner MAH.</t>
        </is>
      </c>
      <c r="V36" s="183" t="inlineStr">
        <is>
          <t>Position ultrasound as the add on for their existing radiology customers; ask whether they would sell under a partner MAH and run first demos.</t>
        </is>
      </c>
      <c r="W36" s="183" t="inlineStr">
        <is>
          <t>N (not identified)</t>
        </is>
      </c>
      <c r="X36" s="186" t="inlineStr">
        <is>
          <t>https://baseconnect.in/companies/prefecture/3420045f-8609-4232-9407-75407ae4e6e8/category/b2358a1c-c4c6-46f4-a0b1-dee3a1b30a0b</t>
        </is>
      </c>
      <c r="Y36" s="183" t="inlineStr">
        <is>
          <t>SonoMax 7 plus SonoPort for radiology departments; SonoAir 70 portable</t>
        </is>
      </c>
      <c r="Z36" s="183" t="inlineStr">
        <is>
          <t>2, 4, 3, 3, 3, 2, 3</t>
        </is>
      </c>
      <c r="AA36" s="183" t="inlineStr">
        <is>
          <t>Not found</t>
        </is>
      </c>
      <c r="AB36" s="183" t="inlineStr">
        <is>
          <t>Directory or search listing; not opened (direct site access blocked)</t>
        </is>
      </c>
      <c r="AC36" s="183" t="inlineStr">
        <is>
          <t>No expired licence or ended distribution agreement found</t>
        </is>
      </c>
      <c r="AD36" s="183" t="inlineStr">
        <is>
          <t>Not started</t>
        </is>
      </c>
      <c r="AE36" s="183" t="inlineStr"/>
      <c r="AF36" s="183" t="inlineStr">
        <is>
          <t>https://fukuyamaika.co.jp/contact/</t>
        </is>
      </c>
      <c r="AG36" s="183" t="inlineStr">
        <is>
          <t>No email published; use the contact form (link in Email source)</t>
        </is>
      </c>
    </row>
    <row r="37">
      <c r="A37" s="183" t="n">
        <v>33</v>
      </c>
      <c r="B37" s="183" t="inlineStr">
        <is>
          <t>Rikuto</t>
        </is>
      </c>
      <c r="C37" s="183" t="inlineStr">
        <is>
          <t>六濤</t>
        </is>
      </c>
      <c r="D37" s="183" t="inlineStr">
        <is>
          <t>Not retrieved (NTA lookup blocked in this session)</t>
        </is>
      </c>
      <c r="E37" s="183" t="inlineStr">
        <is>
          <t>東京都</t>
        </is>
      </c>
      <c r="F37" s="183" t="inlineStr">
        <is>
          <t>Kanto</t>
        </is>
      </c>
      <c r="G37" s="183" t="inlineStr">
        <is>
          <t>https://www.rikutoh.com/</t>
        </is>
      </c>
      <c r="H37" s="183" t="inlineStr">
        <is>
          <t>No MAH found; device sales licence (高度管理医療機器等販売業) not confirmed</t>
        </is>
      </c>
      <c r="I37" s="183" t="inlineStr">
        <is>
          <t>Not identified in published sources</t>
        </is>
      </c>
      <c r="J37" s="183" t="inlineStr">
        <is>
          <t>Radiology and imaging</t>
        </is>
      </c>
      <c r="K37" s="183" t="inlineStr">
        <is>
          <t>東京都 (regional; branch network not confirmed)</t>
        </is>
      </c>
      <c r="L37" s="183" t="inlineStr">
        <is>
          <t>Not found</t>
        </is>
      </c>
      <c r="M37" s="183" t="inlineStr">
        <is>
          <t>Not identified</t>
        </is>
      </c>
      <c r="N37" s="183" t="inlineStr">
        <is>
          <t>Not identified</t>
        </is>
      </c>
      <c r="O37" s="183" t="inlineStr">
        <is>
          <t>Not published; use contact form</t>
        </is>
      </c>
      <c r="P37" s="183" t="inlineStr">
        <is>
          <t>Not confirmed</t>
        </is>
      </c>
      <c r="Q37" s="183" t="inlineStr">
        <is>
          <t>Not identified</t>
        </is>
      </c>
      <c r="R37" s="184" t="inlineStr">
        <is>
          <t>Likely</t>
        </is>
      </c>
      <c r="S37" s="183" t="n">
        <v>20</v>
      </c>
      <c r="T37" s="188" t="inlineStr">
        <is>
          <t>B</t>
        </is>
      </c>
      <c r="U37" s="183" t="inlineStr">
        <is>
          <t>Imaging dealer (X ray, CT, MRI or radiology) with the right hospital departments; ultrasound adds to the same buyers; needs a partner MAH.</t>
        </is>
      </c>
      <c r="V37" s="183" t="inlineStr">
        <is>
          <t>Position ultrasound as the add on for their existing radiology customers; ask whether they would sell under a partner MAH and run first demos.</t>
        </is>
      </c>
      <c r="W37" s="183" t="inlineStr">
        <is>
          <t>N (not identified)</t>
        </is>
      </c>
      <c r="X37" s="186" t="inlineStr">
        <is>
          <t>https://baseconnect.in/companies/prefecture/a30ebdff-361b-42be-8372-1b0d350f48a0/keyword/2517ed26-1f2b-4156-ab10-55a6dc901a56</t>
        </is>
      </c>
      <c r="Y37" s="183" t="inlineStr">
        <is>
          <t>SonoMax 7 plus SonoPort for radiology departments; SonoAir 70 portable</t>
        </is>
      </c>
      <c r="Z37" s="183" t="inlineStr">
        <is>
          <t>2, 4, 3, 3, 3, 2, 3</t>
        </is>
      </c>
      <c r="AA37" s="183" t="inlineStr">
        <is>
          <t>Not found</t>
        </is>
      </c>
      <c r="AB37" s="183" t="inlineStr">
        <is>
          <t>Directory or search listing; not opened (direct site access blocked)</t>
        </is>
      </c>
      <c r="AC37" s="183" t="inlineStr">
        <is>
          <t>No expired licence or ended distribution agreement found</t>
        </is>
      </c>
      <c r="AD37" s="183" t="inlineStr">
        <is>
          <t>Not started</t>
        </is>
      </c>
      <c r="AE37" s="183" t="inlineStr"/>
      <c r="AF37" s="183" t="inlineStr">
        <is>
          <t>https://www.rikutoh.com/contact</t>
        </is>
      </c>
      <c r="AG37" s="183" t="inlineStr">
        <is>
          <t>No email published; use the contact form (link in Email source)</t>
        </is>
      </c>
    </row>
    <row r="38">
      <c r="A38" s="183" t="n">
        <v>34</v>
      </c>
      <c r="B38" s="183" t="inlineStr">
        <is>
          <t>Superior Advantec</t>
        </is>
      </c>
      <c r="C38" s="183" t="inlineStr">
        <is>
          <t>スペリオルアドバンテック</t>
        </is>
      </c>
      <c r="D38" s="183" t="inlineStr">
        <is>
          <t>Not retrieved (NTA lookup blocked in this session)</t>
        </is>
      </c>
      <c r="E38" s="183" t="inlineStr">
        <is>
          <t>東京都</t>
        </is>
      </c>
      <c r="F38" s="183" t="inlineStr">
        <is>
          <t>Kanto</t>
        </is>
      </c>
      <c r="G38" s="183" t="inlineStr">
        <is>
          <t>https://www.satex.co.jp/</t>
        </is>
      </c>
      <c r="H38" s="183" t="inlineStr">
        <is>
          <t>No MAH found; device sales licence (高度管理医療機器等販売業) not confirmed</t>
        </is>
      </c>
      <c r="I38" s="183" t="inlineStr">
        <is>
          <t>Not identified in published sources</t>
        </is>
      </c>
      <c r="J38" s="183" t="inlineStr">
        <is>
          <t>Radiology and imaging</t>
        </is>
      </c>
      <c r="K38" s="183" t="inlineStr">
        <is>
          <t>東京都 (regional; branch network not confirmed)</t>
        </is>
      </c>
      <c r="L38" s="183" t="inlineStr">
        <is>
          <t>Not found</t>
        </is>
      </c>
      <c r="M38" s="183" t="inlineStr">
        <is>
          <t>Not identified</t>
        </is>
      </c>
      <c r="N38" s="183" t="inlineStr">
        <is>
          <t>Not identified</t>
        </is>
      </c>
      <c r="O38" s="183" t="inlineStr">
        <is>
          <t>Not published; use contact form</t>
        </is>
      </c>
      <c r="P38" s="183" t="inlineStr">
        <is>
          <t>Not confirmed</t>
        </is>
      </c>
      <c r="Q38" s="183" t="inlineStr">
        <is>
          <t>Not identified</t>
        </is>
      </c>
      <c r="R38" s="184" t="inlineStr">
        <is>
          <t>Likely</t>
        </is>
      </c>
      <c r="S38" s="183" t="n">
        <v>20</v>
      </c>
      <c r="T38" s="188" t="inlineStr">
        <is>
          <t>B</t>
        </is>
      </c>
      <c r="U38" s="183" t="inlineStr">
        <is>
          <t>Imaging dealer (X ray, CT, MRI or radiology) with the right hospital departments; ultrasound adds to the same buyers; needs a partner MAH.</t>
        </is>
      </c>
      <c r="V38" s="183" t="inlineStr">
        <is>
          <t>Position ultrasound as the add on for their existing radiology customers; ask whether they would sell under a partner MAH and run first demos.</t>
        </is>
      </c>
      <c r="W38" s="183" t="inlineStr">
        <is>
          <t>N (not identified)</t>
        </is>
      </c>
      <c r="X38" s="186" t="inlineStr">
        <is>
          <t>https://baseconnect.in/companies/prefecture/a30ebdff-361b-42be-8372-1b0d350f48a0/keyword/2517ed26-1f2b-4156-ab10-55a6dc901a56</t>
        </is>
      </c>
      <c r="Y38" s="183" t="inlineStr">
        <is>
          <t>SonoMax 7 plus SonoPort for radiology departments; SonoAir 70 portable</t>
        </is>
      </c>
      <c r="Z38" s="183" t="inlineStr">
        <is>
          <t>2, 4, 3, 3, 3, 2, 3</t>
        </is>
      </c>
      <c r="AA38" s="183" t="inlineStr">
        <is>
          <t>Not found</t>
        </is>
      </c>
      <c r="AB38" s="183" t="inlineStr">
        <is>
          <t>Directory or search listing; not opened (direct site access blocked)</t>
        </is>
      </c>
      <c r="AC38" s="183" t="inlineStr">
        <is>
          <t>No expired licence or ended distribution agreement found</t>
        </is>
      </c>
      <c r="AD38" s="183" t="inlineStr">
        <is>
          <t>Not started</t>
        </is>
      </c>
      <c r="AE38" s="183" t="inlineStr"/>
      <c r="AF38" s="183" t="inlineStr">
        <is>
          <t>https://www.satex.co.jp/contact.html</t>
        </is>
      </c>
      <c r="AG38" s="183" t="inlineStr">
        <is>
          <t>No email published; use the contact form (link in Email source)</t>
        </is>
      </c>
    </row>
    <row r="39">
      <c r="A39" s="183" t="n">
        <v>35</v>
      </c>
      <c r="B39" s="183" t="inlineStr">
        <is>
          <t>Orion Radsafe Medical</t>
        </is>
      </c>
      <c r="C39" s="183" t="inlineStr">
        <is>
          <t>オリオン・ラドセーフメディカル</t>
        </is>
      </c>
      <c r="D39" s="183" t="inlineStr">
        <is>
          <t>Not retrieved (NTA lookup blocked in this session)</t>
        </is>
      </c>
      <c r="E39" s="183" t="inlineStr">
        <is>
          <t>東京都</t>
        </is>
      </c>
      <c r="F39" s="183" t="inlineStr">
        <is>
          <t>Kanto</t>
        </is>
      </c>
      <c r="G39" s="183" t="inlineStr">
        <is>
          <t>https://www.orrad.co.jp/</t>
        </is>
      </c>
      <c r="H39" s="183" t="inlineStr">
        <is>
          <t>No MAH found; device sales licence (高度管理医療機器等販売業) not confirmed</t>
        </is>
      </c>
      <c r="I39" s="183" t="inlineStr">
        <is>
          <t>Not identified in published sources</t>
        </is>
      </c>
      <c r="J39" s="183" t="inlineStr">
        <is>
          <t>Radiology and imaging</t>
        </is>
      </c>
      <c r="K39" s="183" t="inlineStr">
        <is>
          <t>東京都 (regional; branch network not confirmed)</t>
        </is>
      </c>
      <c r="L39" s="183" t="inlineStr">
        <is>
          <t>Not found</t>
        </is>
      </c>
      <c r="M39" s="183" t="inlineStr">
        <is>
          <t>Not identified</t>
        </is>
      </c>
      <c r="N39" s="183" t="inlineStr">
        <is>
          <t>Not identified</t>
        </is>
      </c>
      <c r="O39" s="183" t="inlineStr">
        <is>
          <t>info-orion@orrad.co.jp</t>
        </is>
      </c>
      <c r="P39" s="183" t="inlineStr">
        <is>
          <t>Not confirmed</t>
        </is>
      </c>
      <c r="Q39" s="183" t="inlineStr">
        <is>
          <t>Not identified</t>
        </is>
      </c>
      <c r="R39" s="184" t="inlineStr">
        <is>
          <t>Unverified</t>
        </is>
      </c>
      <c r="S39" s="183" t="n">
        <v>20</v>
      </c>
      <c r="T39" s="188" t="inlineStr">
        <is>
          <t>B</t>
        </is>
      </c>
      <c r="U39" s="183" t="inlineStr">
        <is>
          <t>Imaging dealer (X ray, CT, MRI or radiology) with the right hospital departments; ultrasound adds to the same buyers; needs a partner MAH.</t>
        </is>
      </c>
      <c r="V39" s="183" t="inlineStr">
        <is>
          <t>Position ultrasound as the add on for their existing radiology customers; ask whether they would sell under a partner MAH and run first demos.</t>
        </is>
      </c>
      <c r="W39" s="183" t="inlineStr">
        <is>
          <t>N (not identified)</t>
        </is>
      </c>
      <c r="X39" s="186" t="inlineStr">
        <is>
          <t>https://baseconnect.in/companies/prefecture/a30ebdff-361b-42be-8372-1b0d350f48a0/keyword/2517ed26-1f2b-4156-ab10-55a6dc901a56</t>
        </is>
      </c>
      <c r="Y39" s="183" t="inlineStr">
        <is>
          <t>SonoMax 7 plus SonoPort for radiology departments; SonoAir 70 portable</t>
        </is>
      </c>
      <c r="Z39" s="183" t="inlineStr">
        <is>
          <t>2, 4, 3, 3, 3, 2, 3</t>
        </is>
      </c>
      <c r="AA39" s="183" t="inlineStr">
        <is>
          <t>Not found</t>
        </is>
      </c>
      <c r="AB39" s="183" t="inlineStr">
        <is>
          <t>Directory or search listing; not opened (direct site access blocked)</t>
        </is>
      </c>
      <c r="AC39" s="183" t="inlineStr">
        <is>
          <t>No expired licence or ended distribution agreement found</t>
        </is>
      </c>
      <c r="AD39" s="183" t="inlineStr">
        <is>
          <t>Not started</t>
        </is>
      </c>
      <c r="AE39" s="183" t="inlineStr">
        <is>
          <t>abcde@orrad.co.jp</t>
        </is>
      </c>
      <c r="AF39" s="183" t="inlineStr">
        <is>
          <t>https://www.orrad.co.jp/company/privacy.html</t>
        </is>
      </c>
      <c r="AG39" s="183" t="inlineStr">
        <is>
          <t>Verified: published on company website</t>
        </is>
      </c>
    </row>
    <row r="40">
      <c r="A40" s="183" t="n">
        <v>36</v>
      </c>
      <c r="B40" s="183" t="inlineStr">
        <is>
          <t>Nihon Denshi Oyo</t>
        </is>
      </c>
      <c r="C40" s="183" t="inlineStr">
        <is>
          <t>日本電子応用</t>
        </is>
      </c>
      <c r="D40" s="183" t="inlineStr">
        <is>
          <t>Not retrieved (NTA lookup blocked in this session)</t>
        </is>
      </c>
      <c r="E40" s="183" t="inlineStr">
        <is>
          <t>東京都</t>
        </is>
      </c>
      <c r="F40" s="183" t="inlineStr">
        <is>
          <t>Kanto</t>
        </is>
      </c>
      <c r="G40" s="183" t="inlineStr">
        <is>
          <t>https://www.ndc-oyo.co.jp/</t>
        </is>
      </c>
      <c r="H40" s="183" t="inlineStr">
        <is>
          <t>No MAH found; device sales licence (高度管理医療機器等販売業) not confirmed</t>
        </is>
      </c>
      <c r="I40" s="183" t="inlineStr">
        <is>
          <t>Not identified in published sources</t>
        </is>
      </c>
      <c r="J40" s="183" t="inlineStr">
        <is>
          <t>Radiology and imaging</t>
        </is>
      </c>
      <c r="K40" s="183" t="inlineStr">
        <is>
          <t>東京都 (regional; branch network not confirmed)</t>
        </is>
      </c>
      <c r="L40" s="183" t="inlineStr">
        <is>
          <t>Not found</t>
        </is>
      </c>
      <c r="M40" s="183" t="inlineStr">
        <is>
          <t>Not identified</t>
        </is>
      </c>
      <c r="N40" s="183" t="inlineStr">
        <is>
          <t>Not identified</t>
        </is>
      </c>
      <c r="O40" s="183" t="inlineStr">
        <is>
          <t>Not published; use contact form</t>
        </is>
      </c>
      <c r="P40" s="183" t="inlineStr">
        <is>
          <t>Not confirmed</t>
        </is>
      </c>
      <c r="Q40" s="183" t="inlineStr">
        <is>
          <t>Not identified</t>
        </is>
      </c>
      <c r="R40" s="184" t="inlineStr">
        <is>
          <t>Likely</t>
        </is>
      </c>
      <c r="S40" s="183" t="n">
        <v>20</v>
      </c>
      <c r="T40" s="188" t="inlineStr">
        <is>
          <t>B</t>
        </is>
      </c>
      <c r="U40" s="183" t="inlineStr">
        <is>
          <t>Imaging dealer (X ray, CT, MRI or radiology) with the right hospital departments; ultrasound adds to the same buyers; needs a partner MAH.</t>
        </is>
      </c>
      <c r="V40" s="183" t="inlineStr">
        <is>
          <t>Position ultrasound as the add on for their existing radiology customers; ask whether they would sell under a partner MAH and run first demos.</t>
        </is>
      </c>
      <c r="W40" s="183" t="inlineStr">
        <is>
          <t>N (not identified)</t>
        </is>
      </c>
      <c r="X40" s="186" t="inlineStr">
        <is>
          <t>https://baseconnect.in/companies/prefecture/a30ebdff-361b-42be-8372-1b0d350f48a0/keyword/2517ed26-1f2b-4156-ab10-55a6dc901a56</t>
        </is>
      </c>
      <c r="Y40" s="183" t="inlineStr">
        <is>
          <t>SonoMax 7 plus SonoPort for radiology departments; SonoAir 70 portable</t>
        </is>
      </c>
      <c r="Z40" s="183" t="inlineStr">
        <is>
          <t>2, 4, 3, 3, 3, 2, 3</t>
        </is>
      </c>
      <c r="AA40" s="183" t="inlineStr">
        <is>
          <t>Not found</t>
        </is>
      </c>
      <c r="AB40" s="183" t="inlineStr">
        <is>
          <t>Directory or search listing; not opened (direct site access blocked)</t>
        </is>
      </c>
      <c r="AC40" s="183" t="inlineStr">
        <is>
          <t>No expired licence or ended distribution agreement found</t>
        </is>
      </c>
      <c r="AD40" s="183" t="inlineStr">
        <is>
          <t>Not started</t>
        </is>
      </c>
      <c r="AE40" s="183" t="inlineStr"/>
      <c r="AF40" s="183" t="inlineStr">
        <is>
          <t>https://ssl.iqcms.net/www.ndc-oyo.co.jp/inquiry.php</t>
        </is>
      </c>
      <c r="AG40" s="183" t="inlineStr">
        <is>
          <t>No email published; use the contact form (link in Email source)</t>
        </is>
      </c>
    </row>
    <row r="41">
      <c r="A41" s="183" t="n">
        <v>37</v>
      </c>
      <c r="B41" s="183" t="inlineStr">
        <is>
          <t>SIS</t>
        </is>
      </c>
      <c r="C41" s="183" t="inlineStr">
        <is>
          <t>エスアイエス</t>
        </is>
      </c>
      <c r="D41" s="183" t="inlineStr">
        <is>
          <t>Not retrieved (NTA lookup blocked in this session)</t>
        </is>
      </c>
      <c r="E41" s="183" t="inlineStr">
        <is>
          <t>栃木県</t>
        </is>
      </c>
      <c r="F41" s="183" t="inlineStr">
        <is>
          <t>Kanto</t>
        </is>
      </c>
      <c r="G41" s="183" t="inlineStr">
        <is>
          <t>https://si-system.co.jp/</t>
        </is>
      </c>
      <c r="H41" s="183" t="inlineStr">
        <is>
          <t>No MAH found; device sales licence (高度管理医療機器等販売業) not confirmed</t>
        </is>
      </c>
      <c r="I41" s="183" t="inlineStr">
        <is>
          <t>Not identified in published sources</t>
        </is>
      </c>
      <c r="J41" s="183" t="inlineStr">
        <is>
          <t>General medical equipment (hospitals and clinics)</t>
        </is>
      </c>
      <c r="K41" s="183" t="inlineStr">
        <is>
          <t>栃木県 (regional; branch network not confirmed)</t>
        </is>
      </c>
      <c r="L41" s="183" t="inlineStr">
        <is>
          <t>Not found</t>
        </is>
      </c>
      <c r="M41" s="183" t="inlineStr">
        <is>
          <t>Not identified</t>
        </is>
      </c>
      <c r="N41" s="183" t="inlineStr">
        <is>
          <t>Not identified</t>
        </is>
      </c>
      <c r="O41" s="183" t="inlineStr">
        <is>
          <t>info@si-system.co.jp</t>
        </is>
      </c>
      <c r="P41" s="183" t="inlineStr">
        <is>
          <t>Not confirmed</t>
        </is>
      </c>
      <c r="Q41" s="183" t="inlineStr">
        <is>
          <t>Not identified</t>
        </is>
      </c>
      <c r="R41" s="184" t="inlineStr">
        <is>
          <t>Unverified</t>
        </is>
      </c>
      <c r="S41" s="183" t="n">
        <v>20</v>
      </c>
      <c r="T41" s="188" t="inlineStr">
        <is>
          <t>B</t>
        </is>
      </c>
      <c r="U41" s="183" t="inlineStr">
        <is>
          <t>Imaging dealer (X ray, CT, MRI or radiology) with the right hospital departments; ultrasound adds to the same buyers; needs a partner MAH.</t>
        </is>
      </c>
      <c r="V41" s="183" t="inlineStr">
        <is>
          <t>Position ultrasound as the add on for their existing radiology customers; ask whether they would sell under a partner MAH and run first demos.</t>
        </is>
      </c>
      <c r="W41" s="183" t="inlineStr">
        <is>
          <t>N (not identified)</t>
        </is>
      </c>
      <c r="X41" s="186" t="inlineStr">
        <is>
          <t>https://baseconnect.in/companies/prefecture/5d54c878-c20d-4f57-bb73-e021f2210d6c/keyword/14f3dcec-9cd5-4be5-84e1-ddccb7bd228c</t>
        </is>
      </c>
      <c r="Y41" s="183" t="inlineStr">
        <is>
          <t>SonoEye P3 plus SonoAir 30 for GP and clinic accounts</t>
        </is>
      </c>
      <c r="Z41" s="183" t="inlineStr">
        <is>
          <t>2, 4, 3, 3, 3, 2, 3</t>
        </is>
      </c>
      <c r="AA41" s="183" t="inlineStr">
        <is>
          <t>Not found</t>
        </is>
      </c>
      <c r="AB41" s="183" t="inlineStr">
        <is>
          <t>Directory or search listing; not opened (direct site access blocked)</t>
        </is>
      </c>
      <c r="AC41" s="183" t="inlineStr">
        <is>
          <t>No expired licence or ended distribution agreement found</t>
        </is>
      </c>
      <c r="AD41" s="183" t="inlineStr">
        <is>
          <t>Not started</t>
        </is>
      </c>
      <c r="AE41" s="183" t="inlineStr"/>
      <c r="AF41" s="183" t="inlineStr">
        <is>
          <t>https://si-system.co.jp/privacypolicy/</t>
        </is>
      </c>
      <c r="AG41" s="183" t="inlineStr">
        <is>
          <t>Verified: published on company website</t>
        </is>
      </c>
    </row>
    <row r="42">
      <c r="A42" s="183" t="n">
        <v>38</v>
      </c>
      <c r="B42" s="183" t="inlineStr">
        <is>
          <t>Kurihara Roentgen</t>
        </is>
      </c>
      <c r="C42" s="183" t="inlineStr">
        <is>
          <t>栗原レントゲン</t>
        </is>
      </c>
      <c r="D42" s="183" t="inlineStr">
        <is>
          <t>Not retrieved (NTA lookup blocked in this session)</t>
        </is>
      </c>
      <c r="E42" s="183" t="inlineStr">
        <is>
          <t>群馬県</t>
        </is>
      </c>
      <c r="F42" s="183" t="inlineStr">
        <is>
          <t>Kanto</t>
        </is>
      </c>
      <c r="G42" s="183" t="inlineStr">
        <is>
          <t>https://www.k-rad.jp/</t>
        </is>
      </c>
      <c r="H42" s="183" t="inlineStr">
        <is>
          <t>No MAH found; device sales licence (高度管理医療機器等販売業) not confirmed</t>
        </is>
      </c>
      <c r="I42" s="183" t="inlineStr">
        <is>
          <t>Not identified in published sources</t>
        </is>
      </c>
      <c r="J42" s="183" t="inlineStr">
        <is>
          <t>Radiology and imaging</t>
        </is>
      </c>
      <c r="K42" s="183" t="inlineStr">
        <is>
          <t>群馬県 (regional; branch network not confirmed)</t>
        </is>
      </c>
      <c r="L42" s="183" t="inlineStr">
        <is>
          <t>Not found</t>
        </is>
      </c>
      <c r="M42" s="183" t="inlineStr">
        <is>
          <t>Not identified</t>
        </is>
      </c>
      <c r="N42" s="183" t="inlineStr">
        <is>
          <t>Not identified</t>
        </is>
      </c>
      <c r="O42" s="183" t="inlineStr">
        <is>
          <t>kuribara_rad@k-rad.jp</t>
        </is>
      </c>
      <c r="P42" s="183" t="inlineStr">
        <is>
          <t>Not confirmed</t>
        </is>
      </c>
      <c r="Q42" s="183" t="inlineStr">
        <is>
          <t>Not identified</t>
        </is>
      </c>
      <c r="R42" s="184" t="inlineStr">
        <is>
          <t>Unverified</t>
        </is>
      </c>
      <c r="S42" s="183" t="n">
        <v>20</v>
      </c>
      <c r="T42" s="188" t="inlineStr">
        <is>
          <t>B</t>
        </is>
      </c>
      <c r="U42" s="183" t="inlineStr">
        <is>
          <t>Imaging dealer (X ray, CT, MRI or radiology) with the right hospital departments; ultrasound adds to the same buyers; needs a partner MAH.</t>
        </is>
      </c>
      <c r="V42" s="183" t="inlineStr">
        <is>
          <t>Position ultrasound as the add on for their existing radiology customers; ask whether they would sell under a partner MAH and run first demos.</t>
        </is>
      </c>
      <c r="W42" s="183" t="inlineStr">
        <is>
          <t>N (not identified)</t>
        </is>
      </c>
      <c r="X42" s="186" t="inlineStr">
        <is>
          <t>https://baseconnect.in/companies/prefecture/c59cfe5b-871c-44d1-8594-96d4a5882e4b/keyword/89941b4e-2dd1-4848-8957-48af280a31e0</t>
        </is>
      </c>
      <c r="Y42" s="183" t="inlineStr">
        <is>
          <t>SonoMax 7 plus SonoPort for radiology departments; SonoAir 70 portable</t>
        </is>
      </c>
      <c r="Z42" s="183" t="inlineStr">
        <is>
          <t>2, 4, 3, 3, 3, 2, 3</t>
        </is>
      </c>
      <c r="AA42" s="183" t="inlineStr">
        <is>
          <t>Not found</t>
        </is>
      </c>
      <c r="AB42" s="183" t="inlineStr">
        <is>
          <t>Directory or search listing; not opened (direct site access blocked)</t>
        </is>
      </c>
      <c r="AC42" s="183" t="inlineStr">
        <is>
          <t>No expired licence or ended distribution agreement found</t>
        </is>
      </c>
      <c r="AD42" s="183" t="inlineStr">
        <is>
          <t>Not started</t>
        </is>
      </c>
      <c r="AE42" s="183" t="inlineStr"/>
      <c r="AF42" s="183" t="inlineStr">
        <is>
          <t>https://www.k-rad.jp/profile</t>
        </is>
      </c>
      <c r="AG42" s="183" t="inlineStr">
        <is>
          <t>Verified: published on company website</t>
        </is>
      </c>
    </row>
    <row r="43">
      <c r="A43" s="183" t="n">
        <v>39</v>
      </c>
      <c r="B43" s="183" t="inlineStr">
        <is>
          <t>Entrich</t>
        </is>
      </c>
      <c r="C43" s="183" t="inlineStr">
        <is>
          <t>エントリッチ</t>
        </is>
      </c>
      <c r="D43" s="183" t="inlineStr">
        <is>
          <t>Not retrieved (NTA lookup blocked in this session)</t>
        </is>
      </c>
      <c r="E43" s="183" t="inlineStr">
        <is>
          <t>茨城県</t>
        </is>
      </c>
      <c r="F43" s="183" t="inlineStr">
        <is>
          <t>Kanto</t>
        </is>
      </c>
      <c r="G43" s="183" t="inlineStr">
        <is>
          <t>https://entorich.co.jp/</t>
        </is>
      </c>
      <c r="H43" s="183" t="inlineStr">
        <is>
          <t>No MAH found; device sales licence (高度管理医療機器等販売業) not confirmed</t>
        </is>
      </c>
      <c r="I43" s="183" t="inlineStr">
        <is>
          <t>Not identified in published sources</t>
        </is>
      </c>
      <c r="J43" s="183" t="inlineStr">
        <is>
          <t>Endoscopy and IVR</t>
        </is>
      </c>
      <c r="K43" s="183" t="inlineStr">
        <is>
          <t>茨城県 (regional; branch network not confirmed)</t>
        </is>
      </c>
      <c r="L43" s="183" t="inlineStr">
        <is>
          <t>Not found</t>
        </is>
      </c>
      <c r="M43" s="183" t="inlineStr">
        <is>
          <t>Not identified</t>
        </is>
      </c>
      <c r="N43" s="183" t="inlineStr">
        <is>
          <t>Not identified</t>
        </is>
      </c>
      <c r="O43" s="183" t="inlineStr">
        <is>
          <t>info@entorich.co.jp</t>
        </is>
      </c>
      <c r="P43" s="183" t="inlineStr">
        <is>
          <t>Not confirmed</t>
        </is>
      </c>
      <c r="Q43" s="183" t="inlineStr">
        <is>
          <t>Not identified</t>
        </is>
      </c>
      <c r="R43" s="184" t="inlineStr">
        <is>
          <t>Unverified</t>
        </is>
      </c>
      <c r="S43" s="183" t="n">
        <v>20</v>
      </c>
      <c r="T43" s="188" t="inlineStr">
        <is>
          <t>B</t>
        </is>
      </c>
      <c r="U43" s="183" t="inlineStr">
        <is>
          <t>Imaging dealer (X ray, CT, MRI or radiology) with the right hospital departments; ultrasound adds to the same buyers; needs a partner MAH.</t>
        </is>
      </c>
      <c r="V43" s="183" t="inlineStr">
        <is>
          <t>Position ultrasound as the add on for their existing radiology customers; ask whether they would sell under a partner MAH and run first demos.</t>
        </is>
      </c>
      <c r="W43" s="183" t="inlineStr">
        <is>
          <t>N (not identified)</t>
        </is>
      </c>
      <c r="X43" s="186" t="inlineStr">
        <is>
          <t>https://baseconnect.in/companies/prefecture/d8203dea-91e2-41c3-a785-b80aa997273c/category/b2358a1c-c4c6-46f4-a0b1-dee3a1b30a0b</t>
        </is>
      </c>
      <c r="Y43" s="183" t="inlineStr">
        <is>
          <t>SonoTouch plus SonoEye P3 (nerve block, vascular access, peri operative)</t>
        </is>
      </c>
      <c r="Z43" s="183" t="inlineStr">
        <is>
          <t>2, 4, 3, 3, 3, 2, 3</t>
        </is>
      </c>
      <c r="AA43" s="183" t="inlineStr">
        <is>
          <t>Not found</t>
        </is>
      </c>
      <c r="AB43" s="183" t="inlineStr">
        <is>
          <t>Directory or search listing; not opened (direct site access blocked)</t>
        </is>
      </c>
      <c r="AC43" s="183" t="inlineStr">
        <is>
          <t>No expired licence or ended distribution agreement found</t>
        </is>
      </c>
      <c r="AD43" s="183" t="inlineStr">
        <is>
          <t>Not started</t>
        </is>
      </c>
      <c r="AE43" s="183" t="inlineStr"/>
      <c r="AF43" s="183" t="inlineStr">
        <is>
          <t>https://entorich.co.jp/contact/</t>
        </is>
      </c>
      <c r="AG43" s="183" t="inlineStr">
        <is>
          <t>Verified: published on company website</t>
        </is>
      </c>
    </row>
    <row r="44">
      <c r="A44" s="183" t="n">
        <v>40</v>
      </c>
      <c r="B44" s="183" t="inlineStr">
        <is>
          <t>Y's Medical</t>
        </is>
      </c>
      <c r="C44" s="183" t="inlineStr">
        <is>
          <t>ワイズメディカル</t>
        </is>
      </c>
      <c r="D44" s="183" t="inlineStr">
        <is>
          <t>Not retrieved (NTA lookup blocked in this session)</t>
        </is>
      </c>
      <c r="E44" s="183" t="inlineStr">
        <is>
          <t>奈良県</t>
        </is>
      </c>
      <c r="F44" s="183" t="inlineStr">
        <is>
          <t>Kansai</t>
        </is>
      </c>
      <c r="G44" s="183" t="inlineStr">
        <is>
          <t>https://ys-ms.jp/</t>
        </is>
      </c>
      <c r="H44" s="183" t="inlineStr">
        <is>
          <t>No MAH found; device sales licence (高度管理医療機器等販売業) not confirmed</t>
        </is>
      </c>
      <c r="I44" s="183" t="inlineStr">
        <is>
          <t>Not identified in published sources</t>
        </is>
      </c>
      <c r="J44" s="183" t="inlineStr">
        <is>
          <t>Radiology and imaging</t>
        </is>
      </c>
      <c r="K44" s="183" t="inlineStr">
        <is>
          <t>奈良県 (regional; branch network not confirmed)</t>
        </is>
      </c>
      <c r="L44" s="183" t="inlineStr">
        <is>
          <t>Not found</t>
        </is>
      </c>
      <c r="M44" s="183" t="inlineStr">
        <is>
          <t>Not identified</t>
        </is>
      </c>
      <c r="N44" s="183" t="inlineStr">
        <is>
          <t>Not identified</t>
        </is>
      </c>
      <c r="O44" s="183" t="inlineStr">
        <is>
          <t>info@ys-ms.jp</t>
        </is>
      </c>
      <c r="P44" s="183" t="inlineStr">
        <is>
          <t>Not confirmed</t>
        </is>
      </c>
      <c r="Q44" s="183" t="inlineStr">
        <is>
          <t>Not identified</t>
        </is>
      </c>
      <c r="R44" s="184" t="inlineStr">
        <is>
          <t>Unverified</t>
        </is>
      </c>
      <c r="S44" s="183" t="n">
        <v>20</v>
      </c>
      <c r="T44" s="188" t="inlineStr">
        <is>
          <t>B</t>
        </is>
      </c>
      <c r="U44" s="183" t="inlineStr">
        <is>
          <t>Imaging dealer (X ray, CT, MRI or radiology) with the right hospital departments; ultrasound adds to the same buyers; needs a partner MAH.</t>
        </is>
      </c>
      <c r="V44" s="183" t="inlineStr">
        <is>
          <t>Position ultrasound as the add on for their existing radiology customers; ask whether they would sell under a partner MAH and run first demos.</t>
        </is>
      </c>
      <c r="W44" s="183" t="inlineStr">
        <is>
          <t>N (not identified)</t>
        </is>
      </c>
      <c r="X44" s="186" t="inlineStr">
        <is>
          <t>https://baseconnect.in/companies/prefecture/9ed9a43b-c714-41d5-b91b-6b21041f1294/category/b2358a1c-c4c6-46f4-a0b1-dee3a1b30a0b</t>
        </is>
      </c>
      <c r="Y44" s="183" t="inlineStr">
        <is>
          <t>SonoMax 7 plus SonoPort for radiology departments; SonoAir 70 portable</t>
        </is>
      </c>
      <c r="Z44" s="183" t="inlineStr">
        <is>
          <t>2, 4, 3, 3, 3, 2, 3</t>
        </is>
      </c>
      <c r="AA44" s="183" t="inlineStr">
        <is>
          <t>Not found</t>
        </is>
      </c>
      <c r="AB44" s="183" t="inlineStr">
        <is>
          <t>Directory or search listing; not opened (direct site access blocked)</t>
        </is>
      </c>
      <c r="AC44" s="183" t="inlineStr">
        <is>
          <t>No expired licence or ended distribution agreement found</t>
        </is>
      </c>
      <c r="AD44" s="183" t="inlineStr">
        <is>
          <t>Not started</t>
        </is>
      </c>
      <c r="AE44" s="183" t="inlineStr"/>
      <c r="AF44" s="183" t="inlineStr">
        <is>
          <t>https://ys-ms.jp/</t>
        </is>
      </c>
      <c r="AG44" s="183" t="inlineStr">
        <is>
          <t>Verified: published on company website</t>
        </is>
      </c>
    </row>
    <row r="45">
      <c r="A45" s="183" t="n">
        <v>41</v>
      </c>
      <c r="B45" s="183" t="inlineStr">
        <is>
          <t>Ryukyu Hoshasen</t>
        </is>
      </c>
      <c r="C45" s="183" t="inlineStr">
        <is>
          <t>琉球放射線</t>
        </is>
      </c>
      <c r="D45" s="183" t="inlineStr">
        <is>
          <t>Not retrieved (NTA lookup blocked in this session)</t>
        </is>
      </c>
      <c r="E45" s="183" t="inlineStr">
        <is>
          <t>沖縄県</t>
        </is>
      </c>
      <c r="F45" s="183" t="inlineStr">
        <is>
          <t>Kyushu and Okinawa</t>
        </is>
      </c>
      <c r="G45" s="183" t="inlineStr">
        <is>
          <t>https://ryukyuhoushasen.tkc.best-hp.jp/</t>
        </is>
      </c>
      <c r="H45" s="183" t="inlineStr">
        <is>
          <t>No MAH found; device sales licence (高度管理医療機器等販売業) not confirmed</t>
        </is>
      </c>
      <c r="I45" s="183" t="inlineStr">
        <is>
          <t>Not identified in published sources</t>
        </is>
      </c>
      <c r="J45" s="183" t="inlineStr">
        <is>
          <t>Radiology and imaging</t>
        </is>
      </c>
      <c r="K45" s="183" t="inlineStr">
        <is>
          <t>沖縄県 (regional; branch network not confirmed)</t>
        </is>
      </c>
      <c r="L45" s="183" t="inlineStr">
        <is>
          <t>Not found</t>
        </is>
      </c>
      <c r="M45" s="183" t="inlineStr">
        <is>
          <t>Not identified</t>
        </is>
      </c>
      <c r="N45" s="183" t="inlineStr">
        <is>
          <t>Not identified</t>
        </is>
      </c>
      <c r="O45" s="183" t="inlineStr">
        <is>
          <t>Not published; use contact form</t>
        </is>
      </c>
      <c r="P45" s="183" t="inlineStr">
        <is>
          <t>Not confirmed</t>
        </is>
      </c>
      <c r="Q45" s="183" t="inlineStr">
        <is>
          <t>Not identified</t>
        </is>
      </c>
      <c r="R45" s="184" t="inlineStr">
        <is>
          <t>Likely</t>
        </is>
      </c>
      <c r="S45" s="183" t="n">
        <v>20</v>
      </c>
      <c r="T45" s="188" t="inlineStr">
        <is>
          <t>B</t>
        </is>
      </c>
      <c r="U45" s="183" t="inlineStr">
        <is>
          <t>Imaging dealer (X ray, CT, MRI or radiology) with the right hospital departments; ultrasound adds to the same buyers; needs a partner MAH.</t>
        </is>
      </c>
      <c r="V45" s="183" t="inlineStr">
        <is>
          <t>Position ultrasound as the add on for their existing radiology customers; ask whether they would sell under a partner MAH and run first demos.</t>
        </is>
      </c>
      <c r="W45" s="183" t="inlineStr">
        <is>
          <t>N (not identified)</t>
        </is>
      </c>
      <c r="X45" s="186" t="inlineStr">
        <is>
          <t>https://kyuren.jp/%E4%BC%9A%E5%93%A1%E7%B4%B9%E4%BB%8B/</t>
        </is>
      </c>
      <c r="Y45" s="183" t="inlineStr">
        <is>
          <t>SonoMax 7 plus SonoPort for radiology departments; SonoAir 70 portable</t>
        </is>
      </c>
      <c r="Z45" s="183" t="inlineStr">
        <is>
          <t>2, 4, 3, 3, 3, 2, 3</t>
        </is>
      </c>
      <c r="AA45" s="183" t="inlineStr">
        <is>
          <t>Not found</t>
        </is>
      </c>
      <c r="AB45" s="183" t="inlineStr">
        <is>
          <t>Directory or search listing; not opened (direct site access blocked)</t>
        </is>
      </c>
      <c r="AC45" s="183" t="inlineStr">
        <is>
          <t>No expired licence or ended distribution agreement found</t>
        </is>
      </c>
      <c r="AD45" s="183" t="inlineStr">
        <is>
          <t>Not started</t>
        </is>
      </c>
      <c r="AE45" s="183" t="inlineStr"/>
      <c r="AF45" s="183" t="inlineStr">
        <is>
          <t>https://ryukyuhoushasen.tkc.best-hp.jp/form/ryukyuhoushasen/contact</t>
        </is>
      </c>
      <c r="AG45" s="183" t="inlineStr">
        <is>
          <t>No email published; use the contact form (link in Email source)</t>
        </is>
      </c>
    </row>
    <row r="46">
      <c r="A46" s="183" t="n">
        <v>42</v>
      </c>
      <c r="B46" s="183" t="inlineStr">
        <is>
          <t>CRC Service</t>
        </is>
      </c>
      <c r="C46" s="183" t="inlineStr">
        <is>
          <t>シー・アール・シー・サービス</t>
        </is>
      </c>
      <c r="D46" s="183" t="inlineStr">
        <is>
          <t>Not retrieved (NTA lookup blocked in this session)</t>
        </is>
      </c>
      <c r="E46" s="183" t="inlineStr">
        <is>
          <t>福岡県</t>
        </is>
      </c>
      <c r="F46" s="183" t="inlineStr">
        <is>
          <t>Kyushu and Okinawa</t>
        </is>
      </c>
      <c r="G46" s="183" t="inlineStr">
        <is>
          <t>Not confirmed (company site not opened; network policy blocked direct access)</t>
        </is>
      </c>
      <c r="H46" s="183" t="inlineStr">
        <is>
          <t>No MAH found; device sales licence (高度管理医療機器等販売業) not confirmed</t>
        </is>
      </c>
      <c r="I46" s="183" t="inlineStr">
        <is>
          <t>Not identified in published sources</t>
        </is>
      </c>
      <c r="J46" s="183" t="inlineStr">
        <is>
          <t>Ultrasound</t>
        </is>
      </c>
      <c r="K46" s="183" t="inlineStr">
        <is>
          <t>福岡県 (regional; branch network not confirmed)</t>
        </is>
      </c>
      <c r="L46" s="183" t="inlineStr">
        <is>
          <t>Not found</t>
        </is>
      </c>
      <c r="M46" s="183" t="inlineStr">
        <is>
          <t>Not identified</t>
        </is>
      </c>
      <c r="N46" s="183" t="inlineStr">
        <is>
          <t>Not identified</t>
        </is>
      </c>
      <c r="O46" s="183" t="inlineStr">
        <is>
          <t>Not published; use company inquiry form</t>
        </is>
      </c>
      <c r="P46" s="183" t="inlineStr">
        <is>
          <t>Not confirmed</t>
        </is>
      </c>
      <c r="Q46" s="183" t="inlineStr">
        <is>
          <t>Not identified</t>
        </is>
      </c>
      <c r="R46" s="184" t="inlineStr">
        <is>
          <t>Unverified</t>
        </is>
      </c>
      <c r="S46" s="183" t="n">
        <v>20</v>
      </c>
      <c r="T46" s="188" t="inlineStr">
        <is>
          <t>B</t>
        </is>
      </c>
      <c r="U46" s="183" t="inlineStr">
        <is>
          <t>Already sells or services ultrasound, so the team can demo and support from day one; needs a partner MAH.</t>
        </is>
      </c>
      <c r="V46" s="183" t="inlineStr">
        <is>
          <t>Ask which segments their current ultrasound line leaves uncovered (portable, POCUS, price sensitive clinics) and offer CHISON as the complementary mid tier.</t>
        </is>
      </c>
      <c r="W46" s="183" t="inlineStr">
        <is>
          <t>N (not identified)</t>
        </is>
      </c>
      <c r="X46" s="186" t="inlineStr">
        <is>
          <t>https://baseconnect.in/companies/prefecture/39b58ff0-63fd-405f-8b8a-37c5443ce5c7/keyword/89941b4e-2dd1-4848-8957-48af280a31e0</t>
        </is>
      </c>
      <c r="Y46" s="183" t="inlineStr">
        <is>
          <t>SonoGO and SonoAir 30/70 as a mid tier portable line; SonoEye P3 for POCUS</t>
        </is>
      </c>
      <c r="Z46" s="183" t="inlineStr">
        <is>
          <t>2, 5, 3, 2, 3, 2, 3</t>
        </is>
      </c>
      <c r="AA46" s="183" t="inlineStr">
        <is>
          <t>Not found</t>
        </is>
      </c>
      <c r="AB46" s="183" t="inlineStr">
        <is>
          <t>Directory or search listing; not opened (direct site access blocked)</t>
        </is>
      </c>
      <c r="AC46" s="183" t="inlineStr">
        <is>
          <t>No expired licence or ended distribution agreement found</t>
        </is>
      </c>
      <c r="AD46" s="183" t="inlineStr">
        <is>
          <t>Not started</t>
        </is>
      </c>
      <c r="AE46" s="183" t="inlineStr"/>
      <c r="AF46" s="183" t="inlineStr"/>
      <c r="AG46" s="183" t="inlineStr">
        <is>
          <t>No email published and no verified website found</t>
        </is>
      </c>
    </row>
    <row r="47">
      <c r="A47" s="183" t="n">
        <v>43</v>
      </c>
      <c r="B47" s="183" t="inlineStr">
        <is>
          <t>Toda Iryoki</t>
        </is>
      </c>
      <c r="C47" s="183" t="inlineStr">
        <is>
          <t>戸田医療器</t>
        </is>
      </c>
      <c r="D47" s="183" t="inlineStr">
        <is>
          <t>Not retrieved (NTA lookup blocked in this session)</t>
        </is>
      </c>
      <c r="E47" s="183" t="inlineStr">
        <is>
          <t>愛媛県</t>
        </is>
      </c>
      <c r="F47" s="183" t="inlineStr">
        <is>
          <t>Chugoku and Shikoku</t>
        </is>
      </c>
      <c r="G47" s="183" t="inlineStr">
        <is>
          <t>https://toda-med.co.jp/</t>
        </is>
      </c>
      <c r="H47" s="183" t="inlineStr">
        <is>
          <t>No MAH found; device sales licence (高度管理医療機器等販売業) not confirmed</t>
        </is>
      </c>
      <c r="I47" s="183" t="inlineStr">
        <is>
          <t>Not identified in published sources</t>
        </is>
      </c>
      <c r="J47" s="183" t="inlineStr">
        <is>
          <t>Radiology and imaging</t>
        </is>
      </c>
      <c r="K47" s="183" t="inlineStr">
        <is>
          <t>愛媛県 (regional; branch network not confirmed)</t>
        </is>
      </c>
      <c r="L47" s="183" t="inlineStr">
        <is>
          <t>Not found</t>
        </is>
      </c>
      <c r="M47" s="183" t="inlineStr">
        <is>
          <t>Not identified</t>
        </is>
      </c>
      <c r="N47" s="183" t="inlineStr">
        <is>
          <t>Not identified</t>
        </is>
      </c>
      <c r="O47" s="183" t="inlineStr">
        <is>
          <t>Not published; use contact form</t>
        </is>
      </c>
      <c r="P47" s="183" t="inlineStr">
        <is>
          <t>Not confirmed</t>
        </is>
      </c>
      <c r="Q47" s="183" t="inlineStr">
        <is>
          <t>Not identified</t>
        </is>
      </c>
      <c r="R47" s="184" t="inlineStr">
        <is>
          <t>Likely</t>
        </is>
      </c>
      <c r="S47" s="183" t="n">
        <v>20</v>
      </c>
      <c r="T47" s="188" t="inlineStr">
        <is>
          <t>B</t>
        </is>
      </c>
      <c r="U47" s="183" t="inlineStr">
        <is>
          <t>Imaging dealer (X ray, CT, MRI or radiology) with the right hospital departments; ultrasound adds to the same buyers; needs a partner MAH.</t>
        </is>
      </c>
      <c r="V47" s="183" t="inlineStr">
        <is>
          <t>Position ultrasound as the add on for their existing radiology customers; ask whether they would sell under a partner MAH and run first demos.</t>
        </is>
      </c>
      <c r="W47" s="183" t="inlineStr">
        <is>
          <t>N (not identified)</t>
        </is>
      </c>
      <c r="X47" s="186" t="inlineStr">
        <is>
          <t>https://compalyze.co.jp/company/6500002004785 (reconfirm page)</t>
        </is>
      </c>
      <c r="Y47" s="183" t="inlineStr">
        <is>
          <t>SonoMax 7 plus SonoPort for radiology departments; SonoAir 70 portable</t>
        </is>
      </c>
      <c r="Z47" s="183" t="inlineStr">
        <is>
          <t>2, 4, 3, 3, 3, 2, 3</t>
        </is>
      </c>
      <c r="AA47" s="183" t="inlineStr">
        <is>
          <t>Not found</t>
        </is>
      </c>
      <c r="AB47" s="183" t="inlineStr">
        <is>
          <t>Directory or search listing; not opened (direct site access blocked)</t>
        </is>
      </c>
      <c r="AC47" s="183" t="inlineStr">
        <is>
          <t>No expired licence or ended distribution agreement found</t>
        </is>
      </c>
      <c r="AD47" s="183" t="inlineStr">
        <is>
          <t>Not started</t>
        </is>
      </c>
      <c r="AE47" s="183" t="inlineStr"/>
      <c r="AF47" s="183" t="inlineStr">
        <is>
          <t>https://toda-med.co.jp/contact/</t>
        </is>
      </c>
      <c r="AG47" s="183" t="inlineStr">
        <is>
          <t>No email published; use the contact form (link in Email source)</t>
        </is>
      </c>
    </row>
    <row r="48">
      <c r="A48" s="183" t="n">
        <v>44</v>
      </c>
      <c r="B48" s="183" t="inlineStr">
        <is>
          <t>Fuji Hoshasen</t>
        </is>
      </c>
      <c r="C48" s="183" t="inlineStr">
        <is>
          <t>富士放射線</t>
        </is>
      </c>
      <c r="D48" s="183" t="inlineStr">
        <is>
          <t>Not retrieved (NTA lookup blocked in this session)</t>
        </is>
      </c>
      <c r="E48" s="183" t="inlineStr">
        <is>
          <t>群馬県</t>
        </is>
      </c>
      <c r="F48" s="183" t="inlineStr">
        <is>
          <t>Kanto</t>
        </is>
      </c>
      <c r="G48" s="183" t="inlineStr">
        <is>
          <t>Not confirmed (company site not opened; network policy blocked direct access)</t>
        </is>
      </c>
      <c r="H48" s="183" t="inlineStr">
        <is>
          <t>No MAH found; device sales licence (高度管理医療機器等販売業) not confirmed</t>
        </is>
      </c>
      <c r="I48" s="183" t="inlineStr">
        <is>
          <t>Not identified in published sources</t>
        </is>
      </c>
      <c r="J48" s="183" t="inlineStr">
        <is>
          <t>Radiology and imaging</t>
        </is>
      </c>
      <c r="K48" s="183" t="inlineStr">
        <is>
          <t>群馬県 (regional; branch network not confirmed)</t>
        </is>
      </c>
      <c r="L48" s="183" t="inlineStr">
        <is>
          <t>Not found</t>
        </is>
      </c>
      <c r="M48" s="183" t="inlineStr">
        <is>
          <t>Not identified</t>
        </is>
      </c>
      <c r="N48" s="183" t="inlineStr">
        <is>
          <t>Not identified</t>
        </is>
      </c>
      <c r="O48" s="183" t="inlineStr">
        <is>
          <t>Not published; use company inquiry form</t>
        </is>
      </c>
      <c r="P48" s="183" t="inlineStr">
        <is>
          <t>Not confirmed</t>
        </is>
      </c>
      <c r="Q48" s="183" t="inlineStr">
        <is>
          <t>Not identified</t>
        </is>
      </c>
      <c r="R48" s="184" t="inlineStr">
        <is>
          <t>Unverified</t>
        </is>
      </c>
      <c r="S48" s="183" t="n">
        <v>19</v>
      </c>
      <c r="T48" s="188" t="inlineStr">
        <is>
          <t>B</t>
        </is>
      </c>
      <c r="U48" s="183" t="inlineStr">
        <is>
          <t>Imaging dealer (X ray, CT, MRI or radiology) with the right hospital departments; ultrasound adds to the same buyers; needs a partner MAH.</t>
        </is>
      </c>
      <c r="V48" s="183" t="inlineStr">
        <is>
          <t>Position ultrasound as the add on for their existing radiology customers; ask whether they would sell under a partner MAH and run first demos.</t>
        </is>
      </c>
      <c r="W48" s="183" t="inlineStr">
        <is>
          <t>N (not identified)</t>
        </is>
      </c>
      <c r="X48" s="186" t="inlineStr">
        <is>
          <t>https://baseconnect.in/companies/prefecture/c59cfe5b-871c-44d1-8594-96d4a5882e4b/keyword/89941b4e-2dd1-4848-8957-48af280a31e0</t>
        </is>
      </c>
      <c r="Y48" s="183" t="inlineStr">
        <is>
          <t>SonoMax 7 plus SonoPort for radiology departments; SonoAir 70 portable</t>
        </is>
      </c>
      <c r="Z48" s="183" t="inlineStr">
        <is>
          <t>2, 4, 3, 2, 3, 2, 3</t>
        </is>
      </c>
      <c r="AA48" s="183" t="inlineStr">
        <is>
          <t>Not found</t>
        </is>
      </c>
      <c r="AB48" s="183" t="inlineStr">
        <is>
          <t>Recheck: no independent confirmation found; directory listing only</t>
        </is>
      </c>
      <c r="AC48" s="183" t="inlineStr">
        <is>
          <t>No expired licence or ended distribution agreement found</t>
        </is>
      </c>
      <c r="AD48" s="183" t="inlineStr">
        <is>
          <t>Not started</t>
        </is>
      </c>
      <c r="AE48" s="183" t="inlineStr"/>
      <c r="AF48" s="183" t="inlineStr"/>
      <c r="AG48" s="183" t="inlineStr">
        <is>
          <t>No email published and no verified website found</t>
        </is>
      </c>
    </row>
    <row r="49">
      <c r="A49" s="183" t="n">
        <v>45</v>
      </c>
      <c r="B49" s="183" t="inlineStr">
        <is>
          <t>Sakae (Osaka)</t>
        </is>
      </c>
      <c r="C49" s="183" t="inlineStr">
        <is>
          <t>栄</t>
        </is>
      </c>
      <c r="D49" s="183" t="inlineStr">
        <is>
          <t>Not retrieved (NTA lookup blocked in this session)</t>
        </is>
      </c>
      <c r="E49" s="183" t="inlineStr">
        <is>
          <t>大阪府</t>
        </is>
      </c>
      <c r="F49" s="183" t="inlineStr">
        <is>
          <t>Kansai</t>
        </is>
      </c>
      <c r="G49" s="183" t="inlineStr">
        <is>
          <t>https://sakae-group.jp/</t>
        </is>
      </c>
      <c r="H49" s="183" t="inlineStr">
        <is>
          <t>No MAH found; device sales licence (高度管理医療機器等販売業) not confirmed</t>
        </is>
      </c>
      <c r="I49" s="183" t="inlineStr">
        <is>
          <t>Not identified in published sources</t>
        </is>
      </c>
      <c r="J49" s="183" t="inlineStr">
        <is>
          <t>Radiology and imaging</t>
        </is>
      </c>
      <c r="K49" s="183" t="inlineStr">
        <is>
          <t>大阪府 (regional; branch network not confirmed)</t>
        </is>
      </c>
      <c r="L49" s="183" t="inlineStr">
        <is>
          <t>Not found</t>
        </is>
      </c>
      <c r="M49" s="183" t="inlineStr">
        <is>
          <t>Not identified</t>
        </is>
      </c>
      <c r="N49" s="183" t="inlineStr">
        <is>
          <t>Not identified</t>
        </is>
      </c>
      <c r="O49" s="183" t="inlineStr">
        <is>
          <t>Not published; use company inquiry form</t>
        </is>
      </c>
      <c r="P49" s="183" t="inlineStr">
        <is>
          <t>Not confirmed</t>
        </is>
      </c>
      <c r="Q49" s="183" t="inlineStr">
        <is>
          <t>Not identified</t>
        </is>
      </c>
      <c r="R49" s="184" t="inlineStr">
        <is>
          <t>Company inquiry only</t>
        </is>
      </c>
      <c r="S49" s="183" t="n">
        <v>19</v>
      </c>
      <c r="T49" s="188" t="inlineStr">
        <is>
          <t>B</t>
        </is>
      </c>
      <c r="U49" s="183" t="inlineStr">
        <is>
          <t>Imaging dealer (X ray, CT, MRI or radiology) with the right hospital departments; ultrasound adds to the same buyers; needs a partner MAH.</t>
        </is>
      </c>
      <c r="V49" s="183" t="inlineStr">
        <is>
          <t>Position ultrasound as the add on for their existing radiology customers; ask whether they would sell under a partner MAH and run first demos.</t>
        </is>
      </c>
      <c r="W49" s="183" t="inlineStr">
        <is>
          <t>N (not identified)</t>
        </is>
      </c>
      <c r="X49" s="186" t="inlineStr">
        <is>
          <t>https://baseconnect.in/companies/prefecture/d80b180e-5fd9-4082-8cdc-a510179a3475/keyword/89941b4e-2dd1-4848-8957-48af280a31e0</t>
        </is>
      </c>
      <c r="Y49" s="183" t="inlineStr">
        <is>
          <t>SonoMax 7 plus SonoPort for radiology departments; SonoAir 70 portable</t>
        </is>
      </c>
      <c r="Z49" s="183" t="inlineStr">
        <is>
          <t>2, 4, 3, 2, 3, 2, 3</t>
        </is>
      </c>
      <c r="AA49" s="183" t="inlineStr">
        <is>
          <t>Not found</t>
        </is>
      </c>
      <c r="AB49" s="183" t="inlineStr">
        <is>
          <t>Directory or search listing; not opened (direct site access blocked)</t>
        </is>
      </c>
      <c r="AC49" s="183" t="inlineStr">
        <is>
          <t>No expired licence or ended distribution agreement found</t>
        </is>
      </c>
      <c r="AD49" s="183" t="inlineStr">
        <is>
          <t>Not started</t>
        </is>
      </c>
      <c r="AE49" s="183" t="inlineStr"/>
      <c r="AF49" s="183" t="inlineStr"/>
      <c r="AG49" s="183" t="inlineStr">
        <is>
          <t>No email published; website has no contact page link, phone first</t>
        </is>
      </c>
    </row>
    <row r="50">
      <c r="A50" s="183" t="n">
        <v>46</v>
      </c>
      <c r="B50" s="183" t="inlineStr">
        <is>
          <t>Chubu Medical</t>
        </is>
      </c>
      <c r="C50" s="183" t="inlineStr">
        <is>
          <t>中部メディカル</t>
        </is>
      </c>
      <c r="D50" s="183" t="inlineStr">
        <is>
          <t>Not retrieved (NTA lookup blocked in this session)</t>
        </is>
      </c>
      <c r="E50" s="183" t="inlineStr">
        <is>
          <t>三重県</t>
        </is>
      </c>
      <c r="F50" s="183" t="inlineStr">
        <is>
          <t>Chubu</t>
        </is>
      </c>
      <c r="G50" s="183" t="inlineStr">
        <is>
          <t>https://www.chubumedical.com/</t>
        </is>
      </c>
      <c r="H50" s="183" t="inlineStr">
        <is>
          <t>No MAH found; device sales licence (高度管理医療機器等販売業) not confirmed</t>
        </is>
      </c>
      <c r="I50" s="183" t="inlineStr">
        <is>
          <t>Not identified in published sources</t>
        </is>
      </c>
      <c r="J50" s="183" t="inlineStr">
        <is>
          <t>General medical equipment (hospitals and clinics)</t>
        </is>
      </c>
      <c r="K50" s="183" t="inlineStr">
        <is>
          <t>三重県 (regional; branch network not confirmed)</t>
        </is>
      </c>
      <c r="L50" s="183" t="inlineStr">
        <is>
          <t>Not found</t>
        </is>
      </c>
      <c r="M50" s="183" t="inlineStr">
        <is>
          <t>Not identified</t>
        </is>
      </c>
      <c r="N50" s="183" t="inlineStr">
        <is>
          <t>Not identified</t>
        </is>
      </c>
      <c r="O50" s="183" t="inlineStr">
        <is>
          <t>chume@chubumedical.com</t>
        </is>
      </c>
      <c r="P50" s="183" t="inlineStr">
        <is>
          <t>Not confirmed</t>
        </is>
      </c>
      <c r="Q50" s="183" t="inlineStr">
        <is>
          <t>Not identified</t>
        </is>
      </c>
      <c r="R50" s="184" t="inlineStr">
        <is>
          <t>Unverified</t>
        </is>
      </c>
      <c r="S50" s="183" t="n">
        <v>19</v>
      </c>
      <c r="T50" s="188" t="inlineStr">
        <is>
          <t>B</t>
        </is>
      </c>
      <c r="U50" s="183" t="inlineStr">
        <is>
          <t>Imaging dealer (X ray, CT, MRI or radiology) with the right hospital departments; ultrasound adds to the same buyers; needs a partner MAH.</t>
        </is>
      </c>
      <c r="V50" s="183" t="inlineStr">
        <is>
          <t>Position ultrasound as the add on for their existing radiology customers; ask whether they would sell under a partner MAH and run first demos.</t>
        </is>
      </c>
      <c r="W50" s="183" t="inlineStr">
        <is>
          <t>N (not identified)</t>
        </is>
      </c>
      <c r="X50" s="186" t="inlineStr">
        <is>
          <t>https://baseconnect.in/companies/prefecture/e010a2b6-a345-4a52-b350-1ca592e384b8/keyword/a68873de-8c54-4a2c-820f-e04c8b93064c</t>
        </is>
      </c>
      <c r="Y50" s="183" t="inlineStr">
        <is>
          <t>SonoEye P3 plus SonoAir 30 for GP and clinic accounts</t>
        </is>
      </c>
      <c r="Z50" s="183" t="inlineStr">
        <is>
          <t>2, 4, 3, 2, 3, 2, 3</t>
        </is>
      </c>
      <c r="AA50" s="183" t="inlineStr">
        <is>
          <t>Not found</t>
        </is>
      </c>
      <c r="AB50" s="183" t="inlineStr">
        <is>
          <t>Directory or search listing; not opened (direct site access blocked)</t>
        </is>
      </c>
      <c r="AC50" s="183" t="inlineStr">
        <is>
          <t>No expired licence or ended distribution agreement found</t>
        </is>
      </c>
      <c r="AD50" s="183" t="inlineStr">
        <is>
          <t>Not started</t>
        </is>
      </c>
      <c r="AE50" s="183" t="inlineStr"/>
      <c r="AF50" s="183" t="inlineStr">
        <is>
          <t>https://www.chubumedical.com/recruit/</t>
        </is>
      </c>
      <c r="AG50" s="183" t="inlineStr">
        <is>
          <t>Verified: published on company website</t>
        </is>
      </c>
    </row>
    <row r="51">
      <c r="A51" s="183" t="n">
        <v>47</v>
      </c>
      <c r="B51" s="183" t="inlineStr">
        <is>
          <t>Wakita Shokai</t>
        </is>
      </c>
      <c r="C51" s="183" t="inlineStr">
        <is>
          <t>ワキタ商会</t>
        </is>
      </c>
      <c r="D51" s="183" t="inlineStr">
        <is>
          <t>Not retrieved (NTA lookup blocked in this session)</t>
        </is>
      </c>
      <c r="E51" s="183" t="inlineStr">
        <is>
          <t>愛知県</t>
        </is>
      </c>
      <c r="F51" s="183" t="inlineStr">
        <is>
          <t>Chubu</t>
        </is>
      </c>
      <c r="G51" s="183" t="inlineStr">
        <is>
          <t>https://www.kk-wakita.co.jp/</t>
        </is>
      </c>
      <c r="H51" s="183" t="inlineStr">
        <is>
          <t>No MAH found; device sales licence (高度管理医療機器等販売業) not confirmed</t>
        </is>
      </c>
      <c r="I51" s="183" t="inlineStr">
        <is>
          <t>Not identified in published sources</t>
        </is>
      </c>
      <c r="J51" s="183" t="inlineStr">
        <is>
          <t>Radiology and imaging</t>
        </is>
      </c>
      <c r="K51" s="183" t="inlineStr">
        <is>
          <t>愛知県 (regional; branch network not confirmed)</t>
        </is>
      </c>
      <c r="L51" s="183" t="inlineStr">
        <is>
          <t>Not found</t>
        </is>
      </c>
      <c r="M51" s="183" t="inlineStr">
        <is>
          <t>Not identified</t>
        </is>
      </c>
      <c r="N51" s="183" t="inlineStr">
        <is>
          <t>Not identified</t>
        </is>
      </c>
      <c r="O51" s="183" t="inlineStr">
        <is>
          <t>saiyou@kk-wakita.co.jp</t>
        </is>
      </c>
      <c r="P51" s="183" t="inlineStr">
        <is>
          <t>Not confirmed</t>
        </is>
      </c>
      <c r="Q51" s="183" t="inlineStr">
        <is>
          <t>Not identified</t>
        </is>
      </c>
      <c r="R51" s="184" t="inlineStr">
        <is>
          <t>Unverified</t>
        </is>
      </c>
      <c r="S51" s="183" t="n">
        <v>19</v>
      </c>
      <c r="T51" s="188" t="inlineStr">
        <is>
          <t>B</t>
        </is>
      </c>
      <c r="U51" s="183" t="inlineStr">
        <is>
          <t>Imaging dealer (X ray, CT, MRI or radiology) with the right hospital departments; ultrasound adds to the same buyers; needs a partner MAH.</t>
        </is>
      </c>
      <c r="V51" s="183" t="inlineStr">
        <is>
          <t>Position ultrasound as the add on for their existing radiology customers; ask whether they would sell under a partner MAH and run first demos.</t>
        </is>
      </c>
      <c r="W51" s="183" t="inlineStr">
        <is>
          <t>N (not identified)</t>
        </is>
      </c>
      <c r="X51" s="186" t="inlineStr">
        <is>
          <t>https://directscout.recruit.co.jp/job_descriptions/8635481</t>
        </is>
      </c>
      <c r="Y51" s="183" t="inlineStr">
        <is>
          <t>SonoMax 7 plus SonoPort for radiology departments; SonoAir 70 portable</t>
        </is>
      </c>
      <c r="Z51" s="183" t="inlineStr">
        <is>
          <t>2, 4, 3, 2, 3, 2, 3</t>
        </is>
      </c>
      <c r="AA51" s="183" t="inlineStr">
        <is>
          <t>Not found</t>
        </is>
      </c>
      <c r="AB51" s="183" t="inlineStr">
        <is>
          <t>Directory or search listing; not opened (direct site access blocked)</t>
        </is>
      </c>
      <c r="AC51" s="183" t="inlineStr">
        <is>
          <t>Parent of Shinetsu Wakita and Hokuriku Wakita; single conversation for three companies. No expired licence or ended distribution agreement found</t>
        </is>
      </c>
      <c r="AD51" s="183" t="inlineStr">
        <is>
          <t>Not started</t>
        </is>
      </c>
      <c r="AE51" s="183" t="inlineStr"/>
      <c r="AF51" s="183" t="inlineStr">
        <is>
          <t>https://job.mynavi.jp/27/pc/search/corp286442/recruiting_course27010739/recruiting_course.html?func=corpinfo</t>
        </is>
      </c>
      <c r="AG51" s="183" t="inlineStr">
        <is>
          <t>Likely: indexed on company domain; HR or recruitment inbox, ask to forward to sales</t>
        </is>
      </c>
    </row>
    <row r="52">
      <c r="A52" s="183" t="n">
        <v>48</v>
      </c>
      <c r="B52" s="183" t="inlineStr">
        <is>
          <t>Mutsuda</t>
        </is>
      </c>
      <c r="C52" s="183" t="inlineStr">
        <is>
          <t>ムツダ</t>
        </is>
      </c>
      <c r="D52" s="183" t="inlineStr">
        <is>
          <t>Not retrieved (NTA lookup blocked in this session)</t>
        </is>
      </c>
      <c r="E52" s="183" t="inlineStr">
        <is>
          <t>愛知県</t>
        </is>
      </c>
      <c r="F52" s="183" t="inlineStr">
        <is>
          <t>Chubu</t>
        </is>
      </c>
      <c r="G52" s="183" t="inlineStr">
        <is>
          <t>https://www.mutsuda.co.jp/</t>
        </is>
      </c>
      <c r="H52" s="183" t="inlineStr">
        <is>
          <t>No MAH found; device sales licence (高度管理医療機器等販売業) not confirmed</t>
        </is>
      </c>
      <c r="I52" s="183" t="inlineStr">
        <is>
          <t>Not identified in published sources</t>
        </is>
      </c>
      <c r="J52" s="183" t="inlineStr">
        <is>
          <t>Radiology and imaging</t>
        </is>
      </c>
      <c r="K52" s="183" t="inlineStr">
        <is>
          <t>愛知県 (regional; branch network not confirmed)</t>
        </is>
      </c>
      <c r="L52" s="183" t="inlineStr">
        <is>
          <t>Not found</t>
        </is>
      </c>
      <c r="M52" s="183" t="inlineStr">
        <is>
          <t>Not identified</t>
        </is>
      </c>
      <c r="N52" s="183" t="inlineStr">
        <is>
          <t>Not identified</t>
        </is>
      </c>
      <c r="O52" s="183" t="inlineStr">
        <is>
          <t>Not published; use contact form</t>
        </is>
      </c>
      <c r="P52" s="183" t="inlineStr">
        <is>
          <t>Not confirmed</t>
        </is>
      </c>
      <c r="Q52" s="183" t="inlineStr">
        <is>
          <t>Not identified</t>
        </is>
      </c>
      <c r="R52" s="184" t="inlineStr">
        <is>
          <t>Likely</t>
        </is>
      </c>
      <c r="S52" s="183" t="n">
        <v>19</v>
      </c>
      <c r="T52" s="188" t="inlineStr">
        <is>
          <t>B</t>
        </is>
      </c>
      <c r="U52" s="183" t="inlineStr">
        <is>
          <t>Imaging dealer (X ray, CT, MRI or radiology) with the right hospital departments; ultrasound adds to the same buyers; needs a partner MAH.</t>
        </is>
      </c>
      <c r="V52" s="183" t="inlineStr">
        <is>
          <t>Position ultrasound as the add on for their existing radiology customers; ask whether they would sell under a partner MAH and run first demos.</t>
        </is>
      </c>
      <c r="W52" s="183" t="inlineStr">
        <is>
          <t>N (not identified)</t>
        </is>
      </c>
      <c r="X52" s="186" t="inlineStr">
        <is>
          <t>https://baseconnect.in/companies/prefecture/60622468-79bd-4eef-86f8-cb69d1ef09f0/category/b2358a1c-c4c6-46f4-a0b1-dee3a1b30a0b</t>
        </is>
      </c>
      <c r="Y52" s="183" t="inlineStr">
        <is>
          <t>SonoMax 7 plus SonoPort for radiology departments; SonoAir 70 portable</t>
        </is>
      </c>
      <c r="Z52" s="183" t="inlineStr">
        <is>
          <t>2, 4, 3, 2, 3, 2, 3</t>
        </is>
      </c>
      <c r="AA52" s="183" t="inlineStr">
        <is>
          <t>Not found</t>
        </is>
      </c>
      <c r="AB52" s="183" t="inlineStr">
        <is>
          <t>Directory or search listing; not opened (direct site access blocked)</t>
        </is>
      </c>
      <c r="AC52" s="183" t="inlineStr">
        <is>
          <t>No expired licence or ended distribution agreement found</t>
        </is>
      </c>
      <c r="AD52" s="183" t="inlineStr">
        <is>
          <t>Not started</t>
        </is>
      </c>
      <c r="AE52" s="183" t="inlineStr"/>
      <c r="AF52" s="183" t="inlineStr">
        <is>
          <t>https://www.mutsuda.co.jp/contact/</t>
        </is>
      </c>
      <c r="AG52" s="183" t="inlineStr">
        <is>
          <t>No email published; use the contact form (link in Email source)</t>
        </is>
      </c>
    </row>
    <row r="53">
      <c r="A53" s="183" t="n">
        <v>49</v>
      </c>
      <c r="B53" s="183" t="inlineStr">
        <is>
          <t>Ishikawa Iryoki</t>
        </is>
      </c>
      <c r="C53" s="183" t="inlineStr">
        <is>
          <t>石川医療器</t>
        </is>
      </c>
      <c r="D53" s="183" t="inlineStr">
        <is>
          <t>Not retrieved (NTA lookup blocked in this session)</t>
        </is>
      </c>
      <c r="E53" s="183" t="inlineStr">
        <is>
          <t>石川県</t>
        </is>
      </c>
      <c r="F53" s="183" t="inlineStr">
        <is>
          <t>Chubu</t>
        </is>
      </c>
      <c r="G53" s="183" t="inlineStr">
        <is>
          <t>https://www.ishikawamed.co.jp/</t>
        </is>
      </c>
      <c r="H53" s="183" t="inlineStr">
        <is>
          <t>No MAH found; device sales licence (高度管理医療機器等販売業) not confirmed</t>
        </is>
      </c>
      <c r="I53" s="183" t="inlineStr">
        <is>
          <t>Not identified in published sources</t>
        </is>
      </c>
      <c r="J53" s="183" t="inlineStr">
        <is>
          <t>Radiology and imaging, Welfare and care</t>
        </is>
      </c>
      <c r="K53" s="183" t="inlineStr">
        <is>
          <t>石川県 (regional; branch network not confirmed)</t>
        </is>
      </c>
      <c r="L53" s="183" t="inlineStr">
        <is>
          <t>Not found</t>
        </is>
      </c>
      <c r="M53" s="183" t="inlineStr">
        <is>
          <t>Not identified</t>
        </is>
      </c>
      <c r="N53" s="183" t="inlineStr">
        <is>
          <t>Not identified</t>
        </is>
      </c>
      <c r="O53" s="183" t="inlineStr">
        <is>
          <t>info@ishikawamed.co.jp</t>
        </is>
      </c>
      <c r="P53" s="183" t="inlineStr">
        <is>
          <t>Not confirmed</t>
        </is>
      </c>
      <c r="Q53" s="183" t="inlineStr">
        <is>
          <t>Not identified</t>
        </is>
      </c>
      <c r="R53" s="184" t="inlineStr">
        <is>
          <t>Unverified</t>
        </is>
      </c>
      <c r="S53" s="183" t="n">
        <v>19</v>
      </c>
      <c r="T53" s="188" t="inlineStr">
        <is>
          <t>B</t>
        </is>
      </c>
      <c r="U53" s="183" t="inlineStr">
        <is>
          <t>Imaging dealer (X ray, CT, MRI or radiology) with the right hospital departments; ultrasound adds to the same buyers; needs a partner MAH.</t>
        </is>
      </c>
      <c r="V53" s="183" t="inlineStr">
        <is>
          <t>Position ultrasound as the add on for their existing radiology customers; ask whether they would sell under a partner MAH and run first demos.</t>
        </is>
      </c>
      <c r="W53" s="183" t="inlineStr">
        <is>
          <t>N (not identified)</t>
        </is>
      </c>
      <c r="X53" s="186" t="inlineStr">
        <is>
          <t>https://baseconnect.in/companies/prefecture/4637ba90-383b-4656-8be1-ca34c7f7244f/keyword/89941b4e-2dd1-4848-8957-48af280a31e0 ; https://compalyze.co.jp (search 2026 10 10)</t>
        </is>
      </c>
      <c r="Y53" s="183" t="inlineStr">
        <is>
          <t>SonoMax 7 plus SonoPort for radiology departments; SonoAir 70 portable</t>
        </is>
      </c>
      <c r="Z53" s="183" t="inlineStr">
        <is>
          <t>2, 4, 3, 2, 3, 2, 3</t>
        </is>
      </c>
      <c r="AA53" s="183" t="inlineStr">
        <is>
          <t>Not found</t>
        </is>
      </c>
      <c r="AB53" s="183" t="inlineStr">
        <is>
          <t>Verified in 10% recheck</t>
        </is>
      </c>
      <c r="AC53" s="183" t="inlineStr">
        <is>
          <t>No expired licence or ended distribution agreement found</t>
        </is>
      </c>
      <c r="AD53" s="183" t="inlineStr">
        <is>
          <t>Not started</t>
        </is>
      </c>
      <c r="AE53" s="183" t="inlineStr"/>
      <c r="AF53" s="183" t="inlineStr">
        <is>
          <t>https://www.ishikawamed.co.jp/recruit</t>
        </is>
      </c>
      <c r="AG53" s="183" t="inlineStr">
        <is>
          <t>Verified: published on company website</t>
        </is>
      </c>
    </row>
    <row r="54">
      <c r="A54" s="183" t="n">
        <v>50</v>
      </c>
      <c r="B54" s="183" t="inlineStr">
        <is>
          <t>Shinetsu Wakita</t>
        </is>
      </c>
      <c r="C54" s="183" t="inlineStr">
        <is>
          <t>信越ワキタ</t>
        </is>
      </c>
      <c r="D54" s="183" t="inlineStr">
        <is>
          <t>Not retrieved (NTA lookup blocked in this session)</t>
        </is>
      </c>
      <c r="E54" s="183" t="inlineStr">
        <is>
          <t>長野県</t>
        </is>
      </c>
      <c r="F54" s="183" t="inlineStr">
        <is>
          <t>Chubu</t>
        </is>
      </c>
      <c r="G54" s="183" t="inlineStr">
        <is>
          <t>https://www.kk-wakita.co.jp/</t>
        </is>
      </c>
      <c r="H54" s="183" t="inlineStr">
        <is>
          <t>No MAH found; device sales licence (高度管理医療機器等販売業) not confirmed</t>
        </is>
      </c>
      <c r="I54" s="183" t="inlineStr">
        <is>
          <t>Not identified in published sources</t>
        </is>
      </c>
      <c r="J54" s="183" t="inlineStr">
        <is>
          <t>Radiology and imaging, Hospitals</t>
        </is>
      </c>
      <c r="K54" s="183" t="inlineStr">
        <is>
          <t>長野県 (regional; branch network not confirmed)</t>
        </is>
      </c>
      <c r="L54" s="183" t="inlineStr">
        <is>
          <t>Not found</t>
        </is>
      </c>
      <c r="M54" s="183" t="inlineStr">
        <is>
          <t>Not identified</t>
        </is>
      </c>
      <c r="N54" s="183" t="inlineStr">
        <is>
          <t>Not identified</t>
        </is>
      </c>
      <c r="O54" s="183" t="inlineStr">
        <is>
          <t>saiyou@kk-wakita.co.jp</t>
        </is>
      </c>
      <c r="P54" s="183" t="inlineStr">
        <is>
          <t>Not confirmed</t>
        </is>
      </c>
      <c r="Q54" s="183" t="inlineStr">
        <is>
          <t>Not identified</t>
        </is>
      </c>
      <c r="R54" s="184" t="inlineStr">
        <is>
          <t>Unverified</t>
        </is>
      </c>
      <c r="S54" s="183" t="n">
        <v>19</v>
      </c>
      <c r="T54" s="188" t="inlineStr">
        <is>
          <t>B</t>
        </is>
      </c>
      <c r="U54" s="183" t="inlineStr">
        <is>
          <t>Imaging dealer (X ray, CT, MRI or radiology) with the right hospital departments; ultrasound adds to the same buyers; needs a partner MAH.</t>
        </is>
      </c>
      <c r="V54" s="183" t="inlineStr">
        <is>
          <t>Position ultrasound as the add on for their existing radiology customers; ask whether they would sell under a partner MAH and run first demos.</t>
        </is>
      </c>
      <c r="W54" s="183" t="inlineStr">
        <is>
          <t>N (not identified)</t>
        </is>
      </c>
      <c r="X54" s="186" t="inlineStr">
        <is>
          <t>https://compalyze.co.jp/company/8100001001277</t>
        </is>
      </c>
      <c r="Y54" s="183" t="inlineStr">
        <is>
          <t>SonoMax 7 plus SonoPort for radiology departments; SonoAir 70 portable</t>
        </is>
      </c>
      <c r="Z54" s="183" t="inlineStr">
        <is>
          <t>2, 4, 3, 2, 3, 2, 3</t>
        </is>
      </c>
      <c r="AA54" s="183" t="inlineStr">
        <is>
          <t>Not found</t>
        </is>
      </c>
      <c r="AB54" s="183" t="inlineStr">
        <is>
          <t>Directory or search listing; not opened (direct site access blocked)</t>
        </is>
      </c>
      <c r="AC54" s="183" t="inlineStr">
        <is>
          <t>Holding group overlap: Wakita group. Approach Wakita Shokai (Nagoya) first. No expired licence or ended distribution agreement found</t>
        </is>
      </c>
      <c r="AD54" s="183" t="inlineStr">
        <is>
          <t>Not started</t>
        </is>
      </c>
      <c r="AE54" s="183" t="inlineStr"/>
      <c r="AF54" s="183" t="inlineStr">
        <is>
          <t>https://job.mynavi.jp/27/pc/search/corp286442/recruiting_course27010739/recruiting_course.html?func=corpinfo</t>
        </is>
      </c>
      <c r="AG54" s="183" t="inlineStr">
        <is>
          <t>Likely: indexed on company domain; HR or recruitment inbox, ask to forward to sales</t>
        </is>
      </c>
    </row>
    <row r="55">
      <c r="A55" s="183" t="n">
        <v>51</v>
      </c>
      <c r="B55" s="183" t="inlineStr">
        <is>
          <t>Tokai Iryo Kikai</t>
        </is>
      </c>
      <c r="C55" s="183" t="inlineStr">
        <is>
          <t>東海医療器械</t>
        </is>
      </c>
      <c r="D55" s="183" t="inlineStr">
        <is>
          <t>Not retrieved (NTA lookup blocked in this session)</t>
        </is>
      </c>
      <c r="E55" s="183" t="inlineStr">
        <is>
          <t>静岡県</t>
        </is>
      </c>
      <c r="F55" s="183" t="inlineStr">
        <is>
          <t>Chubu</t>
        </is>
      </c>
      <c r="G55" s="183" t="inlineStr">
        <is>
          <t>https://www.nanotybp.jp/</t>
        </is>
      </c>
      <c r="H55" s="183" t="inlineStr">
        <is>
          <t>No MAH found; device sales licence (高度管理医療機器等販売業) not confirmed</t>
        </is>
      </c>
      <c r="I55" s="183" t="inlineStr">
        <is>
          <t>Not identified in published sources</t>
        </is>
      </c>
      <c r="J55" s="183" t="inlineStr">
        <is>
          <t>Radiology and imaging, Welfare and care</t>
        </is>
      </c>
      <c r="K55" s="183" t="inlineStr">
        <is>
          <t>静岡県 (regional; branch network not confirmed)</t>
        </is>
      </c>
      <c r="L55" s="183" t="inlineStr">
        <is>
          <t>Not found</t>
        </is>
      </c>
      <c r="M55" s="183" t="inlineStr">
        <is>
          <t>Not identified</t>
        </is>
      </c>
      <c r="N55" s="183" t="inlineStr">
        <is>
          <t>Not identified</t>
        </is>
      </c>
      <c r="O55" s="183" t="inlineStr">
        <is>
          <t>Not published; use contact form</t>
        </is>
      </c>
      <c r="P55" s="183" t="inlineStr">
        <is>
          <t>Not confirmed</t>
        </is>
      </c>
      <c r="Q55" s="183" t="inlineStr">
        <is>
          <t>Not identified</t>
        </is>
      </c>
      <c r="R55" s="184" t="inlineStr">
        <is>
          <t>Likely</t>
        </is>
      </c>
      <c r="S55" s="183" t="n">
        <v>19</v>
      </c>
      <c r="T55" s="188" t="inlineStr">
        <is>
          <t>B</t>
        </is>
      </c>
      <c r="U55" s="183" t="inlineStr">
        <is>
          <t>Imaging dealer (X ray, CT, MRI or radiology) with the right hospital departments; ultrasound adds to the same buyers; needs a partner MAH.</t>
        </is>
      </c>
      <c r="V55" s="183" t="inlineStr">
        <is>
          <t>Position ultrasound as the add on for their existing radiology customers; ask whether they would sell under a partner MAH and run first demos.</t>
        </is>
      </c>
      <c r="W55" s="183" t="inlineStr">
        <is>
          <t>N (not identified)</t>
        </is>
      </c>
      <c r="X55" s="186" t="inlineStr">
        <is>
          <t>https://baseconnect.in/companies/prefecture/ce8171a3-9c3a-4158-b1ce-74bbb8bad1e4/keyword/bacc2d48-54d0-4e67-94c7-df7c3cb3a34e</t>
        </is>
      </c>
      <c r="Y55" s="183" t="inlineStr">
        <is>
          <t>SonoMax 7 plus SonoPort for radiology departments; SonoAir 70 portable</t>
        </is>
      </c>
      <c r="Z55" s="183" t="inlineStr">
        <is>
          <t>2, 4, 3, 2, 3, 2, 3</t>
        </is>
      </c>
      <c r="AA55" s="183" t="inlineStr">
        <is>
          <t>Not found</t>
        </is>
      </c>
      <c r="AB55" s="183" t="inlineStr">
        <is>
          <t>Directory or search listing; not opened (direct site access blocked)</t>
        </is>
      </c>
      <c r="AC55" s="183" t="inlineStr">
        <is>
          <t>No expired licence or ended distribution agreement found</t>
        </is>
      </c>
      <c r="AD55" s="183" t="inlineStr">
        <is>
          <t>Not started</t>
        </is>
      </c>
      <c r="AE55" s="183" t="inlineStr"/>
      <c r="AF55" s="183" t="inlineStr">
        <is>
          <t>https://www.nanotybp.jp/inquiry/</t>
        </is>
      </c>
      <c r="AG55" s="183" t="inlineStr">
        <is>
          <t>No email published; use the contact form (link in Email source)</t>
        </is>
      </c>
    </row>
    <row r="56">
      <c r="A56" s="183" t="n">
        <v>52</v>
      </c>
      <c r="B56" s="183" t="inlineStr">
        <is>
          <t>Kyushu Med Service</t>
        </is>
      </c>
      <c r="C56" s="183" t="inlineStr">
        <is>
          <t>九州メッド・サービス</t>
        </is>
      </c>
      <c r="D56" s="183" t="inlineStr">
        <is>
          <t>Not retrieved (NTA lookup blocked in this session)</t>
        </is>
      </c>
      <c r="E56" s="183" t="inlineStr">
        <is>
          <t>福岡県</t>
        </is>
      </c>
      <c r="F56" s="183" t="inlineStr">
        <is>
          <t>Kyushu and Okinawa</t>
        </is>
      </c>
      <c r="G56" s="183" t="inlineStr">
        <is>
          <t>https://kyusyumed.com/</t>
        </is>
      </c>
      <c r="H56" s="183" t="inlineStr">
        <is>
          <t>No MAH found; device sales licence (高度管理医療機器等販売業) not confirmed</t>
        </is>
      </c>
      <c r="I56" s="183" t="inlineStr">
        <is>
          <t>Not identified in published sources</t>
        </is>
      </c>
      <c r="J56" s="183" t="inlineStr">
        <is>
          <t>Radiology and imaging</t>
        </is>
      </c>
      <c r="K56" s="183" t="inlineStr">
        <is>
          <t>福岡県 (regional; branch network not confirmed)</t>
        </is>
      </c>
      <c r="L56" s="183" t="inlineStr">
        <is>
          <t>Not found</t>
        </is>
      </c>
      <c r="M56" s="183" t="inlineStr">
        <is>
          <t>Not identified</t>
        </is>
      </c>
      <c r="N56" s="183" t="inlineStr">
        <is>
          <t>Not identified</t>
        </is>
      </c>
      <c r="O56" s="183" t="inlineStr">
        <is>
          <t>Not published; use contact form</t>
        </is>
      </c>
      <c r="P56" s="183" t="inlineStr">
        <is>
          <t>Not confirmed</t>
        </is>
      </c>
      <c r="Q56" s="183" t="inlineStr">
        <is>
          <t>Not identified</t>
        </is>
      </c>
      <c r="R56" s="184" t="inlineStr">
        <is>
          <t>Likely</t>
        </is>
      </c>
      <c r="S56" s="183" t="n">
        <v>19</v>
      </c>
      <c r="T56" s="188" t="inlineStr">
        <is>
          <t>B</t>
        </is>
      </c>
      <c r="U56" s="183" t="inlineStr">
        <is>
          <t>Imaging dealer (X ray, CT, MRI or radiology) with the right hospital departments; ultrasound adds to the same buyers; needs a partner MAH.</t>
        </is>
      </c>
      <c r="V56" s="183" t="inlineStr">
        <is>
          <t>Position ultrasound as the add on for their existing radiology customers; ask whether they would sell under a partner MAH and run first demos.</t>
        </is>
      </c>
      <c r="W56" s="183" t="inlineStr">
        <is>
          <t>N (not identified)</t>
        </is>
      </c>
      <c r="X56" s="186" t="inlineStr">
        <is>
          <t>https://baseconnect.in/companies/prefecture/39b58ff0-63fd-405f-8b8a-37c5443ce5c7/keyword/89941b4e-2dd1-4848-8957-48af280a31e0</t>
        </is>
      </c>
      <c r="Y56" s="183" t="inlineStr">
        <is>
          <t>SonoMax 7 plus SonoPort for radiology departments; SonoAir 70 portable</t>
        </is>
      </c>
      <c r="Z56" s="183" t="inlineStr">
        <is>
          <t>2, 4, 3, 2, 3, 2, 3</t>
        </is>
      </c>
      <c r="AA56" s="183" t="inlineStr">
        <is>
          <t>Not found</t>
        </is>
      </c>
      <c r="AB56" s="183" t="inlineStr">
        <is>
          <t>Directory or search listing; not opened (direct site access blocked)</t>
        </is>
      </c>
      <c r="AC56" s="183" t="inlineStr">
        <is>
          <t>No expired licence or ended distribution agreement found</t>
        </is>
      </c>
      <c r="AD56" s="183" t="inlineStr">
        <is>
          <t>Not started</t>
        </is>
      </c>
      <c r="AE56" s="183" t="inlineStr"/>
      <c r="AF56" s="183" t="inlineStr">
        <is>
          <t>https://kyusyumed.com/toiawase.html</t>
        </is>
      </c>
      <c r="AG56" s="183" t="inlineStr">
        <is>
          <t>No email published; use the contact form (link in Email source)</t>
        </is>
      </c>
    </row>
    <row r="57">
      <c r="A57" s="183" t="n">
        <v>53</v>
      </c>
      <c r="B57" s="183" t="inlineStr">
        <is>
          <t>Tohoku Medisa</t>
        </is>
      </c>
      <c r="C57" s="183" t="inlineStr">
        <is>
          <t>東北メディサ</t>
        </is>
      </c>
      <c r="D57" s="183" t="inlineStr">
        <is>
          <t>Not retrieved (NTA lookup blocked in this session)</t>
        </is>
      </c>
      <c r="E57" s="183" t="inlineStr">
        <is>
          <t>山形県</t>
        </is>
      </c>
      <c r="F57" s="183" t="inlineStr">
        <is>
          <t>Tohoku and Hokkaido</t>
        </is>
      </c>
      <c r="G57" s="183" t="inlineStr">
        <is>
          <t>https://medisa.net/</t>
        </is>
      </c>
      <c r="H57" s="183" t="inlineStr">
        <is>
          <t>No MAH found; device sales licence (高度管理医療機器等販売業) not confirmed</t>
        </is>
      </c>
      <c r="I57" s="183" t="inlineStr">
        <is>
          <t>Not identified in published sources</t>
        </is>
      </c>
      <c r="J57" s="183" t="inlineStr">
        <is>
          <t>Radiology and imaging, Orthopaedics and rehab</t>
        </is>
      </c>
      <c r="K57" s="183" t="inlineStr">
        <is>
          <t>山形県 (regional; branch network not confirmed)</t>
        </is>
      </c>
      <c r="L57" s="183" t="inlineStr">
        <is>
          <t>Not found</t>
        </is>
      </c>
      <c r="M57" s="183" t="inlineStr">
        <is>
          <t>Not identified</t>
        </is>
      </c>
      <c r="N57" s="183" t="inlineStr">
        <is>
          <t>Not identified</t>
        </is>
      </c>
      <c r="O57" s="183" t="inlineStr">
        <is>
          <t>akh@medisa.net</t>
        </is>
      </c>
      <c r="P57" s="183" t="inlineStr">
        <is>
          <t>Not confirmed</t>
        </is>
      </c>
      <c r="Q57" s="183" t="inlineStr">
        <is>
          <t>Not identified</t>
        </is>
      </c>
      <c r="R57" s="184" t="inlineStr">
        <is>
          <t>Unverified</t>
        </is>
      </c>
      <c r="S57" s="183" t="n">
        <v>19</v>
      </c>
      <c r="T57" s="188" t="inlineStr">
        <is>
          <t>B</t>
        </is>
      </c>
      <c r="U57" s="183" t="inlineStr">
        <is>
          <t>Imaging dealer (X ray, CT, MRI or radiology) with the right hospital departments; ultrasound adds to the same buyers; needs a partner MAH.</t>
        </is>
      </c>
      <c r="V57" s="183" t="inlineStr">
        <is>
          <t>Position ultrasound as the add on for their existing radiology customers; ask whether they would sell under a partner MAH and run first demos.</t>
        </is>
      </c>
      <c r="W57" s="183" t="inlineStr">
        <is>
          <t>N (not identified)</t>
        </is>
      </c>
      <c r="X57" s="186" t="inlineStr">
        <is>
          <t>https://atsoho.com/vendors/engineering/yamagata/4390001001418</t>
        </is>
      </c>
      <c r="Y57" s="183" t="inlineStr">
        <is>
          <t>SonoMax 7 plus SonoPort for radiology departments; SonoAir 70 portable</t>
        </is>
      </c>
      <c r="Z57" s="183" t="inlineStr">
        <is>
          <t>2, 4, 3, 2, 3, 2, 3</t>
        </is>
      </c>
      <c r="AA57" s="183" t="inlineStr">
        <is>
          <t>Not found</t>
        </is>
      </c>
      <c r="AB57" s="183" t="inlineStr">
        <is>
          <t>Directory or search listing; not opened (direct site access blocked)</t>
        </is>
      </c>
      <c r="AC57" s="183" t="inlineStr">
        <is>
          <t>No expired licence or ended distribution agreement found</t>
        </is>
      </c>
      <c r="AD57" s="183" t="inlineStr">
        <is>
          <t>Not started</t>
        </is>
      </c>
      <c r="AE57" s="183" t="inlineStr"/>
      <c r="AF57" s="183" t="inlineStr">
        <is>
          <t>https://www.hellowork.mhlw.go.jp/kensaku/GECA110010.do?screenId=GECA110010&amp;action=dispDetailBtn&amp;kJNo=0601012509761&amp;kJKbn=1&amp;jGSHNo=zsY%2BdETVGDtKpsAuH3wwrg%3D%3D&amp;fullPart=2&amp;iNFTeikyoRiyoDtiID=&amp;kSNo=&amp;newArrived=&amp;tatZngy=1&amp;shogaiKbn=0</t>
        </is>
      </c>
      <c r="AG57" s="183" t="inlineStr">
        <is>
          <t>Likely: indexed on company domain</t>
        </is>
      </c>
    </row>
    <row r="58">
      <c r="A58" s="183" t="n">
        <v>54</v>
      </c>
      <c r="B58" s="183" t="inlineStr">
        <is>
          <t>Hokuriku Bio</t>
        </is>
      </c>
      <c r="C58" s="183" t="inlineStr">
        <is>
          <t>北陸バイオ</t>
        </is>
      </c>
      <c r="D58" s="183" t="inlineStr">
        <is>
          <t>Not retrieved (NTA lookup blocked in this session)</t>
        </is>
      </c>
      <c r="E58" s="183" t="inlineStr">
        <is>
          <t>富山県</t>
        </is>
      </c>
      <c r="F58" s="183" t="inlineStr">
        <is>
          <t>Chubu</t>
        </is>
      </c>
      <c r="G58" s="183" t="inlineStr">
        <is>
          <t>Not confirmed (company site not opened; network policy blocked direct access)</t>
        </is>
      </c>
      <c r="H58" s="183" t="inlineStr">
        <is>
          <t>No MAH found; device sales licence (高度管理医療機器等販売業) not confirmed</t>
        </is>
      </c>
      <c r="I58" s="183" t="inlineStr">
        <is>
          <t>Not identified in published sources</t>
        </is>
      </c>
      <c r="J58" s="183" t="inlineStr">
        <is>
          <t>Clinics and GP (開業医), Hospitals</t>
        </is>
      </c>
      <c r="K58" s="183" t="inlineStr">
        <is>
          <t>富山県; Toyama Ishikawa</t>
        </is>
      </c>
      <c r="L58" s="183" t="inlineStr">
        <is>
          <t>Not found</t>
        </is>
      </c>
      <c r="M58" s="183" t="inlineStr">
        <is>
          <t>Not identified</t>
        </is>
      </c>
      <c r="N58" s="183" t="inlineStr">
        <is>
          <t>Not identified</t>
        </is>
      </c>
      <c r="O58" s="183" t="inlineStr">
        <is>
          <t>Not published; use company inquiry form</t>
        </is>
      </c>
      <c r="P58" s="183" t="inlineStr">
        <is>
          <t>Not confirmed</t>
        </is>
      </c>
      <c r="Q58" s="183" t="inlineStr">
        <is>
          <t>Not identified</t>
        </is>
      </c>
      <c r="R58" s="184" t="inlineStr">
        <is>
          <t>Unverified</t>
        </is>
      </c>
      <c r="S58" s="183" t="n">
        <v>23</v>
      </c>
      <c r="T58" s="189" t="inlineStr">
        <is>
          <t>C</t>
        </is>
      </c>
      <c r="U58" s="183" t="inlineStr">
        <is>
          <t>Regional general medical equipment dealer with hospital and clinic accounts; candidate sub dealer under a national MAH partner.</t>
        </is>
      </c>
      <c r="V58" s="183" t="inlineStr">
        <is>
          <t>Introduce CHISON as a future line through a national MAH partner; ask about their hospital and clinic coverage, service engineers and openness to non Japanese brands.</t>
        </is>
      </c>
      <c r="W58" s="183" t="inlineStr">
        <is>
          <t>N (not identified)</t>
        </is>
      </c>
      <c r="X58" s="186" t="inlineStr">
        <is>
          <t>https://baseconnect.in/companies/prefecture/31ffefed-1183-4eba-a6d9-4182a6136e50/keyword/89941b4e-2dd1-4848-8957-48af280a31e0</t>
        </is>
      </c>
      <c r="Y58" s="183" t="inlineStr">
        <is>
          <t>SonoAir 30 plus SonoEye P3 as a clinic opening package</t>
        </is>
      </c>
      <c r="Z58" s="183" t="inlineStr">
        <is>
          <t>2, 2, 3, 5, 4, 4, 3</t>
        </is>
      </c>
      <c r="AA58" s="183" t="inlineStr">
        <is>
          <t>Not found</t>
        </is>
      </c>
      <c r="AB58" s="183" t="inlineStr">
        <is>
          <t>Directory or search listing; not opened (direct site access blocked)</t>
        </is>
      </c>
      <c r="AC58" s="183" t="inlineStr">
        <is>
          <t>No expired licence or ended distribution agreement found</t>
        </is>
      </c>
      <c r="AD58" s="183" t="inlineStr">
        <is>
          <t>Not started</t>
        </is>
      </c>
      <c r="AE58" s="183" t="inlineStr"/>
      <c r="AF58" s="183" t="inlineStr"/>
      <c r="AG58" s="183" t="inlineStr">
        <is>
          <t>No email published and no verified website found</t>
        </is>
      </c>
    </row>
    <row r="59">
      <c r="A59" s="183" t="n">
        <v>55</v>
      </c>
      <c r="B59" s="183" t="inlineStr">
        <is>
          <t>Tohoku Iryo Kiki</t>
        </is>
      </c>
      <c r="C59" s="183" t="inlineStr">
        <is>
          <t>東北医療機器</t>
        </is>
      </c>
      <c r="D59" s="183" t="inlineStr">
        <is>
          <t>Not retrieved (NTA lookup blocked in this session)</t>
        </is>
      </c>
      <c r="E59" s="183" t="inlineStr">
        <is>
          <t>山形県</t>
        </is>
      </c>
      <c r="F59" s="183" t="inlineStr">
        <is>
          <t>Tohoku and Hokkaido</t>
        </is>
      </c>
      <c r="G59" s="183" t="inlineStr">
        <is>
          <t>https://www.tohoku-tmt.com/</t>
        </is>
      </c>
      <c r="H59" s="183" t="inlineStr">
        <is>
          <t>No MAH found; device sales licence (高度管理医療機器等販売業) not confirmed</t>
        </is>
      </c>
      <c r="I59" s="183" t="inlineStr">
        <is>
          <t>Not identified in published sources</t>
        </is>
      </c>
      <c r="J59" s="183" t="inlineStr">
        <is>
          <t>Hospitals</t>
        </is>
      </c>
      <c r="K59" s="183" t="inlineStr">
        <is>
          <t>山形県 (regional; branch network not confirmed)</t>
        </is>
      </c>
      <c r="L59" s="183" t="inlineStr">
        <is>
          <t>Not found</t>
        </is>
      </c>
      <c r="M59" s="183" t="inlineStr">
        <is>
          <t>Not identified</t>
        </is>
      </c>
      <c r="N59" s="183" t="inlineStr">
        <is>
          <t>Not identified</t>
        </is>
      </c>
      <c r="O59" s="183" t="inlineStr">
        <is>
          <t>Not published; use contact form</t>
        </is>
      </c>
      <c r="P59" s="183" t="inlineStr">
        <is>
          <t>Not confirmed</t>
        </is>
      </c>
      <c r="Q59" s="183" t="inlineStr">
        <is>
          <t>Not identified</t>
        </is>
      </c>
      <c r="R59" s="184" t="inlineStr">
        <is>
          <t>Likely</t>
        </is>
      </c>
      <c r="S59" s="183" t="n">
        <v>23</v>
      </c>
      <c r="T59" s="189" t="inlineStr">
        <is>
          <t>C</t>
        </is>
      </c>
      <c r="U59" s="183" t="inlineStr">
        <is>
          <t>Low fit: mainly welfare or care equipment; only for home care handheld use.</t>
        </is>
      </c>
      <c r="V59" s="183" t="inlineStr">
        <is>
          <t>Introduce CHISON as a future line through a national MAH partner; ask about their hospital and clinic coverage, service engineers and openness to non Japanese brands.</t>
        </is>
      </c>
      <c r="W59" s="183" t="inlineStr">
        <is>
          <t>N (not identified)</t>
        </is>
      </c>
      <c r="X59" s="186" t="inlineStr">
        <is>
          <t>https://baseconnect.in/companies/prefecture/72122f8e-2e11-4641-9216-d1abc796b0cd/category/b2358a1c-c4c6-46f4-a0b1-dee3a1b30a0b</t>
        </is>
      </c>
      <c r="Y59" s="183" t="inlineStr">
        <is>
          <t>SonoEye P3 plus SonoAir 30 for GP and clinic accounts</t>
        </is>
      </c>
      <c r="Z59" s="183" t="inlineStr">
        <is>
          <t>2, 2, 3, 4, 5, 4, 3</t>
        </is>
      </c>
      <c r="AA59" s="183" t="inlineStr">
        <is>
          <t>Not found</t>
        </is>
      </c>
      <c r="AB59" s="183" t="inlineStr">
        <is>
          <t>Directory or search listing; not opened (direct site access blocked)</t>
        </is>
      </c>
      <c r="AC59" s="183" t="inlineStr">
        <is>
          <t>No expired licence or ended distribution agreement found</t>
        </is>
      </c>
      <c r="AD59" s="183" t="inlineStr">
        <is>
          <t>Not started</t>
        </is>
      </c>
      <c r="AE59" s="183" t="inlineStr"/>
      <c r="AF59" s="183" t="inlineStr">
        <is>
          <t>https://www.tohoku-tmt.com/contact/index.html</t>
        </is>
      </c>
      <c r="AG59" s="183" t="inlineStr">
        <is>
          <t>No email published; use the contact form (link in Email source)</t>
        </is>
      </c>
    </row>
    <row r="60">
      <c r="A60" s="183" t="n">
        <v>56</v>
      </c>
      <c r="B60" s="183" t="inlineStr">
        <is>
          <t>Medical Logic</t>
        </is>
      </c>
      <c r="C60" s="183" t="inlineStr">
        <is>
          <t>メディカルロジック</t>
        </is>
      </c>
      <c r="D60" s="183" t="inlineStr">
        <is>
          <t>Not retrieved (NTA lookup blocked in this session)</t>
        </is>
      </c>
      <c r="E60" s="183" t="inlineStr">
        <is>
          <t>東京都</t>
        </is>
      </c>
      <c r="F60" s="183" t="inlineStr">
        <is>
          <t>Kanto</t>
        </is>
      </c>
      <c r="G60" s="183" t="inlineStr">
        <is>
          <t>https://www.medical-logic.jp/</t>
        </is>
      </c>
      <c r="H60" s="183" t="inlineStr">
        <is>
          <t>No MAH found; device sales licence (高度管理医療機器等販売業) not confirmed</t>
        </is>
      </c>
      <c r="I60" s="183" t="inlineStr">
        <is>
          <t>Not identified in published sources</t>
        </is>
      </c>
      <c r="J60" s="183" t="inlineStr">
        <is>
          <t>Clinics and GP (開業医)</t>
        </is>
      </c>
      <c r="K60" s="183" t="inlineStr">
        <is>
          <t>東京都 (regional; branch network not confirmed)</t>
        </is>
      </c>
      <c r="L60" s="183" t="inlineStr">
        <is>
          <t>Not found</t>
        </is>
      </c>
      <c r="M60" s="183" t="inlineStr">
        <is>
          <t>Not identified</t>
        </is>
      </c>
      <c r="N60" s="183" t="inlineStr">
        <is>
          <t>Not identified</t>
        </is>
      </c>
      <c r="O60" s="183" t="inlineStr">
        <is>
          <t>Not published; use contact form</t>
        </is>
      </c>
      <c r="P60" s="183" t="inlineStr">
        <is>
          <t>Not confirmed</t>
        </is>
      </c>
      <c r="Q60" s="183" t="inlineStr">
        <is>
          <t>Not identified</t>
        </is>
      </c>
      <c r="R60" s="184" t="inlineStr">
        <is>
          <t>Likely</t>
        </is>
      </c>
      <c r="S60" s="183" t="n">
        <v>22</v>
      </c>
      <c r="T60" s="189" t="inlineStr">
        <is>
          <t>C</t>
        </is>
      </c>
      <c r="U60" s="183" t="inlineStr">
        <is>
          <t>Clinic opening and GP coverage; can bundle a portable ultrasound into new 開業医 packages as a sub dealer.</t>
        </is>
      </c>
      <c r="V60" s="183" t="inlineStr">
        <is>
          <t>Ask whether they bundle ultrasound into clinic opening packages and which brand they use today; propose a sub dealer role once a Japanese MAH is in place.</t>
        </is>
      </c>
      <c r="W60" s="183" t="inlineStr">
        <is>
          <t>N (not identified)</t>
        </is>
      </c>
      <c r="X60" s="186" t="inlineStr">
        <is>
          <t>https://baseconnect.in/companies/prefecture/a30ebdff-361b-42be-8372-1b0d350f48a0/keyword/89941b4e-2dd1-4848-8957-48af280a31e0</t>
        </is>
      </c>
      <c r="Y60" s="183" t="inlineStr">
        <is>
          <t>SonoAir 30 plus SonoEye P3 as a clinic opening package</t>
        </is>
      </c>
      <c r="Z60" s="183" t="inlineStr">
        <is>
          <t>2, 2, 3, 5, 3, 4, 3</t>
        </is>
      </c>
      <c r="AA60" s="183" t="inlineStr">
        <is>
          <t>Not found</t>
        </is>
      </c>
      <c r="AB60" s="183" t="inlineStr">
        <is>
          <t>Directory or search listing; not opened (direct site access blocked)</t>
        </is>
      </c>
      <c r="AC60" s="183" t="inlineStr">
        <is>
          <t>No expired licence or ended distribution agreement found</t>
        </is>
      </c>
      <c r="AD60" s="183" t="inlineStr">
        <is>
          <t>Not started</t>
        </is>
      </c>
      <c r="AE60" s="183" t="inlineStr"/>
      <c r="AF60" s="183" t="inlineStr">
        <is>
          <t>https://www.medical-logic.jp/contact.php</t>
        </is>
      </c>
      <c r="AG60" s="183" t="inlineStr">
        <is>
          <t>No email published; use the contact form (link in Email source)</t>
        </is>
      </c>
    </row>
    <row r="61">
      <c r="A61" s="183" t="n">
        <v>57</v>
      </c>
      <c r="B61" s="183" t="inlineStr">
        <is>
          <t>Rise</t>
        </is>
      </c>
      <c r="C61" s="183" t="inlineStr">
        <is>
          <t>ライズ</t>
        </is>
      </c>
      <c r="D61" s="183" t="inlineStr">
        <is>
          <t>Not retrieved (NTA lookup blocked in this session)</t>
        </is>
      </c>
      <c r="E61" s="183" t="inlineStr">
        <is>
          <t>栃木県</t>
        </is>
      </c>
      <c r="F61" s="183" t="inlineStr">
        <is>
          <t>Kanto</t>
        </is>
      </c>
      <c r="G61" s="183" t="inlineStr">
        <is>
          <t>https://rise-med.co.jp/</t>
        </is>
      </c>
      <c r="H61" s="183" t="inlineStr">
        <is>
          <t>No MAH found; device sales licence (高度管理医療機器等販売業) not confirmed</t>
        </is>
      </c>
      <c r="I61" s="183" t="inlineStr">
        <is>
          <t>Not identified in published sources</t>
        </is>
      </c>
      <c r="J61" s="183" t="inlineStr">
        <is>
          <t>General medical equipment (hospitals and clinics)</t>
        </is>
      </c>
      <c r="K61" s="183" t="inlineStr">
        <is>
          <t>栃木県; Tochigi Gunma Ibaraki Saitama Chiba</t>
        </is>
      </c>
      <c r="L61" s="183" t="inlineStr">
        <is>
          <t>Not found</t>
        </is>
      </c>
      <c r="M61" s="183" t="inlineStr">
        <is>
          <t>Not identified</t>
        </is>
      </c>
      <c r="N61" s="183" t="inlineStr">
        <is>
          <t>Not identified</t>
        </is>
      </c>
      <c r="O61" s="183" t="inlineStr">
        <is>
          <t>rise-info@rise-med.co.jp</t>
        </is>
      </c>
      <c r="P61" s="183" t="inlineStr">
        <is>
          <t>Not confirmed</t>
        </is>
      </c>
      <c r="Q61" s="183" t="inlineStr">
        <is>
          <t>Not identified</t>
        </is>
      </c>
      <c r="R61" s="184" t="inlineStr">
        <is>
          <t>Unverified</t>
        </is>
      </c>
      <c r="S61" s="183" t="n">
        <v>22</v>
      </c>
      <c r="T61" s="189" t="inlineStr">
        <is>
          <t>C</t>
        </is>
      </c>
      <c r="U61" s="183" t="inlineStr">
        <is>
          <t>Regional general medical equipment dealer with hospital and clinic accounts; candidate sub dealer under a national MAH partner.</t>
        </is>
      </c>
      <c r="V61" s="183" t="inlineStr">
        <is>
          <t>Introduce CHISON as a future line through a national MAH partner; ask about their hospital and clinic coverage, service engineers and openness to non Japanese brands.</t>
        </is>
      </c>
      <c r="W61" s="183" t="inlineStr">
        <is>
          <t>N (not identified)</t>
        </is>
      </c>
      <c r="X61" s="186" t="inlineStr">
        <is>
          <t>https://baseconnect.in/companies/prefecture/5d54c878-c20d-4f57-bb73-e021f2210d6c/keyword/14f3dcec-9cd5-4be5-84e1-ddccb7bd228c</t>
        </is>
      </c>
      <c r="Y61" s="183" t="inlineStr">
        <is>
          <t>SonoEye P3 plus SonoAir 30 for GP and clinic accounts</t>
        </is>
      </c>
      <c r="Z61" s="183" t="inlineStr">
        <is>
          <t>2, 2, 3, 3, 5, 4, 3</t>
        </is>
      </c>
      <c r="AA61" s="183" t="inlineStr">
        <is>
          <t>Not found</t>
        </is>
      </c>
      <c r="AB61" s="183" t="inlineStr">
        <is>
          <t>Directory or search listing; not opened (direct site access blocked)</t>
        </is>
      </c>
      <c r="AC61" s="183" t="inlineStr">
        <is>
          <t>No expired licence or ended distribution agreement found</t>
        </is>
      </c>
      <c r="AD61" s="183" t="inlineStr">
        <is>
          <t>Not started</t>
        </is>
      </c>
      <c r="AE61" s="183" t="inlineStr"/>
      <c r="AF61" s="183" t="inlineStr">
        <is>
          <t>https://rise-med.co.jp/privacy-policy/</t>
        </is>
      </c>
      <c r="AG61" s="183" t="inlineStr">
        <is>
          <t>Verified: published on company website</t>
        </is>
      </c>
    </row>
    <row r="62">
      <c r="A62" s="183" t="n">
        <v>58</v>
      </c>
      <c r="B62" s="183" t="inlineStr">
        <is>
          <t>Nihon Iryoki</t>
        </is>
      </c>
      <c r="C62" s="183" t="inlineStr">
        <is>
          <t>日本医療器</t>
        </is>
      </c>
      <c r="D62" s="183" t="inlineStr">
        <is>
          <t>Not retrieved (NTA lookup blocked in this session)</t>
        </is>
      </c>
      <c r="E62" s="183" t="inlineStr">
        <is>
          <t>栃木県</t>
        </is>
      </c>
      <c r="F62" s="183" t="inlineStr">
        <is>
          <t>Kanto</t>
        </is>
      </c>
      <c r="G62" s="183" t="inlineStr">
        <is>
          <t>https://j-md.co.jp/</t>
        </is>
      </c>
      <c r="H62" s="183" t="inlineStr">
        <is>
          <t>No MAH found; device sales licence (高度管理医療機器等販売業) not confirmed</t>
        </is>
      </c>
      <c r="I62" s="183" t="inlineStr">
        <is>
          <t>Not identified in published sources</t>
        </is>
      </c>
      <c r="J62" s="183" t="inlineStr">
        <is>
          <t>Clinics and GP (開業医)</t>
        </is>
      </c>
      <c r="K62" s="183" t="inlineStr">
        <is>
          <t>栃木県 (regional; branch network not confirmed)</t>
        </is>
      </c>
      <c r="L62" s="183" t="inlineStr">
        <is>
          <t>Not found</t>
        </is>
      </c>
      <c r="M62" s="183" t="inlineStr">
        <is>
          <t>Not identified</t>
        </is>
      </c>
      <c r="N62" s="183" t="inlineStr">
        <is>
          <t>Not identified</t>
        </is>
      </c>
      <c r="O62" s="183" t="inlineStr">
        <is>
          <t>Not published; use contact form</t>
        </is>
      </c>
      <c r="P62" s="183" t="inlineStr">
        <is>
          <t>Not confirmed</t>
        </is>
      </c>
      <c r="Q62" s="183" t="inlineStr">
        <is>
          <t>Not identified</t>
        </is>
      </c>
      <c r="R62" s="184" t="inlineStr">
        <is>
          <t>Likely</t>
        </is>
      </c>
      <c r="S62" s="183" t="n">
        <v>22</v>
      </c>
      <c r="T62" s="189" t="inlineStr">
        <is>
          <t>C</t>
        </is>
      </c>
      <c r="U62" s="183" t="inlineStr">
        <is>
          <t>Clinic opening and GP coverage; can bundle a portable ultrasound into new 開業医 packages as a sub dealer.</t>
        </is>
      </c>
      <c r="V62" s="183" t="inlineStr">
        <is>
          <t>Ask whether they bundle ultrasound into clinic opening packages and which brand they use today; propose a sub dealer role once a Japanese MAH is in place.</t>
        </is>
      </c>
      <c r="W62" s="183" t="inlineStr">
        <is>
          <t>N (not identified)</t>
        </is>
      </c>
      <c r="X62" s="186" t="inlineStr">
        <is>
          <t>https://baseconnect.in/companies/prefecture/5d54c878-c20d-4f57-bb73-e021f2210d6c/keyword/14f3dcec-9cd5-4be5-84e1-ddccb7bd228c</t>
        </is>
      </c>
      <c r="Y62" s="183" t="inlineStr">
        <is>
          <t>SonoAir 30 plus SonoEye P3 as a clinic opening package</t>
        </is>
      </c>
      <c r="Z62" s="183" t="inlineStr">
        <is>
          <t>2, 2, 3, 5, 3, 4, 3</t>
        </is>
      </c>
      <c r="AA62" s="183" t="inlineStr">
        <is>
          <t>Not found</t>
        </is>
      </c>
      <c r="AB62" s="183" t="inlineStr">
        <is>
          <t>Directory or search listing; not opened (direct site access blocked)</t>
        </is>
      </c>
      <c r="AC62" s="183" t="inlineStr">
        <is>
          <t>No expired licence or ended distribution agreement found</t>
        </is>
      </c>
      <c r="AD62" s="183" t="inlineStr">
        <is>
          <t>Not started</t>
        </is>
      </c>
      <c r="AE62" s="183" t="inlineStr"/>
      <c r="AF62" s="183" t="inlineStr">
        <is>
          <t>https://j-md.co.jp/新問合せフォーム/</t>
        </is>
      </c>
      <c r="AG62" s="183" t="inlineStr">
        <is>
          <t>No email published; use the contact form (link in Email source)</t>
        </is>
      </c>
    </row>
    <row r="63">
      <c r="A63" s="183" t="n">
        <v>59</v>
      </c>
      <c r="B63" s="183" t="inlineStr">
        <is>
          <t>Nitto (Mito)</t>
        </is>
      </c>
      <c r="C63" s="183" t="inlineStr">
        <is>
          <t>日東</t>
        </is>
      </c>
      <c r="D63" s="183" t="inlineStr">
        <is>
          <t>Not retrieved (NTA lookup blocked in this session)</t>
        </is>
      </c>
      <c r="E63" s="183" t="inlineStr">
        <is>
          <t>茨城県</t>
        </is>
      </c>
      <c r="F63" s="183" t="inlineStr">
        <is>
          <t>Kanto</t>
        </is>
      </c>
      <c r="G63" s="183" t="inlineStr">
        <is>
          <t>https://www.med-nitto.co.jp/</t>
        </is>
      </c>
      <c r="H63" s="183" t="inlineStr">
        <is>
          <t>No MAH found; device sales licence (高度管理医療機器等販売業) not confirmed</t>
        </is>
      </c>
      <c r="I63" s="183" t="inlineStr">
        <is>
          <t>Not identified in published sources</t>
        </is>
      </c>
      <c r="J63" s="183" t="inlineStr">
        <is>
          <t>Clinics and GP (開業医), Hospitals</t>
        </is>
      </c>
      <c r="K63" s="183" t="inlineStr">
        <is>
          <t>茨城県 (regional; branch network not confirmed)</t>
        </is>
      </c>
      <c r="L63" s="183" t="inlineStr">
        <is>
          <t>Not found</t>
        </is>
      </c>
      <c r="M63" s="183" t="inlineStr">
        <is>
          <t>Not identified</t>
        </is>
      </c>
      <c r="N63" s="183" t="inlineStr">
        <is>
          <t>Not identified</t>
        </is>
      </c>
      <c r="O63" s="183" t="inlineStr">
        <is>
          <t>info@med-nitto.co.jp</t>
        </is>
      </c>
      <c r="P63" s="183" t="inlineStr">
        <is>
          <t>Not confirmed</t>
        </is>
      </c>
      <c r="Q63" s="183" t="inlineStr">
        <is>
          <t>Not identified</t>
        </is>
      </c>
      <c r="R63" s="184" t="inlineStr">
        <is>
          <t>Unverified</t>
        </is>
      </c>
      <c r="S63" s="183" t="n">
        <v>22</v>
      </c>
      <c r="T63" s="189" t="inlineStr">
        <is>
          <t>C</t>
        </is>
      </c>
      <c r="U63" s="183" t="inlineStr">
        <is>
          <t>Clinic opening and GP coverage; can bundle a portable ultrasound into new 開業医 packages as a sub dealer.</t>
        </is>
      </c>
      <c r="V63" s="183" t="inlineStr">
        <is>
          <t>Ask whether they bundle ultrasound into clinic opening packages and which brand they use today; propose a sub dealer role once a Japanese MAH is in place.</t>
        </is>
      </c>
      <c r="W63" s="183" t="inlineStr">
        <is>
          <t>N (not identified)</t>
        </is>
      </c>
      <c r="X63" s="186" t="inlineStr">
        <is>
          <t>https://baseconnect.in/companies/prefecture/d8203dea-91e2-41c3-a785-b80aa997273c/category/b2358a1c-c4c6-46f4-a0b1-dee3a1b30a0b</t>
        </is>
      </c>
      <c r="Y63" s="183" t="inlineStr">
        <is>
          <t>SonoAir 30 plus SonoEye P3 as a clinic opening package</t>
        </is>
      </c>
      <c r="Z63" s="183" t="inlineStr">
        <is>
          <t>2, 2, 3, 5, 3, 4, 3</t>
        </is>
      </c>
      <c r="AA63" s="183" t="inlineStr">
        <is>
          <t>Not found</t>
        </is>
      </c>
      <c r="AB63" s="183" t="inlineStr">
        <is>
          <t>Directory or search listing; not opened (direct site access blocked)</t>
        </is>
      </c>
      <c r="AC63" s="183" t="inlineStr">
        <is>
          <t>No expired licence or ended distribution agreement found</t>
        </is>
      </c>
      <c r="AD63" s="183" t="inlineStr">
        <is>
          <t>Not started</t>
        </is>
      </c>
      <c r="AE63" s="183" t="inlineStr"/>
      <c r="AF63" s="183" t="inlineStr">
        <is>
          <t>https://www.med-nitto.co.jp/company/</t>
        </is>
      </c>
      <c r="AG63" s="183" t="inlineStr">
        <is>
          <t>Verified: published on company website</t>
        </is>
      </c>
    </row>
    <row r="64">
      <c r="A64" s="183" t="n">
        <v>60</v>
      </c>
      <c r="B64" s="183" t="inlineStr">
        <is>
          <t>Arc (Osaka)</t>
        </is>
      </c>
      <c r="C64" s="183" t="inlineStr">
        <is>
          <t>アルク大阪</t>
        </is>
      </c>
      <c r="D64" s="183" t="inlineStr">
        <is>
          <t>Not retrieved (NTA lookup blocked in this session)</t>
        </is>
      </c>
      <c r="E64" s="183" t="inlineStr">
        <is>
          <t>大阪府</t>
        </is>
      </c>
      <c r="F64" s="183" t="inlineStr">
        <is>
          <t>Kansai</t>
        </is>
      </c>
      <c r="G64" s="183" t="inlineStr">
        <is>
          <t>https://www.ark-inc.co.jp/</t>
        </is>
      </c>
      <c r="H64" s="183" t="inlineStr">
        <is>
          <t>No MAH found; device sales licence (高度管理医療機器等販売業) not confirmed</t>
        </is>
      </c>
      <c r="I64" s="183" t="inlineStr">
        <is>
          <t>Not identified in published sources</t>
        </is>
      </c>
      <c r="J64" s="183" t="inlineStr">
        <is>
          <t>Clinics and GP (開業医)</t>
        </is>
      </c>
      <c r="K64" s="183" t="inlineStr">
        <is>
          <t>大阪府 (regional; branch network not confirmed)</t>
        </is>
      </c>
      <c r="L64" s="183" t="inlineStr">
        <is>
          <t>Not found</t>
        </is>
      </c>
      <c r="M64" s="183" t="inlineStr">
        <is>
          <t>Not identified</t>
        </is>
      </c>
      <c r="N64" s="183" t="inlineStr">
        <is>
          <t>Not identified</t>
        </is>
      </c>
      <c r="O64" s="183" t="inlineStr">
        <is>
          <t>manage@ark-inc.co.jp</t>
        </is>
      </c>
      <c r="P64" s="183" t="inlineStr">
        <is>
          <t>Not confirmed</t>
        </is>
      </c>
      <c r="Q64" s="183" t="inlineStr">
        <is>
          <t>Not identified</t>
        </is>
      </c>
      <c r="R64" s="184" t="inlineStr">
        <is>
          <t>Unverified</t>
        </is>
      </c>
      <c r="S64" s="183" t="n">
        <v>22</v>
      </c>
      <c r="T64" s="189" t="inlineStr">
        <is>
          <t>C</t>
        </is>
      </c>
      <c r="U64" s="183" t="inlineStr">
        <is>
          <t>Clinic opening and GP coverage; can bundle a portable ultrasound into new 開業医 packages as a sub dealer.</t>
        </is>
      </c>
      <c r="V64" s="183" t="inlineStr">
        <is>
          <t>Ask whether they bundle ultrasound into clinic opening packages and which brand they use today; propose a sub dealer role once a Japanese MAH is in place.</t>
        </is>
      </c>
      <c r="W64" s="183" t="inlineStr">
        <is>
          <t>N (not identified)</t>
        </is>
      </c>
      <c r="X64" s="186" t="inlineStr">
        <is>
          <t>https://baseconnect.in/companies/prefecture/d80b180e-5fd9-4082-8cdc-a510179a3475/keyword/088a0bed-423d-48b9-a3af-b77d98e81383</t>
        </is>
      </c>
      <c r="Y64" s="183" t="inlineStr">
        <is>
          <t>SonoAir 30 plus SonoEye P3 as a clinic opening package</t>
        </is>
      </c>
      <c r="Z64" s="183" t="inlineStr">
        <is>
          <t>2, 2, 3, 5, 3, 4, 3</t>
        </is>
      </c>
      <c r="AA64" s="183" t="inlineStr">
        <is>
          <t>Not found</t>
        </is>
      </c>
      <c r="AB64" s="183" t="inlineStr">
        <is>
          <t>Directory or search listing; not opened (direct site access blocked)</t>
        </is>
      </c>
      <c r="AC64" s="183" t="inlineStr">
        <is>
          <t>No expired licence or ended distribution agreement found</t>
        </is>
      </c>
      <c r="AD64" s="183" t="inlineStr">
        <is>
          <t>Not started</t>
        </is>
      </c>
      <c r="AE64" s="183" t="inlineStr"/>
      <c r="AF64" s="183" t="inlineStr">
        <is>
          <t>https://www.ark-inc.co.jp/recruit-contact/</t>
        </is>
      </c>
      <c r="AG64" s="183" t="inlineStr">
        <is>
          <t>Verified: published on company website</t>
        </is>
      </c>
    </row>
    <row r="65">
      <c r="A65" s="183" t="n">
        <v>61</v>
      </c>
      <c r="B65" s="183" t="inlineStr">
        <is>
          <t>Arc Medical</t>
        </is>
      </c>
      <c r="C65" s="183" t="inlineStr">
        <is>
          <t>アークメディカル</t>
        </is>
      </c>
      <c r="D65" s="183" t="inlineStr">
        <is>
          <t>Not retrieved (NTA lookup blocked in this session)</t>
        </is>
      </c>
      <c r="E65" s="183" t="inlineStr">
        <is>
          <t>大阪府</t>
        </is>
      </c>
      <c r="F65" s="183" t="inlineStr">
        <is>
          <t>Kansai</t>
        </is>
      </c>
      <c r="G65" s="183" t="inlineStr">
        <is>
          <t>http://www.arcmedical.co.jp/</t>
        </is>
      </c>
      <c r="H65" s="183" t="inlineStr">
        <is>
          <t>No MAH found; device sales licence (高度管理医療機器等販売業) not confirmed</t>
        </is>
      </c>
      <c r="I65" s="183" t="inlineStr">
        <is>
          <t>Not identified in published sources</t>
        </is>
      </c>
      <c r="J65" s="183" t="inlineStr">
        <is>
          <t>Clinics and GP (開業医)</t>
        </is>
      </c>
      <c r="K65" s="183" t="inlineStr">
        <is>
          <t>大阪府 (regional; branch network not confirmed)</t>
        </is>
      </c>
      <c r="L65" s="183" t="inlineStr">
        <is>
          <t>Not found</t>
        </is>
      </c>
      <c r="M65" s="183" t="inlineStr">
        <is>
          <t>Not identified</t>
        </is>
      </c>
      <c r="N65" s="183" t="inlineStr">
        <is>
          <t>Not identified</t>
        </is>
      </c>
      <c r="O65" s="183" t="inlineStr">
        <is>
          <t>info@arcmedical.co.jp</t>
        </is>
      </c>
      <c r="P65" s="183" t="inlineStr">
        <is>
          <t>Not confirmed</t>
        </is>
      </c>
      <c r="Q65" s="183" t="inlineStr">
        <is>
          <t>Not identified</t>
        </is>
      </c>
      <c r="R65" s="184" t="inlineStr">
        <is>
          <t>Unverified</t>
        </is>
      </c>
      <c r="S65" s="183" t="n">
        <v>22</v>
      </c>
      <c r="T65" s="189" t="inlineStr">
        <is>
          <t>C</t>
        </is>
      </c>
      <c r="U65" s="183" t="inlineStr">
        <is>
          <t>Clinic opening and GP coverage; can bundle a portable ultrasound into new 開業医 packages as a sub dealer.</t>
        </is>
      </c>
      <c r="V65" s="183" t="inlineStr">
        <is>
          <t>Ask whether they bundle ultrasound into clinic opening packages and which brand they use today; propose a sub dealer role once a Japanese MAH is in place.</t>
        </is>
      </c>
      <c r="W65" s="183" t="inlineStr">
        <is>
          <t>N (not identified)</t>
        </is>
      </c>
      <c r="X65" s="186" t="inlineStr">
        <is>
          <t>https://baseconnect.in/companies/prefecture/d80b180e-5fd9-4082-8cdc-a510179a3475/keyword/088a0bed-423d-48b9-a3af-b77d98e81383</t>
        </is>
      </c>
      <c r="Y65" s="183" t="inlineStr">
        <is>
          <t>SonoAir 30 plus SonoEye P3 as a clinic opening package</t>
        </is>
      </c>
      <c r="Z65" s="183" t="inlineStr">
        <is>
          <t>2, 2, 3, 5, 3, 4, 3</t>
        </is>
      </c>
      <c r="AA65" s="183" t="inlineStr">
        <is>
          <t>Not found</t>
        </is>
      </c>
      <c r="AB65" s="183" t="inlineStr">
        <is>
          <t>Directory or search listing; not opened (direct site access blocked)</t>
        </is>
      </c>
      <c r="AC65" s="183" t="inlineStr">
        <is>
          <t>No expired licence or ended distribution agreement found</t>
        </is>
      </c>
      <c r="AD65" s="183" t="inlineStr">
        <is>
          <t>Not started</t>
        </is>
      </c>
      <c r="AE65" s="183" t="inlineStr">
        <is>
          <t>mail.info@arcmedical.co.jp</t>
        </is>
      </c>
      <c r="AF65" s="183" t="inlineStr">
        <is>
          <t>http://www.arcmedical.co.jp/</t>
        </is>
      </c>
      <c r="AG65" s="183" t="inlineStr">
        <is>
          <t>Verified: published on company website</t>
        </is>
      </c>
    </row>
    <row r="66">
      <c r="A66" s="183" t="n">
        <v>62</v>
      </c>
      <c r="B66" s="183" t="inlineStr">
        <is>
          <t>ENT Co.</t>
        </is>
      </c>
      <c r="C66" s="183" t="inlineStr">
        <is>
          <t>ENT</t>
        </is>
      </c>
      <c r="D66" s="183" t="inlineStr">
        <is>
          <t>Not retrieved (NTA lookup blocked in this session)</t>
        </is>
      </c>
      <c r="E66" s="183" t="inlineStr">
        <is>
          <t>愛知県</t>
        </is>
      </c>
      <c r="F66" s="183" t="inlineStr">
        <is>
          <t>Chubu</t>
        </is>
      </c>
      <c r="G66" s="183" t="inlineStr">
        <is>
          <t>https://ent-m.co.jp/</t>
        </is>
      </c>
      <c r="H66" s="183" t="inlineStr">
        <is>
          <t>No MAH found; device sales licence (高度管理医療機器等販売業) not confirmed</t>
        </is>
      </c>
      <c r="I66" s="183" t="inlineStr">
        <is>
          <t>Not identified in published sources</t>
        </is>
      </c>
      <c r="J66" s="183" t="inlineStr">
        <is>
          <t>ENT, Clinics and GP (開業医)</t>
        </is>
      </c>
      <c r="K66" s="183" t="inlineStr">
        <is>
          <t>愛知県 (regional; branch network not confirmed)</t>
        </is>
      </c>
      <c r="L66" s="183" t="inlineStr">
        <is>
          <t>Not found</t>
        </is>
      </c>
      <c r="M66" s="183" t="inlineStr">
        <is>
          <t>Not identified</t>
        </is>
      </c>
      <c r="N66" s="183" t="inlineStr">
        <is>
          <t>Not identified</t>
        </is>
      </c>
      <c r="O66" s="183" t="inlineStr">
        <is>
          <t>ent@ent-m.co.jp</t>
        </is>
      </c>
      <c r="P66" s="183" t="inlineStr">
        <is>
          <t>Not confirmed</t>
        </is>
      </c>
      <c r="Q66" s="183" t="inlineStr">
        <is>
          <t>Not identified</t>
        </is>
      </c>
      <c r="R66" s="184" t="inlineStr">
        <is>
          <t>Unverified</t>
        </is>
      </c>
      <c r="S66" s="183" t="n">
        <v>22</v>
      </c>
      <c r="T66" s="189" t="inlineStr">
        <is>
          <t>C</t>
        </is>
      </c>
      <c r="U66" s="183" t="inlineStr">
        <is>
          <t>Clinic opening and GP coverage; can bundle a portable ultrasound into new 開業医 packages as a sub dealer.</t>
        </is>
      </c>
      <c r="V66" s="183" t="inlineStr">
        <is>
          <t>Ask whether they bundle ultrasound into clinic opening packages and which brand they use today; propose a sub dealer role once a Japanese MAH is in place.</t>
        </is>
      </c>
      <c r="W66" s="183" t="inlineStr">
        <is>
          <t>N (not identified)</t>
        </is>
      </c>
      <c r="X66" s="186" t="inlineStr">
        <is>
          <t>https://baseconnect.in/companies/prefecture/60622468-79bd-4eef-86f8-cb69d1ef09f0/category/b2358a1c-c4c6-46f4-a0b1-dee3a1b30a0b</t>
        </is>
      </c>
      <c r="Y66" s="183" t="inlineStr">
        <is>
          <t>SonoEye P5 for head and neck</t>
        </is>
      </c>
      <c r="Z66" s="183" t="inlineStr">
        <is>
          <t>2, 2, 3, 5, 3, 4, 3</t>
        </is>
      </c>
      <c r="AA66" s="183" t="inlineStr">
        <is>
          <t>Not found</t>
        </is>
      </c>
      <c r="AB66" s="183" t="inlineStr">
        <is>
          <t>Directory or search listing; not opened (direct site access blocked)</t>
        </is>
      </c>
      <c r="AC66" s="183" t="inlineStr">
        <is>
          <t>No expired licence or ended distribution agreement found</t>
        </is>
      </c>
      <c r="AD66" s="183" t="inlineStr">
        <is>
          <t>Not started</t>
        </is>
      </c>
      <c r="AE66" s="183" t="inlineStr"/>
      <c r="AF66" s="183" t="inlineStr">
        <is>
          <t>https://ent-m.co.jp/information/index.html</t>
        </is>
      </c>
      <c r="AG66" s="183" t="inlineStr">
        <is>
          <t>Verified: published on company website</t>
        </is>
      </c>
    </row>
    <row r="67">
      <c r="A67" s="183" t="n">
        <v>63</v>
      </c>
      <c r="B67" s="183" t="inlineStr">
        <is>
          <t>Sogo Medical</t>
        </is>
      </c>
      <c r="C67" s="183" t="inlineStr">
        <is>
          <t>総合メディカル</t>
        </is>
      </c>
      <c r="D67" s="183" t="inlineStr">
        <is>
          <t>Not retrieved (NTA lookup blocked in this session)</t>
        </is>
      </c>
      <c r="E67" s="183" t="inlineStr">
        <is>
          <t>福岡県</t>
        </is>
      </c>
      <c r="F67" s="183" t="inlineStr">
        <is>
          <t>Kyushu and Okinawa</t>
        </is>
      </c>
      <c r="G67" s="183" t="inlineStr">
        <is>
          <t>https://www.sogo-medical.co.jp/ja/index.html</t>
        </is>
      </c>
      <c r="H67" s="183" t="inlineStr">
        <is>
          <t>No MAH found; device sales licence (高度管理医療機器等販売業) not confirmed</t>
        </is>
      </c>
      <c r="I67" s="183" t="inlineStr">
        <is>
          <t>Not identified in published sources</t>
        </is>
      </c>
      <c r="J67" s="183" t="inlineStr">
        <is>
          <t>Clinics and GP (開業医), Pharma distribution</t>
        </is>
      </c>
      <c r="K67" s="183" t="inlineStr">
        <is>
          <t>福岡県; national</t>
        </is>
      </c>
      <c r="L67" s="183" t="inlineStr">
        <is>
          <t>Not found</t>
        </is>
      </c>
      <c r="M67" s="183" t="inlineStr">
        <is>
          <t>Not identified</t>
        </is>
      </c>
      <c r="N67" s="183" t="inlineStr">
        <is>
          <t>Not identified</t>
        </is>
      </c>
      <c r="O67" s="183" t="inlineStr">
        <is>
          <t>koho-ir@sogo-medical.co.jp</t>
        </is>
      </c>
      <c r="P67" s="183" t="inlineStr">
        <is>
          <t>Not confirmed</t>
        </is>
      </c>
      <c r="Q67" s="183" t="inlineStr">
        <is>
          <t>Not identified</t>
        </is>
      </c>
      <c r="R67" s="184" t="inlineStr">
        <is>
          <t>Unverified</t>
        </is>
      </c>
      <c r="S67" s="183" t="n">
        <v>22</v>
      </c>
      <c r="T67" s="189" t="inlineStr">
        <is>
          <t>C</t>
        </is>
      </c>
      <c r="U67" s="183" t="inlineStr">
        <is>
          <t>Clinic opening and GP coverage; can bundle a portable ultrasound into new 開業医 packages as a sub dealer.</t>
        </is>
      </c>
      <c r="V67" s="183" t="inlineStr">
        <is>
          <t>Ask whether they bundle ultrasound into clinic opening packages and which brand they use today; propose a sub dealer role once a Japanese MAH is in place.</t>
        </is>
      </c>
      <c r="W67" s="183" t="inlineStr">
        <is>
          <t>N (not identified)</t>
        </is>
      </c>
      <c r="X67" s="186" t="inlineStr">
        <is>
          <t>https://kyuren.jp/%E4%BC%9A%E5%93%A1%E7%B4%B9%E4%BB%8B/</t>
        </is>
      </c>
      <c r="Y67" s="183" t="inlineStr">
        <is>
          <t>SonoAir 30 plus SonoEye P3 as a clinic opening package</t>
        </is>
      </c>
      <c r="Z67" s="183" t="inlineStr">
        <is>
          <t>2, 2, 3, 5, 5, 2, 3</t>
        </is>
      </c>
      <c r="AA67" s="183" t="inlineStr">
        <is>
          <t>Not found</t>
        </is>
      </c>
      <c r="AB67" s="183" t="inlineStr">
        <is>
          <t>Directory or search listing; not opened (direct site access blocked)</t>
        </is>
      </c>
      <c r="AC67" s="183" t="inlineStr">
        <is>
          <t>No expired licence or ended distribution agreement found</t>
        </is>
      </c>
      <c r="AD67" s="183" t="inlineStr">
        <is>
          <t>Not started</t>
        </is>
      </c>
      <c r="AE67" s="183" t="inlineStr"/>
      <c r="AF67" s="183" t="inlineStr">
        <is>
          <t>https://www.sogo-medical.co.jp/ja/news/20261006_01.html</t>
        </is>
      </c>
      <c r="AG67" s="183" t="inlineStr">
        <is>
          <t>Verified: published on company website</t>
        </is>
      </c>
    </row>
    <row r="68">
      <c r="A68" s="183" t="n">
        <v>64</v>
      </c>
      <c r="B68" s="183" t="inlineStr">
        <is>
          <t>Hokkai Medical</t>
        </is>
      </c>
      <c r="C68" s="183" t="inlineStr">
        <is>
          <t>北海メディカル</t>
        </is>
      </c>
      <c r="D68" s="183" t="inlineStr">
        <is>
          <t>Not retrieved (NTA lookup blocked in this session)</t>
        </is>
      </c>
      <c r="E68" s="183" t="inlineStr">
        <is>
          <t>北海道</t>
        </is>
      </c>
      <c r="F68" s="183" t="inlineStr">
        <is>
          <t>Tohoku and Hokkaido</t>
        </is>
      </c>
      <c r="G68" s="183" t="inlineStr">
        <is>
          <t>https://hokkai-md.com/</t>
        </is>
      </c>
      <c r="H68" s="183" t="inlineStr">
        <is>
          <t>No MAH found; device sales licence (高度管理医療機器等販売業) not confirmed</t>
        </is>
      </c>
      <c r="I68" s="183" t="inlineStr">
        <is>
          <t>Not identified in published sources</t>
        </is>
      </c>
      <c r="J68" s="183" t="inlineStr">
        <is>
          <t>Clinics and GP (開業医)</t>
        </is>
      </c>
      <c r="K68" s="183" t="inlineStr">
        <is>
          <t>北海道 (regional; branch network not confirmed)</t>
        </is>
      </c>
      <c r="L68" s="183" t="inlineStr">
        <is>
          <t>Not found</t>
        </is>
      </c>
      <c r="M68" s="183" t="inlineStr">
        <is>
          <t>Not identified</t>
        </is>
      </c>
      <c r="N68" s="183" t="inlineStr">
        <is>
          <t>Not identified</t>
        </is>
      </c>
      <c r="O68" s="183" t="inlineStr">
        <is>
          <t>Not published; use company inquiry form</t>
        </is>
      </c>
      <c r="P68" s="183" t="inlineStr">
        <is>
          <t>Not confirmed</t>
        </is>
      </c>
      <c r="Q68" s="183" t="inlineStr">
        <is>
          <t>Not identified</t>
        </is>
      </c>
      <c r="R68" s="184" t="inlineStr">
        <is>
          <t>Company inquiry only</t>
        </is>
      </c>
      <c r="S68" s="183" t="n">
        <v>22</v>
      </c>
      <c r="T68" s="189" t="inlineStr">
        <is>
          <t>C</t>
        </is>
      </c>
      <c r="U68" s="183" t="inlineStr">
        <is>
          <t>Clinic opening and GP coverage; can bundle a portable ultrasound into new 開業医 packages as a sub dealer.</t>
        </is>
      </c>
      <c r="V68" s="183" t="inlineStr">
        <is>
          <t>Ask whether they bundle ultrasound into clinic opening packages and which brand they use today; propose a sub dealer role once a Japanese MAH is in place.</t>
        </is>
      </c>
      <c r="W68" s="183" t="inlineStr">
        <is>
          <t>N (not identified)</t>
        </is>
      </c>
      <c r="X68" s="186" t="inlineStr">
        <is>
          <t>https://baseconnect.in/companies/prefecture/9ebb3838-effc-47da-b634-994957a78319/keyword/89941b4e-2dd1-4848-8957-48af280a31e0</t>
        </is>
      </c>
      <c r="Y68" s="183" t="inlineStr">
        <is>
          <t>SonoAir 30 plus SonoEye P3 as a clinic opening package</t>
        </is>
      </c>
      <c r="Z68" s="183" t="inlineStr">
        <is>
          <t>2, 2, 3, 5, 3, 4, 3</t>
        </is>
      </c>
      <c r="AA68" s="183" t="inlineStr">
        <is>
          <t>Not found</t>
        </is>
      </c>
      <c r="AB68" s="183" t="inlineStr">
        <is>
          <t>Directory or search listing; not opened (direct site access blocked)</t>
        </is>
      </c>
      <c r="AC68" s="183" t="inlineStr">
        <is>
          <t>No expired licence or ended distribution agreement found</t>
        </is>
      </c>
      <c r="AD68" s="183" t="inlineStr">
        <is>
          <t>Not started</t>
        </is>
      </c>
      <c r="AE68" s="183" t="inlineStr"/>
      <c r="AF68" s="183" t="inlineStr"/>
      <c r="AG68" s="183" t="inlineStr">
        <is>
          <t>No email published; website has no contact page link, phone first</t>
        </is>
      </c>
    </row>
    <row r="69">
      <c r="A69" s="183" t="n">
        <v>65</v>
      </c>
      <c r="B69" s="183" t="inlineStr">
        <is>
          <t>Seaman</t>
        </is>
      </c>
      <c r="C69" s="183" t="inlineStr">
        <is>
          <t>シーマン</t>
        </is>
      </c>
      <c r="D69" s="183" t="inlineStr">
        <is>
          <t>Not retrieved (NTA lookup blocked in this session)</t>
        </is>
      </c>
      <c r="E69" s="183" t="inlineStr">
        <is>
          <t>大阪府</t>
        </is>
      </c>
      <c r="F69" s="183" t="inlineStr">
        <is>
          <t>Kansai</t>
        </is>
      </c>
      <c r="G69" s="183" t="inlineStr">
        <is>
          <t>https://www.sheen-man.co.jp/</t>
        </is>
      </c>
      <c r="H69" s="183" t="inlineStr">
        <is>
          <t>No MAH found; device sales licence (高度管理医療機器等販売業) not confirmed</t>
        </is>
      </c>
      <c r="I69" s="183" t="inlineStr">
        <is>
          <t>Not identified in published sources</t>
        </is>
      </c>
      <c r="J69" s="183" t="inlineStr">
        <is>
          <t>Cardiology</t>
        </is>
      </c>
      <c r="K69" s="183" t="inlineStr">
        <is>
          <t>大阪府 (regional; branch network not confirmed)</t>
        </is>
      </c>
      <c r="L69" s="183" t="inlineStr">
        <is>
          <t>Not found</t>
        </is>
      </c>
      <c r="M69" s="183" t="inlineStr">
        <is>
          <t>Not identified</t>
        </is>
      </c>
      <c r="N69" s="183" t="inlineStr">
        <is>
          <t>Not identified</t>
        </is>
      </c>
      <c r="O69" s="183" t="inlineStr">
        <is>
          <t>Not published; use contact form</t>
        </is>
      </c>
      <c r="P69" s="183" t="inlineStr">
        <is>
          <t>Not confirmed</t>
        </is>
      </c>
      <c r="Q69" s="183" t="inlineStr">
        <is>
          <t>Not identified</t>
        </is>
      </c>
      <c r="R69" s="184" t="inlineStr">
        <is>
          <t>Likely</t>
        </is>
      </c>
      <c r="S69" s="183" t="n">
        <v>21</v>
      </c>
      <c r="T69" s="189" t="inlineStr">
        <is>
          <t>C</t>
        </is>
      </c>
      <c r="U69" s="183" t="inlineStr">
        <is>
          <t>Adjacent hospital department line (no ultrasound found), which is the best recruit profile for a point of care line.</t>
        </is>
      </c>
      <c r="V69" s="183" t="inlineStr">
        <is>
          <t>Introduce CHISON as a future line through a national MAH partner; ask about their hospital and clinic coverage, service engineers and openness to non Japanese brands.</t>
        </is>
      </c>
      <c r="W69" s="183" t="inlineStr">
        <is>
          <t>N (not identified)</t>
        </is>
      </c>
      <c r="X69" s="186" t="inlineStr">
        <is>
          <t>https://baseconnect.in/companies/prefecture/d80b180e-5fd9-4082-8cdc-a510179a3475/keyword/89941b4e-2dd1-4848-8957-48af280a31e0</t>
        </is>
      </c>
      <c r="Y69" s="183" t="inlineStr">
        <is>
          <t>CBit 6 cart plus SonoEye P5 pocket echo</t>
        </is>
      </c>
      <c r="Z69" s="183" t="inlineStr">
        <is>
          <t>2, 3, 3, 3, 3, 4, 3</t>
        </is>
      </c>
      <c r="AA69" s="183" t="inlineStr">
        <is>
          <t>Not found</t>
        </is>
      </c>
      <c r="AB69" s="183" t="inlineStr">
        <is>
          <t>Directory or search listing; not opened (direct site access blocked)</t>
        </is>
      </c>
      <c r="AC69" s="183" t="inlineStr">
        <is>
          <t>No expired licence or ended distribution agreement found</t>
        </is>
      </c>
      <c r="AD69" s="183" t="inlineStr">
        <is>
          <t>Not started</t>
        </is>
      </c>
      <c r="AE69" s="183" t="inlineStr"/>
      <c r="AF69" s="183" t="inlineStr">
        <is>
          <t>https://www.sheen-man.co.jp/contact/</t>
        </is>
      </c>
      <c r="AG69" s="183" t="inlineStr">
        <is>
          <t>No email published; use the contact form (link in Email source)</t>
        </is>
      </c>
    </row>
    <row r="70">
      <c r="A70" s="183" t="n">
        <v>66</v>
      </c>
      <c r="B70" s="183" t="inlineStr">
        <is>
          <t>Ehime Iryoki</t>
        </is>
      </c>
      <c r="C70" s="183" t="inlineStr">
        <is>
          <t>エヒメ医療器</t>
        </is>
      </c>
      <c r="D70" s="183" t="inlineStr">
        <is>
          <t>Not retrieved (NTA lookup blocked in this session)</t>
        </is>
      </c>
      <c r="E70" s="183" t="inlineStr">
        <is>
          <t>愛媛県</t>
        </is>
      </c>
      <c r="F70" s="183" t="inlineStr">
        <is>
          <t>Chugoku and Shikoku</t>
        </is>
      </c>
      <c r="G70" s="183" t="inlineStr">
        <is>
          <t>https://www.ehimemedical.com/</t>
        </is>
      </c>
      <c r="H70" s="183" t="inlineStr">
        <is>
          <t>No MAH found; device sales licence (高度管理医療機器等販売業) not confirmed</t>
        </is>
      </c>
      <c r="I70" s="183" t="inlineStr">
        <is>
          <t>Not identified in published sources</t>
        </is>
      </c>
      <c r="J70" s="183" t="inlineStr">
        <is>
          <t>General medical equipment (hospitals and clinics)</t>
        </is>
      </c>
      <c r="K70" s="183" t="inlineStr">
        <is>
          <t>愛媛県 (regional; branch network not confirmed)</t>
        </is>
      </c>
      <c r="L70" s="183" t="inlineStr">
        <is>
          <t>Not found</t>
        </is>
      </c>
      <c r="M70" s="183" t="inlineStr">
        <is>
          <t>Not identified</t>
        </is>
      </c>
      <c r="N70" s="183" t="inlineStr">
        <is>
          <t>Not identified</t>
        </is>
      </c>
      <c r="O70" s="183" t="inlineStr">
        <is>
          <t>Not published; use contact form</t>
        </is>
      </c>
      <c r="P70" s="183" t="inlineStr">
        <is>
          <t>Not confirmed</t>
        </is>
      </c>
      <c r="Q70" s="183" t="inlineStr">
        <is>
          <t>Not identified</t>
        </is>
      </c>
      <c r="R70" s="184" t="inlineStr">
        <is>
          <t>Likely</t>
        </is>
      </c>
      <c r="S70" s="183" t="n">
        <v>21</v>
      </c>
      <c r="T70" s="189" t="inlineStr">
        <is>
          <t>C</t>
        </is>
      </c>
      <c r="U70" s="183" t="inlineStr">
        <is>
          <t>Regional general medical equipment dealer with hospital and clinic accounts; candidate sub dealer under a national MAH partner.</t>
        </is>
      </c>
      <c r="V70" s="183" t="inlineStr">
        <is>
          <t>Introduce CHISON as a future line through a national MAH partner; ask about their hospital and clinic coverage, service engineers and openness to non Japanese brands.</t>
        </is>
      </c>
      <c r="W70" s="183" t="inlineStr">
        <is>
          <t>N (not identified)</t>
        </is>
      </c>
      <c r="X70" s="186" t="inlineStr">
        <is>
          <t>https://baseconnect.in/companies/prefecture/18e4d2f6-9b16-4488-931c-17ced3101b74/keyword/2eca165e-bd4a-4e2e-bc44-397492071b92</t>
        </is>
      </c>
      <c r="Y70" s="183" t="inlineStr">
        <is>
          <t>SonoEye P3 plus SonoAir 30 for GP and clinic accounts</t>
        </is>
      </c>
      <c r="Z70" s="183" t="inlineStr">
        <is>
          <t>2, 2, 3, 4, 3, 4, 3</t>
        </is>
      </c>
      <c r="AA70" s="183" t="inlineStr">
        <is>
          <t>Not found</t>
        </is>
      </c>
      <c r="AB70" s="183" t="inlineStr">
        <is>
          <t>Directory or search listing; not opened (direct site access blocked)</t>
        </is>
      </c>
      <c r="AC70" s="183" t="inlineStr">
        <is>
          <t>No expired licence or ended distribution agreement found</t>
        </is>
      </c>
      <c r="AD70" s="183" t="inlineStr">
        <is>
          <t>Not started</t>
        </is>
      </c>
      <c r="AE70" s="183" t="inlineStr"/>
      <c r="AF70" s="183" t="inlineStr">
        <is>
          <t>https://www.ehimemedical.com/form/ehimemedical/contact</t>
        </is>
      </c>
      <c r="AG70" s="183" t="inlineStr">
        <is>
          <t>No email published; use the contact form (link in Email source)</t>
        </is>
      </c>
    </row>
    <row r="71">
      <c r="A71" s="183" t="n">
        <v>67</v>
      </c>
      <c r="B71" s="183" t="inlineStr">
        <is>
          <t>KI Ika Kikai</t>
        </is>
      </c>
      <c r="C71" s="183" t="inlineStr">
        <is>
          <t>ケイアイ医科器械</t>
        </is>
      </c>
      <c r="D71" s="183" t="inlineStr">
        <is>
          <t>Not retrieved (NTA lookup blocked in this session)</t>
        </is>
      </c>
      <c r="E71" s="183" t="inlineStr">
        <is>
          <t>神奈川県</t>
        </is>
      </c>
      <c r="F71" s="183" t="inlineStr">
        <is>
          <t>Kanto</t>
        </is>
      </c>
      <c r="G71" s="183" t="inlineStr">
        <is>
          <t>https://kiik.co.jp/</t>
        </is>
      </c>
      <c r="H71" s="183" t="inlineStr">
        <is>
          <t>No MAH found; device sales licence (高度管理医療機器等販売業) not confirmed</t>
        </is>
      </c>
      <c r="I71" s="183" t="inlineStr">
        <is>
          <t>Not identified in published sources</t>
        </is>
      </c>
      <c r="J71" s="183" t="inlineStr">
        <is>
          <t>General medical equipment (hospitals and clinics)</t>
        </is>
      </c>
      <c r="K71" s="183" t="inlineStr">
        <is>
          <t>神奈川県 (regional; branch network not confirmed)</t>
        </is>
      </c>
      <c r="L71" s="183" t="inlineStr">
        <is>
          <t>Not found</t>
        </is>
      </c>
      <c r="M71" s="183" t="inlineStr">
        <is>
          <t>Not identified</t>
        </is>
      </c>
      <c r="N71" s="183" t="inlineStr">
        <is>
          <t>Not identified</t>
        </is>
      </c>
      <c r="O71" s="183" t="inlineStr">
        <is>
          <t>Not published; use contact form</t>
        </is>
      </c>
      <c r="P71" s="183" t="inlineStr">
        <is>
          <t>Not confirmed</t>
        </is>
      </c>
      <c r="Q71" s="183" t="inlineStr">
        <is>
          <t>Not identified</t>
        </is>
      </c>
      <c r="R71" s="184" t="inlineStr">
        <is>
          <t>Likely</t>
        </is>
      </c>
      <c r="S71" s="183" t="n">
        <v>20</v>
      </c>
      <c r="T71" s="189" t="inlineStr">
        <is>
          <t>C</t>
        </is>
      </c>
      <c r="U71" s="183" t="inlineStr">
        <is>
          <t>Regional general medical equipment dealer with hospital and clinic accounts; candidate sub dealer under a national MAH partner.</t>
        </is>
      </c>
      <c r="V71" s="183" t="inlineStr">
        <is>
          <t>Introduce CHISON as a future line through a national MAH partner; ask about their hospital and clinic coverage, service engineers and openness to non Japanese brands.</t>
        </is>
      </c>
      <c r="W71" s="183" t="inlineStr">
        <is>
          <t>N (not identified)</t>
        </is>
      </c>
      <c r="X71" s="186" t="inlineStr">
        <is>
          <t>https://baseconnect.in/companies/prefecture/9c059a11-e5ef-470d-a270-47022ad1f973/category/e8b4fb2e-8cf9-473d-be34-3f729e65fdf3</t>
        </is>
      </c>
      <c r="Y71" s="183" t="inlineStr">
        <is>
          <t>SonoEye P3 plus SonoAir 30 for GP and clinic accounts</t>
        </is>
      </c>
      <c r="Z71" s="183" t="inlineStr">
        <is>
          <t>2, 2, 3, 3, 3, 4, 3</t>
        </is>
      </c>
      <c r="AA71" s="183" t="inlineStr">
        <is>
          <t>Not found</t>
        </is>
      </c>
      <c r="AB71" s="183" t="inlineStr">
        <is>
          <t>Recheck: no independent confirmation found; directory listing only</t>
        </is>
      </c>
      <c r="AC71" s="183" t="inlineStr">
        <is>
          <t>No expired licence or ended distribution agreement found</t>
        </is>
      </c>
      <c r="AD71" s="183" t="inlineStr">
        <is>
          <t>Not started</t>
        </is>
      </c>
      <c r="AE71" s="183" t="inlineStr"/>
      <c r="AF71" s="183" t="inlineStr">
        <is>
          <t>https://kiik.co.jp/company/contact/</t>
        </is>
      </c>
      <c r="AG71" s="183" t="inlineStr">
        <is>
          <t>No email published; use the contact form (link in Email source)</t>
        </is>
      </c>
    </row>
    <row r="72">
      <c r="A72" s="183" t="n">
        <v>68</v>
      </c>
      <c r="B72" s="183" t="inlineStr">
        <is>
          <t>Futaba (Mito)</t>
        </is>
      </c>
      <c r="C72" s="183" t="inlineStr">
        <is>
          <t>双葉</t>
        </is>
      </c>
      <c r="D72" s="183" t="inlineStr">
        <is>
          <t>Not retrieved (NTA lookup blocked in this session)</t>
        </is>
      </c>
      <c r="E72" s="183" t="inlineStr">
        <is>
          <t>茨城県</t>
        </is>
      </c>
      <c r="F72" s="183" t="inlineStr">
        <is>
          <t>Kanto</t>
        </is>
      </c>
      <c r="G72" s="183" t="inlineStr">
        <is>
          <t>http://www.futaba-ltd.co.jp/</t>
        </is>
      </c>
      <c r="H72" s="183" t="inlineStr">
        <is>
          <t>No MAH found; device sales licence (高度管理医療機器等販売業) not confirmed</t>
        </is>
      </c>
      <c r="I72" s="183" t="inlineStr">
        <is>
          <t>Not identified in published sources</t>
        </is>
      </c>
      <c r="J72" s="183" t="inlineStr">
        <is>
          <t>General medical equipment (hospitals and clinics)</t>
        </is>
      </c>
      <c r="K72" s="183" t="inlineStr">
        <is>
          <t>茨城県 (regional; branch network not confirmed)</t>
        </is>
      </c>
      <c r="L72" s="183" t="inlineStr">
        <is>
          <t>Not found</t>
        </is>
      </c>
      <c r="M72" s="183" t="inlineStr">
        <is>
          <t>Not identified</t>
        </is>
      </c>
      <c r="N72" s="183" t="inlineStr">
        <is>
          <t>Not identified</t>
        </is>
      </c>
      <c r="O72" s="183" t="inlineStr">
        <is>
          <t>futaba@futaba-ltd.co.jp</t>
        </is>
      </c>
      <c r="P72" s="183" t="inlineStr">
        <is>
          <t>Not confirmed</t>
        </is>
      </c>
      <c r="Q72" s="183" t="inlineStr">
        <is>
          <t>Not identified</t>
        </is>
      </c>
      <c r="R72" s="184" t="inlineStr">
        <is>
          <t>Unverified</t>
        </is>
      </c>
      <c r="S72" s="183" t="n">
        <v>20</v>
      </c>
      <c r="T72" s="189" t="inlineStr">
        <is>
          <t>C</t>
        </is>
      </c>
      <c r="U72" s="183" t="inlineStr">
        <is>
          <t>Regional general medical equipment dealer with hospital and clinic accounts; candidate sub dealer under a national MAH partner.</t>
        </is>
      </c>
      <c r="V72" s="183" t="inlineStr">
        <is>
          <t>Introduce CHISON as a future line through a national MAH partner; ask about their hospital and clinic coverage, service engineers and openness to non Japanese brands.</t>
        </is>
      </c>
      <c r="W72" s="183" t="inlineStr">
        <is>
          <t>N (not identified)</t>
        </is>
      </c>
      <c r="X72" s="186" t="inlineStr">
        <is>
          <t>https://baseconnect.in/companies/prefecture/d8203dea-91e2-41c3-a785-b80aa997273c/category/b2358a1c-c4c6-46f4-a0b1-dee3a1b30a0b</t>
        </is>
      </c>
      <c r="Y72" s="183" t="inlineStr">
        <is>
          <t>SonoEye P3 plus SonoAir 30 for GP and clinic accounts</t>
        </is>
      </c>
      <c r="Z72" s="183" t="inlineStr">
        <is>
          <t>2, 2, 3, 3, 3, 4, 3</t>
        </is>
      </c>
      <c r="AA72" s="183" t="inlineStr">
        <is>
          <t>Not found</t>
        </is>
      </c>
      <c r="AB72" s="183" t="inlineStr">
        <is>
          <t>Directory or search listing; not opened (direct site access blocked)</t>
        </is>
      </c>
      <c r="AC72" s="183" t="inlineStr">
        <is>
          <t>No expired licence or ended distribution agreement found</t>
        </is>
      </c>
      <c r="AD72" s="183" t="inlineStr">
        <is>
          <t>Not started</t>
        </is>
      </c>
      <c r="AE72" s="183" t="inlineStr"/>
      <c r="AF72" s="183" t="inlineStr">
        <is>
          <t>http://www.futaba-ltd.co.jp/service/eigyo/maintain/</t>
        </is>
      </c>
      <c r="AG72" s="183" t="inlineStr">
        <is>
          <t>Verified: published on company website</t>
        </is>
      </c>
    </row>
    <row r="73">
      <c r="A73" s="183" t="n">
        <v>69</v>
      </c>
      <c r="B73" s="183" t="inlineStr">
        <is>
          <t>Nishimura Ika Kikai</t>
        </is>
      </c>
      <c r="C73" s="183" t="inlineStr">
        <is>
          <t>西村医科器械</t>
        </is>
      </c>
      <c r="D73" s="183" t="inlineStr">
        <is>
          <t>Not retrieved (NTA lookup blocked in this session)</t>
        </is>
      </c>
      <c r="E73" s="183" t="inlineStr">
        <is>
          <t>京都府</t>
        </is>
      </c>
      <c r="F73" s="183" t="inlineStr">
        <is>
          <t>Kansai</t>
        </is>
      </c>
      <c r="G73" s="183" t="inlineStr">
        <is>
          <t>https://nime.co.jp/</t>
        </is>
      </c>
      <c r="H73" s="183" t="inlineStr">
        <is>
          <t>No MAH found; device sales licence (高度管理医療機器等販売業) not confirmed</t>
        </is>
      </c>
      <c r="I73" s="183" t="inlineStr">
        <is>
          <t>Not identified in published sources</t>
        </is>
      </c>
      <c r="J73" s="183" t="inlineStr">
        <is>
          <t>General medical equipment (hospitals and clinics)</t>
        </is>
      </c>
      <c r="K73" s="183" t="inlineStr">
        <is>
          <t>京都府; Kansai</t>
        </is>
      </c>
      <c r="L73" s="183" t="inlineStr">
        <is>
          <t>Not found</t>
        </is>
      </c>
      <c r="M73" s="183" t="inlineStr">
        <is>
          <t>Not identified</t>
        </is>
      </c>
      <c r="N73" s="183" t="inlineStr">
        <is>
          <t>Not identified</t>
        </is>
      </c>
      <c r="O73" s="183" t="inlineStr">
        <is>
          <t>overseas@nime.co.jp</t>
        </is>
      </c>
      <c r="P73" s="183" t="inlineStr">
        <is>
          <t>Not confirmed</t>
        </is>
      </c>
      <c r="Q73" s="183" t="inlineStr">
        <is>
          <t>Not identified</t>
        </is>
      </c>
      <c r="R73" s="184" t="inlineStr">
        <is>
          <t>Unverified</t>
        </is>
      </c>
      <c r="S73" s="183" t="n">
        <v>20</v>
      </c>
      <c r="T73" s="189" t="inlineStr">
        <is>
          <t>C</t>
        </is>
      </c>
      <c r="U73" s="183" t="inlineStr">
        <is>
          <t>Regional general medical equipment dealer with hospital and clinic accounts; candidate sub dealer under a national MAH partner.</t>
        </is>
      </c>
      <c r="V73" s="183" t="inlineStr">
        <is>
          <t>Introduce CHISON as a future line through a national MAH partner; ask about their hospital and clinic coverage, service engineers and openness to non Japanese brands.</t>
        </is>
      </c>
      <c r="W73" s="183" t="inlineStr">
        <is>
          <t>N (not identified)</t>
        </is>
      </c>
      <c r="X73" s="186" t="inlineStr">
        <is>
          <t>https://baseconnect.in/companies/prefecture/63038c5a-e328-472b-b9cc-039738609ba7/keyword/14f3dcec-9cd5-4be5-84e1-ddccb7bd228c</t>
        </is>
      </c>
      <c r="Y73" s="183" t="inlineStr">
        <is>
          <t>SonoEye P3 plus SonoAir 30 for GP and clinic accounts</t>
        </is>
      </c>
      <c r="Z73" s="183" t="inlineStr">
        <is>
          <t>2, 2, 3, 4, 4, 2, 3</t>
        </is>
      </c>
      <c r="AA73" s="183" t="inlineStr">
        <is>
          <t>Not found</t>
        </is>
      </c>
      <c r="AB73" s="183" t="inlineStr">
        <is>
          <t>Directory or search listing; not opened (direct site access blocked)</t>
        </is>
      </c>
      <c r="AC73" s="183" t="inlineStr">
        <is>
          <t>No expired licence or ended distribution agreement found</t>
        </is>
      </c>
      <c r="AD73" s="183" t="inlineStr">
        <is>
          <t>Not started</t>
        </is>
      </c>
      <c r="AE73" s="183" t="inlineStr"/>
      <c r="AF73" s="183" t="inlineStr">
        <is>
          <t>https://nime.co.jp/overseas/pages/27/</t>
        </is>
      </c>
      <c r="AG73" s="183" t="inlineStr">
        <is>
          <t>Verified: published on company website</t>
        </is>
      </c>
    </row>
    <row r="74">
      <c r="A74" s="183" t="n">
        <v>70</v>
      </c>
      <c r="B74" s="183" t="inlineStr">
        <is>
          <t>Ishiguro Medical System</t>
        </is>
      </c>
      <c r="C74" s="183" t="inlineStr">
        <is>
          <t>石黒メディカルシステム</t>
        </is>
      </c>
      <c r="D74" s="183" t="inlineStr">
        <is>
          <t>Not retrieved (NTA lookup blocked in this session)</t>
        </is>
      </c>
      <c r="E74" s="183" t="inlineStr">
        <is>
          <t>京都府</t>
        </is>
      </c>
      <c r="F74" s="183" t="inlineStr">
        <is>
          <t>Kansai</t>
        </is>
      </c>
      <c r="G74" s="183" t="inlineStr">
        <is>
          <t>Not confirmed (company site not opened; network policy blocked direct access)</t>
        </is>
      </c>
      <c r="H74" s="183" t="inlineStr">
        <is>
          <t>No MAH found; device sales licence (高度管理医療機器等販売業) not confirmed</t>
        </is>
      </c>
      <c r="I74" s="183" t="inlineStr">
        <is>
          <t>Not identified in published sources</t>
        </is>
      </c>
      <c r="J74" s="183" t="inlineStr">
        <is>
          <t>Clinics and GP (開業医), Pharma distribution</t>
        </is>
      </c>
      <c r="K74" s="183" t="inlineStr">
        <is>
          <t>京都府 (regional; branch network not confirmed)</t>
        </is>
      </c>
      <c r="L74" s="183" t="inlineStr">
        <is>
          <t>Est 1946</t>
        </is>
      </c>
      <c r="M74" s="183" t="inlineStr">
        <is>
          <t>Not identified</t>
        </is>
      </c>
      <c r="N74" s="183" t="inlineStr">
        <is>
          <t>Not identified</t>
        </is>
      </c>
      <c r="O74" s="183" t="inlineStr">
        <is>
          <t>soumu@ishiguro-medical.jp</t>
        </is>
      </c>
      <c r="P74" s="183" t="inlineStr">
        <is>
          <t>Not confirmed</t>
        </is>
      </c>
      <c r="Q74" s="183" t="inlineStr">
        <is>
          <t>Not identified</t>
        </is>
      </c>
      <c r="R74" s="184" t="inlineStr">
        <is>
          <t>Unverified</t>
        </is>
      </c>
      <c r="S74" s="183" t="n">
        <v>20</v>
      </c>
      <c r="T74" s="189" t="inlineStr">
        <is>
          <t>C</t>
        </is>
      </c>
      <c r="U74" s="183" t="inlineStr">
        <is>
          <t>Clinic opening and GP coverage; can bundle a portable ultrasound into new 開業医 packages as a sub dealer.</t>
        </is>
      </c>
      <c r="V74" s="183" t="inlineStr">
        <is>
          <t>Ask whether they bundle ultrasound into clinic opening packages and which brand they use today; propose a sub dealer role once a Japanese MAH is in place.</t>
        </is>
      </c>
      <c r="W74" s="183" t="inlineStr">
        <is>
          <t>N (not identified)</t>
        </is>
      </c>
      <c r="X74" s="186" t="inlineStr">
        <is>
          <t>https://www.openwork.jp/a0C1000000nInR1/job/ ; https://baseconnect.in/companies/prefecture/63038c5a-e328-472b-b9cc-039738609ba7/keyword/14f3dcec-9cd5-4be5-84e1-ddccb7bd228c ; https://compalyze.co.jp/company/3130001011567</t>
        </is>
      </c>
      <c r="Y74" s="183" t="inlineStr">
        <is>
          <t>SonoAir 30 plus SonoEye P3 as a clinic opening package</t>
        </is>
      </c>
      <c r="Z74" s="183" t="inlineStr">
        <is>
          <t>2, 2, 3, 5, 3, 2, 3</t>
        </is>
      </c>
      <c r="AA74" s="183" t="inlineStr">
        <is>
          <t>Not found</t>
        </is>
      </c>
      <c r="AB74" s="183" t="inlineStr">
        <is>
          <t>Verified in 10% recheck</t>
        </is>
      </c>
      <c r="AC74" s="183" t="inlineStr">
        <is>
          <t>No expired licence or ended distribution agreement found</t>
        </is>
      </c>
      <c r="AD74" s="183" t="inlineStr">
        <is>
          <t>Not started</t>
        </is>
      </c>
      <c r="AE74" s="183" t="inlineStr"/>
      <c r="AF74" s="183" t="inlineStr">
        <is>
          <t>http://www.mia-kyoto.gr.jp/members/ishiguro.html</t>
        </is>
      </c>
      <c r="AG74" s="183" t="inlineStr">
        <is>
          <t>Likely: third party listing, check before sending</t>
        </is>
      </c>
    </row>
    <row r="75">
      <c r="A75" s="183" t="n">
        <v>71</v>
      </c>
      <c r="B75" s="183" t="inlineStr">
        <is>
          <t>Date Medical Service</t>
        </is>
      </c>
      <c r="C75" s="183" t="inlineStr">
        <is>
          <t>ダテ・メディカルサービス</t>
        </is>
      </c>
      <c r="D75" s="183" t="inlineStr">
        <is>
          <t>Not retrieved (NTA lookup blocked in this session)</t>
        </is>
      </c>
      <c r="E75" s="183" t="inlineStr">
        <is>
          <t>京都府</t>
        </is>
      </c>
      <c r="F75" s="183" t="inlineStr">
        <is>
          <t>Kansai</t>
        </is>
      </c>
      <c r="G75" s="183" t="inlineStr">
        <is>
          <t>https://dt-med.co.jp/</t>
        </is>
      </c>
      <c r="H75" s="183" t="inlineStr">
        <is>
          <t>No MAH found; device sales licence (高度管理医療機器等販売業) not confirmed</t>
        </is>
      </c>
      <c r="I75" s="183" t="inlineStr">
        <is>
          <t>Not identified in published sources</t>
        </is>
      </c>
      <c r="J75" s="183" t="inlineStr">
        <is>
          <t>General medical equipment (hospitals and clinics)</t>
        </is>
      </c>
      <c r="K75" s="183" t="inlineStr">
        <is>
          <t>京都府 (regional; branch network not confirmed)</t>
        </is>
      </c>
      <c r="L75" s="183" t="inlineStr">
        <is>
          <t>Not found</t>
        </is>
      </c>
      <c r="M75" s="183" t="inlineStr">
        <is>
          <t>Not identified</t>
        </is>
      </c>
      <c r="N75" s="183" t="inlineStr">
        <is>
          <t>Not identified</t>
        </is>
      </c>
      <c r="O75" s="183" t="inlineStr">
        <is>
          <t>Not published; use contact form</t>
        </is>
      </c>
      <c r="P75" s="183" t="inlineStr">
        <is>
          <t>Not confirmed</t>
        </is>
      </c>
      <c r="Q75" s="183" t="inlineStr">
        <is>
          <t>Not identified</t>
        </is>
      </c>
      <c r="R75" s="184" t="inlineStr">
        <is>
          <t>Likely</t>
        </is>
      </c>
      <c r="S75" s="183" t="n">
        <v>20</v>
      </c>
      <c r="T75" s="189" t="inlineStr">
        <is>
          <t>C</t>
        </is>
      </c>
      <c r="U75" s="183" t="inlineStr">
        <is>
          <t>Regional general medical equipment dealer with hospital and clinic accounts; candidate sub dealer under a national MAH partner.</t>
        </is>
      </c>
      <c r="V75" s="183" t="inlineStr">
        <is>
          <t>Introduce CHISON as a future line through a national MAH partner; ask about their hospital and clinic coverage, service engineers and openness to non Japanese brands.</t>
        </is>
      </c>
      <c r="W75" s="183" t="inlineStr">
        <is>
          <t>N (not identified)</t>
        </is>
      </c>
      <c r="X75" s="186" t="inlineStr">
        <is>
          <t>https://baseconnect.in/companies/prefecture/63038c5a-e328-472b-b9cc-039738609ba7/keyword/14f3dcec-9cd5-4be5-84e1-ddccb7bd228c</t>
        </is>
      </c>
      <c r="Y75" s="183" t="inlineStr">
        <is>
          <t>SonoEye P3 plus SonoAir 30 for GP and clinic accounts</t>
        </is>
      </c>
      <c r="Z75" s="183" t="inlineStr">
        <is>
          <t>2, 2, 3, 3, 3, 4, 3</t>
        </is>
      </c>
      <c r="AA75" s="183" t="inlineStr">
        <is>
          <t>Not found</t>
        </is>
      </c>
      <c r="AB75" s="183" t="inlineStr">
        <is>
          <t>Directory or search listing; not opened (direct site access blocked)</t>
        </is>
      </c>
      <c r="AC75" s="183" t="inlineStr">
        <is>
          <t>No expired licence or ended distribution agreement found</t>
        </is>
      </c>
      <c r="AD75" s="183" t="inlineStr">
        <is>
          <t>Not started</t>
        </is>
      </c>
      <c r="AE75" s="183" t="inlineStr"/>
      <c r="AF75" s="183" t="inlineStr">
        <is>
          <t>https://dt-med.co.jp/contact/</t>
        </is>
      </c>
      <c r="AG75" s="183" t="inlineStr">
        <is>
          <t>No email published; use the contact form (link in Email source)</t>
        </is>
      </c>
    </row>
    <row r="76">
      <c r="A76" s="183" t="n">
        <v>72</v>
      </c>
      <c r="B76" s="183" t="inlineStr">
        <is>
          <t>Green Hospital Supply</t>
        </is>
      </c>
      <c r="C76" s="183" t="inlineStr">
        <is>
          <t>グリーンホスピタルサプライ</t>
        </is>
      </c>
      <c r="D76" s="183" t="inlineStr">
        <is>
          <t>Not retrieved (NTA lookup blocked in this session)</t>
        </is>
      </c>
      <c r="E76" s="183" t="inlineStr">
        <is>
          <t>大阪府</t>
        </is>
      </c>
      <c r="F76" s="183" t="inlineStr">
        <is>
          <t>Kansai</t>
        </is>
      </c>
      <c r="G76" s="183" t="inlineStr">
        <is>
          <t>https://ghs-inc.co.jp/</t>
        </is>
      </c>
      <c r="H76" s="183" t="inlineStr">
        <is>
          <t>No MAH found; device sales licence (高度管理医療機器等販売業) not confirmed</t>
        </is>
      </c>
      <c r="I76" s="183" t="inlineStr">
        <is>
          <t>Not identified in published sources</t>
        </is>
      </c>
      <c r="J76" s="183" t="inlineStr">
        <is>
          <t>General medical equipment (hospitals and clinics)</t>
        </is>
      </c>
      <c r="K76" s="183" t="inlineStr">
        <is>
          <t>大阪府 (regional; branch network not confirmed)</t>
        </is>
      </c>
      <c r="L76" s="183" t="inlineStr">
        <is>
          <t>Not found</t>
        </is>
      </c>
      <c r="M76" s="183" t="inlineStr">
        <is>
          <t>Not identified</t>
        </is>
      </c>
      <c r="N76" s="183" t="inlineStr">
        <is>
          <t>Not identified</t>
        </is>
      </c>
      <c r="O76" s="183" t="inlineStr">
        <is>
          <t>well-being-info@ghs-inc.co.jp</t>
        </is>
      </c>
      <c r="P76" s="183" t="inlineStr">
        <is>
          <t>Not confirmed</t>
        </is>
      </c>
      <c r="Q76" s="183" t="inlineStr">
        <is>
          <t>Not identified</t>
        </is>
      </c>
      <c r="R76" s="184" t="inlineStr">
        <is>
          <t>Unverified</t>
        </is>
      </c>
      <c r="S76" s="183" t="n">
        <v>20</v>
      </c>
      <c r="T76" s="189" t="inlineStr">
        <is>
          <t>C</t>
        </is>
      </c>
      <c r="U76" s="183" t="inlineStr">
        <is>
          <t>Low fit: mainly welfare or care equipment; only for home care handheld use.</t>
        </is>
      </c>
      <c r="V76" s="183" t="inlineStr">
        <is>
          <t>Introduce CHISON as a future line through a national MAH partner; ask about their hospital and clinic coverage, service engineers and openness to non Japanese brands.</t>
        </is>
      </c>
      <c r="W76" s="183" t="inlineStr">
        <is>
          <t>N (not identified)</t>
        </is>
      </c>
      <c r="X76" s="186" t="inlineStr">
        <is>
          <t>https://baseconnect.in/companies/prefecture/d80b180e-5fd9-4082-8cdc-a510179a3475/keyword/89941b4e-2dd1-4848-8957-48af280a31e0</t>
        </is>
      </c>
      <c r="Y76" s="183" t="inlineStr">
        <is>
          <t>SonoEye P3 plus SonoAir 30 for GP and clinic accounts</t>
        </is>
      </c>
      <c r="Z76" s="183" t="inlineStr">
        <is>
          <t>2, 2, 3, 3, 5, 2, 3</t>
        </is>
      </c>
      <c r="AA76" s="183" t="inlineStr">
        <is>
          <t>Not found</t>
        </is>
      </c>
      <c r="AB76" s="183" t="inlineStr">
        <is>
          <t>Directory or search listing; not opened (direct site access blocked)</t>
        </is>
      </c>
      <c r="AC76" s="183" t="inlineStr">
        <is>
          <t>Holding group overlap: Ship Healthcare group (existing row 8). Ask Ship which entity owns imaging. No expired licence or ended distribution agreement found</t>
        </is>
      </c>
      <c r="AD76" s="183" t="inlineStr">
        <is>
          <t>Not started</t>
        </is>
      </c>
      <c r="AE76" s="183" t="inlineStr">
        <is>
          <t>recruiting_team@ghs-inc.co.jp</t>
        </is>
      </c>
      <c r="AF76" s="183" t="inlineStr">
        <is>
          <t>https://ghs-inc.co.jp/feed/</t>
        </is>
      </c>
      <c r="AG76" s="183" t="inlineStr">
        <is>
          <t>Verified: published on company website</t>
        </is>
      </c>
    </row>
    <row r="77">
      <c r="A77" s="183" t="n">
        <v>73</v>
      </c>
      <c r="B77" s="183" t="inlineStr">
        <is>
          <t>Meditake</t>
        </is>
      </c>
      <c r="C77" s="183" t="inlineStr">
        <is>
          <t>メディテイク</t>
        </is>
      </c>
      <c r="D77" s="183" t="inlineStr">
        <is>
          <t>Not retrieved (NTA lookup blocked in this session)</t>
        </is>
      </c>
      <c r="E77" s="183" t="inlineStr">
        <is>
          <t>大阪府</t>
        </is>
      </c>
      <c r="F77" s="183" t="inlineStr">
        <is>
          <t>Kansai</t>
        </is>
      </c>
      <c r="G77" s="183" t="inlineStr">
        <is>
          <t>https://meditake.jp/</t>
        </is>
      </c>
      <c r="H77" s="183" t="inlineStr">
        <is>
          <t>No MAH found; device sales licence (高度管理医療機器等販売業) not confirmed</t>
        </is>
      </c>
      <c r="I77" s="183" t="inlineStr">
        <is>
          <t>Not identified in published sources</t>
        </is>
      </c>
      <c r="J77" s="183" t="inlineStr">
        <is>
          <t>Clinics and GP (開業医)</t>
        </is>
      </c>
      <c r="K77" s="183" t="inlineStr">
        <is>
          <t>大阪府 (regional; branch network not confirmed)</t>
        </is>
      </c>
      <c r="L77" s="183" t="inlineStr">
        <is>
          <t>Not found</t>
        </is>
      </c>
      <c r="M77" s="183" t="inlineStr">
        <is>
          <t>Not identified</t>
        </is>
      </c>
      <c r="N77" s="183" t="inlineStr">
        <is>
          <t>Not identified</t>
        </is>
      </c>
      <c r="O77" s="183" t="inlineStr">
        <is>
          <t>Not published; use contact form</t>
        </is>
      </c>
      <c r="P77" s="183" t="inlineStr">
        <is>
          <t>Not confirmed</t>
        </is>
      </c>
      <c r="Q77" s="183" t="inlineStr">
        <is>
          <t>Not identified</t>
        </is>
      </c>
      <c r="R77" s="184" t="inlineStr">
        <is>
          <t>Likely</t>
        </is>
      </c>
      <c r="S77" s="183" t="n">
        <v>20</v>
      </c>
      <c r="T77" s="189" t="inlineStr">
        <is>
          <t>C</t>
        </is>
      </c>
      <c r="U77" s="183" t="inlineStr">
        <is>
          <t>Clinic opening and GP coverage; can bundle a portable ultrasound into new 開業医 packages as a sub dealer.</t>
        </is>
      </c>
      <c r="V77" s="183" t="inlineStr">
        <is>
          <t>Ask whether they bundle ultrasound into clinic opening packages and which brand they use today; propose a sub dealer role once a Japanese MAH is in place.</t>
        </is>
      </c>
      <c r="W77" s="183" t="inlineStr">
        <is>
          <t>N (not identified)</t>
        </is>
      </c>
      <c r="X77" s="186" t="inlineStr">
        <is>
          <t>https://baseconnect.in/companies/prefecture/d80b180e-5fd9-4082-8cdc-a510179a3475/keyword/89941b4e-2dd1-4848-8957-48af280a31e0</t>
        </is>
      </c>
      <c r="Y77" s="183" t="inlineStr">
        <is>
          <t>SonoAir 30 plus SonoEye P3 as a clinic opening package</t>
        </is>
      </c>
      <c r="Z77" s="183" t="inlineStr">
        <is>
          <t>2, 2, 3, 5, 3, 2, 3</t>
        </is>
      </c>
      <c r="AA77" s="183" t="inlineStr">
        <is>
          <t>Not found</t>
        </is>
      </c>
      <c r="AB77" s="183" t="inlineStr">
        <is>
          <t>Directory or search listing; not opened (direct site access blocked)</t>
        </is>
      </c>
      <c r="AC77" s="183" t="inlineStr">
        <is>
          <t>No expired licence or ended distribution agreement found</t>
        </is>
      </c>
      <c r="AD77" s="183" t="inlineStr">
        <is>
          <t>Not started</t>
        </is>
      </c>
      <c r="AE77" s="183" t="inlineStr"/>
      <c r="AF77" s="183" t="inlineStr">
        <is>
          <t>https://meditake.jp/contact</t>
        </is>
      </c>
      <c r="AG77" s="183" t="inlineStr">
        <is>
          <t>No email published; use the contact form (link in Email source)</t>
        </is>
      </c>
    </row>
    <row r="78">
      <c r="A78" s="183" t="n">
        <v>74</v>
      </c>
      <c r="B78" s="183" t="inlineStr">
        <is>
          <t>Planet Medical</t>
        </is>
      </c>
      <c r="C78" s="183" t="inlineStr">
        <is>
          <t>プラネットメディカル</t>
        </is>
      </c>
      <c r="D78" s="183" t="inlineStr">
        <is>
          <t>Not retrieved (NTA lookup blocked in this session)</t>
        </is>
      </c>
      <c r="E78" s="183" t="inlineStr">
        <is>
          <t>大阪府</t>
        </is>
      </c>
      <c r="F78" s="183" t="inlineStr">
        <is>
          <t>Kansai</t>
        </is>
      </c>
      <c r="G78" s="183" t="inlineStr">
        <is>
          <t>https://planetmedical.biz/</t>
        </is>
      </c>
      <c r="H78" s="183" t="inlineStr">
        <is>
          <t>No MAH found; device sales licence (高度管理医療機器等販売業) not confirmed</t>
        </is>
      </c>
      <c r="I78" s="183" t="inlineStr">
        <is>
          <t>Not identified in published sources</t>
        </is>
      </c>
      <c r="J78" s="183" t="inlineStr">
        <is>
          <t>Clinics and GP (開業医)</t>
        </is>
      </c>
      <c r="K78" s="183" t="inlineStr">
        <is>
          <t>大阪府 (regional; branch network not confirmed)</t>
        </is>
      </c>
      <c r="L78" s="183" t="inlineStr">
        <is>
          <t>Not found</t>
        </is>
      </c>
      <c r="M78" s="183" t="inlineStr">
        <is>
          <t>Not identified</t>
        </is>
      </c>
      <c r="N78" s="183" t="inlineStr">
        <is>
          <t>Not identified</t>
        </is>
      </c>
      <c r="O78" s="183" t="inlineStr">
        <is>
          <t>info@planetmedical.biz</t>
        </is>
      </c>
      <c r="P78" s="183" t="inlineStr">
        <is>
          <t>Not confirmed</t>
        </is>
      </c>
      <c r="Q78" s="183" t="inlineStr">
        <is>
          <t>Not identified</t>
        </is>
      </c>
      <c r="R78" s="184" t="inlineStr">
        <is>
          <t>Unverified</t>
        </is>
      </c>
      <c r="S78" s="183" t="n">
        <v>20</v>
      </c>
      <c r="T78" s="189" t="inlineStr">
        <is>
          <t>C</t>
        </is>
      </c>
      <c r="U78" s="183" t="inlineStr">
        <is>
          <t>Clinic opening and GP coverage; can bundle a portable ultrasound into new 開業医 packages as a sub dealer.</t>
        </is>
      </c>
      <c r="V78" s="183" t="inlineStr">
        <is>
          <t>Ask whether they bundle ultrasound into clinic opening packages and which brand they use today; propose a sub dealer role once a Japanese MAH is in place.</t>
        </is>
      </c>
      <c r="W78" s="183" t="inlineStr">
        <is>
          <t>N (not identified)</t>
        </is>
      </c>
      <c r="X78" s="186" t="inlineStr">
        <is>
          <t>https://baseconnect.in/companies/prefecture/d80b180e-5fd9-4082-8cdc-a510179a3475/keyword/088a0bed-423d-48b9-a3af-b77d98e81383</t>
        </is>
      </c>
      <c r="Y78" s="183" t="inlineStr">
        <is>
          <t>SonoAir 30 plus SonoEye P3 as a clinic opening package</t>
        </is>
      </c>
      <c r="Z78" s="183" t="inlineStr">
        <is>
          <t>2, 2, 3, 5, 3, 2, 3</t>
        </is>
      </c>
      <c r="AA78" s="183" t="inlineStr">
        <is>
          <t>Not found</t>
        </is>
      </c>
      <c r="AB78" s="183" t="inlineStr">
        <is>
          <t>Directory or search listing; not opened (direct site access blocked)</t>
        </is>
      </c>
      <c r="AC78" s="183" t="inlineStr">
        <is>
          <t>No expired licence or ended distribution agreement found</t>
        </is>
      </c>
      <c r="AD78" s="183" t="inlineStr">
        <is>
          <t>Not started</t>
        </is>
      </c>
      <c r="AE78" s="183" t="inlineStr"/>
      <c r="AF78" s="183" t="inlineStr">
        <is>
          <t>https://planetmedical.biz/</t>
        </is>
      </c>
      <c r="AG78" s="183" t="inlineStr">
        <is>
          <t>Verified: published on company website</t>
        </is>
      </c>
    </row>
    <row r="79">
      <c r="A79" s="183" t="n">
        <v>75</v>
      </c>
      <c r="B79" s="183" t="inlineStr">
        <is>
          <t>Form</t>
        </is>
      </c>
      <c r="C79" s="183" t="inlineStr">
        <is>
          <t>フォーム</t>
        </is>
      </c>
      <c r="D79" s="183" t="inlineStr">
        <is>
          <t>Not retrieved (NTA lookup blocked in this session)</t>
        </is>
      </c>
      <c r="E79" s="183" t="inlineStr">
        <is>
          <t>三重県</t>
        </is>
      </c>
      <c r="F79" s="183" t="inlineStr">
        <is>
          <t>Chubu</t>
        </is>
      </c>
      <c r="G79" s="183" t="inlineStr">
        <is>
          <t>https://www.m-form.co.jp/</t>
        </is>
      </c>
      <c r="H79" s="183" t="inlineStr">
        <is>
          <t>No MAH found; device sales licence (高度管理医療機器等販売業) not confirmed</t>
        </is>
      </c>
      <c r="I79" s="183" t="inlineStr">
        <is>
          <t>Not identified in published sources</t>
        </is>
      </c>
      <c r="J79" s="183" t="inlineStr">
        <is>
          <t>Hospitals</t>
        </is>
      </c>
      <c r="K79" s="183" t="inlineStr">
        <is>
          <t>三重県; Tsu and Nagoya</t>
        </is>
      </c>
      <c r="L79" s="183" t="inlineStr">
        <is>
          <t>Not found</t>
        </is>
      </c>
      <c r="M79" s="183" t="inlineStr">
        <is>
          <t>Not identified</t>
        </is>
      </c>
      <c r="N79" s="183" t="inlineStr">
        <is>
          <t>Not identified</t>
        </is>
      </c>
      <c r="O79" s="183" t="inlineStr">
        <is>
          <t>jinji@m-form.co.jp</t>
        </is>
      </c>
      <c r="P79" s="183" t="inlineStr">
        <is>
          <t>Not confirmed</t>
        </is>
      </c>
      <c r="Q79" s="183" t="inlineStr">
        <is>
          <t>Not identified</t>
        </is>
      </c>
      <c r="R79" s="184" t="inlineStr">
        <is>
          <t>Unverified</t>
        </is>
      </c>
      <c r="S79" s="183" t="n">
        <v>20</v>
      </c>
      <c r="T79" s="189" t="inlineStr">
        <is>
          <t>C</t>
        </is>
      </c>
      <c r="U79" s="183" t="inlineStr">
        <is>
          <t>Regional general medical equipment dealer with hospital and clinic accounts; candidate sub dealer under a national MAH partner.</t>
        </is>
      </c>
      <c r="V79" s="183" t="inlineStr">
        <is>
          <t>Introduce CHISON as a future line through a national MAH partner; ask about their hospital and clinic coverage, service engineers and openness to non Japanese brands.</t>
        </is>
      </c>
      <c r="W79" s="183" t="inlineStr">
        <is>
          <t>N (not identified)</t>
        </is>
      </c>
      <c r="X79" s="186" t="inlineStr">
        <is>
          <t>https://mynavi-agent.jp/corpdetail/25173/</t>
        </is>
      </c>
      <c r="Y79" s="183" t="inlineStr">
        <is>
          <t>SonoEye P3 plus SonoAir 30 for GP and clinic accounts</t>
        </is>
      </c>
      <c r="Z79" s="183" t="inlineStr">
        <is>
          <t>2, 2, 3, 4, 4, 2, 3</t>
        </is>
      </c>
      <c r="AA79" s="183" t="inlineStr">
        <is>
          <t>Not found</t>
        </is>
      </c>
      <c r="AB79" s="183" t="inlineStr">
        <is>
          <t>Directory or search listing; not opened (direct site access blocked)</t>
        </is>
      </c>
      <c r="AC79" s="183" t="inlineStr">
        <is>
          <t>No expired licence or ended distribution agreement found</t>
        </is>
      </c>
      <c r="AD79" s="183" t="inlineStr">
        <is>
          <t>Not started</t>
        </is>
      </c>
      <c r="AE79" s="183" t="inlineStr"/>
      <c r="AF79" s="183" t="inlineStr">
        <is>
          <t>https://www.m-form.co.jp/company/compliance/compliance-82294-52114/index.html</t>
        </is>
      </c>
      <c r="AG79" s="183" t="inlineStr">
        <is>
          <t>Verified: published on company website; HR or recruitment inbox, ask to forward to sales</t>
        </is>
      </c>
    </row>
    <row r="80">
      <c r="A80" s="183" t="n">
        <v>76</v>
      </c>
      <c r="B80" s="183" t="inlineStr">
        <is>
          <t>Nakagawa Iryo Kikai</t>
        </is>
      </c>
      <c r="C80" s="183" t="inlineStr">
        <is>
          <t>中川医療器械</t>
        </is>
      </c>
      <c r="D80" s="183" t="inlineStr">
        <is>
          <t>Not retrieved (NTA lookup blocked in this session)</t>
        </is>
      </c>
      <c r="E80" s="183" t="inlineStr">
        <is>
          <t>富山県</t>
        </is>
      </c>
      <c r="F80" s="183" t="inlineStr">
        <is>
          <t>Chubu</t>
        </is>
      </c>
      <c r="G80" s="183" t="inlineStr">
        <is>
          <t>Not confirmed (company site not opened; network policy blocked direct access)</t>
        </is>
      </c>
      <c r="H80" s="183" t="inlineStr">
        <is>
          <t>No MAH found; device sales licence (高度管理医療機器等販売業) not confirmed</t>
        </is>
      </c>
      <c r="I80" s="183" t="inlineStr">
        <is>
          <t>Not identified in published sources</t>
        </is>
      </c>
      <c r="J80" s="183" t="inlineStr">
        <is>
          <t>Hospitals</t>
        </is>
      </c>
      <c r="K80" s="183" t="inlineStr">
        <is>
          <t>富山県; Ishikawa Toyama</t>
        </is>
      </c>
      <c r="L80" s="183" t="inlineStr">
        <is>
          <t>Not found</t>
        </is>
      </c>
      <c r="M80" s="183" t="inlineStr">
        <is>
          <t>Not identified</t>
        </is>
      </c>
      <c r="N80" s="183" t="inlineStr">
        <is>
          <t>Not identified</t>
        </is>
      </c>
      <c r="O80" s="183" t="inlineStr">
        <is>
          <t>Not published; use company inquiry form</t>
        </is>
      </c>
      <c r="P80" s="183" t="inlineStr">
        <is>
          <t>Not confirmed</t>
        </is>
      </c>
      <c r="Q80" s="183" t="inlineStr">
        <is>
          <t>Not identified</t>
        </is>
      </c>
      <c r="R80" s="184" t="inlineStr">
        <is>
          <t>Unverified</t>
        </is>
      </c>
      <c r="S80" s="183" t="n">
        <v>20</v>
      </c>
      <c r="T80" s="189" t="inlineStr">
        <is>
          <t>C</t>
        </is>
      </c>
      <c r="U80" s="183" t="inlineStr">
        <is>
          <t>Regional general medical equipment dealer with hospital and clinic accounts; candidate sub dealer under a national MAH partner.</t>
        </is>
      </c>
      <c r="V80" s="183" t="inlineStr">
        <is>
          <t>Introduce CHISON as a future line through a national MAH partner; ask about their hospital and clinic coverage, service engineers and openness to non Japanese brands.</t>
        </is>
      </c>
      <c r="W80" s="183" t="inlineStr">
        <is>
          <t>N (not identified)</t>
        </is>
      </c>
      <c r="X80" s="186" t="inlineStr">
        <is>
          <t>https://baseconnect.in/companies/prefecture/31ffefed-1183-4eba-a6d9-4182a6136e50/keyword/89941b4e-2dd1-4848-8957-48af280a31e0</t>
        </is>
      </c>
      <c r="Y80" s="183" t="inlineStr">
        <is>
          <t>SonoEye P3 plus SonoAir 30 for GP and clinic accounts</t>
        </is>
      </c>
      <c r="Z80" s="183" t="inlineStr">
        <is>
          <t>2, 2, 3, 4, 4, 2, 3</t>
        </is>
      </c>
      <c r="AA80" s="183" t="inlineStr">
        <is>
          <t>Not found</t>
        </is>
      </c>
      <c r="AB80" s="183" t="inlineStr">
        <is>
          <t>Directory or search listing; not opened (direct site access blocked)</t>
        </is>
      </c>
      <c r="AC80" s="183" t="inlineStr">
        <is>
          <t>No expired licence or ended distribution agreement found</t>
        </is>
      </c>
      <c r="AD80" s="183" t="inlineStr">
        <is>
          <t>Not started</t>
        </is>
      </c>
      <c r="AE80" s="183" t="inlineStr"/>
      <c r="AF80" s="183" t="inlineStr"/>
      <c r="AG80" s="183" t="inlineStr">
        <is>
          <t>No email published and no verified website found</t>
        </is>
      </c>
    </row>
    <row r="81">
      <c r="A81" s="183" t="n">
        <v>77</v>
      </c>
      <c r="B81" s="183" t="inlineStr">
        <is>
          <t>CTM</t>
        </is>
      </c>
      <c r="C81" s="183" t="inlineStr">
        <is>
          <t>CTM</t>
        </is>
      </c>
      <c r="D81" s="183" t="inlineStr">
        <is>
          <t>Not retrieved (NTA lookup blocked in this session)</t>
        </is>
      </c>
      <c r="E81" s="183" t="inlineStr">
        <is>
          <t>愛知県</t>
        </is>
      </c>
      <c r="F81" s="183" t="inlineStr">
        <is>
          <t>Chubu</t>
        </is>
      </c>
      <c r="G81" s="183" t="inlineStr">
        <is>
          <t>https://c-t-m.co.jp/</t>
        </is>
      </c>
      <c r="H81" s="183" t="inlineStr">
        <is>
          <t>No MAH found; device sales licence (高度管理医療機器等販売業) not confirmed</t>
        </is>
      </c>
      <c r="I81" s="183" t="inlineStr">
        <is>
          <t>Not identified in published sources</t>
        </is>
      </c>
      <c r="J81" s="183" t="inlineStr">
        <is>
          <t>Clinics and GP (開業医)</t>
        </is>
      </c>
      <c r="K81" s="183" t="inlineStr">
        <is>
          <t>愛知県 (regional; branch network not confirmed)</t>
        </is>
      </c>
      <c r="L81" s="183" t="inlineStr">
        <is>
          <t>Not found</t>
        </is>
      </c>
      <c r="M81" s="183" t="inlineStr">
        <is>
          <t>Not identified</t>
        </is>
      </c>
      <c r="N81" s="183" t="inlineStr">
        <is>
          <t>Not identified</t>
        </is>
      </c>
      <c r="O81" s="183" t="inlineStr">
        <is>
          <t>Not published; use contact form</t>
        </is>
      </c>
      <c r="P81" s="183" t="inlineStr">
        <is>
          <t>Not confirmed</t>
        </is>
      </c>
      <c r="Q81" s="183" t="inlineStr">
        <is>
          <t>Not identified</t>
        </is>
      </c>
      <c r="R81" s="184" t="inlineStr">
        <is>
          <t>Likely</t>
        </is>
      </c>
      <c r="S81" s="183" t="n">
        <v>20</v>
      </c>
      <c r="T81" s="189" t="inlineStr">
        <is>
          <t>C</t>
        </is>
      </c>
      <c r="U81" s="183" t="inlineStr">
        <is>
          <t>Clinic opening and GP coverage; can bundle a portable ultrasound into new 開業医 packages as a sub dealer.</t>
        </is>
      </c>
      <c r="V81" s="183" t="inlineStr">
        <is>
          <t>Ask whether they bundle ultrasound into clinic opening packages and which brand they use today; propose a sub dealer role once a Japanese MAH is in place.</t>
        </is>
      </c>
      <c r="W81" s="183" t="inlineStr">
        <is>
          <t>N (not identified)</t>
        </is>
      </c>
      <c r="X81" s="186" t="inlineStr">
        <is>
          <t>https://baseconnect.in/companies/prefecture/60622468-79bd-4eef-86f8-cb69d1ef09f0/category/b2358a1c-c4c6-46f4-a0b1-dee3a1b30a0b</t>
        </is>
      </c>
      <c r="Y81" s="183" t="inlineStr">
        <is>
          <t>SonoAir 30 plus SonoEye P3 as a clinic opening package</t>
        </is>
      </c>
      <c r="Z81" s="183" t="inlineStr">
        <is>
          <t>2, 2, 3, 5, 3, 2, 3</t>
        </is>
      </c>
      <c r="AA81" s="183" t="inlineStr">
        <is>
          <t>Not found</t>
        </is>
      </c>
      <c r="AB81" s="183" t="inlineStr">
        <is>
          <t>Directory or search listing; not opened (direct site access blocked)</t>
        </is>
      </c>
      <c r="AC81" s="183" t="inlineStr">
        <is>
          <t>No expired licence or ended distribution agreement found</t>
        </is>
      </c>
      <c r="AD81" s="183" t="inlineStr">
        <is>
          <t>Not started</t>
        </is>
      </c>
      <c r="AE81" s="183" t="inlineStr"/>
      <c r="AF81" s="183" t="inlineStr">
        <is>
          <t>https://c-t-m.co.jp/contact</t>
        </is>
      </c>
      <c r="AG81" s="183" t="inlineStr">
        <is>
          <t>No email published; use the contact form (link in Email source)</t>
        </is>
      </c>
    </row>
    <row r="82">
      <c r="A82" s="183" t="n">
        <v>78</v>
      </c>
      <c r="B82" s="183" t="inlineStr">
        <is>
          <t>Comfy Life Medical</t>
        </is>
      </c>
      <c r="C82" s="183" t="inlineStr">
        <is>
          <t>コンフィライフメディカル</t>
        </is>
      </c>
      <c r="D82" s="183" t="inlineStr">
        <is>
          <t>Not retrieved (NTA lookup blocked in this session)</t>
        </is>
      </c>
      <c r="E82" s="183" t="inlineStr">
        <is>
          <t>愛知県</t>
        </is>
      </c>
      <c r="F82" s="183" t="inlineStr">
        <is>
          <t>Chubu</t>
        </is>
      </c>
      <c r="G82" s="183" t="inlineStr">
        <is>
          <t>https://www.confilife.co.jp/</t>
        </is>
      </c>
      <c r="H82" s="183" t="inlineStr">
        <is>
          <t>No MAH found; device sales licence (高度管理医療機器等販売業) not confirmed</t>
        </is>
      </c>
      <c r="I82" s="183" t="inlineStr">
        <is>
          <t>Not identified in published sources</t>
        </is>
      </c>
      <c r="J82" s="183" t="inlineStr">
        <is>
          <t>Clinics and GP (開業医), Hospitals</t>
        </is>
      </c>
      <c r="K82" s="183" t="inlineStr">
        <is>
          <t>愛知県 (regional; branch network not confirmed)</t>
        </is>
      </c>
      <c r="L82" s="183" t="inlineStr">
        <is>
          <t>Not found</t>
        </is>
      </c>
      <c r="M82" s="183" t="inlineStr">
        <is>
          <t>Not identified</t>
        </is>
      </c>
      <c r="N82" s="183" t="inlineStr">
        <is>
          <t>Not identified</t>
        </is>
      </c>
      <c r="O82" s="183" t="inlineStr">
        <is>
          <t>Not published; use company inquiry form</t>
        </is>
      </c>
      <c r="P82" s="183" t="inlineStr">
        <is>
          <t>Not confirmed</t>
        </is>
      </c>
      <c r="Q82" s="183" t="inlineStr">
        <is>
          <t>Not identified</t>
        </is>
      </c>
      <c r="R82" s="184" t="inlineStr">
        <is>
          <t>Company inquiry only</t>
        </is>
      </c>
      <c r="S82" s="183" t="n">
        <v>20</v>
      </c>
      <c r="T82" s="189" t="inlineStr">
        <is>
          <t>C</t>
        </is>
      </c>
      <c r="U82" s="183" t="inlineStr">
        <is>
          <t>Clinic opening and GP coverage; can bundle a portable ultrasound into new 開業医 packages as a sub dealer.</t>
        </is>
      </c>
      <c r="V82" s="183" t="inlineStr">
        <is>
          <t>Ask whether they bundle ultrasound into clinic opening packages and which brand they use today; propose a sub dealer role once a Japanese MAH is in place.</t>
        </is>
      </c>
      <c r="W82" s="183" t="inlineStr">
        <is>
          <t>N (not identified)</t>
        </is>
      </c>
      <c r="X82" s="186" t="inlineStr">
        <is>
          <t>https://baseconnect.in/companies/prefecture/60622468-79bd-4eef-86f8-cb69d1ef09f0/category/b2358a1c-c4c6-46f4-a0b1-dee3a1b30a0b</t>
        </is>
      </c>
      <c r="Y82" s="183" t="inlineStr">
        <is>
          <t>SonoAir 30 plus SonoEye P3 as a clinic opening package</t>
        </is>
      </c>
      <c r="Z82" s="183" t="inlineStr">
        <is>
          <t>2, 2, 3, 5, 3, 2, 3</t>
        </is>
      </c>
      <c r="AA82" s="183" t="inlineStr">
        <is>
          <t>Not found</t>
        </is>
      </c>
      <c r="AB82" s="183" t="inlineStr">
        <is>
          <t>Directory or search listing; not opened (direct site access blocked)</t>
        </is>
      </c>
      <c r="AC82" s="183" t="inlineStr">
        <is>
          <t>No expired licence or ended distribution agreement found</t>
        </is>
      </c>
      <c r="AD82" s="183" t="inlineStr">
        <is>
          <t>Not started</t>
        </is>
      </c>
      <c r="AE82" s="183" t="inlineStr"/>
      <c r="AF82" s="183" t="inlineStr"/>
      <c r="AG82" s="183" t="inlineStr">
        <is>
          <t>No email published; website has no contact page link, phone first</t>
        </is>
      </c>
    </row>
    <row r="83">
      <c r="A83" s="183" t="n">
        <v>79</v>
      </c>
      <c r="B83" s="183" t="inlineStr">
        <is>
          <t>Hokuriku Wakita</t>
        </is>
      </c>
      <c r="C83" s="183" t="inlineStr">
        <is>
          <t>北陸ワキタ</t>
        </is>
      </c>
      <c r="D83" s="183" t="inlineStr">
        <is>
          <t>Not retrieved (NTA lookup blocked in this session)</t>
        </is>
      </c>
      <c r="E83" s="183" t="inlineStr">
        <is>
          <t>石川県</t>
        </is>
      </c>
      <c r="F83" s="183" t="inlineStr">
        <is>
          <t>Chubu</t>
        </is>
      </c>
      <c r="G83" s="183" t="inlineStr">
        <is>
          <t>https://www.kk-wakita.co.jp/</t>
        </is>
      </c>
      <c r="H83" s="183" t="inlineStr">
        <is>
          <t>No MAH found; device sales licence (高度管理医療機器等販売業) not confirmed</t>
        </is>
      </c>
      <c r="I83" s="183" t="inlineStr">
        <is>
          <t>Not identified in published sources</t>
        </is>
      </c>
      <c r="J83" s="183" t="inlineStr">
        <is>
          <t>General medical equipment (hospitals and clinics)</t>
        </is>
      </c>
      <c r="K83" s="183" t="inlineStr">
        <is>
          <t>石川県 (regional; branch network not confirmed)</t>
        </is>
      </c>
      <c r="L83" s="183" t="inlineStr">
        <is>
          <t>Not found</t>
        </is>
      </c>
      <c r="M83" s="183" t="inlineStr">
        <is>
          <t>Not identified</t>
        </is>
      </c>
      <c r="N83" s="183" t="inlineStr">
        <is>
          <t>Not identified</t>
        </is>
      </c>
      <c r="O83" s="183" t="inlineStr">
        <is>
          <t>saiyou@kk-wakita.co.jp</t>
        </is>
      </c>
      <c r="P83" s="183" t="inlineStr">
        <is>
          <t>Not confirmed</t>
        </is>
      </c>
      <c r="Q83" s="183" t="inlineStr">
        <is>
          <t>Not identified</t>
        </is>
      </c>
      <c r="R83" s="184" t="inlineStr">
        <is>
          <t>Unverified</t>
        </is>
      </c>
      <c r="S83" s="183" t="n">
        <v>20</v>
      </c>
      <c r="T83" s="189" t="inlineStr">
        <is>
          <t>C</t>
        </is>
      </c>
      <c r="U83" s="183" t="inlineStr">
        <is>
          <t>Regional general medical equipment dealer with hospital and clinic accounts; candidate sub dealer under a national MAH partner.</t>
        </is>
      </c>
      <c r="V83" s="183" t="inlineStr">
        <is>
          <t>Introduce CHISON as a future line through a national MAH partner; ask about their hospital and clinic coverage, service engineers and openness to non Japanese brands.</t>
        </is>
      </c>
      <c r="W83" s="183" t="inlineStr">
        <is>
          <t>N (not identified)</t>
        </is>
      </c>
      <c r="X83" s="186" t="inlineStr">
        <is>
          <t>https://directscout.recruit.co.jp/job_descriptions/8635481</t>
        </is>
      </c>
      <c r="Y83" s="183" t="inlineStr">
        <is>
          <t>SonoEye P3 plus SonoAir 30 for GP and clinic accounts</t>
        </is>
      </c>
      <c r="Z83" s="183" t="inlineStr">
        <is>
          <t>2, 2, 3, 3, 5, 2, 3</t>
        </is>
      </c>
      <c r="AA83" s="183" t="inlineStr">
        <is>
          <t>Not found</t>
        </is>
      </c>
      <c r="AB83" s="183" t="inlineStr">
        <is>
          <t>Directory or search listing; not opened (direct site access blocked)</t>
        </is>
      </c>
      <c r="AC83" s="183" t="inlineStr">
        <is>
          <t>Holding group overlap: Wakita group. Approach Wakita Shokai (Nagoya) first. No expired licence or ended distribution agreement found</t>
        </is>
      </c>
      <c r="AD83" s="183" t="inlineStr">
        <is>
          <t>Not started</t>
        </is>
      </c>
      <c r="AE83" s="183" t="inlineStr"/>
      <c r="AF83" s="183" t="inlineStr">
        <is>
          <t>https://job.mynavi.jp/27/pc/search/corp286442/recruiting_course27010739/recruiting_course.html?func=corpinfo</t>
        </is>
      </c>
      <c r="AG83" s="183" t="inlineStr">
        <is>
          <t>Likely: indexed on company domain; HR or recruitment inbox, ask to forward to sales</t>
        </is>
      </c>
    </row>
    <row r="84">
      <c r="A84" s="183" t="n">
        <v>80</v>
      </c>
      <c r="B84" s="183" t="inlineStr">
        <is>
          <t>Central Medical</t>
        </is>
      </c>
      <c r="C84" s="183" t="inlineStr">
        <is>
          <t>セントラルメディカル</t>
        </is>
      </c>
      <c r="D84" s="183" t="inlineStr">
        <is>
          <t>Not retrieved (NTA lookup blocked in this session)</t>
        </is>
      </c>
      <c r="E84" s="183" t="inlineStr">
        <is>
          <t>石川県</t>
        </is>
      </c>
      <c r="F84" s="183" t="inlineStr">
        <is>
          <t>Chubu</t>
        </is>
      </c>
      <c r="G84" s="183" t="inlineStr">
        <is>
          <t>https://www.centralmedical.co.jp/</t>
        </is>
      </c>
      <c r="H84" s="183" t="inlineStr">
        <is>
          <t>No MAH found; device sales licence (高度管理医療機器等販売業) not confirmed</t>
        </is>
      </c>
      <c r="I84" s="183" t="inlineStr">
        <is>
          <t>Not identified in published sources</t>
        </is>
      </c>
      <c r="J84" s="183" t="inlineStr">
        <is>
          <t>General medical equipment (hospitals and clinics)</t>
        </is>
      </c>
      <c r="K84" s="183" t="inlineStr">
        <is>
          <t>石川県; Hokuriku</t>
        </is>
      </c>
      <c r="L84" s="183" t="inlineStr">
        <is>
          <t>Not found</t>
        </is>
      </c>
      <c r="M84" s="183" t="inlineStr">
        <is>
          <t>Not identified</t>
        </is>
      </c>
      <c r="N84" s="183" t="inlineStr">
        <is>
          <t>Not identified</t>
        </is>
      </c>
      <c r="O84" s="183" t="inlineStr">
        <is>
          <t>soumu@centralmedical.co.jp</t>
        </is>
      </c>
      <c r="P84" s="183" t="inlineStr">
        <is>
          <t>Not confirmed</t>
        </is>
      </c>
      <c r="Q84" s="183" t="inlineStr">
        <is>
          <t>Not identified</t>
        </is>
      </c>
      <c r="R84" s="184" t="inlineStr">
        <is>
          <t>Unverified</t>
        </is>
      </c>
      <c r="S84" s="183" t="n">
        <v>20</v>
      </c>
      <c r="T84" s="189" t="inlineStr">
        <is>
          <t>C</t>
        </is>
      </c>
      <c r="U84" s="183" t="inlineStr">
        <is>
          <t>Regional general medical equipment dealer with hospital and clinic accounts; candidate sub dealer under a national MAH partner.</t>
        </is>
      </c>
      <c r="V84" s="183" t="inlineStr">
        <is>
          <t>Introduce CHISON as a future line through a national MAH partner; ask about their hospital and clinic coverage, service engineers and openness to non Japanese brands.</t>
        </is>
      </c>
      <c r="W84" s="183" t="inlineStr">
        <is>
          <t>N (not identified)</t>
        </is>
      </c>
      <c r="X84" s="186" t="inlineStr">
        <is>
          <t>https://directscout.recruit.co.jp/job_descriptions/6783118</t>
        </is>
      </c>
      <c r="Y84" s="183" t="inlineStr">
        <is>
          <t>SonoEye P3 plus SonoAir 30 for GP and clinic accounts</t>
        </is>
      </c>
      <c r="Z84" s="183" t="inlineStr">
        <is>
          <t>2, 2, 3, 4, 4, 2, 3</t>
        </is>
      </c>
      <c r="AA84" s="183" t="inlineStr">
        <is>
          <t>Not found</t>
        </is>
      </c>
      <c r="AB84" s="183" t="inlineStr">
        <is>
          <t>Recheck: no independent confirmation found; directory listing only</t>
        </is>
      </c>
      <c r="AC84" s="183" t="inlineStr">
        <is>
          <t>No expired licence or ended distribution agreement found</t>
        </is>
      </c>
      <c r="AD84" s="183" t="inlineStr">
        <is>
          <t>Not started</t>
        </is>
      </c>
      <c r="AE84" s="183" t="inlineStr"/>
      <c r="AF84" s="183" t="inlineStr">
        <is>
          <t>https://www.jmp.co.jp/company/branch/hokushinetsu/medinabibooks/pageindices/index37.html</t>
        </is>
      </c>
      <c r="AG84" s="183" t="inlineStr">
        <is>
          <t>Likely: indexed on company domain</t>
        </is>
      </c>
    </row>
    <row r="85">
      <c r="A85" s="183" t="n">
        <v>81</v>
      </c>
      <c r="B85" s="183" t="inlineStr">
        <is>
          <t>Komura</t>
        </is>
      </c>
      <c r="C85" s="183" t="inlineStr">
        <is>
          <t>コムラ</t>
        </is>
      </c>
      <c r="D85" s="183" t="inlineStr">
        <is>
          <t>Not retrieved (NTA lookup blocked in this session)</t>
        </is>
      </c>
      <c r="E85" s="183" t="inlineStr">
        <is>
          <t>石川県</t>
        </is>
      </c>
      <c r="F85" s="183" t="inlineStr">
        <is>
          <t>Chubu</t>
        </is>
      </c>
      <c r="G85" s="183" t="inlineStr">
        <is>
          <t>https://www.me-komura.com/</t>
        </is>
      </c>
      <c r="H85" s="183" t="inlineStr">
        <is>
          <t>No MAH found; device sales licence (高度管理医療機器等販売業) not confirmed</t>
        </is>
      </c>
      <c r="I85" s="183" t="inlineStr">
        <is>
          <t>Not identified in published sources</t>
        </is>
      </c>
      <c r="J85" s="183" t="inlineStr">
        <is>
          <t>Orthopaedics and rehab, Clinics and GP (開業医), Hospitals</t>
        </is>
      </c>
      <c r="K85" s="183" t="inlineStr">
        <is>
          <t>石川県 (regional; branch network not confirmed)</t>
        </is>
      </c>
      <c r="L85" s="183" t="inlineStr">
        <is>
          <t>Not found</t>
        </is>
      </c>
      <c r="M85" s="183" t="inlineStr">
        <is>
          <t>Not identified</t>
        </is>
      </c>
      <c r="N85" s="183" t="inlineStr">
        <is>
          <t>Not identified</t>
        </is>
      </c>
      <c r="O85" s="183" t="inlineStr">
        <is>
          <t>Not published; use contact form</t>
        </is>
      </c>
      <c r="P85" s="183" t="inlineStr">
        <is>
          <t>Not confirmed</t>
        </is>
      </c>
      <c r="Q85" s="183" t="inlineStr">
        <is>
          <t>Not identified</t>
        </is>
      </c>
      <c r="R85" s="184" t="inlineStr">
        <is>
          <t>Likely</t>
        </is>
      </c>
      <c r="S85" s="183" t="n">
        <v>20</v>
      </c>
      <c r="T85" s="189" t="inlineStr">
        <is>
          <t>C</t>
        </is>
      </c>
      <c r="U85" s="183" t="inlineStr">
        <is>
          <t>Clinic opening and GP coverage; can bundle a portable ultrasound into new 開業医 packages as a sub dealer.</t>
        </is>
      </c>
      <c r="V85" s="183" t="inlineStr">
        <is>
          <t>Ask whether they bundle ultrasound into clinic opening packages and which brand they use today; propose a sub dealer role once a Japanese MAH is in place.</t>
        </is>
      </c>
      <c r="W85" s="183" t="inlineStr">
        <is>
          <t>N (not identified)</t>
        </is>
      </c>
      <c r="X85" s="186" t="inlineStr">
        <is>
          <t>https://compalyze.co.jp/company/8220001007064 (reconfirm page)</t>
        </is>
      </c>
      <c r="Y85" s="183" t="inlineStr">
        <is>
          <t>SonoEye P5 high frequency linear for MSK and sports medicine</t>
        </is>
      </c>
      <c r="Z85" s="183" t="inlineStr">
        <is>
          <t>2, 2, 3, 5, 3, 2, 3</t>
        </is>
      </c>
      <c r="AA85" s="183" t="inlineStr">
        <is>
          <t>Not found</t>
        </is>
      </c>
      <c r="AB85" s="183" t="inlineStr">
        <is>
          <t>Directory or search listing; not opened (direct site access blocked)</t>
        </is>
      </c>
      <c r="AC85" s="183" t="inlineStr">
        <is>
          <t>No expired licence or ended distribution agreement found</t>
        </is>
      </c>
      <c r="AD85" s="183" t="inlineStr">
        <is>
          <t>Not started</t>
        </is>
      </c>
      <c r="AE85" s="183" t="inlineStr"/>
      <c r="AF85" s="183" t="inlineStr">
        <is>
          <t>https://www.me-komura.com/contact.html</t>
        </is>
      </c>
      <c r="AG85" s="183" t="inlineStr">
        <is>
          <t>No email published; use the contact form (link in Email source)</t>
        </is>
      </c>
    </row>
    <row r="86">
      <c r="A86" s="183" t="n">
        <v>82</v>
      </c>
      <c r="B86" s="183" t="inlineStr">
        <is>
          <t>Koyo Medical</t>
        </is>
      </c>
      <c r="C86" s="183" t="inlineStr">
        <is>
          <t>コーヨーメディカル</t>
        </is>
      </c>
      <c r="D86" s="183" t="inlineStr">
        <is>
          <t>Not retrieved (NTA lookup blocked in this session)</t>
        </is>
      </c>
      <c r="E86" s="183" t="inlineStr">
        <is>
          <t>静岡県</t>
        </is>
      </c>
      <c r="F86" s="183" t="inlineStr">
        <is>
          <t>Chubu</t>
        </is>
      </c>
      <c r="G86" s="183" t="inlineStr">
        <is>
          <t>https://www.grankoyo.co.jp/</t>
        </is>
      </c>
      <c r="H86" s="183" t="inlineStr">
        <is>
          <t>No MAH found; device sales licence (高度管理医療機器等販売業) not confirmed</t>
        </is>
      </c>
      <c r="I86" s="183" t="inlineStr">
        <is>
          <t>Not identified in published sources</t>
        </is>
      </c>
      <c r="J86" s="183" t="inlineStr">
        <is>
          <t>Clinics and GP (開業医), Hospitals</t>
        </is>
      </c>
      <c r="K86" s="183" t="inlineStr">
        <is>
          <t>静岡県 (regional; branch network not confirmed)</t>
        </is>
      </c>
      <c r="L86" s="183" t="inlineStr">
        <is>
          <t>Not found</t>
        </is>
      </c>
      <c r="M86" s="183" t="inlineStr">
        <is>
          <t>Not identified</t>
        </is>
      </c>
      <c r="N86" s="183" t="inlineStr">
        <is>
          <t>Not identified</t>
        </is>
      </c>
      <c r="O86" s="183" t="inlineStr">
        <is>
          <t>Not published; use contact form</t>
        </is>
      </c>
      <c r="P86" s="183" t="inlineStr">
        <is>
          <t>Not confirmed</t>
        </is>
      </c>
      <c r="Q86" s="183" t="inlineStr">
        <is>
          <t>Not identified</t>
        </is>
      </c>
      <c r="R86" s="184" t="inlineStr">
        <is>
          <t>Likely</t>
        </is>
      </c>
      <c r="S86" s="183" t="n">
        <v>20</v>
      </c>
      <c r="T86" s="189" t="inlineStr">
        <is>
          <t>C</t>
        </is>
      </c>
      <c r="U86" s="183" t="inlineStr">
        <is>
          <t>Clinic opening and GP coverage; can bundle a portable ultrasound into new 開業医 packages as a sub dealer.</t>
        </is>
      </c>
      <c r="V86" s="183" t="inlineStr">
        <is>
          <t>Ask whether they bundle ultrasound into clinic opening packages and which brand they use today; propose a sub dealer role once a Japanese MAH is in place.</t>
        </is>
      </c>
      <c r="W86" s="183" t="inlineStr">
        <is>
          <t>N (not identified)</t>
        </is>
      </c>
      <c r="X86" s="186" t="inlineStr">
        <is>
          <t>https://baseconnect.in/companies/prefecture/ce8171a3-9c3a-4158-b1ce-74bbb8bad1e4/keyword/bacc2d48-54d0-4e67-94c7-df7c3cb3a34e</t>
        </is>
      </c>
      <c r="Y86" s="183" t="inlineStr">
        <is>
          <t>SonoAir 30 plus SonoEye P3 as a clinic opening package</t>
        </is>
      </c>
      <c r="Z86" s="183" t="inlineStr">
        <is>
          <t>2, 2, 3, 5, 3, 2, 3</t>
        </is>
      </c>
      <c r="AA86" s="183" t="inlineStr">
        <is>
          <t>Not found</t>
        </is>
      </c>
      <c r="AB86" s="183" t="inlineStr">
        <is>
          <t>Directory or search listing; not opened (direct site access blocked)</t>
        </is>
      </c>
      <c r="AC86" s="183" t="inlineStr">
        <is>
          <t>No expired licence or ended distribution agreement found</t>
        </is>
      </c>
      <c r="AD86" s="183" t="inlineStr">
        <is>
          <t>Not started</t>
        </is>
      </c>
      <c r="AE86" s="183" t="inlineStr"/>
      <c r="AF86" s="183" t="inlineStr">
        <is>
          <t>https://www.grankoyo.co.jp/form/grankoyo/contact</t>
        </is>
      </c>
      <c r="AG86" s="183" t="inlineStr">
        <is>
          <t>No email published; use the contact form (link in Email source)</t>
        </is>
      </c>
    </row>
    <row r="87">
      <c r="A87" s="183" t="n">
        <v>83</v>
      </c>
      <c r="B87" s="183" t="inlineStr">
        <is>
          <t>Kumamoto Medico</t>
        </is>
      </c>
      <c r="C87" s="183" t="inlineStr">
        <is>
          <t>熊本メディコ</t>
        </is>
      </c>
      <c r="D87" s="183" t="inlineStr">
        <is>
          <t>Not retrieved (NTA lookup blocked in this session)</t>
        </is>
      </c>
      <c r="E87" s="183" t="inlineStr">
        <is>
          <t>熊本県</t>
        </is>
      </c>
      <c r="F87" s="183" t="inlineStr">
        <is>
          <t>Kyushu and Okinawa</t>
        </is>
      </c>
      <c r="G87" s="183" t="inlineStr">
        <is>
          <t>https://kumamoto-medico.jp/</t>
        </is>
      </c>
      <c r="H87" s="183" t="inlineStr">
        <is>
          <t>No MAH found; device sales licence (高度管理医療機器等販売業) not confirmed</t>
        </is>
      </c>
      <c r="I87" s="183" t="inlineStr">
        <is>
          <t>Not identified in published sources</t>
        </is>
      </c>
      <c r="J87" s="183" t="inlineStr">
        <is>
          <t>General medical equipment (hospitals and clinics)</t>
        </is>
      </c>
      <c r="K87" s="183" t="inlineStr">
        <is>
          <t>熊本県 (regional; branch network not confirmed)</t>
        </is>
      </c>
      <c r="L87" s="183" t="inlineStr">
        <is>
          <t>Not found</t>
        </is>
      </c>
      <c r="M87" s="183" t="inlineStr">
        <is>
          <t>Not identified</t>
        </is>
      </c>
      <c r="N87" s="183" t="inlineStr">
        <is>
          <t>Not identified</t>
        </is>
      </c>
      <c r="O87" s="183" t="inlineStr">
        <is>
          <t>info@kumamoto-medico.jp</t>
        </is>
      </c>
      <c r="P87" s="183" t="inlineStr">
        <is>
          <t>Not confirmed</t>
        </is>
      </c>
      <c r="Q87" s="183" t="inlineStr">
        <is>
          <t>Not identified</t>
        </is>
      </c>
      <c r="R87" s="184" t="inlineStr">
        <is>
          <t>Unverified</t>
        </is>
      </c>
      <c r="S87" s="183" t="n">
        <v>20</v>
      </c>
      <c r="T87" s="189" t="inlineStr">
        <is>
          <t>C</t>
        </is>
      </c>
      <c r="U87" s="183" t="inlineStr">
        <is>
          <t>Regional general medical equipment dealer with hospital and clinic accounts; candidate sub dealer under a national MAH partner.</t>
        </is>
      </c>
      <c r="V87" s="183" t="inlineStr">
        <is>
          <t>Introduce CHISON as a future line through a national MAH partner; ask about their hospital and clinic coverage, service engineers and openness to non Japanese brands.</t>
        </is>
      </c>
      <c r="W87" s="183" t="inlineStr">
        <is>
          <t>N (not identified)</t>
        </is>
      </c>
      <c r="X87" s="186" t="inlineStr">
        <is>
          <t>https://salesnow.jp/db/companies/jcbhy5av98p6vedf</t>
        </is>
      </c>
      <c r="Y87" s="183" t="inlineStr">
        <is>
          <t>SonoEye P3 plus SonoAir 30 for GP and clinic accounts</t>
        </is>
      </c>
      <c r="Z87" s="183" t="inlineStr">
        <is>
          <t>2, 2, 3, 3, 3, 4, 3</t>
        </is>
      </c>
      <c r="AA87" s="183" t="inlineStr">
        <is>
          <t>Not found</t>
        </is>
      </c>
      <c r="AB87" s="183" t="inlineStr">
        <is>
          <t>Directory or search listing; not opened (direct site access blocked)</t>
        </is>
      </c>
      <c r="AC87" s="183" t="inlineStr">
        <is>
          <t>No expired licence or ended distribution agreement found</t>
        </is>
      </c>
      <c r="AD87" s="183" t="inlineStr">
        <is>
          <t>Not started</t>
        </is>
      </c>
      <c r="AE87" s="183" t="inlineStr"/>
      <c r="AF87" s="183" t="inlineStr">
        <is>
          <t>https://kumamoto-medico.jp/news.html</t>
        </is>
      </c>
      <c r="AG87" s="183" t="inlineStr">
        <is>
          <t>Verified: published on company website</t>
        </is>
      </c>
    </row>
    <row r="88">
      <c r="A88" s="183" t="n">
        <v>84</v>
      </c>
      <c r="B88" s="183" t="inlineStr">
        <is>
          <t>SMC (Hokkaido)</t>
        </is>
      </c>
      <c r="C88" s="183" t="inlineStr">
        <is>
          <t>SMC</t>
        </is>
      </c>
      <c r="D88" s="183" t="inlineStr">
        <is>
          <t>Not retrieved (NTA lookup blocked in this session)</t>
        </is>
      </c>
      <c r="E88" s="183" t="inlineStr">
        <is>
          <t>北海道</t>
        </is>
      </c>
      <c r="F88" s="183" t="inlineStr">
        <is>
          <t>Tohoku and Hokkaido</t>
        </is>
      </c>
      <c r="G88" s="183" t="inlineStr">
        <is>
          <t>https://ksmc.jp/</t>
        </is>
      </c>
      <c r="H88" s="183" t="inlineStr">
        <is>
          <t>No MAH found; device sales licence (高度管理医療機器等販売業) not confirmed</t>
        </is>
      </c>
      <c r="I88" s="183" t="inlineStr">
        <is>
          <t>Not identified in published sources</t>
        </is>
      </c>
      <c r="J88" s="183" t="inlineStr">
        <is>
          <t>General medical equipment (hospitals and clinics)</t>
        </is>
      </c>
      <c r="K88" s="183" t="inlineStr">
        <is>
          <t>北海道; Hokkaido + Tohoku</t>
        </is>
      </c>
      <c r="L88" s="183" t="inlineStr">
        <is>
          <t>Not found</t>
        </is>
      </c>
      <c r="M88" s="183" t="inlineStr">
        <is>
          <t>Not identified</t>
        </is>
      </c>
      <c r="N88" s="183" t="inlineStr">
        <is>
          <t>Not identified</t>
        </is>
      </c>
      <c r="O88" s="183" t="inlineStr">
        <is>
          <t>y-saitoh@ksmc.jp</t>
        </is>
      </c>
      <c r="P88" s="183" t="inlineStr">
        <is>
          <t>Not confirmed</t>
        </is>
      </c>
      <c r="Q88" s="183" t="inlineStr">
        <is>
          <t>Not identified</t>
        </is>
      </c>
      <c r="R88" s="184" t="inlineStr">
        <is>
          <t>Unverified</t>
        </is>
      </c>
      <c r="S88" s="183" t="n">
        <v>20</v>
      </c>
      <c r="T88" s="189" t="inlineStr">
        <is>
          <t>C</t>
        </is>
      </c>
      <c r="U88" s="183" t="inlineStr">
        <is>
          <t>Regional general medical equipment dealer with hospital and clinic accounts; candidate sub dealer under a national MAH partner.</t>
        </is>
      </c>
      <c r="V88" s="183" t="inlineStr">
        <is>
          <t>Introduce CHISON as a future line through a national MAH partner; ask about their hospital and clinic coverage, service engineers and openness to non Japanese brands.</t>
        </is>
      </c>
      <c r="W88" s="183" t="inlineStr">
        <is>
          <t>N (not identified)</t>
        </is>
      </c>
      <c r="X88" s="186" t="inlineStr">
        <is>
          <t>https://directscout.recruit.co.jp/job_descriptions/6579004</t>
        </is>
      </c>
      <c r="Y88" s="183" t="inlineStr">
        <is>
          <t>SonoEye P3 plus SonoAir 30 for GP and clinic accounts</t>
        </is>
      </c>
      <c r="Z88" s="183" t="inlineStr">
        <is>
          <t>2, 2, 3, 2, 4, 4, 3</t>
        </is>
      </c>
      <c r="AA88" s="183" t="inlineStr">
        <is>
          <t>Not found</t>
        </is>
      </c>
      <c r="AB88" s="183" t="inlineStr">
        <is>
          <t>Directory or search listing; not opened (direct site access blocked)</t>
        </is>
      </c>
      <c r="AC88" s="183" t="inlineStr">
        <is>
          <t>No expired licence or ended distribution agreement found</t>
        </is>
      </c>
      <c r="AD88" s="183" t="inlineStr">
        <is>
          <t>Not started</t>
        </is>
      </c>
      <c r="AE88" s="183" t="inlineStr"/>
      <c r="AF88" s="183" t="inlineStr">
        <is>
          <t>https://kitamiworks.info/company/detail?company_id=204&amp;url=https%3A%2F%2Fkitamiworks.info%2Fsearch%2FsearchByname%3Fp%3D2</t>
        </is>
      </c>
      <c r="AG88" s="183" t="inlineStr">
        <is>
          <t>Likely: indexed on company domain</t>
        </is>
      </c>
    </row>
    <row r="89">
      <c r="A89" s="183" t="n">
        <v>85</v>
      </c>
      <c r="B89" s="183" t="inlineStr">
        <is>
          <t>Sanou</t>
        </is>
      </c>
      <c r="C89" s="183" t="inlineStr">
        <is>
          <t>三櫻</t>
        </is>
      </c>
      <c r="D89" s="183" t="inlineStr">
        <is>
          <t>Not retrieved (NTA lookup blocked in this session)</t>
        </is>
      </c>
      <c r="E89" s="183" t="inlineStr">
        <is>
          <t>岩手県</t>
        </is>
      </c>
      <c r="F89" s="183" t="inlineStr">
        <is>
          <t>Tohoku and Hokkaido</t>
        </is>
      </c>
      <c r="G89" s="183" t="inlineStr">
        <is>
          <t>https://san-ou.co.jp/</t>
        </is>
      </c>
      <c r="H89" s="183" t="inlineStr">
        <is>
          <t>No MAH found; device sales licence (高度管理医療機器等販売業) not confirmed</t>
        </is>
      </c>
      <c r="I89" s="183" t="inlineStr">
        <is>
          <t>Not identified in published sources</t>
        </is>
      </c>
      <c r="J89" s="183" t="inlineStr">
        <is>
          <t>General medical equipment (hospitals and clinics)</t>
        </is>
      </c>
      <c r="K89" s="183" t="inlineStr">
        <is>
          <t>岩手県 (regional; branch network not confirmed)</t>
        </is>
      </c>
      <c r="L89" s="183" t="inlineStr">
        <is>
          <t>Not found</t>
        </is>
      </c>
      <c r="M89" s="183" t="inlineStr">
        <is>
          <t>Not identified</t>
        </is>
      </c>
      <c r="N89" s="183" t="inlineStr">
        <is>
          <t>Not identified</t>
        </is>
      </c>
      <c r="O89" s="183" t="inlineStr">
        <is>
          <t>akita@san-ou.co.jp</t>
        </is>
      </c>
      <c r="P89" s="183" t="inlineStr">
        <is>
          <t>Not confirmed</t>
        </is>
      </c>
      <c r="Q89" s="183" t="inlineStr">
        <is>
          <t>Not identified</t>
        </is>
      </c>
      <c r="R89" s="184" t="inlineStr">
        <is>
          <t>Unverified</t>
        </is>
      </c>
      <c r="S89" s="183" t="n">
        <v>20</v>
      </c>
      <c r="T89" s="189" t="inlineStr">
        <is>
          <t>C</t>
        </is>
      </c>
      <c r="U89" s="183" t="inlineStr">
        <is>
          <t>Regional general medical equipment dealer with hospital and clinic accounts; candidate sub dealer under a national MAH partner.</t>
        </is>
      </c>
      <c r="V89" s="183" t="inlineStr">
        <is>
          <t>Introduce CHISON as a future line through a national MAH partner; ask about their hospital and clinic coverage, service engineers and openness to non Japanese brands.</t>
        </is>
      </c>
      <c r="W89" s="183" t="inlineStr">
        <is>
          <t>N (not identified)</t>
        </is>
      </c>
      <c r="X89" s="186" t="inlineStr">
        <is>
          <t>https://baseconnect.in/companies/prefecture/7e20a5b4-424c-4931-8b3e-970bc0da0dce/keyword/a68873de-8c54-4a2c-820f-e04c8b93064c</t>
        </is>
      </c>
      <c r="Y89" s="183" t="inlineStr">
        <is>
          <t>SonoEye P3 plus SonoAir 30 for GP and clinic accounts</t>
        </is>
      </c>
      <c r="Z89" s="183" t="inlineStr">
        <is>
          <t>2, 2, 3, 3, 3, 4, 3</t>
        </is>
      </c>
      <c r="AA89" s="183" t="inlineStr">
        <is>
          <t>Not found</t>
        </is>
      </c>
      <c r="AB89" s="183" t="inlineStr">
        <is>
          <t>Directory or search listing; not opened (direct site access blocked)</t>
        </is>
      </c>
      <c r="AC89" s="183" t="inlineStr">
        <is>
          <t>No expired licence or ended distribution agreement found</t>
        </is>
      </c>
      <c r="AD89" s="183" t="inlineStr">
        <is>
          <t>Not started</t>
        </is>
      </c>
      <c r="AE89" s="183" t="inlineStr">
        <is>
          <t>morioka@san-ou.co.jp</t>
        </is>
      </c>
      <c r="AF89" s="183" t="inlineStr">
        <is>
          <t>https://san-ou.co.jp/company/</t>
        </is>
      </c>
      <c r="AG89" s="183" t="inlineStr">
        <is>
          <t>Verified: published on company website</t>
        </is>
      </c>
    </row>
    <row r="90">
      <c r="A90" s="183" t="n">
        <v>86</v>
      </c>
      <c r="B90" s="183" t="inlineStr">
        <is>
          <t>Sansei Iki</t>
        </is>
      </c>
      <c r="C90" s="183" t="inlineStr">
        <is>
          <t>サンセイ医機</t>
        </is>
      </c>
      <c r="D90" s="183" t="inlineStr">
        <is>
          <t>Not retrieved (NTA lookup blocked in this session)</t>
        </is>
      </c>
      <c r="E90" s="183" t="inlineStr">
        <is>
          <t>福島県</t>
        </is>
      </c>
      <c r="F90" s="183" t="inlineStr">
        <is>
          <t>Tohoku and Hokkaido</t>
        </is>
      </c>
      <c r="G90" s="183" t="inlineStr">
        <is>
          <t>https://www.sansei-iki.co.jp/</t>
        </is>
      </c>
      <c r="H90" s="183" t="inlineStr">
        <is>
          <t>No MAH found; device sales licence (高度管理医療機器等販売業) not confirmed</t>
        </is>
      </c>
      <c r="I90" s="183" t="inlineStr">
        <is>
          <t>Not identified in published sources</t>
        </is>
      </c>
      <c r="J90" s="183" t="inlineStr">
        <is>
          <t>General medical equipment (hospitals and clinics)</t>
        </is>
      </c>
      <c r="K90" s="183" t="inlineStr">
        <is>
          <t>福島県 (regional; branch network not confirmed)</t>
        </is>
      </c>
      <c r="L90" s="183" t="inlineStr">
        <is>
          <t>Not found</t>
        </is>
      </c>
      <c r="M90" s="183" t="inlineStr">
        <is>
          <t>Not identified</t>
        </is>
      </c>
      <c r="N90" s="183" t="inlineStr">
        <is>
          <t>Not identified</t>
        </is>
      </c>
      <c r="O90" s="183" t="inlineStr">
        <is>
          <t>main@sansei-iki.co.jp</t>
        </is>
      </c>
      <c r="P90" s="183" t="inlineStr">
        <is>
          <t>Not confirmed</t>
        </is>
      </c>
      <c r="Q90" s="183" t="inlineStr">
        <is>
          <t>Not identified</t>
        </is>
      </c>
      <c r="R90" s="184" t="inlineStr">
        <is>
          <t>Unverified</t>
        </is>
      </c>
      <c r="S90" s="183" t="n">
        <v>20</v>
      </c>
      <c r="T90" s="189" t="inlineStr">
        <is>
          <t>C</t>
        </is>
      </c>
      <c r="U90" s="183" t="inlineStr">
        <is>
          <t>Regional general medical equipment dealer with hospital and clinic accounts; candidate sub dealer under a national MAH partner.</t>
        </is>
      </c>
      <c r="V90" s="183" t="inlineStr">
        <is>
          <t>Introduce CHISON as a future line through a national MAH partner; ask about their hospital and clinic coverage, service engineers and openness to non Japanese brands.</t>
        </is>
      </c>
      <c r="W90" s="183" t="inlineStr">
        <is>
          <t>N (not identified)</t>
        </is>
      </c>
      <c r="X90" s="186" t="inlineStr">
        <is>
          <t>https://baseconnect.in/companies/city/907fb3f8-31a8-4163-a276-005c0d2a920b</t>
        </is>
      </c>
      <c r="Y90" s="183" t="inlineStr">
        <is>
          <t>SonoEye P3 plus SonoAir 30 for GP and clinic accounts</t>
        </is>
      </c>
      <c r="Z90" s="183" t="inlineStr">
        <is>
          <t>2, 2, 3, 3, 3, 4, 3</t>
        </is>
      </c>
      <c r="AA90" s="183" t="inlineStr">
        <is>
          <t>Not found</t>
        </is>
      </c>
      <c r="AB90" s="183" t="inlineStr">
        <is>
          <t>Directory or search listing; not opened (direct site access blocked)</t>
        </is>
      </c>
      <c r="AC90" s="183" t="inlineStr">
        <is>
          <t>No expired licence or ended distribution agreement found</t>
        </is>
      </c>
      <c r="AD90" s="183" t="inlineStr">
        <is>
          <t>Not started</t>
        </is>
      </c>
      <c r="AE90" s="183" t="inlineStr"/>
      <c r="AF90" s="183" t="inlineStr">
        <is>
          <t>https://www.city.nihonmatsu.lg.jp/company.php?mode=detail&amp;ac=1&amp;code=15</t>
        </is>
      </c>
      <c r="AG90" s="183" t="inlineStr">
        <is>
          <t>Likely: indexed on company domain</t>
        </is>
      </c>
    </row>
    <row r="91">
      <c r="A91" s="183" t="n">
        <v>87</v>
      </c>
      <c r="B91" s="183" t="inlineStr">
        <is>
          <t>Machida and Machida Shokai</t>
        </is>
      </c>
      <c r="C91" s="183" t="inlineStr">
        <is>
          <t>町田アンド町田商会</t>
        </is>
      </c>
      <c r="D91" s="183" t="inlineStr">
        <is>
          <t>Not retrieved (NTA lookup blocked in this session)</t>
        </is>
      </c>
      <c r="E91" s="183" t="inlineStr">
        <is>
          <t>青森県</t>
        </is>
      </c>
      <c r="F91" s="183" t="inlineStr">
        <is>
          <t>Tohoku and Hokkaido</t>
        </is>
      </c>
      <c r="G91" s="183" t="inlineStr">
        <is>
          <t>https://machida2.co.jp/</t>
        </is>
      </c>
      <c r="H91" s="183" t="inlineStr">
        <is>
          <t>No MAH found; device sales licence (高度管理医療機器等販売業) not confirmed</t>
        </is>
      </c>
      <c r="I91" s="183" t="inlineStr">
        <is>
          <t>Not identified in published sources</t>
        </is>
      </c>
      <c r="J91" s="183" t="inlineStr">
        <is>
          <t>General medical equipment (hospitals and clinics)</t>
        </is>
      </c>
      <c r="K91" s="183" t="inlineStr">
        <is>
          <t>青森県 (regional; branch network not confirmed)</t>
        </is>
      </c>
      <c r="L91" s="183" t="inlineStr">
        <is>
          <t>Not found</t>
        </is>
      </c>
      <c r="M91" s="183" t="inlineStr">
        <is>
          <t>Not identified</t>
        </is>
      </c>
      <c r="N91" s="183" t="inlineStr">
        <is>
          <t>Not identified</t>
        </is>
      </c>
      <c r="O91" s="183" t="inlineStr">
        <is>
          <t>sakae@machida2.co.jp</t>
        </is>
      </c>
      <c r="P91" s="183" t="inlineStr">
        <is>
          <t>Not confirmed</t>
        </is>
      </c>
      <c r="Q91" s="183" t="inlineStr">
        <is>
          <t>Not identified</t>
        </is>
      </c>
      <c r="R91" s="184" t="inlineStr">
        <is>
          <t>Unverified</t>
        </is>
      </c>
      <c r="S91" s="183" t="n">
        <v>20</v>
      </c>
      <c r="T91" s="189" t="inlineStr">
        <is>
          <t>C</t>
        </is>
      </c>
      <c r="U91" s="183" t="inlineStr">
        <is>
          <t>Regional general medical equipment dealer with hospital and clinic accounts; candidate sub dealer under a national MAH partner.</t>
        </is>
      </c>
      <c r="V91" s="183" t="inlineStr">
        <is>
          <t>Introduce CHISON as a future line through a national MAH partner; ask about their hospital and clinic coverage, service engineers and openness to non Japanese brands.</t>
        </is>
      </c>
      <c r="W91" s="183" t="inlineStr">
        <is>
          <t>N (not identified)</t>
        </is>
      </c>
      <c r="X91" s="186" t="inlineStr">
        <is>
          <t>https://baseconnect.in/companies/prefecture/0356fc34-b458-43d5-b209-feac5e7fd808/category/4334232a-592e-4ef1-96cc-df1557db8533</t>
        </is>
      </c>
      <c r="Y91" s="183" t="inlineStr">
        <is>
          <t>SonoEye P3 plus SonoAir 30 for GP and clinic accounts</t>
        </is>
      </c>
      <c r="Z91" s="183" t="inlineStr">
        <is>
          <t>2, 2, 3, 3, 3, 4, 3</t>
        </is>
      </c>
      <c r="AA91" s="183" t="inlineStr">
        <is>
          <t>Not found</t>
        </is>
      </c>
      <c r="AB91" s="183" t="inlineStr">
        <is>
          <t>Directory or search listing; not opened (direct site access blocked)</t>
        </is>
      </c>
      <c r="AC91" s="183" t="inlineStr">
        <is>
          <t>No expired licence or ended distribution agreement found</t>
        </is>
      </c>
      <c r="AD91" s="183" t="inlineStr">
        <is>
          <t>Not started</t>
        </is>
      </c>
      <c r="AE91" s="183" t="inlineStr">
        <is>
          <t>jinji@machida2.co.jp</t>
        </is>
      </c>
      <c r="AF91" s="183" t="inlineStr">
        <is>
          <t>https://machida2.co.jp/sakae/contact/</t>
        </is>
      </c>
      <c r="AG91" s="183" t="inlineStr">
        <is>
          <t>Verified: published on company website</t>
        </is>
      </c>
    </row>
    <row r="92">
      <c r="A92" s="183" t="n">
        <v>88</v>
      </c>
      <c r="B92" s="183" t="inlineStr">
        <is>
          <t>Hokuto Irika</t>
        </is>
      </c>
      <c r="C92" s="183" t="inlineStr">
        <is>
          <t>北斗医理科</t>
        </is>
      </c>
      <c r="D92" s="183" t="inlineStr">
        <is>
          <t>Not retrieved (NTA lookup blocked in this session)</t>
        </is>
      </c>
      <c r="E92" s="183" t="inlineStr">
        <is>
          <t>青森県</t>
        </is>
      </c>
      <c r="F92" s="183" t="inlineStr">
        <is>
          <t>Tohoku and Hokkaido</t>
        </is>
      </c>
      <c r="G92" s="183" t="inlineStr">
        <is>
          <t>https://www.hokuto-irika.jp/</t>
        </is>
      </c>
      <c r="H92" s="183" t="inlineStr">
        <is>
          <t>No MAH found; device sales licence (高度管理医療機器等販売業) not confirmed</t>
        </is>
      </c>
      <c r="I92" s="183" t="inlineStr">
        <is>
          <t>Not identified in published sources</t>
        </is>
      </c>
      <c r="J92" s="183" t="inlineStr">
        <is>
          <t>General medical equipment (hospitals and clinics)</t>
        </is>
      </c>
      <c r="K92" s="183" t="inlineStr">
        <is>
          <t>青森県 (regional; branch network not confirmed)</t>
        </is>
      </c>
      <c r="L92" s="183" t="inlineStr">
        <is>
          <t>Not found</t>
        </is>
      </c>
      <c r="M92" s="183" t="inlineStr">
        <is>
          <t>Not identified</t>
        </is>
      </c>
      <c r="N92" s="183" t="inlineStr">
        <is>
          <t>Not identified</t>
        </is>
      </c>
      <c r="O92" s="183" t="inlineStr">
        <is>
          <t>Not published; use contact form</t>
        </is>
      </c>
      <c r="P92" s="183" t="inlineStr">
        <is>
          <t>Not confirmed</t>
        </is>
      </c>
      <c r="Q92" s="183" t="inlineStr">
        <is>
          <t>Not identified</t>
        </is>
      </c>
      <c r="R92" s="184" t="inlineStr">
        <is>
          <t>Likely</t>
        </is>
      </c>
      <c r="S92" s="183" t="n">
        <v>20</v>
      </c>
      <c r="T92" s="189" t="inlineStr">
        <is>
          <t>C</t>
        </is>
      </c>
      <c r="U92" s="183" t="inlineStr">
        <is>
          <t>Regional general medical equipment dealer with hospital and clinic accounts; candidate sub dealer under a national MAH partner.</t>
        </is>
      </c>
      <c r="V92" s="183" t="inlineStr">
        <is>
          <t>Introduce CHISON as a future line through a national MAH partner; ask about their hospital and clinic coverage, service engineers and openness to non Japanese brands.</t>
        </is>
      </c>
      <c r="W92" s="183" t="inlineStr">
        <is>
          <t>N (not identified)</t>
        </is>
      </c>
      <c r="X92" s="186" t="inlineStr">
        <is>
          <t>https://baseconnect.in/companies/prefecture/0356fc34-b458-43d5-b209-feac5e7fd808/category/4334232a-592e-4ef1-96cc-df1557db8533</t>
        </is>
      </c>
      <c r="Y92" s="183" t="inlineStr">
        <is>
          <t>SonoEye P3 plus SonoAir 30 for GP and clinic accounts</t>
        </is>
      </c>
      <c r="Z92" s="183" t="inlineStr">
        <is>
          <t>2, 2, 3, 3, 3, 4, 3</t>
        </is>
      </c>
      <c r="AA92" s="183" t="inlineStr">
        <is>
          <t>Not found</t>
        </is>
      </c>
      <c r="AB92" s="183" t="inlineStr">
        <is>
          <t>Directory or search listing; not opened (direct site access blocked)</t>
        </is>
      </c>
      <c r="AC92" s="183" t="inlineStr">
        <is>
          <t>No expired licence or ended distribution agreement found</t>
        </is>
      </c>
      <c r="AD92" s="183" t="inlineStr">
        <is>
          <t>Not started</t>
        </is>
      </c>
      <c r="AE92" s="183" t="inlineStr"/>
      <c r="AF92" s="183" t="inlineStr">
        <is>
          <t>https://www.hokuto-irika.jp/contact.html</t>
        </is>
      </c>
      <c r="AG92" s="183" t="inlineStr">
        <is>
          <t>No email published; use the contact form (link in Email source)</t>
        </is>
      </c>
    </row>
    <row r="93">
      <c r="A93" s="183" t="n">
        <v>89</v>
      </c>
      <c r="B93" s="183" t="inlineStr">
        <is>
          <t>Shibata Irika</t>
        </is>
      </c>
      <c r="C93" s="183" t="inlineStr">
        <is>
          <t>シバタ医理科</t>
        </is>
      </c>
      <c r="D93" s="183" t="inlineStr">
        <is>
          <t>Not retrieved (NTA lookup blocked in this session)</t>
        </is>
      </c>
      <c r="E93" s="183" t="inlineStr">
        <is>
          <t>青森県</t>
        </is>
      </c>
      <c r="F93" s="183" t="inlineStr">
        <is>
          <t>Tohoku and Hokkaido</t>
        </is>
      </c>
      <c r="G93" s="183" t="inlineStr">
        <is>
          <t>https://www.shibatairika.com/</t>
        </is>
      </c>
      <c r="H93" s="183" t="inlineStr">
        <is>
          <t>No MAH found; device sales licence (高度管理医療機器等販売業) not confirmed</t>
        </is>
      </c>
      <c r="I93" s="183" t="inlineStr">
        <is>
          <t>Not identified in published sources</t>
        </is>
      </c>
      <c r="J93" s="183" t="inlineStr">
        <is>
          <t>General medical equipment (hospitals and clinics)</t>
        </is>
      </c>
      <c r="K93" s="183" t="inlineStr">
        <is>
          <t>青森県 (regional; branch network not confirmed)</t>
        </is>
      </c>
      <c r="L93" s="183" t="inlineStr">
        <is>
          <t>Not found</t>
        </is>
      </c>
      <c r="M93" s="183" t="inlineStr">
        <is>
          <t>Not identified</t>
        </is>
      </c>
      <c r="N93" s="183" t="inlineStr">
        <is>
          <t>Not identified</t>
        </is>
      </c>
      <c r="O93" s="183" t="inlineStr">
        <is>
          <t>info-gosyogawara@shibatairika.com</t>
        </is>
      </c>
      <c r="P93" s="183" t="inlineStr">
        <is>
          <t>Not confirmed</t>
        </is>
      </c>
      <c r="Q93" s="183" t="inlineStr">
        <is>
          <t>Not identified</t>
        </is>
      </c>
      <c r="R93" s="184" t="inlineStr">
        <is>
          <t>Unverified</t>
        </is>
      </c>
      <c r="S93" s="183" t="n">
        <v>20</v>
      </c>
      <c r="T93" s="189" t="inlineStr">
        <is>
          <t>C</t>
        </is>
      </c>
      <c r="U93" s="183" t="inlineStr">
        <is>
          <t>Regional general medical equipment dealer with hospital and clinic accounts; candidate sub dealer under a national MAH partner.</t>
        </is>
      </c>
      <c r="V93" s="183" t="inlineStr">
        <is>
          <t>Introduce CHISON as a future line through a national MAH partner; ask about their hospital and clinic coverage, service engineers and openness to non Japanese brands.</t>
        </is>
      </c>
      <c r="W93" s="183" t="inlineStr">
        <is>
          <t>N (not identified)</t>
        </is>
      </c>
      <c r="X93" s="186" t="inlineStr">
        <is>
          <t>https://baseconnect.in/companies/prefecture/0356fc34-b458-43d5-b209-feac5e7fd808/category/4334232a-592e-4ef1-96cc-df1557db8533</t>
        </is>
      </c>
      <c r="Y93" s="183" t="inlineStr">
        <is>
          <t>SonoEye P3 plus SonoAir 30 for GP and clinic accounts</t>
        </is>
      </c>
      <c r="Z93" s="183" t="inlineStr">
        <is>
          <t>2, 2, 3, 3, 3, 4, 3</t>
        </is>
      </c>
      <c r="AA93" s="183" t="inlineStr">
        <is>
          <t>Not found</t>
        </is>
      </c>
      <c r="AB93" s="183" t="inlineStr">
        <is>
          <t>Directory or search listing; not opened (direct site access blocked)</t>
        </is>
      </c>
      <c r="AC93" s="183" t="inlineStr">
        <is>
          <t>No expired licence or ended distribution agreement found</t>
        </is>
      </c>
      <c r="AD93" s="183" t="inlineStr">
        <is>
          <t>Not started</t>
        </is>
      </c>
      <c r="AE93" s="183" t="inlineStr">
        <is>
          <t>info-oodate@shibatairika.com, info-mutsu@shibatairika.com, info-hirosaki@shibatairika.com, info-aomori@shibatairika.com, info-hatinohe@shibatairika.com</t>
        </is>
      </c>
      <c r="AF93" s="183" t="inlineStr">
        <is>
          <t>https://www.shibatairika.com/access/</t>
        </is>
      </c>
      <c r="AG93" s="183" t="inlineStr">
        <is>
          <t>Verified: published on company website</t>
        </is>
      </c>
    </row>
    <row r="94">
      <c r="A94" s="183" t="n">
        <v>90</v>
      </c>
      <c r="B94" s="183" t="inlineStr">
        <is>
          <t>Olba Healthcare Holdings</t>
        </is>
      </c>
      <c r="C94" s="183" t="inlineStr">
        <is>
          <t>オルバヘルスケアホールディングス</t>
        </is>
      </c>
      <c r="D94" s="183" t="inlineStr">
        <is>
          <t>Not retrieved (NTA lookup blocked in this session)</t>
        </is>
      </c>
      <c r="E94" s="183" t="inlineStr">
        <is>
          <t>岡山県</t>
        </is>
      </c>
      <c r="F94" s="183" t="inlineStr">
        <is>
          <t>Chugoku and Shikoku</t>
        </is>
      </c>
      <c r="G94" s="183" t="inlineStr">
        <is>
          <t>https://www.ida-web.com/</t>
        </is>
      </c>
      <c r="H94" s="183" t="inlineStr">
        <is>
          <t>No MAH found; device sales licence (高度管理医療機器等販売業) not confirmed</t>
        </is>
      </c>
      <c r="I94" s="183" t="inlineStr">
        <is>
          <t>Not identified in published sources</t>
        </is>
      </c>
      <c r="J94" s="183" t="inlineStr">
        <is>
          <t>General medical equipment (hospitals and clinics)</t>
        </is>
      </c>
      <c r="K94" s="183" t="inlineStr">
        <is>
          <t>岡山県 (regional; branch network not confirmed)</t>
        </is>
      </c>
      <c r="L94" s="183" t="inlineStr">
        <is>
          <t>Not found</t>
        </is>
      </c>
      <c r="M94" s="183" t="inlineStr">
        <is>
          <t>Not identified</t>
        </is>
      </c>
      <c r="N94" s="183" t="inlineStr">
        <is>
          <t>Not identified</t>
        </is>
      </c>
      <c r="O94" s="183" t="inlineStr">
        <is>
          <t>kajifusa_m@ida-web.com</t>
        </is>
      </c>
      <c r="P94" s="183" t="inlineStr">
        <is>
          <t>Not confirmed</t>
        </is>
      </c>
      <c r="Q94" s="183" t="inlineStr">
        <is>
          <t>Not identified</t>
        </is>
      </c>
      <c r="R94" s="184" t="inlineStr">
        <is>
          <t>Unverified</t>
        </is>
      </c>
      <c r="S94" s="183" t="n">
        <v>20</v>
      </c>
      <c r="T94" s="189" t="inlineStr">
        <is>
          <t>C</t>
        </is>
      </c>
      <c r="U94" s="183" t="inlineStr">
        <is>
          <t>Regional general medical equipment dealer with hospital and clinic accounts; candidate sub dealer under a national MAH partner.</t>
        </is>
      </c>
      <c r="V94" s="183" t="inlineStr">
        <is>
          <t>Introduce CHISON as a future line through a national MAH partner; ask about their hospital and clinic coverage, service engineers and openness to non Japanese brands.</t>
        </is>
      </c>
      <c r="W94" s="183" t="inlineStr">
        <is>
          <t>N (not identified)</t>
        </is>
      </c>
      <c r="X94" s="186" t="inlineStr">
        <is>
          <t>https://baseconnect.in/companies/prefecture/cd00efe9-63bc-49a2-846e-3cfd4bca7207/keyword/89941b4e-2dd1-4848-8957-48af280a31e0</t>
        </is>
      </c>
      <c r="Y94" s="183" t="inlineStr">
        <is>
          <t>SonoEye P3 plus SonoAir 30 for GP and clinic accounts</t>
        </is>
      </c>
      <c r="Z94" s="183" t="inlineStr">
        <is>
          <t>2, 2, 3, 3, 5, 2, 3</t>
        </is>
      </c>
      <c r="AA94" s="183" t="inlineStr">
        <is>
          <t>Not found</t>
        </is>
      </c>
      <c r="AB94" s="183" t="inlineStr">
        <is>
          <t>Directory or search listing; not opened (direct site access blocked)</t>
        </is>
      </c>
      <c r="AC94" s="183" t="inlineStr">
        <is>
          <t>No expired licence or ended distribution agreement found</t>
        </is>
      </c>
      <c r="AD94" s="183" t="inlineStr">
        <is>
          <t>Not started</t>
        </is>
      </c>
      <c r="AE94" s="183" t="inlineStr">
        <is>
          <t>ida-saiyo@ida-web.com</t>
        </is>
      </c>
      <c r="AF94" s="183" t="inlineStr">
        <is>
          <t>https://www.kirari-okayama.jp/search/detail.php?no=853</t>
        </is>
      </c>
      <c r="AG94" s="183" t="inlineStr">
        <is>
          <t>Likely: indexed on company domain</t>
        </is>
      </c>
    </row>
    <row r="95">
      <c r="A95" s="183" t="n">
        <v>91</v>
      </c>
      <c r="B95" s="183" t="inlineStr">
        <is>
          <t>Shikoku Iryoki</t>
        </is>
      </c>
      <c r="C95" s="183" t="inlineStr">
        <is>
          <t>四国医療器</t>
        </is>
      </c>
      <c r="D95" s="183" t="inlineStr">
        <is>
          <t>Not retrieved (NTA lookup blocked in this session)</t>
        </is>
      </c>
      <c r="E95" s="183" t="inlineStr">
        <is>
          <t>香川県</t>
        </is>
      </c>
      <c r="F95" s="183" t="inlineStr">
        <is>
          <t>Chugoku and Shikoku</t>
        </is>
      </c>
      <c r="G95" s="183" t="inlineStr">
        <is>
          <t>https://shikokuiryoki.com/</t>
        </is>
      </c>
      <c r="H95" s="183" t="inlineStr">
        <is>
          <t>No MAH found; device sales licence (高度管理医療機器等販売業) not confirmed</t>
        </is>
      </c>
      <c r="I95" s="183" t="inlineStr">
        <is>
          <t>Not identified in published sources</t>
        </is>
      </c>
      <c r="J95" s="183" t="inlineStr">
        <is>
          <t>Clinics and GP (開業医)</t>
        </is>
      </c>
      <c r="K95" s="183" t="inlineStr">
        <is>
          <t>香川県 (regional; branch network not confirmed)</t>
        </is>
      </c>
      <c r="L95" s="183" t="inlineStr">
        <is>
          <t>Not found</t>
        </is>
      </c>
      <c r="M95" s="183" t="inlineStr">
        <is>
          <t>Not identified</t>
        </is>
      </c>
      <c r="N95" s="183" t="inlineStr">
        <is>
          <t>Not identified</t>
        </is>
      </c>
      <c r="O95" s="183" t="inlineStr">
        <is>
          <t>info@shikokuiryoki.com</t>
        </is>
      </c>
      <c r="P95" s="183" t="inlineStr">
        <is>
          <t>Not confirmed</t>
        </is>
      </c>
      <c r="Q95" s="183" t="inlineStr">
        <is>
          <t>Not identified</t>
        </is>
      </c>
      <c r="R95" s="184" t="inlineStr">
        <is>
          <t>Unverified</t>
        </is>
      </c>
      <c r="S95" s="183" t="n">
        <v>20</v>
      </c>
      <c r="T95" s="189" t="inlineStr">
        <is>
          <t>C</t>
        </is>
      </c>
      <c r="U95" s="183" t="inlineStr">
        <is>
          <t>Clinic opening and GP coverage; can bundle a portable ultrasound into new 開業医 packages as a sub dealer.</t>
        </is>
      </c>
      <c r="V95" s="183" t="inlineStr">
        <is>
          <t>Ask whether they bundle ultrasound into clinic opening packages and which brand they use today; propose a sub dealer role once a Japanese MAH is in place.</t>
        </is>
      </c>
      <c r="W95" s="183" t="inlineStr">
        <is>
          <t>N (not identified)</t>
        </is>
      </c>
      <c r="X95" s="186" t="inlineStr">
        <is>
          <t>https://baseconnect.in/companies/prefecture/de8c9062-e2c4-4731-9214-c2e07deaabfb/keyword/89941b4e-2dd1-4848-8957-48af280a31e0</t>
        </is>
      </c>
      <c r="Y95" s="183" t="inlineStr">
        <is>
          <t>SonoAir 30 plus SonoEye P3 as a clinic opening package</t>
        </is>
      </c>
      <c r="Z95" s="183" t="inlineStr">
        <is>
          <t>2, 2, 3, 5, 3, 2, 3</t>
        </is>
      </c>
      <c r="AA95" s="183" t="inlineStr">
        <is>
          <t>Not found</t>
        </is>
      </c>
      <c r="AB95" s="183" t="inlineStr">
        <is>
          <t>Directory or search listing; not opened (direct site access blocked)</t>
        </is>
      </c>
      <c r="AC95" s="183" t="inlineStr">
        <is>
          <t>No expired licence or ended distribution agreement found</t>
        </is>
      </c>
      <c r="AD95" s="183" t="inlineStr">
        <is>
          <t>Not started</t>
        </is>
      </c>
      <c r="AE95" s="183" t="inlineStr">
        <is>
          <t>tanaka@shikokuiryoki.com</t>
        </is>
      </c>
      <c r="AF95" s="183" t="inlineStr">
        <is>
          <t>https://sia-japan.com/company_list/731/</t>
        </is>
      </c>
      <c r="AG95" s="183" t="inlineStr">
        <is>
          <t>Likely: indexed on company domain</t>
        </is>
      </c>
    </row>
    <row r="96">
      <c r="A96" s="183" t="n">
        <v>92</v>
      </c>
      <c r="B96" s="183" t="inlineStr">
        <is>
          <t>Den Shoji</t>
        </is>
      </c>
      <c r="C96" s="183" t="inlineStr">
        <is>
          <t>田商事</t>
        </is>
      </c>
      <c r="D96" s="183" t="inlineStr">
        <is>
          <t>Not retrieved (NTA lookup blocked in this session)</t>
        </is>
      </c>
      <c r="E96" s="183" t="inlineStr">
        <is>
          <t>千葉県</t>
        </is>
      </c>
      <c r="F96" s="183" t="inlineStr">
        <is>
          <t>Kanto</t>
        </is>
      </c>
      <c r="G96" s="183" t="inlineStr">
        <is>
          <t>http://www.denshoji.com/</t>
        </is>
      </c>
      <c r="H96" s="183" t="inlineStr">
        <is>
          <t>No MAH found; device sales licence (高度管理医療機器等販売業) not confirmed</t>
        </is>
      </c>
      <c r="I96" s="183" t="inlineStr">
        <is>
          <t>Not identified in published sources</t>
        </is>
      </c>
      <c r="J96" s="183" t="inlineStr">
        <is>
          <t>Hospitals</t>
        </is>
      </c>
      <c r="K96" s="183" t="inlineStr">
        <is>
          <t>千葉県 (regional; branch network not confirmed)</t>
        </is>
      </c>
      <c r="L96" s="183" t="inlineStr">
        <is>
          <t>Not found</t>
        </is>
      </c>
      <c r="M96" s="183" t="inlineStr">
        <is>
          <t>Not identified</t>
        </is>
      </c>
      <c r="N96" s="183" t="inlineStr">
        <is>
          <t>Not identified</t>
        </is>
      </c>
      <c r="O96" s="183" t="inlineStr">
        <is>
          <t>Not published; use contact form</t>
        </is>
      </c>
      <c r="P96" s="183" t="inlineStr">
        <is>
          <t>Not confirmed</t>
        </is>
      </c>
      <c r="Q96" s="183" t="inlineStr">
        <is>
          <t>Not identified</t>
        </is>
      </c>
      <c r="R96" s="184" t="inlineStr">
        <is>
          <t>Likely</t>
        </is>
      </c>
      <c r="S96" s="183" t="n">
        <v>19</v>
      </c>
      <c r="T96" s="189" t="inlineStr">
        <is>
          <t>C</t>
        </is>
      </c>
      <c r="U96" s="183" t="inlineStr">
        <is>
          <t>Regional general medical equipment dealer with hospital and clinic accounts; candidate sub dealer under a national MAH partner.</t>
        </is>
      </c>
      <c r="V96" s="183" t="inlineStr">
        <is>
          <t>Introduce CHISON as a future line through a national MAH partner; ask about their hospital and clinic coverage, service engineers and openness to non Japanese brands.</t>
        </is>
      </c>
      <c r="W96" s="183" t="inlineStr">
        <is>
          <t>N (not identified)</t>
        </is>
      </c>
      <c r="X96" s="186" t="inlineStr">
        <is>
          <t>https://baseconnect.in/companies/prefecture/3420045f-8609-4232-9407-75407ae4e6e8/keyword/89941b4e-2dd1-4848-8957-48af280a31e0</t>
        </is>
      </c>
      <c r="Y96" s="183" t="inlineStr">
        <is>
          <t>SonoEye P3 plus SonoAir 30 for GP and clinic accounts</t>
        </is>
      </c>
      <c r="Z96" s="183" t="inlineStr">
        <is>
          <t>2, 2, 3, 4, 3, 2, 3</t>
        </is>
      </c>
      <c r="AA96" s="183" t="inlineStr">
        <is>
          <t>Not found</t>
        </is>
      </c>
      <c r="AB96" s="183" t="inlineStr">
        <is>
          <t>Directory or search listing; not opened (direct site access blocked)</t>
        </is>
      </c>
      <c r="AC96" s="183" t="inlineStr">
        <is>
          <t>No expired licence or ended distribution agreement found</t>
        </is>
      </c>
      <c r="AD96" s="183" t="inlineStr">
        <is>
          <t>Not started</t>
        </is>
      </c>
      <c r="AE96" s="183" t="inlineStr"/>
      <c r="AF96" s="183" t="inlineStr">
        <is>
          <t>http://www.denshoji.com/contact/</t>
        </is>
      </c>
      <c r="AG96" s="183" t="inlineStr">
        <is>
          <t>No email published; use the contact form (link in Email source)</t>
        </is>
      </c>
    </row>
    <row r="97">
      <c r="A97" s="183" t="n">
        <v>93</v>
      </c>
      <c r="B97" s="183" t="inlineStr">
        <is>
          <t>Kakinuma Medical</t>
        </is>
      </c>
      <c r="C97" s="183" t="inlineStr">
        <is>
          <t>カキヌマメディカル</t>
        </is>
      </c>
      <c r="D97" s="183" t="inlineStr">
        <is>
          <t>Not retrieved (NTA lookup blocked in this session)</t>
        </is>
      </c>
      <c r="E97" s="183" t="inlineStr">
        <is>
          <t>東京都</t>
        </is>
      </c>
      <c r="F97" s="183" t="inlineStr">
        <is>
          <t>Kanto</t>
        </is>
      </c>
      <c r="G97" s="183" t="inlineStr">
        <is>
          <t>https://www.kakinumamedical.com/</t>
        </is>
      </c>
      <c r="H97" s="183" t="inlineStr">
        <is>
          <t>No MAH found; device sales licence (高度管理医療機器等販売業) not confirmed</t>
        </is>
      </c>
      <c r="I97" s="183" t="inlineStr">
        <is>
          <t>Not identified in published sources</t>
        </is>
      </c>
      <c r="J97" s="183" t="inlineStr">
        <is>
          <t>Hospitals</t>
        </is>
      </c>
      <c r="K97" s="183" t="inlineStr">
        <is>
          <t>東京都; Tokyo</t>
        </is>
      </c>
      <c r="L97" s="183" t="inlineStr">
        <is>
          <t>Not found</t>
        </is>
      </c>
      <c r="M97" s="183" t="inlineStr">
        <is>
          <t>Not identified</t>
        </is>
      </c>
      <c r="N97" s="183" t="inlineStr">
        <is>
          <t>Not identified</t>
        </is>
      </c>
      <c r="O97" s="183" t="inlineStr">
        <is>
          <t>po@kakinumamedical.com</t>
        </is>
      </c>
      <c r="P97" s="183" t="inlineStr">
        <is>
          <t>Not confirmed</t>
        </is>
      </c>
      <c r="Q97" s="183" t="inlineStr">
        <is>
          <t>Not identified</t>
        </is>
      </c>
      <c r="R97" s="184" t="inlineStr">
        <is>
          <t>Unverified</t>
        </is>
      </c>
      <c r="S97" s="183" t="n">
        <v>19</v>
      </c>
      <c r="T97" s="189" t="inlineStr">
        <is>
          <t>C</t>
        </is>
      </c>
      <c r="U97" s="183" t="inlineStr">
        <is>
          <t>Regional general medical equipment dealer with hospital and clinic accounts; candidate sub dealer under a national MAH partner.</t>
        </is>
      </c>
      <c r="V97" s="183" t="inlineStr">
        <is>
          <t>Introduce CHISON as a future line through a national MAH partner; ask about their hospital and clinic coverage, service engineers and openness to non Japanese brands.</t>
        </is>
      </c>
      <c r="W97" s="183" t="inlineStr">
        <is>
          <t>N (not identified)</t>
        </is>
      </c>
      <c r="X97" s="186" t="inlineStr">
        <is>
          <t>https://baseconnect.in/companies/keyword/a9b4f8d9-510e-403e-859d-c2d2fa9778be</t>
        </is>
      </c>
      <c r="Y97" s="183" t="inlineStr">
        <is>
          <t>SonoEye P3 plus SonoAir 30 for GP and clinic accounts</t>
        </is>
      </c>
      <c r="Z97" s="183" t="inlineStr">
        <is>
          <t>2, 2, 3, 4, 3, 2, 3</t>
        </is>
      </c>
      <c r="AA97" s="183" t="inlineStr">
        <is>
          <t>Not found</t>
        </is>
      </c>
      <c r="AB97" s="183" t="inlineStr">
        <is>
          <t>Directory or search listing; not opened (direct site access blocked)</t>
        </is>
      </c>
      <c r="AC97" s="183" t="inlineStr">
        <is>
          <t>No expired licence or ended distribution agreement found</t>
        </is>
      </c>
      <c r="AD97" s="183" t="inlineStr">
        <is>
          <t>Not started</t>
        </is>
      </c>
      <c r="AE97" s="183" t="inlineStr"/>
      <c r="AF97" s="183" t="inlineStr">
        <is>
          <t>https://www.kakinumamedical.com/topics/info/feed</t>
        </is>
      </c>
      <c r="AG97" s="183" t="inlineStr">
        <is>
          <t>Verified: published on company website</t>
        </is>
      </c>
    </row>
    <row r="98">
      <c r="A98" s="183" t="n">
        <v>94</v>
      </c>
      <c r="B98" s="183" t="inlineStr">
        <is>
          <t>Corazon Medical Service</t>
        </is>
      </c>
      <c r="C98" s="183" t="inlineStr">
        <is>
          <t>コラゾン・メディカル・サービス</t>
        </is>
      </c>
      <c r="D98" s="183" t="inlineStr">
        <is>
          <t>Not retrieved (NTA lookup blocked in this session)</t>
        </is>
      </c>
      <c r="E98" s="183" t="inlineStr">
        <is>
          <t>茨城県</t>
        </is>
      </c>
      <c r="F98" s="183" t="inlineStr">
        <is>
          <t>Kanto</t>
        </is>
      </c>
      <c r="G98" s="183" t="inlineStr">
        <is>
          <t>http://www.corazon-med.co.jp/</t>
        </is>
      </c>
      <c r="H98" s="183" t="inlineStr">
        <is>
          <t>No MAH found; device sales licence (高度管理医療機器等販売業) not confirmed</t>
        </is>
      </c>
      <c r="I98" s="183" t="inlineStr">
        <is>
          <t>Not identified in published sources</t>
        </is>
      </c>
      <c r="J98" s="183" t="inlineStr">
        <is>
          <t>Cardiology</t>
        </is>
      </c>
      <c r="K98" s="183" t="inlineStr">
        <is>
          <t>茨城県 (regional; branch network not confirmed)</t>
        </is>
      </c>
      <c r="L98" s="183" t="inlineStr">
        <is>
          <t>Not found</t>
        </is>
      </c>
      <c r="M98" s="183" t="inlineStr">
        <is>
          <t>Not identified</t>
        </is>
      </c>
      <c r="N98" s="183" t="inlineStr">
        <is>
          <t>Not identified</t>
        </is>
      </c>
      <c r="O98" s="183" t="inlineStr">
        <is>
          <t>sugimoto@corazon-med.co.jp</t>
        </is>
      </c>
      <c r="P98" s="183" t="inlineStr">
        <is>
          <t>Not confirmed</t>
        </is>
      </c>
      <c r="Q98" s="183" t="inlineStr">
        <is>
          <t>Not identified</t>
        </is>
      </c>
      <c r="R98" s="184" t="inlineStr">
        <is>
          <t>Unverified</t>
        </is>
      </c>
      <c r="S98" s="183" t="n">
        <v>19</v>
      </c>
      <c r="T98" s="189" t="inlineStr">
        <is>
          <t>C</t>
        </is>
      </c>
      <c r="U98" s="183" t="inlineStr">
        <is>
          <t>Adjacent hospital department line (no ultrasound found), which is the best recruit profile for a point of care line.</t>
        </is>
      </c>
      <c r="V98" s="183" t="inlineStr">
        <is>
          <t>Introduce CHISON as a future line through a national MAH partner; ask about their hospital and clinic coverage, service engineers and openness to non Japanese brands.</t>
        </is>
      </c>
      <c r="W98" s="183" t="inlineStr">
        <is>
          <t>N (not identified)</t>
        </is>
      </c>
      <c r="X98" s="186" t="inlineStr">
        <is>
          <t>https://baseconnect.in/companies/prefecture/d8203dea-91e2-41c3-a785-b80aa997273c/category/b2358a1c-c4c6-46f4-a0b1-dee3a1b30a0b</t>
        </is>
      </c>
      <c r="Y98" s="183" t="inlineStr">
        <is>
          <t>CBit 6 cart plus SonoEye P5 pocket echo</t>
        </is>
      </c>
      <c r="Z98" s="183" t="inlineStr">
        <is>
          <t>2, 3, 3, 3, 3, 2, 3</t>
        </is>
      </c>
      <c r="AA98" s="183" t="inlineStr">
        <is>
          <t>Not found</t>
        </is>
      </c>
      <c r="AB98" s="183" t="inlineStr">
        <is>
          <t>Directory or search listing; not opened (direct site access blocked)</t>
        </is>
      </c>
      <c r="AC98" s="183" t="inlineStr">
        <is>
          <t>No expired licence or ended distribution agreement found</t>
        </is>
      </c>
      <c r="AD98" s="183" t="inlineStr">
        <is>
          <t>Not started</t>
        </is>
      </c>
      <c r="AE98" s="183" t="inlineStr"/>
      <c r="AF98" s="183" t="inlineStr">
        <is>
          <t>https://www.hellowork.mhlw.go.jp/kensaku/GECA110020.do?screenId=GECA110020&amp;action=kyujinhyoBtn&amp;kjhyoKjNo=0812004389261&amp;kjhyoKjKbn=1&amp;kjhyoDtiID=&amp;kjhyoKsNo=</t>
        </is>
      </c>
      <c r="AG98" s="183" t="inlineStr">
        <is>
          <t>Likely: indexed on company domain</t>
        </is>
      </c>
    </row>
    <row r="99">
      <c r="A99" s="183" t="n">
        <v>95</v>
      </c>
      <c r="B99" s="183" t="inlineStr">
        <is>
          <t>Sanshodo</t>
        </is>
      </c>
      <c r="C99" s="183" t="inlineStr">
        <is>
          <t>三笑堂</t>
        </is>
      </c>
      <c r="D99" s="183" t="inlineStr">
        <is>
          <t>Not retrieved (NTA lookup blocked in this session)</t>
        </is>
      </c>
      <c r="E99" s="183" t="inlineStr">
        <is>
          <t>京都府</t>
        </is>
      </c>
      <c r="F99" s="183" t="inlineStr">
        <is>
          <t>Kansai</t>
        </is>
      </c>
      <c r="G99" s="183" t="inlineStr">
        <is>
          <t>https://www.sanshodoh.co.jp/</t>
        </is>
      </c>
      <c r="H99" s="183" t="inlineStr">
        <is>
          <t>No MAH found; device sales licence (高度管理医療機器等販売業) not confirmed</t>
        </is>
      </c>
      <c r="I99" s="183" t="inlineStr">
        <is>
          <t>Not identified in published sources</t>
        </is>
      </c>
      <c r="J99" s="183" t="inlineStr">
        <is>
          <t>General medical equipment (hospitals and clinics)</t>
        </is>
      </c>
      <c r="K99" s="183" t="inlineStr">
        <is>
          <t>京都府; Kyoto and Shiga</t>
        </is>
      </c>
      <c r="L99" s="183" t="inlineStr">
        <is>
          <t>Not found</t>
        </is>
      </c>
      <c r="M99" s="183" t="inlineStr">
        <is>
          <t>Not identified</t>
        </is>
      </c>
      <c r="N99" s="183" t="inlineStr">
        <is>
          <t>Not identified</t>
        </is>
      </c>
      <c r="O99" s="183" t="inlineStr">
        <is>
          <t>Not published; use contact form</t>
        </is>
      </c>
      <c r="P99" s="183" t="inlineStr">
        <is>
          <t>Not confirmed</t>
        </is>
      </c>
      <c r="Q99" s="183" t="inlineStr">
        <is>
          <t>Not identified</t>
        </is>
      </c>
      <c r="R99" s="184" t="inlineStr">
        <is>
          <t>Likely</t>
        </is>
      </c>
      <c r="S99" s="183" t="n">
        <v>19</v>
      </c>
      <c r="T99" s="189" t="inlineStr">
        <is>
          <t>C</t>
        </is>
      </c>
      <c r="U99" s="183" t="inlineStr">
        <is>
          <t>Regional general medical equipment dealer with hospital and clinic accounts; candidate sub dealer under a national MAH partner.</t>
        </is>
      </c>
      <c r="V99" s="183" t="inlineStr">
        <is>
          <t>Introduce CHISON as a future line through a national MAH partner; ask about their hospital and clinic coverage, service engineers and openness to non Japanese brands.</t>
        </is>
      </c>
      <c r="W99" s="183" t="inlineStr">
        <is>
          <t>N (not identified)</t>
        </is>
      </c>
      <c r="X99" s="186" t="inlineStr">
        <is>
          <t>https://www.pref.kyoto.jp/sangyo-sien/company/sannsyoudou.html</t>
        </is>
      </c>
      <c r="Y99" s="183" t="inlineStr">
        <is>
          <t>SonoEye P3 plus SonoAir 30 for GP and clinic accounts</t>
        </is>
      </c>
      <c r="Z99" s="183" t="inlineStr">
        <is>
          <t>2, 2, 3, 3, 4, 2, 3</t>
        </is>
      </c>
      <c r="AA99" s="183" t="inlineStr">
        <is>
          <t>Not found</t>
        </is>
      </c>
      <c r="AB99" s="183" t="inlineStr">
        <is>
          <t>Directory or search listing; not opened (direct site access blocked)</t>
        </is>
      </c>
      <c r="AC99" s="183" t="inlineStr">
        <is>
          <t>No expired licence or ended distribution agreement found</t>
        </is>
      </c>
      <c r="AD99" s="183" t="inlineStr">
        <is>
          <t>Not started</t>
        </is>
      </c>
      <c r="AE99" s="183" t="inlineStr"/>
      <c r="AF99" s="183" t="inlineStr">
        <is>
          <t>https://www.sanshodoh.co.jp/contact/</t>
        </is>
      </c>
      <c r="AG99" s="183" t="inlineStr">
        <is>
          <t>No email published; use the contact form (link in Email source)</t>
        </is>
      </c>
    </row>
    <row r="100">
      <c r="A100" s="183" t="n">
        <v>96</v>
      </c>
      <c r="B100" s="183" t="inlineStr">
        <is>
          <t>Miyano Iryoki</t>
        </is>
      </c>
      <c r="C100" s="183" t="inlineStr">
        <is>
          <t>宮野医療器</t>
        </is>
      </c>
      <c r="D100" s="183" t="inlineStr">
        <is>
          <t>Not retrieved (NTA lookup blocked in this session)</t>
        </is>
      </c>
      <c r="E100" s="183" t="inlineStr">
        <is>
          <t>兵庫県</t>
        </is>
      </c>
      <c r="F100" s="183" t="inlineStr">
        <is>
          <t>Kansai</t>
        </is>
      </c>
      <c r="G100" s="183" t="inlineStr">
        <is>
          <t>https://www.miyano.co.jp/</t>
        </is>
      </c>
      <c r="H100" s="183" t="inlineStr">
        <is>
          <t>No MAH found; device sales licence (高度管理医療機器等販売業) not confirmed</t>
        </is>
      </c>
      <c r="I100" s="183" t="inlineStr">
        <is>
          <t>Not identified in published sources</t>
        </is>
      </c>
      <c r="J100" s="183" t="inlineStr">
        <is>
          <t>Hospitals</t>
        </is>
      </c>
      <c r="K100" s="183" t="inlineStr">
        <is>
          <t>兵庫県 (regional; branch network not confirmed)</t>
        </is>
      </c>
      <c r="L100" s="183" t="inlineStr">
        <is>
          <t>Not found</t>
        </is>
      </c>
      <c r="M100" s="183" t="inlineStr">
        <is>
          <t>Not identified</t>
        </is>
      </c>
      <c r="N100" s="183" t="inlineStr">
        <is>
          <t>Not identified</t>
        </is>
      </c>
      <c r="O100" s="183" t="inlineStr">
        <is>
          <t>m-international@miyano.co.jp</t>
        </is>
      </c>
      <c r="P100" s="183" t="inlineStr">
        <is>
          <t>Not confirmed</t>
        </is>
      </c>
      <c r="Q100" s="183" t="inlineStr">
        <is>
          <t>Not identified</t>
        </is>
      </c>
      <c r="R100" s="184" t="inlineStr">
        <is>
          <t>Unverified</t>
        </is>
      </c>
      <c r="S100" s="183" t="n">
        <v>19</v>
      </c>
      <c r="T100" s="189" t="inlineStr">
        <is>
          <t>C</t>
        </is>
      </c>
      <c r="U100" s="183" t="inlineStr">
        <is>
          <t>Regional general medical equipment dealer with hospital and clinic accounts; candidate sub dealer under a national MAH partner.</t>
        </is>
      </c>
      <c r="V100" s="183" t="inlineStr">
        <is>
          <t>Introduce CHISON as a future line through a national MAH partner; ask about their hospital and clinic coverage, service engineers and openness to non Japanese brands.</t>
        </is>
      </c>
      <c r="W100" s="183" t="inlineStr">
        <is>
          <t>N (not identified)</t>
        </is>
      </c>
      <c r="X100" s="186" t="inlineStr">
        <is>
          <t>https://baseconnect.in/companies/prefecture/912d7b2d-41c2-4923-a5c1-6666f9834966/keyword/14f3dcec-9cd5-4be5-84e1-ddccb7bd228c</t>
        </is>
      </c>
      <c r="Y100" s="183" t="inlineStr">
        <is>
          <t>SonoEye P3 plus SonoAir 30 for GP and clinic accounts</t>
        </is>
      </c>
      <c r="Z100" s="183" t="inlineStr">
        <is>
          <t>2, 2, 3, 4, 3, 2, 3</t>
        </is>
      </c>
      <c r="AA100" s="183" t="inlineStr">
        <is>
          <t>Not found</t>
        </is>
      </c>
      <c r="AB100" s="183" t="inlineStr">
        <is>
          <t>Directory or search listing; not opened (direct site access blocked)</t>
        </is>
      </c>
      <c r="AC100" s="183" t="inlineStr">
        <is>
          <t>No expired licence or ended distribution agreement found</t>
        </is>
      </c>
      <c r="AD100" s="183" t="inlineStr">
        <is>
          <t>Not started</t>
        </is>
      </c>
      <c r="AE100" s="183" t="inlineStr">
        <is>
          <t>saiyou@miyano.co.jp</t>
        </is>
      </c>
      <c r="AF100" s="183" t="inlineStr">
        <is>
          <t>https://www.miyano.co.jp/EN/</t>
        </is>
      </c>
      <c r="AG100" s="183" t="inlineStr">
        <is>
          <t>Verified: published on company website</t>
        </is>
      </c>
    </row>
    <row r="101">
      <c r="A101" s="183" t="n">
        <v>97</v>
      </c>
      <c r="B101" s="183" t="inlineStr">
        <is>
          <t>Daikoku</t>
        </is>
      </c>
      <c r="C101" s="183" t="inlineStr">
        <is>
          <t>大黒</t>
        </is>
      </c>
      <c r="D101" s="183" t="inlineStr">
        <is>
          <t>Not retrieved (NTA lookup blocked in this session)</t>
        </is>
      </c>
      <c r="E101" s="183" t="inlineStr">
        <is>
          <t>和歌山県</t>
        </is>
      </c>
      <c r="F101" s="183" t="inlineStr">
        <is>
          <t>Kansai</t>
        </is>
      </c>
      <c r="G101" s="183" t="inlineStr">
        <is>
          <t>https://daikoku-medical.co.jp/</t>
        </is>
      </c>
      <c r="H101" s="183" t="inlineStr">
        <is>
          <t>No MAH found; device sales licence (高度管理医療機器等販売業) not confirmed</t>
        </is>
      </c>
      <c r="I101" s="183" t="inlineStr">
        <is>
          <t>Not identified in published sources</t>
        </is>
      </c>
      <c r="J101" s="183" t="inlineStr">
        <is>
          <t>General medical equipment (hospitals and clinics)</t>
        </is>
      </c>
      <c r="K101" s="183" t="inlineStr">
        <is>
          <t>和歌山県 (regional; branch network not confirmed)</t>
        </is>
      </c>
      <c r="L101" s="183" t="inlineStr">
        <is>
          <t>Not found</t>
        </is>
      </c>
      <c r="M101" s="183" t="inlineStr">
        <is>
          <t>Not identified</t>
        </is>
      </c>
      <c r="N101" s="183" t="inlineStr">
        <is>
          <t>Not identified</t>
        </is>
      </c>
      <c r="O101" s="183" t="inlineStr">
        <is>
          <t>recruitment_officer01@daikoku-medical.co.jp</t>
        </is>
      </c>
      <c r="P101" s="183" t="inlineStr">
        <is>
          <t>Not confirmed</t>
        </is>
      </c>
      <c r="Q101" s="183" t="inlineStr">
        <is>
          <t>Not identified</t>
        </is>
      </c>
      <c r="R101" s="184" t="inlineStr">
        <is>
          <t>Unverified</t>
        </is>
      </c>
      <c r="S101" s="183" t="n">
        <v>19</v>
      </c>
      <c r="T101" s="189" t="inlineStr">
        <is>
          <t>C</t>
        </is>
      </c>
      <c r="U101" s="183" t="inlineStr">
        <is>
          <t>Regional general medical equipment dealer with hospital and clinic accounts; candidate sub dealer under a national MAH partner.</t>
        </is>
      </c>
      <c r="V101" s="183" t="inlineStr">
        <is>
          <t>Introduce CHISON as a future line through a national MAH partner; ask about their hospital and clinic coverage, service engineers and openness to non Japanese brands.</t>
        </is>
      </c>
      <c r="W101" s="183" t="inlineStr">
        <is>
          <t>N (not identified)</t>
        </is>
      </c>
      <c r="X101" s="186" t="inlineStr">
        <is>
          <t>https://baseconnect.in/companies/prefecture/ba2490e4-a288-4266-8dd3-30b4ef28b3b2</t>
        </is>
      </c>
      <c r="Y101" s="183" t="inlineStr">
        <is>
          <t>SonoEye P3 plus SonoAir 30 for GP and clinic accounts</t>
        </is>
      </c>
      <c r="Z101" s="183" t="inlineStr">
        <is>
          <t>2, 2, 3, 2, 3, 4, 3</t>
        </is>
      </c>
      <c r="AA101" s="183" t="inlineStr">
        <is>
          <t>Not found</t>
        </is>
      </c>
      <c r="AB101" s="183" t="inlineStr">
        <is>
          <t>Directory or search listing; not opened (direct site access blocked)</t>
        </is>
      </c>
      <c r="AC101" s="183" t="inlineStr">
        <is>
          <t>No expired licence or ended distribution agreement found</t>
        </is>
      </c>
      <c r="AD101" s="183" t="inlineStr">
        <is>
          <t>Not started</t>
        </is>
      </c>
      <c r="AE101" s="183" t="inlineStr"/>
      <c r="AF101" s="183" t="inlineStr">
        <is>
          <t>https://daikoku-medical.co.jp/recruit/flow/</t>
        </is>
      </c>
      <c r="AG101" s="183" t="inlineStr">
        <is>
          <t>Verified: published on company website; HR or recruitment inbox, ask to forward to sales</t>
        </is>
      </c>
    </row>
    <row r="102">
      <c r="A102" s="183" t="n">
        <v>98</v>
      </c>
      <c r="B102" s="183" t="inlineStr">
        <is>
          <t>Medicos Hirata</t>
        </is>
      </c>
      <c r="C102" s="183" t="inlineStr">
        <is>
          <t>メディコスヒラタ</t>
        </is>
      </c>
      <c r="D102" s="183" t="inlineStr">
        <is>
          <t>Not retrieved (NTA lookup blocked in this session)</t>
        </is>
      </c>
      <c r="E102" s="183" t="inlineStr">
        <is>
          <t>大阪府</t>
        </is>
      </c>
      <c r="F102" s="183" t="inlineStr">
        <is>
          <t>Kansai</t>
        </is>
      </c>
      <c r="G102" s="183" t="inlineStr">
        <is>
          <t>https://www.medicos-hirata.co.jp/</t>
        </is>
      </c>
      <c r="H102" s="183" t="inlineStr">
        <is>
          <t>No MAH found; device sales licence (高度管理医療機器等販売業) not confirmed</t>
        </is>
      </c>
      <c r="I102" s="183" t="inlineStr">
        <is>
          <t>Not identified in published sources</t>
        </is>
      </c>
      <c r="J102" s="183" t="inlineStr">
        <is>
          <t>Endoscopy and IVR</t>
        </is>
      </c>
      <c r="K102" s="183" t="inlineStr">
        <is>
          <t>大阪府 (regional; branch network not confirmed)</t>
        </is>
      </c>
      <c r="L102" s="183" t="inlineStr">
        <is>
          <t>Not found</t>
        </is>
      </c>
      <c r="M102" s="183" t="inlineStr">
        <is>
          <t>Not identified</t>
        </is>
      </c>
      <c r="N102" s="183" t="inlineStr">
        <is>
          <t>Not identified</t>
        </is>
      </c>
      <c r="O102" s="183" t="inlineStr">
        <is>
          <t>Not published; use company inquiry form</t>
        </is>
      </c>
      <c r="P102" s="183" t="inlineStr">
        <is>
          <t>Not confirmed</t>
        </is>
      </c>
      <c r="Q102" s="183" t="inlineStr">
        <is>
          <t>Not identified</t>
        </is>
      </c>
      <c r="R102" s="184" t="inlineStr">
        <is>
          <t>Company inquiry only</t>
        </is>
      </c>
      <c r="S102" s="183" t="n">
        <v>19</v>
      </c>
      <c r="T102" s="189" t="inlineStr">
        <is>
          <t>C</t>
        </is>
      </c>
      <c r="U102" s="183" t="inlineStr">
        <is>
          <t>Adjacent hospital department line (no ultrasound found), which is the best recruit profile for a point of care line.</t>
        </is>
      </c>
      <c r="V102" s="183" t="inlineStr">
        <is>
          <t>Introduce CHISON as a future line through a national MAH partner; ask about their hospital and clinic coverage, service engineers and openness to non Japanese brands.</t>
        </is>
      </c>
      <c r="W102" s="183" t="inlineStr">
        <is>
          <t>N (not identified)</t>
        </is>
      </c>
      <c r="X102" s="186" t="inlineStr">
        <is>
          <t>https://baseconnect.in/companies/prefecture/d80b180e-5fd9-4082-8cdc-a510179a3475/keyword/89941b4e-2dd1-4848-8957-48af280a31e0</t>
        </is>
      </c>
      <c r="Y102" s="183" t="inlineStr">
        <is>
          <t>SonoTouch plus SonoEye P3 (nerve block, vascular access, peri operative)</t>
        </is>
      </c>
      <c r="Z102" s="183" t="inlineStr">
        <is>
          <t>2, 3, 3, 3, 3, 2, 3</t>
        </is>
      </c>
      <c r="AA102" s="183" t="inlineStr">
        <is>
          <t>Not found</t>
        </is>
      </c>
      <c r="AB102" s="183" t="inlineStr">
        <is>
          <t>Directory or search listing; not opened (direct site access blocked)</t>
        </is>
      </c>
      <c r="AC102" s="183" t="inlineStr">
        <is>
          <t>No expired licence or ended distribution agreement found</t>
        </is>
      </c>
      <c r="AD102" s="183" t="inlineStr">
        <is>
          <t>Not started</t>
        </is>
      </c>
      <c r="AE102" s="183" t="inlineStr"/>
      <c r="AF102" s="183" t="inlineStr"/>
      <c r="AG102" s="183" t="inlineStr">
        <is>
          <t>No email published; website has no contact page link, phone first</t>
        </is>
      </c>
    </row>
    <row r="103">
      <c r="A103" s="183" t="n">
        <v>99</v>
      </c>
      <c r="B103" s="183" t="inlineStr">
        <is>
          <t>Ferris</t>
        </is>
      </c>
      <c r="C103" s="183" t="inlineStr">
        <is>
          <t>フェリス</t>
        </is>
      </c>
      <c r="D103" s="183" t="inlineStr">
        <is>
          <t>Not retrieved (NTA lookup blocked in this session)</t>
        </is>
      </c>
      <c r="E103" s="183" t="inlineStr">
        <is>
          <t>大阪府</t>
        </is>
      </c>
      <c r="F103" s="183" t="inlineStr">
        <is>
          <t>Kansai</t>
        </is>
      </c>
      <c r="G103" s="183" t="inlineStr">
        <is>
          <t>https://feliz-medical.jp/</t>
        </is>
      </c>
      <c r="H103" s="183" t="inlineStr">
        <is>
          <t>No MAH found; device sales licence (高度管理医療機器等販売業) not confirmed</t>
        </is>
      </c>
      <c r="I103" s="183" t="inlineStr">
        <is>
          <t>Not identified in published sources</t>
        </is>
      </c>
      <c r="J103" s="183" t="inlineStr">
        <is>
          <t>Hospitals</t>
        </is>
      </c>
      <c r="K103" s="183" t="inlineStr">
        <is>
          <t>大阪府 (regional; branch network not confirmed)</t>
        </is>
      </c>
      <c r="L103" s="183" t="inlineStr">
        <is>
          <t>Not found</t>
        </is>
      </c>
      <c r="M103" s="183" t="inlineStr">
        <is>
          <t>Not identified</t>
        </is>
      </c>
      <c r="N103" s="183" t="inlineStr">
        <is>
          <t>Not identified</t>
        </is>
      </c>
      <c r="O103" s="183" t="inlineStr">
        <is>
          <t>Not published; use company inquiry form</t>
        </is>
      </c>
      <c r="P103" s="183" t="inlineStr">
        <is>
          <t>Not confirmed</t>
        </is>
      </c>
      <c r="Q103" s="183" t="inlineStr">
        <is>
          <t>Not identified</t>
        </is>
      </c>
      <c r="R103" s="184" t="inlineStr">
        <is>
          <t>Company inquiry only</t>
        </is>
      </c>
      <c r="S103" s="183" t="n">
        <v>19</v>
      </c>
      <c r="T103" s="189" t="inlineStr">
        <is>
          <t>C</t>
        </is>
      </c>
      <c r="U103" s="183" t="inlineStr">
        <is>
          <t>Regional general medical equipment dealer with hospital and clinic accounts; candidate sub dealer under a national MAH partner.</t>
        </is>
      </c>
      <c r="V103" s="183" t="inlineStr">
        <is>
          <t>Introduce CHISON as a future line through a national MAH partner; ask about their hospital and clinic coverage, service engineers and openness to non Japanese brands.</t>
        </is>
      </c>
      <c r="W103" s="183" t="inlineStr">
        <is>
          <t>N (not identified)</t>
        </is>
      </c>
      <c r="X103" s="186" t="inlineStr">
        <is>
          <t>https://baseconnect.in/companies/prefecture/d80b180e-5fd9-4082-8cdc-a510179a3475/keyword/89941b4e-2dd1-4848-8957-48af280a31e0</t>
        </is>
      </c>
      <c r="Y103" s="183" t="inlineStr">
        <is>
          <t>SonoEye P3 plus SonoAir 30 for GP and clinic accounts</t>
        </is>
      </c>
      <c r="Z103" s="183" t="inlineStr">
        <is>
          <t>2, 2, 3, 4, 3, 2, 3</t>
        </is>
      </c>
      <c r="AA103" s="183" t="inlineStr">
        <is>
          <t>Not found</t>
        </is>
      </c>
      <c r="AB103" s="183" t="inlineStr">
        <is>
          <t>Directory or search listing; not opened (direct site access blocked)</t>
        </is>
      </c>
      <c r="AC103" s="183" t="inlineStr">
        <is>
          <t>No expired licence or ended distribution agreement found</t>
        </is>
      </c>
      <c r="AD103" s="183" t="inlineStr">
        <is>
          <t>Not started</t>
        </is>
      </c>
      <c r="AE103" s="183" t="inlineStr"/>
      <c r="AF103" s="183" t="inlineStr"/>
      <c r="AG103" s="183" t="inlineStr">
        <is>
          <t>No email published; website has no contact page link, phone first</t>
        </is>
      </c>
    </row>
    <row r="104">
      <c r="A104" s="183" t="n">
        <v>100</v>
      </c>
      <c r="B104" s="183" t="inlineStr">
        <is>
          <t>Yamashita (Nara)</t>
        </is>
      </c>
      <c r="C104" s="183" t="inlineStr">
        <is>
          <t>ヤマシタ</t>
        </is>
      </c>
      <c r="D104" s="183" t="inlineStr">
        <is>
          <t>Not retrieved (NTA lookup blocked in this session)</t>
        </is>
      </c>
      <c r="E104" s="183" t="inlineStr">
        <is>
          <t>奈良県</t>
        </is>
      </c>
      <c r="F104" s="183" t="inlineStr">
        <is>
          <t>Kansai</t>
        </is>
      </c>
      <c r="G104" s="183" t="inlineStr">
        <is>
          <t>https://www.ycota.jp/</t>
        </is>
      </c>
      <c r="H104" s="183" t="inlineStr">
        <is>
          <t>No MAH found; device sales licence (高度管理医療機器等販売業) not confirmed</t>
        </is>
      </c>
      <c r="I104" s="183" t="inlineStr">
        <is>
          <t>Not identified in published sources</t>
        </is>
      </c>
      <c r="J104" s="183" t="inlineStr">
        <is>
          <t>Hospitals</t>
        </is>
      </c>
      <c r="K104" s="183" t="inlineStr">
        <is>
          <t>奈良県 (regional; branch network not confirmed)</t>
        </is>
      </c>
      <c r="L104" s="183" t="inlineStr">
        <is>
          <t>Not found</t>
        </is>
      </c>
      <c r="M104" s="183" t="inlineStr">
        <is>
          <t>Not identified</t>
        </is>
      </c>
      <c r="N104" s="183" t="inlineStr">
        <is>
          <t>Not identified</t>
        </is>
      </c>
      <c r="O104" s="183" t="inlineStr">
        <is>
          <t>Not published; use contact form</t>
        </is>
      </c>
      <c r="P104" s="183" t="inlineStr">
        <is>
          <t>Not confirmed</t>
        </is>
      </c>
      <c r="Q104" s="183" t="inlineStr">
        <is>
          <t>Not identified</t>
        </is>
      </c>
      <c r="R104" s="184" t="inlineStr">
        <is>
          <t>Likely</t>
        </is>
      </c>
      <c r="S104" s="183" t="n">
        <v>19</v>
      </c>
      <c r="T104" s="189" t="inlineStr">
        <is>
          <t>C</t>
        </is>
      </c>
      <c r="U104" s="183" t="inlineStr">
        <is>
          <t>Regional general medical equipment dealer with hospital and clinic accounts; candidate sub dealer under a national MAH partner.</t>
        </is>
      </c>
      <c r="V104" s="183" t="inlineStr">
        <is>
          <t>Introduce CHISON as a future line through a national MAH partner; ask about their hospital and clinic coverage, service engineers and openness to non Japanese brands.</t>
        </is>
      </c>
      <c r="W104" s="183" t="inlineStr">
        <is>
          <t>N (not identified)</t>
        </is>
      </c>
      <c r="X104" s="186" t="inlineStr">
        <is>
          <t>https://directscout.recruit.co.jp/job_descriptions/8733921 (search result set; reconfirm page)</t>
        </is>
      </c>
      <c r="Y104" s="183" t="inlineStr">
        <is>
          <t>SonoEye P3 plus SonoAir 30 for GP and clinic accounts</t>
        </is>
      </c>
      <c r="Z104" s="183" t="inlineStr">
        <is>
          <t>2, 2, 3, 2, 3, 4, 3</t>
        </is>
      </c>
      <c r="AA104" s="183" t="inlineStr">
        <is>
          <t>Not found</t>
        </is>
      </c>
      <c r="AB104" s="183" t="inlineStr">
        <is>
          <t>Directory or search listing; not opened (direct site access blocked)</t>
        </is>
      </c>
      <c r="AC104" s="183" t="inlineStr">
        <is>
          <t>No expired licence or ended distribution agreement found</t>
        </is>
      </c>
      <c r="AD104" s="183" t="inlineStr">
        <is>
          <t>Not started</t>
        </is>
      </c>
      <c r="AE104" s="183" t="inlineStr"/>
      <c r="AF104" s="183" t="inlineStr">
        <is>
          <t>https://www.ycota.jp/form/inquiry/</t>
        </is>
      </c>
      <c r="AG104" s="183" t="inlineStr">
        <is>
          <t>No email published; use the contact form (link in Email source)</t>
        </is>
      </c>
    </row>
    <row r="105">
      <c r="A105" s="183" t="n">
        <v>101</v>
      </c>
      <c r="B105" s="183" t="inlineStr">
        <is>
          <t>Hymec</t>
        </is>
      </c>
      <c r="C105" s="183" t="inlineStr">
        <is>
          <t>ハイメック</t>
        </is>
      </c>
      <c r="D105" s="183" t="inlineStr">
        <is>
          <t>Not retrieved (NTA lookup blocked in this session)</t>
        </is>
      </c>
      <c r="E105" s="183" t="inlineStr">
        <is>
          <t>富山県</t>
        </is>
      </c>
      <c r="F105" s="183" t="inlineStr">
        <is>
          <t>Chubu</t>
        </is>
      </c>
      <c r="G105" s="183" t="inlineStr">
        <is>
          <t>http://himec-jp.com/</t>
        </is>
      </c>
      <c r="H105" s="183" t="inlineStr">
        <is>
          <t>No MAH found; device sales licence (高度管理医療機器等販売業) not confirmed</t>
        </is>
      </c>
      <c r="I105" s="183" t="inlineStr">
        <is>
          <t>Not identified in published sources</t>
        </is>
      </c>
      <c r="J105" s="183" t="inlineStr">
        <is>
          <t>General medical equipment (hospitals and clinics)</t>
        </is>
      </c>
      <c r="K105" s="183" t="inlineStr">
        <is>
          <t>富山県 (regional; branch network not confirmed)</t>
        </is>
      </c>
      <c r="L105" s="183" t="inlineStr">
        <is>
          <t>Not found</t>
        </is>
      </c>
      <c r="M105" s="183" t="inlineStr">
        <is>
          <t>Not identified</t>
        </is>
      </c>
      <c r="N105" s="183" t="inlineStr">
        <is>
          <t>Not identified</t>
        </is>
      </c>
      <c r="O105" s="183" t="inlineStr">
        <is>
          <t>mail@himec-jp.com</t>
        </is>
      </c>
      <c r="P105" s="183" t="inlineStr">
        <is>
          <t>Not confirmed</t>
        </is>
      </c>
      <c r="Q105" s="183" t="inlineStr">
        <is>
          <t>Not identified</t>
        </is>
      </c>
      <c r="R105" s="184" t="inlineStr">
        <is>
          <t>Unverified</t>
        </is>
      </c>
      <c r="S105" s="183" t="n">
        <v>19</v>
      </c>
      <c r="T105" s="189" t="inlineStr">
        <is>
          <t>C</t>
        </is>
      </c>
      <c r="U105" s="183" t="inlineStr">
        <is>
          <t>Regional general medical equipment dealer with hospital and clinic accounts; candidate sub dealer under a national MAH partner.</t>
        </is>
      </c>
      <c r="V105" s="183" t="inlineStr">
        <is>
          <t>Introduce CHISON as a future line through a national MAH partner; ask about their hospital and clinic coverage, service engineers and openness to non Japanese brands.</t>
        </is>
      </c>
      <c r="W105" s="183" t="inlineStr">
        <is>
          <t>N (not identified)</t>
        </is>
      </c>
      <c r="X105" s="186" t="inlineStr">
        <is>
          <t>https://baseconnect.in/companies/prefecture/31ffefed-1183-4eba-a6d9-4182a6136e50/keyword/89941b4e-2dd1-4848-8957-48af280a31e0</t>
        </is>
      </c>
      <c r="Y105" s="183" t="inlineStr">
        <is>
          <t>SonoEye P3 plus SonoAir 30 for GP and clinic accounts</t>
        </is>
      </c>
      <c r="Z105" s="183" t="inlineStr">
        <is>
          <t>2, 2, 3, 3, 4, 2, 3</t>
        </is>
      </c>
      <c r="AA105" s="183" t="inlineStr">
        <is>
          <t>Not found</t>
        </is>
      </c>
      <c r="AB105" s="183" t="inlineStr">
        <is>
          <t>Directory or search listing; not opened (direct site access blocked)</t>
        </is>
      </c>
      <c r="AC105" s="183" t="inlineStr">
        <is>
          <t>No expired licence or ended distribution agreement found</t>
        </is>
      </c>
      <c r="AD105" s="183" t="inlineStr">
        <is>
          <t>Not started</t>
        </is>
      </c>
      <c r="AE105" s="183" t="inlineStr"/>
      <c r="AF105" s="183" t="inlineStr">
        <is>
          <t>http://himec-jp.com/contact.html</t>
        </is>
      </c>
      <c r="AG105" s="183" t="inlineStr">
        <is>
          <t>Verified: published on company website</t>
        </is>
      </c>
    </row>
    <row r="106">
      <c r="A106" s="183" t="n">
        <v>102</v>
      </c>
      <c r="B106" s="183" t="inlineStr">
        <is>
          <t>Ono Iryoki</t>
        </is>
      </c>
      <c r="C106" s="183" t="inlineStr">
        <is>
          <t>小野医療器</t>
        </is>
      </c>
      <c r="D106" s="183" t="inlineStr">
        <is>
          <t>Not retrieved (NTA lookup blocked in this session)</t>
        </is>
      </c>
      <c r="E106" s="183" t="inlineStr">
        <is>
          <t>富山県</t>
        </is>
      </c>
      <c r="F106" s="183" t="inlineStr">
        <is>
          <t>Chubu</t>
        </is>
      </c>
      <c r="G106" s="183" t="inlineStr">
        <is>
          <t>Not confirmed (company site not opened; network policy blocked direct access)</t>
        </is>
      </c>
      <c r="H106" s="183" t="inlineStr">
        <is>
          <t>No MAH found; device sales licence (高度管理医療機器等販売業) not confirmed</t>
        </is>
      </c>
      <c r="I106" s="183" t="inlineStr">
        <is>
          <t>Not identified in published sources</t>
        </is>
      </c>
      <c r="J106" s="183" t="inlineStr">
        <is>
          <t>General medical equipment (hospitals and clinics)</t>
        </is>
      </c>
      <c r="K106" s="183" t="inlineStr">
        <is>
          <t>富山県 (regional; branch network not confirmed)</t>
        </is>
      </c>
      <c r="L106" s="183" t="inlineStr">
        <is>
          <t>Not found</t>
        </is>
      </c>
      <c r="M106" s="183" t="inlineStr">
        <is>
          <t>Not identified</t>
        </is>
      </c>
      <c r="N106" s="183" t="inlineStr">
        <is>
          <t>Not identified</t>
        </is>
      </c>
      <c r="O106" s="183" t="inlineStr">
        <is>
          <t>Not published; use company inquiry form</t>
        </is>
      </c>
      <c r="P106" s="183" t="inlineStr">
        <is>
          <t>Not confirmed</t>
        </is>
      </c>
      <c r="Q106" s="183" t="inlineStr">
        <is>
          <t>Not identified</t>
        </is>
      </c>
      <c r="R106" s="184" t="inlineStr">
        <is>
          <t>Unverified</t>
        </is>
      </c>
      <c r="S106" s="183" t="n">
        <v>19</v>
      </c>
      <c r="T106" s="189" t="inlineStr">
        <is>
          <t>C</t>
        </is>
      </c>
      <c r="U106" s="183" t="inlineStr">
        <is>
          <t>Regional general medical equipment dealer with hospital and clinic accounts; candidate sub dealer under a national MAH partner.</t>
        </is>
      </c>
      <c r="V106" s="183" t="inlineStr">
        <is>
          <t>Introduce CHISON as a future line through a national MAH partner; ask about their hospital and clinic coverage, service engineers and openness to non Japanese brands.</t>
        </is>
      </c>
      <c r="W106" s="183" t="inlineStr">
        <is>
          <t>N (not identified)</t>
        </is>
      </c>
      <c r="X106" s="186" t="inlineStr">
        <is>
          <t>https://baseconnect.in/companies/prefecture/31ffefed-1183-4eba-a6d9-4182a6136e50/keyword/89941b4e-2dd1-4848-8957-48af280a31e0</t>
        </is>
      </c>
      <c r="Y106" s="183" t="inlineStr">
        <is>
          <t>SonoEye P3 plus SonoAir 30 for GP and clinic accounts</t>
        </is>
      </c>
      <c r="Z106" s="183" t="inlineStr">
        <is>
          <t>2, 2, 3, 3, 4, 2, 3</t>
        </is>
      </c>
      <c r="AA106" s="183" t="inlineStr">
        <is>
          <t>Not found</t>
        </is>
      </c>
      <c r="AB106" s="183" t="inlineStr">
        <is>
          <t>Directory or search listing; not opened (direct site access blocked)</t>
        </is>
      </c>
      <c r="AC106" s="183" t="inlineStr">
        <is>
          <t>No expired licence or ended distribution agreement found</t>
        </is>
      </c>
      <c r="AD106" s="183" t="inlineStr">
        <is>
          <t>Not started</t>
        </is>
      </c>
      <c r="AE106" s="183" t="inlineStr"/>
      <c r="AF106" s="183" t="inlineStr"/>
      <c r="AG106" s="183" t="inlineStr">
        <is>
          <t>No email published and no verified website found</t>
        </is>
      </c>
    </row>
    <row r="107">
      <c r="A107" s="183" t="n">
        <v>103</v>
      </c>
      <c r="B107" s="183" t="inlineStr">
        <is>
          <t>GM Medical</t>
        </is>
      </c>
      <c r="C107" s="183" t="inlineStr">
        <is>
          <t>ジーエムメディカル</t>
        </is>
      </c>
      <c r="D107" s="183" t="inlineStr">
        <is>
          <t>Not retrieved (NTA lookup blocked in this session)</t>
        </is>
      </c>
      <c r="E107" s="183" t="inlineStr">
        <is>
          <t>福岡県</t>
        </is>
      </c>
      <c r="F107" s="183" t="inlineStr">
        <is>
          <t>Kyushu and Okinawa</t>
        </is>
      </c>
      <c r="G107" s="183" t="inlineStr">
        <is>
          <t>https://www.gmm.co.jp/</t>
        </is>
      </c>
      <c r="H107" s="183" t="inlineStr">
        <is>
          <t>No MAH found; device sales licence (高度管理医療機器等販売業) not confirmed</t>
        </is>
      </c>
      <c r="I107" s="183" t="inlineStr">
        <is>
          <t>Not identified in published sources</t>
        </is>
      </c>
      <c r="J107" s="183" t="inlineStr">
        <is>
          <t>Cardiology</t>
        </is>
      </c>
      <c r="K107" s="183" t="inlineStr">
        <is>
          <t>福岡県 (regional; branch network not confirmed)</t>
        </is>
      </c>
      <c r="L107" s="183" t="inlineStr">
        <is>
          <t>Not found</t>
        </is>
      </c>
      <c r="M107" s="183" t="inlineStr">
        <is>
          <t>Not identified</t>
        </is>
      </c>
      <c r="N107" s="183" t="inlineStr">
        <is>
          <t>Not identified</t>
        </is>
      </c>
      <c r="O107" s="183" t="inlineStr">
        <is>
          <t>info@gmm.co.jp</t>
        </is>
      </c>
      <c r="P107" s="183" t="inlineStr">
        <is>
          <t>Not confirmed</t>
        </is>
      </c>
      <c r="Q107" s="183" t="inlineStr">
        <is>
          <t>Not identified</t>
        </is>
      </c>
      <c r="R107" s="184" t="inlineStr">
        <is>
          <t>Unverified</t>
        </is>
      </c>
      <c r="S107" s="183" t="n">
        <v>19</v>
      </c>
      <c r="T107" s="189" t="inlineStr">
        <is>
          <t>C</t>
        </is>
      </c>
      <c r="U107" s="183" t="inlineStr">
        <is>
          <t>Adjacent hospital department line (no ultrasound found), which is the best recruit profile for a point of care line.</t>
        </is>
      </c>
      <c r="V107" s="183" t="inlineStr">
        <is>
          <t>Introduce CHISON as a future line through a national MAH partner; ask about their hospital and clinic coverage, service engineers and openness to non Japanese brands.</t>
        </is>
      </c>
      <c r="W107" s="183" t="inlineStr">
        <is>
          <t>N (not identified)</t>
        </is>
      </c>
      <c r="X107" s="186" t="inlineStr">
        <is>
          <t>https://baseconnect.in/companies/prefecture/39b58ff0-63fd-405f-8b8a-37c5443ce5c7/keyword/89941b4e-2dd1-4848-8957-48af280a31e0</t>
        </is>
      </c>
      <c r="Y107" s="183" t="inlineStr">
        <is>
          <t>CBit 6 cart plus SonoEye P5 pocket echo</t>
        </is>
      </c>
      <c r="Z107" s="183" t="inlineStr">
        <is>
          <t>2, 3, 3, 3, 3, 2, 3</t>
        </is>
      </c>
      <c r="AA107" s="183" t="inlineStr">
        <is>
          <t>Not found</t>
        </is>
      </c>
      <c r="AB107" s="183" t="inlineStr">
        <is>
          <t>Directory or search listing; not opened (direct site access blocked)</t>
        </is>
      </c>
      <c r="AC107" s="183" t="inlineStr">
        <is>
          <t>No expired licence or ended distribution agreement found</t>
        </is>
      </c>
      <c r="AD107" s="183" t="inlineStr">
        <is>
          <t>Not started</t>
        </is>
      </c>
      <c r="AE107" s="183" t="inlineStr"/>
      <c r="AF107" s="183" t="inlineStr">
        <is>
          <t>https://www.gmm.co.jp/inquiry/</t>
        </is>
      </c>
      <c r="AG107" s="183" t="inlineStr">
        <is>
          <t>Verified: published on company website</t>
        </is>
      </c>
    </row>
    <row r="108">
      <c r="A108" s="183" t="n">
        <v>104</v>
      </c>
      <c r="B108" s="183" t="inlineStr">
        <is>
          <t>South Medical</t>
        </is>
      </c>
      <c r="C108" s="183" t="inlineStr">
        <is>
          <t>サウス・メディカル</t>
        </is>
      </c>
      <c r="D108" s="183" t="inlineStr">
        <is>
          <t>Not retrieved (NTA lookup blocked in this session)</t>
        </is>
      </c>
      <c r="E108" s="183" t="inlineStr">
        <is>
          <t>鹿児島県</t>
        </is>
      </c>
      <c r="F108" s="183" t="inlineStr">
        <is>
          <t>Kyushu and Okinawa</t>
        </is>
      </c>
      <c r="G108" s="183" t="inlineStr">
        <is>
          <t>https://www.southmedic.com/</t>
        </is>
      </c>
      <c r="H108" s="183" t="inlineStr">
        <is>
          <t>No MAH found; device sales licence (高度管理医療機器等販売業) not confirmed</t>
        </is>
      </c>
      <c r="I108" s="183" t="inlineStr">
        <is>
          <t>Not identified in published sources</t>
        </is>
      </c>
      <c r="J108" s="183" t="inlineStr">
        <is>
          <t>General medical equipment (hospitals and clinics)</t>
        </is>
      </c>
      <c r="K108" s="183" t="inlineStr">
        <is>
          <t>鹿児島県 (regional; branch network not confirmed)</t>
        </is>
      </c>
      <c r="L108" s="183" t="inlineStr">
        <is>
          <t>Not found</t>
        </is>
      </c>
      <c r="M108" s="183" t="inlineStr">
        <is>
          <t>Not identified</t>
        </is>
      </c>
      <c r="N108" s="183" t="inlineStr">
        <is>
          <t>Not identified</t>
        </is>
      </c>
      <c r="O108" s="183" t="inlineStr">
        <is>
          <t>custserv@southmedic.com</t>
        </is>
      </c>
      <c r="P108" s="183" t="inlineStr">
        <is>
          <t>Not confirmed</t>
        </is>
      </c>
      <c r="Q108" s="183" t="inlineStr">
        <is>
          <t>Not identified</t>
        </is>
      </c>
      <c r="R108" s="184" t="inlineStr">
        <is>
          <t>Unverified</t>
        </is>
      </c>
      <c r="S108" s="183" t="n">
        <v>19</v>
      </c>
      <c r="T108" s="189" t="inlineStr">
        <is>
          <t>C</t>
        </is>
      </c>
      <c r="U108" s="183" t="inlineStr">
        <is>
          <t>Regional general medical equipment dealer with hospital and clinic accounts; candidate sub dealer under a national MAH partner.</t>
        </is>
      </c>
      <c r="V108" s="183" t="inlineStr">
        <is>
          <t>Introduce CHISON as a future line through a national MAH partner; ask about their hospital and clinic coverage, service engineers and openness to non Japanese brands.</t>
        </is>
      </c>
      <c r="W108" s="183" t="inlineStr">
        <is>
          <t>N (not identified)</t>
        </is>
      </c>
      <c r="X108" s="186" t="inlineStr">
        <is>
          <t>https://compalyze.co.jp/company/2340001001399 (reconfirm page)</t>
        </is>
      </c>
      <c r="Y108" s="183" t="inlineStr">
        <is>
          <t>SonoEye P3 plus SonoAir 30 for GP and clinic accounts</t>
        </is>
      </c>
      <c r="Z108" s="183" t="inlineStr">
        <is>
          <t>2, 2, 3, 2, 3, 4, 3</t>
        </is>
      </c>
      <c r="AA108" s="183" t="inlineStr">
        <is>
          <t>Not found</t>
        </is>
      </c>
      <c r="AB108" s="183" t="inlineStr">
        <is>
          <t>Directory or search listing; not opened (direct site access blocked)</t>
        </is>
      </c>
      <c r="AC108" s="183" t="inlineStr">
        <is>
          <t>No expired licence or ended distribution agreement found</t>
        </is>
      </c>
      <c r="AD108" s="183" t="inlineStr">
        <is>
          <t>Not started</t>
        </is>
      </c>
      <c r="AE108" s="183" t="inlineStr"/>
      <c r="AF108" s="183" t="inlineStr">
        <is>
          <t>https://www.southmedic.com/</t>
        </is>
      </c>
      <c r="AG108" s="183" t="inlineStr">
        <is>
          <t>Verified: published on company website</t>
        </is>
      </c>
    </row>
    <row r="109">
      <c r="A109" s="183" t="n">
        <v>105</v>
      </c>
      <c r="B109" s="183" t="inlineStr">
        <is>
          <t>Shibata Intech</t>
        </is>
      </c>
      <c r="C109" s="183" t="inlineStr">
        <is>
          <t>シバタインテック</t>
        </is>
      </c>
      <c r="D109" s="183" t="inlineStr">
        <is>
          <t>Not retrieved (NTA lookup blocked in this session)</t>
        </is>
      </c>
      <c r="E109" s="183" t="inlineStr">
        <is>
          <t>宮城県</t>
        </is>
      </c>
      <c r="F109" s="183" t="inlineStr">
        <is>
          <t>Tohoku and Hokkaido</t>
        </is>
      </c>
      <c r="G109" s="183" t="inlineStr">
        <is>
          <t>Not confirmed (company site not opened; network policy blocked direct access)</t>
        </is>
      </c>
      <c r="H109" s="183" t="inlineStr">
        <is>
          <t>No MAH found; device sales licence (高度管理医療機器等販売業) not confirmed</t>
        </is>
      </c>
      <c r="I109" s="183" t="inlineStr">
        <is>
          <t>Not identified in published sources</t>
        </is>
      </c>
      <c r="J109" s="183" t="inlineStr">
        <is>
          <t>Hospitals</t>
        </is>
      </c>
      <c r="K109" s="183" t="inlineStr">
        <is>
          <t>宮城県 (regional; branch network not confirmed)</t>
        </is>
      </c>
      <c r="L109" s="183" t="inlineStr">
        <is>
          <t>Not found</t>
        </is>
      </c>
      <c r="M109" s="183" t="inlineStr">
        <is>
          <t>Not identified</t>
        </is>
      </c>
      <c r="N109" s="183" t="inlineStr">
        <is>
          <t>Not identified</t>
        </is>
      </c>
      <c r="O109" s="183" t="inlineStr">
        <is>
          <t>Not published; use company inquiry form</t>
        </is>
      </c>
      <c r="P109" s="183" t="inlineStr">
        <is>
          <t>Not confirmed</t>
        </is>
      </c>
      <c r="Q109" s="183" t="inlineStr">
        <is>
          <t>Not identified</t>
        </is>
      </c>
      <c r="R109" s="184" t="inlineStr">
        <is>
          <t>Unverified</t>
        </is>
      </c>
      <c r="S109" s="183" t="n">
        <v>19</v>
      </c>
      <c r="T109" s="189" t="inlineStr">
        <is>
          <t>C</t>
        </is>
      </c>
      <c r="U109" s="183" t="inlineStr">
        <is>
          <t>Regional general medical equipment dealer with hospital and clinic accounts; candidate sub dealer under a national MAH partner.</t>
        </is>
      </c>
      <c r="V109" s="183" t="inlineStr">
        <is>
          <t>Introduce CHISON as a future line through a national MAH partner; ask about their hospital and clinic coverage, service engineers and openness to non Japanese brands.</t>
        </is>
      </c>
      <c r="W109" s="183" t="inlineStr">
        <is>
          <t>N (not identified)</t>
        </is>
      </c>
      <c r="X109" s="186" t="inlineStr">
        <is>
          <t>https://www.jahid.or.jp/pdf/meibo2021.pdf ; https://baseconnect.in/companies/prefecture/3eff90d1-0bad-4fac-bce6-da9b939d7407/keyword/89941b4e-2dd1-4848-8957-48af280a31e0</t>
        </is>
      </c>
      <c r="Y109" s="183" t="inlineStr">
        <is>
          <t>SonoEye P3 plus SonoAir 30 for GP and clinic accounts</t>
        </is>
      </c>
      <c r="Z109" s="183" t="inlineStr">
        <is>
          <t>2, 2, 3, 4, 3, 2, 3</t>
        </is>
      </c>
      <c r="AA109" s="183" t="inlineStr">
        <is>
          <t>Not found</t>
        </is>
      </c>
      <c r="AB109" s="183" t="inlineStr">
        <is>
          <t>Directory or search listing; not opened (direct site access blocked)</t>
        </is>
      </c>
      <c r="AC109" s="183" t="inlineStr">
        <is>
          <t>No expired licence or ended distribution agreement found</t>
        </is>
      </c>
      <c r="AD109" s="183" t="inlineStr">
        <is>
          <t>Not started</t>
        </is>
      </c>
      <c r="AE109" s="183" t="inlineStr"/>
      <c r="AF109" s="183" t="inlineStr"/>
      <c r="AG109" s="183" t="inlineStr">
        <is>
          <t>No email published and no verified website found</t>
        </is>
      </c>
    </row>
    <row r="110">
      <c r="A110" s="183" t="n">
        <v>106</v>
      </c>
      <c r="B110" s="183" t="inlineStr">
        <is>
          <t>Kanaya Ika Kikai</t>
        </is>
      </c>
      <c r="C110" s="183" t="inlineStr">
        <is>
          <t>カナヤ医科器械</t>
        </is>
      </c>
      <c r="D110" s="183" t="inlineStr">
        <is>
          <t>Not retrieved (NTA lookup blocked in this session)</t>
        </is>
      </c>
      <c r="E110" s="183" t="inlineStr">
        <is>
          <t>山口県</t>
        </is>
      </c>
      <c r="F110" s="183" t="inlineStr">
        <is>
          <t>Chugoku and Shikoku</t>
        </is>
      </c>
      <c r="G110" s="183" t="inlineStr">
        <is>
          <t>https://kanaya-ikakikai.co.jp/</t>
        </is>
      </c>
      <c r="H110" s="183" t="inlineStr">
        <is>
          <t>No MAH found; device sales licence (高度管理医療機器等販売業) not confirmed</t>
        </is>
      </c>
      <c r="I110" s="183" t="inlineStr">
        <is>
          <t>Not identified in published sources</t>
        </is>
      </c>
      <c r="J110" s="183" t="inlineStr">
        <is>
          <t>General medical equipment (hospitals and clinics)</t>
        </is>
      </c>
      <c r="K110" s="183" t="inlineStr">
        <is>
          <t>山口県 (regional; branch network not confirmed)</t>
        </is>
      </c>
      <c r="L110" s="183" t="inlineStr">
        <is>
          <t>Not found</t>
        </is>
      </c>
      <c r="M110" s="183" t="inlineStr">
        <is>
          <t>Not identified</t>
        </is>
      </c>
      <c r="N110" s="183" t="inlineStr">
        <is>
          <t>Not identified</t>
        </is>
      </c>
      <c r="O110" s="183" t="inlineStr">
        <is>
          <t>honsha-jimu@kanaya-ikakikai.co.jp</t>
        </is>
      </c>
      <c r="P110" s="183" t="inlineStr">
        <is>
          <t>Not confirmed</t>
        </is>
      </c>
      <c r="Q110" s="183" t="inlineStr">
        <is>
          <t>Not identified</t>
        </is>
      </c>
      <c r="R110" s="184" t="inlineStr">
        <is>
          <t>Unverified</t>
        </is>
      </c>
      <c r="S110" s="183" t="n">
        <v>19</v>
      </c>
      <c r="T110" s="189" t="inlineStr">
        <is>
          <t>C</t>
        </is>
      </c>
      <c r="U110" s="183" t="inlineStr">
        <is>
          <t>Regional general medical equipment dealer with hospital and clinic accounts; candidate sub dealer under a national MAH partner.</t>
        </is>
      </c>
      <c r="V110" s="183" t="inlineStr">
        <is>
          <t>Introduce CHISON as a future line through a national MAH partner; ask about their hospital and clinic coverage, service engineers and openness to non Japanese brands.</t>
        </is>
      </c>
      <c r="W110" s="183" t="inlineStr">
        <is>
          <t>N (not identified)</t>
        </is>
      </c>
      <c r="X110" s="186" t="inlineStr">
        <is>
          <t>https://baseconnect.in/companies/prefecture/a89155ac-9626-450f-9011-00a5b6529965/category/b2358a1c-c4c6-46f4-a0b1-dee3a1b30a0b ; https://fukuokamea.com/%E4%BC%9A%E5%93%A1%E7%B4%B9%E4%BB%8B-2/</t>
        </is>
      </c>
      <c r="Y110" s="183" t="inlineStr">
        <is>
          <t>SonoEye P3 plus SonoAir 30 for GP and clinic accounts</t>
        </is>
      </c>
      <c r="Z110" s="183" t="inlineStr">
        <is>
          <t>2, 2, 3, 3, 4, 2, 3</t>
        </is>
      </c>
      <c r="AA110" s="183" t="inlineStr">
        <is>
          <t>Not found</t>
        </is>
      </c>
      <c r="AB110" s="183" t="inlineStr">
        <is>
          <t>Directory or search listing; not opened (direct site access blocked)</t>
        </is>
      </c>
      <c r="AC110" s="183" t="inlineStr">
        <is>
          <t>No expired licence or ended distribution agreement found</t>
        </is>
      </c>
      <c r="AD110" s="183" t="inlineStr">
        <is>
          <t>Not started</t>
        </is>
      </c>
      <c r="AE110" s="183" t="inlineStr"/>
      <c r="AF110" s="183" t="inlineStr">
        <is>
          <t>https://kanaya-ikakikai.co.jp/inquiry</t>
        </is>
      </c>
      <c r="AG110" s="183" t="inlineStr">
        <is>
          <t>Verified: published on company website</t>
        </is>
      </c>
    </row>
    <row r="111">
      <c r="A111" s="183" t="n">
        <v>107</v>
      </c>
      <c r="B111" s="183" t="inlineStr">
        <is>
          <t>Cardiomedix</t>
        </is>
      </c>
      <c r="C111" s="183" t="inlineStr">
        <is>
          <t>カーディオメディックス</t>
        </is>
      </c>
      <c r="D111" s="183" t="inlineStr">
        <is>
          <t>Not retrieved (NTA lookup blocked in this session)</t>
        </is>
      </c>
      <c r="E111" s="183" t="inlineStr">
        <is>
          <t>岡山県</t>
        </is>
      </c>
      <c r="F111" s="183" t="inlineStr">
        <is>
          <t>Chugoku and Shikoku</t>
        </is>
      </c>
      <c r="G111" s="183" t="inlineStr">
        <is>
          <t>https://cardiomedics.co.jp/</t>
        </is>
      </c>
      <c r="H111" s="183" t="inlineStr">
        <is>
          <t>No MAH found; device sales licence (高度管理医療機器等販売業) not confirmed</t>
        </is>
      </c>
      <c r="I111" s="183" t="inlineStr">
        <is>
          <t>Not identified in published sources</t>
        </is>
      </c>
      <c r="J111" s="183" t="inlineStr">
        <is>
          <t>Cardiology</t>
        </is>
      </c>
      <c r="K111" s="183" t="inlineStr">
        <is>
          <t>岡山県 (regional; branch network not confirmed)</t>
        </is>
      </c>
      <c r="L111" s="183" t="inlineStr">
        <is>
          <t>Not found</t>
        </is>
      </c>
      <c r="M111" s="183" t="inlineStr">
        <is>
          <t>Not identified</t>
        </is>
      </c>
      <c r="N111" s="183" t="inlineStr">
        <is>
          <t>Not identified</t>
        </is>
      </c>
      <c r="O111" s="183" t="inlineStr">
        <is>
          <t>Not published; use contact form</t>
        </is>
      </c>
      <c r="P111" s="183" t="inlineStr">
        <is>
          <t>Not confirmed</t>
        </is>
      </c>
      <c r="Q111" s="183" t="inlineStr">
        <is>
          <t>Not identified</t>
        </is>
      </c>
      <c r="R111" s="184" t="inlineStr">
        <is>
          <t>Likely</t>
        </is>
      </c>
      <c r="S111" s="183" t="n">
        <v>19</v>
      </c>
      <c r="T111" s="189" t="inlineStr">
        <is>
          <t>C</t>
        </is>
      </c>
      <c r="U111" s="183" t="inlineStr">
        <is>
          <t>Adjacent hospital department line (no ultrasound found), which is the best recruit profile for a point of care line.</t>
        </is>
      </c>
      <c r="V111" s="183" t="inlineStr">
        <is>
          <t>Introduce CHISON as a future line through a national MAH partner; ask about their hospital and clinic coverage, service engineers and openness to non Japanese brands.</t>
        </is>
      </c>
      <c r="W111" s="183" t="inlineStr">
        <is>
          <t>N (not identified)</t>
        </is>
      </c>
      <c r="X111" s="186" t="inlineStr">
        <is>
          <t>https://baseconnect.in/companies/prefecture/cd00efe9-63bc-49a2-846e-3cfd4bca7207/keyword/89941b4e-2dd1-4848-8957-48af280a31e0</t>
        </is>
      </c>
      <c r="Y111" s="183" t="inlineStr">
        <is>
          <t>CBit 6 cart plus SonoEye P5 pocket echo</t>
        </is>
      </c>
      <c r="Z111" s="183" t="inlineStr">
        <is>
          <t>2, 3, 3, 3, 3, 2, 3</t>
        </is>
      </c>
      <c r="AA111" s="183" t="inlineStr">
        <is>
          <t>Not found</t>
        </is>
      </c>
      <c r="AB111" s="183" t="inlineStr">
        <is>
          <t>Directory or search listing; not opened (direct site access blocked)</t>
        </is>
      </c>
      <c r="AC111" s="183" t="inlineStr">
        <is>
          <t>No expired licence or ended distribution agreement found</t>
        </is>
      </c>
      <c r="AD111" s="183" t="inlineStr">
        <is>
          <t>Not started</t>
        </is>
      </c>
      <c r="AE111" s="183" t="inlineStr"/>
      <c r="AF111" s="183" t="inlineStr">
        <is>
          <t>https://cardiomedics.co.jp/publics/index/5/</t>
        </is>
      </c>
      <c r="AG111" s="183" t="inlineStr">
        <is>
          <t>No email published; use the contact form (link in Email source)</t>
        </is>
      </c>
    </row>
    <row r="112">
      <c r="A112" s="183" t="n">
        <v>108</v>
      </c>
      <c r="B112" s="183" t="inlineStr">
        <is>
          <t>Kyowa Iriki</t>
        </is>
      </c>
      <c r="C112" s="183" t="inlineStr">
        <is>
          <t>共和医理器</t>
        </is>
      </c>
      <c r="D112" s="183" t="inlineStr">
        <is>
          <t>Not retrieved (NTA lookup blocked in this session)</t>
        </is>
      </c>
      <c r="E112" s="183" t="inlineStr">
        <is>
          <t>広島県</t>
        </is>
      </c>
      <c r="F112" s="183" t="inlineStr">
        <is>
          <t>Chugoku and Shikoku</t>
        </is>
      </c>
      <c r="G112" s="183" t="inlineStr">
        <is>
          <t>Not confirmed (company site not opened; network policy blocked direct access)</t>
        </is>
      </c>
      <c r="H112" s="183" t="inlineStr">
        <is>
          <t>No MAH found; device sales licence (高度管理医療機器等販売業) not confirmed</t>
        </is>
      </c>
      <c r="I112" s="183" t="inlineStr">
        <is>
          <t>Not identified in published sources</t>
        </is>
      </c>
      <c r="J112" s="183" t="inlineStr">
        <is>
          <t>Hospitals</t>
        </is>
      </c>
      <c r="K112" s="183" t="inlineStr">
        <is>
          <t>広島県 (regional; branch network not confirmed)</t>
        </is>
      </c>
      <c r="L112" s="183" t="inlineStr">
        <is>
          <t>Not found</t>
        </is>
      </c>
      <c r="M112" s="183" t="inlineStr">
        <is>
          <t>Not identified</t>
        </is>
      </c>
      <c r="N112" s="183" t="inlineStr">
        <is>
          <t>Not identified</t>
        </is>
      </c>
      <c r="O112" s="183" t="inlineStr">
        <is>
          <t>Not published; use company inquiry form</t>
        </is>
      </c>
      <c r="P112" s="183" t="inlineStr">
        <is>
          <t>Not confirmed</t>
        </is>
      </c>
      <c r="Q112" s="183" t="inlineStr">
        <is>
          <t>Not identified</t>
        </is>
      </c>
      <c r="R112" s="184" t="inlineStr">
        <is>
          <t>Unverified</t>
        </is>
      </c>
      <c r="S112" s="183" t="n">
        <v>19</v>
      </c>
      <c r="T112" s="189" t="inlineStr">
        <is>
          <t>C</t>
        </is>
      </c>
      <c r="U112" s="183" t="inlineStr">
        <is>
          <t>Regional general medical equipment dealer with hospital and clinic accounts; candidate sub dealer under a national MAH partner.</t>
        </is>
      </c>
      <c r="V112" s="183" t="inlineStr">
        <is>
          <t>Introduce CHISON as a future line through a national MAH partner; ask about their hospital and clinic coverage, service engineers and openness to non Japanese brands.</t>
        </is>
      </c>
      <c r="W112" s="183" t="inlineStr">
        <is>
          <t>N (not identified)</t>
        </is>
      </c>
      <c r="X112" s="186" t="inlineStr">
        <is>
          <t>https://baseconnect.in/companies/prefecture/3562c231-08e3-43af-8765-2077382c0c10/keyword/6afa1771-8d91-440c-86b0-ba8538b7bf9a</t>
        </is>
      </c>
      <c r="Y112" s="183" t="inlineStr">
        <is>
          <t>SonoEye P3 plus SonoAir 30 for GP and clinic accounts</t>
        </is>
      </c>
      <c r="Z112" s="183" t="inlineStr">
        <is>
          <t>2, 2, 3, 4, 3, 2, 3</t>
        </is>
      </c>
      <c r="AA112" s="183" t="inlineStr">
        <is>
          <t>Not found</t>
        </is>
      </c>
      <c r="AB112" s="183" t="inlineStr">
        <is>
          <t>Directory or search listing; not opened (direct site access blocked)</t>
        </is>
      </c>
      <c r="AC112" s="183" t="inlineStr">
        <is>
          <t>No expired licence or ended distribution agreement found</t>
        </is>
      </c>
      <c r="AD112" s="183" t="inlineStr">
        <is>
          <t>Not started</t>
        </is>
      </c>
      <c r="AE112" s="183" t="inlineStr"/>
      <c r="AF112" s="183" t="inlineStr"/>
      <c r="AG112" s="183" t="inlineStr">
        <is>
          <t>No email published and no verified website found</t>
        </is>
      </c>
    </row>
    <row r="113">
      <c r="A113" s="183" t="n">
        <v>109</v>
      </c>
      <c r="B113" s="183" t="inlineStr">
        <is>
          <t>Nisshin Kikai</t>
        </is>
      </c>
      <c r="C113" s="183" t="inlineStr">
        <is>
          <t>日新器械</t>
        </is>
      </c>
      <c r="D113" s="183" t="inlineStr">
        <is>
          <t>Not retrieved (NTA lookup blocked in this session)</t>
        </is>
      </c>
      <c r="E113" s="183" t="inlineStr">
        <is>
          <t>徳島県</t>
        </is>
      </c>
      <c r="F113" s="183" t="inlineStr">
        <is>
          <t>Chugoku and Shikoku</t>
        </is>
      </c>
      <c r="G113" s="183" t="inlineStr">
        <is>
          <t>https://www.nissin5111.com/</t>
        </is>
      </c>
      <c r="H113" s="183" t="inlineStr">
        <is>
          <t>No MAH found; device sales licence (高度管理医療機器等販売業) not confirmed</t>
        </is>
      </c>
      <c r="I113" s="183" t="inlineStr">
        <is>
          <t>Not identified in published sources</t>
        </is>
      </c>
      <c r="J113" s="183" t="inlineStr">
        <is>
          <t>General medical equipment (hospitals and clinics)</t>
        </is>
      </c>
      <c r="K113" s="183" t="inlineStr">
        <is>
          <t>徳島県 (regional; branch network not confirmed)</t>
        </is>
      </c>
      <c r="L113" s="183" t="inlineStr">
        <is>
          <t>Not found</t>
        </is>
      </c>
      <c r="M113" s="183" t="inlineStr">
        <is>
          <t>Not identified</t>
        </is>
      </c>
      <c r="N113" s="183" t="inlineStr">
        <is>
          <t>Not identified</t>
        </is>
      </c>
      <c r="O113" s="183" t="inlineStr">
        <is>
          <t>Not published; use contact form</t>
        </is>
      </c>
      <c r="P113" s="183" t="inlineStr">
        <is>
          <t>Not confirmed</t>
        </is>
      </c>
      <c r="Q113" s="183" t="inlineStr">
        <is>
          <t>Not identified</t>
        </is>
      </c>
      <c r="R113" s="184" t="inlineStr">
        <is>
          <t>Likely</t>
        </is>
      </c>
      <c r="S113" s="183" t="n">
        <v>19</v>
      </c>
      <c r="T113" s="189" t="inlineStr">
        <is>
          <t>C</t>
        </is>
      </c>
      <c r="U113" s="183" t="inlineStr">
        <is>
          <t>Regional general medical equipment dealer with hospital and clinic accounts; candidate sub dealer under a national MAH partner.</t>
        </is>
      </c>
      <c r="V113" s="183" t="inlineStr">
        <is>
          <t>Introduce CHISON as a future line through a national MAH partner; ask about their hospital and clinic coverage, service engineers and openness to non Japanese brands.</t>
        </is>
      </c>
      <c r="W113" s="183" t="inlineStr">
        <is>
          <t>N (not identified)</t>
        </is>
      </c>
      <c r="X113" s="186" t="inlineStr">
        <is>
          <t>https://baseconnect.in/companies/prefecture/22e3a90e-e956-4cce-bd1b-bdc8b44fc75f/category/b2358a1c-c4c6-46f4-a0b1-dee3a1b30a0b</t>
        </is>
      </c>
      <c r="Y113" s="183" t="inlineStr">
        <is>
          <t>SonoEye P3 plus SonoAir 30 for GP and clinic accounts</t>
        </is>
      </c>
      <c r="Z113" s="183" t="inlineStr">
        <is>
          <t>2, 2, 3, 2, 3, 4, 3</t>
        </is>
      </c>
      <c r="AA113" s="183" t="inlineStr">
        <is>
          <t>Not found</t>
        </is>
      </c>
      <c r="AB113" s="183" t="inlineStr">
        <is>
          <t>Directory or search listing; not opened (direct site access blocked)</t>
        </is>
      </c>
      <c r="AC113" s="183" t="inlineStr">
        <is>
          <t>No expired licence or ended distribution agreement found</t>
        </is>
      </c>
      <c r="AD113" s="183" t="inlineStr">
        <is>
          <t>Not started</t>
        </is>
      </c>
      <c r="AE113" s="183" t="inlineStr"/>
      <c r="AF113" s="183" t="inlineStr">
        <is>
          <t>https://www.nissin5111.com/contact/</t>
        </is>
      </c>
      <c r="AG113" s="183" t="inlineStr">
        <is>
          <t>No email published; use the contact form (link in Email source)</t>
        </is>
      </c>
    </row>
    <row r="114">
      <c r="A114" s="183" t="n">
        <v>110</v>
      </c>
      <c r="B114" s="183" t="inlineStr">
        <is>
          <t>Oshima Kikai</t>
        </is>
      </c>
      <c r="C114" s="183" t="inlineStr">
        <is>
          <t>大島器械</t>
        </is>
      </c>
      <c r="D114" s="183" t="inlineStr">
        <is>
          <t>Not retrieved (NTA lookup blocked in this session)</t>
        </is>
      </c>
      <c r="E114" s="183" t="inlineStr">
        <is>
          <t>徳島県</t>
        </is>
      </c>
      <c r="F114" s="183" t="inlineStr">
        <is>
          <t>Chugoku and Shikoku</t>
        </is>
      </c>
      <c r="G114" s="183" t="inlineStr">
        <is>
          <t>http://www.oshimakikai.co.jp/</t>
        </is>
      </c>
      <c r="H114" s="183" t="inlineStr">
        <is>
          <t>No MAH found; device sales licence (高度管理医療機器等販売業) not confirmed</t>
        </is>
      </c>
      <c r="I114" s="183" t="inlineStr">
        <is>
          <t>Not identified in published sources</t>
        </is>
      </c>
      <c r="J114" s="183" t="inlineStr">
        <is>
          <t>Cardiology, Anaesthesia, ICU and respiratory</t>
        </is>
      </c>
      <c r="K114" s="183" t="inlineStr">
        <is>
          <t>徳島県 (regional; branch network not confirmed)</t>
        </is>
      </c>
      <c r="L114" s="183" t="inlineStr">
        <is>
          <t>Not found</t>
        </is>
      </c>
      <c r="M114" s="183" t="inlineStr">
        <is>
          <t>Not identified</t>
        </is>
      </c>
      <c r="N114" s="183" t="inlineStr">
        <is>
          <t>Not identified</t>
        </is>
      </c>
      <c r="O114" s="183" t="inlineStr">
        <is>
          <t>Not published; use contact form</t>
        </is>
      </c>
      <c r="P114" s="183" t="inlineStr">
        <is>
          <t>Not confirmed</t>
        </is>
      </c>
      <c r="Q114" s="183" t="inlineStr">
        <is>
          <t>Not identified</t>
        </is>
      </c>
      <c r="R114" s="184" t="inlineStr">
        <is>
          <t>Likely</t>
        </is>
      </c>
      <c r="S114" s="183" t="n">
        <v>19</v>
      </c>
      <c r="T114" s="189" t="inlineStr">
        <is>
          <t>C</t>
        </is>
      </c>
      <c r="U114" s="183" t="inlineStr">
        <is>
          <t>Adjacent hospital department line (no ultrasound found), which is the best recruit profile for a point of care line.</t>
        </is>
      </c>
      <c r="V114" s="183" t="inlineStr">
        <is>
          <t>Introduce CHISON as a future line through a national MAH partner; ask about their hospital and clinic coverage, service engineers and openness to non Japanese brands.</t>
        </is>
      </c>
      <c r="W114" s="183" t="inlineStr">
        <is>
          <t>N (not identified)</t>
        </is>
      </c>
      <c r="X114" s="186" t="inlineStr">
        <is>
          <t>https://baseconnect.in/companies/prefecture/22e3a90e-e956-4cce-bd1b-bdc8b44fc75f/category/b2358a1c-c4c6-46f4-a0b1-dee3a1b30a0b</t>
        </is>
      </c>
      <c r="Y114" s="183" t="inlineStr">
        <is>
          <t>CBit 6 cart plus SonoEye P5 pocket echo</t>
        </is>
      </c>
      <c r="Z114" s="183" t="inlineStr">
        <is>
          <t>2, 3, 3, 3, 3, 2, 3</t>
        </is>
      </c>
      <c r="AA114" s="183" t="inlineStr">
        <is>
          <t>Not found</t>
        </is>
      </c>
      <c r="AB114" s="183" t="inlineStr">
        <is>
          <t>Directory or search listing; not opened (direct site access blocked)</t>
        </is>
      </c>
      <c r="AC114" s="183" t="inlineStr">
        <is>
          <t>No expired licence or ended distribution agreement found</t>
        </is>
      </c>
      <c r="AD114" s="183" t="inlineStr">
        <is>
          <t>Not started</t>
        </is>
      </c>
      <c r="AE114" s="183" t="inlineStr"/>
      <c r="AF114" s="183" t="inlineStr">
        <is>
          <t>http://www.oshimakikai.co.jp/form</t>
        </is>
      </c>
      <c r="AG114" s="183" t="inlineStr">
        <is>
          <t>No email published; use the contact form (link in Email source)</t>
        </is>
      </c>
    </row>
    <row r="115">
      <c r="A115" s="183" t="n">
        <v>111</v>
      </c>
      <c r="B115" s="183" t="inlineStr">
        <is>
          <t>Sun Medical (Uwajima)</t>
        </is>
      </c>
      <c r="C115" s="183" t="inlineStr">
        <is>
          <t>サンメディカル宇和島</t>
        </is>
      </c>
      <c r="D115" s="183" t="inlineStr">
        <is>
          <t>Not retrieved (NTA lookup blocked in this session)</t>
        </is>
      </c>
      <c r="E115" s="183" t="inlineStr">
        <is>
          <t>愛媛県</t>
        </is>
      </c>
      <c r="F115" s="183" t="inlineStr">
        <is>
          <t>Chugoku and Shikoku</t>
        </is>
      </c>
      <c r="G115" s="183" t="inlineStr">
        <is>
          <t>Not confirmed (company site not opened; network policy blocked direct access)</t>
        </is>
      </c>
      <c r="H115" s="183" t="inlineStr">
        <is>
          <t>No MAH found; device sales licence (高度管理医療機器等販売業) not confirmed</t>
        </is>
      </c>
      <c r="I115" s="183" t="inlineStr">
        <is>
          <t>Not identified in published sources</t>
        </is>
      </c>
      <c r="J115" s="183" t="inlineStr">
        <is>
          <t>Endoscopy and IVR</t>
        </is>
      </c>
      <c r="K115" s="183" t="inlineStr">
        <is>
          <t>愛媛県 (regional; branch network not confirmed)</t>
        </is>
      </c>
      <c r="L115" s="183" t="inlineStr">
        <is>
          <t>Not found</t>
        </is>
      </c>
      <c r="M115" s="183" t="inlineStr">
        <is>
          <t>Not identified</t>
        </is>
      </c>
      <c r="N115" s="183" t="inlineStr">
        <is>
          <t>Not identified</t>
        </is>
      </c>
      <c r="O115" s="183" t="inlineStr">
        <is>
          <t>Not published; use company inquiry form</t>
        </is>
      </c>
      <c r="P115" s="183" t="inlineStr">
        <is>
          <t>Not confirmed</t>
        </is>
      </c>
      <c r="Q115" s="183" t="inlineStr">
        <is>
          <t>Not identified</t>
        </is>
      </c>
      <c r="R115" s="184" t="inlineStr">
        <is>
          <t>Unverified</t>
        </is>
      </c>
      <c r="S115" s="183" t="n">
        <v>19</v>
      </c>
      <c r="T115" s="189" t="inlineStr">
        <is>
          <t>C</t>
        </is>
      </c>
      <c r="U115" s="183" t="inlineStr">
        <is>
          <t>Adjacent hospital department line (no ultrasound found), which is the best recruit profile for a point of care line.</t>
        </is>
      </c>
      <c r="V115" s="183" t="inlineStr">
        <is>
          <t>Introduce CHISON as a future line through a national MAH partner; ask about their hospital and clinic coverage, service engineers and openness to non Japanese brands.</t>
        </is>
      </c>
      <c r="W115" s="183" t="inlineStr">
        <is>
          <t>N (not identified)</t>
        </is>
      </c>
      <c r="X115" s="186" t="inlineStr">
        <is>
          <t>https://baseconnect.in/companies/prefecture/18e4d2f6-9b16-4488-931c-17ced3101b74/keyword/2eca165e-bd4a-4e2e-bc44-397492071b92</t>
        </is>
      </c>
      <c r="Y115" s="183" t="inlineStr">
        <is>
          <t>SonoTouch plus SonoEye P3 (nerve block, vascular access, peri operative)</t>
        </is>
      </c>
      <c r="Z115" s="183" t="inlineStr">
        <is>
          <t>2, 3, 3, 3, 3, 2, 3</t>
        </is>
      </c>
      <c r="AA115" s="183" t="inlineStr">
        <is>
          <t>Not found</t>
        </is>
      </c>
      <c r="AB115" s="183" t="inlineStr">
        <is>
          <t>Directory or search listing; not opened (direct site access blocked)</t>
        </is>
      </c>
      <c r="AC115" s="183" t="inlineStr">
        <is>
          <t>No expired licence or ended distribution agreement found</t>
        </is>
      </c>
      <c r="AD115" s="183" t="inlineStr">
        <is>
          <t>Not started</t>
        </is>
      </c>
      <c r="AE115" s="183" t="inlineStr"/>
      <c r="AF115" s="183" t="inlineStr"/>
      <c r="AG115" s="183" t="inlineStr">
        <is>
          <t>No email published and no verified website found</t>
        </is>
      </c>
    </row>
    <row r="116">
      <c r="A116" s="183" t="n">
        <v>112</v>
      </c>
      <c r="B116" s="183" t="inlineStr">
        <is>
          <t>C Mec</t>
        </is>
      </c>
      <c r="C116" s="183" t="inlineStr">
        <is>
          <t>シーメック</t>
        </is>
      </c>
      <c r="D116" s="183" t="inlineStr">
        <is>
          <t>Not retrieved (NTA lookup blocked in this session)</t>
        </is>
      </c>
      <c r="E116" s="183" t="inlineStr">
        <is>
          <t>高知県</t>
        </is>
      </c>
      <c r="F116" s="183" t="inlineStr">
        <is>
          <t>Chugoku and Shikoku</t>
        </is>
      </c>
      <c r="G116" s="183" t="inlineStr">
        <is>
          <t>https://connectmec.co.jp/</t>
        </is>
      </c>
      <c r="H116" s="183" t="inlineStr">
        <is>
          <t>No MAH found; device sales licence (高度管理医療機器等販売業) not confirmed</t>
        </is>
      </c>
      <c r="I116" s="183" t="inlineStr">
        <is>
          <t>Not identified in published sources</t>
        </is>
      </c>
      <c r="J116" s="183" t="inlineStr">
        <is>
          <t>Hospitals</t>
        </is>
      </c>
      <c r="K116" s="183" t="inlineStr">
        <is>
          <t>高知県 (regional; branch network not confirmed)</t>
        </is>
      </c>
      <c r="L116" s="183" t="inlineStr">
        <is>
          <t>Not found</t>
        </is>
      </c>
      <c r="M116" s="183" t="inlineStr">
        <is>
          <t>Not identified</t>
        </is>
      </c>
      <c r="N116" s="183" t="inlineStr">
        <is>
          <t>Not identified</t>
        </is>
      </c>
      <c r="O116" s="183" t="inlineStr">
        <is>
          <t>c-mec@connectmec.co.jp</t>
        </is>
      </c>
      <c r="P116" s="183" t="inlineStr">
        <is>
          <t>Not confirmed</t>
        </is>
      </c>
      <c r="Q116" s="183" t="inlineStr">
        <is>
          <t>Not identified</t>
        </is>
      </c>
      <c r="R116" s="184" t="inlineStr">
        <is>
          <t>Unverified</t>
        </is>
      </c>
      <c r="S116" s="183" t="n">
        <v>19</v>
      </c>
      <c r="T116" s="189" t="inlineStr">
        <is>
          <t>C</t>
        </is>
      </c>
      <c r="U116" s="183" t="inlineStr">
        <is>
          <t>Regional general medical equipment dealer with hospital and clinic accounts; candidate sub dealer under a national MAH partner.</t>
        </is>
      </c>
      <c r="V116" s="183" t="inlineStr">
        <is>
          <t>Introduce CHISON as a future line through a national MAH partner; ask about their hospital and clinic coverage, service engineers and openness to non Japanese brands.</t>
        </is>
      </c>
      <c r="W116" s="183" t="inlineStr">
        <is>
          <t>N (not identified)</t>
        </is>
      </c>
      <c r="X116" s="186" t="inlineStr">
        <is>
          <t>https://baseconnect.in/companies/prefecture/f533238c-06e6-46f9-9508-cbe03ad6754f/category/b2358a1c-c4c6-46f4-a0b1-dee3a1b30a0b</t>
        </is>
      </c>
      <c r="Y116" s="183" t="inlineStr">
        <is>
          <t>SonoEye P3 plus SonoAir 30 for GP and clinic accounts</t>
        </is>
      </c>
      <c r="Z116" s="183" t="inlineStr">
        <is>
          <t>2, 2, 3, 4, 3, 2, 3</t>
        </is>
      </c>
      <c r="AA116" s="183" t="inlineStr">
        <is>
          <t>Not found</t>
        </is>
      </c>
      <c r="AB116" s="183" t="inlineStr">
        <is>
          <t>Directory or search listing; not opened (direct site access blocked)</t>
        </is>
      </c>
      <c r="AC116" s="183" t="inlineStr">
        <is>
          <t>No expired licence or ended distribution agreement found</t>
        </is>
      </c>
      <c r="AD116" s="183" t="inlineStr">
        <is>
          <t>Not started</t>
        </is>
      </c>
      <c r="AE116" s="183" t="inlineStr"/>
      <c r="AF116" s="183" t="inlineStr">
        <is>
          <t>https://connectmec.co.jp/category/news/feed/</t>
        </is>
      </c>
      <c r="AG116" s="183" t="inlineStr">
        <is>
          <t>Verified: published on company website</t>
        </is>
      </c>
    </row>
    <row r="117">
      <c r="A117" s="183" t="n">
        <v>113</v>
      </c>
      <c r="B117" s="183" t="inlineStr">
        <is>
          <t>Granmate</t>
        </is>
      </c>
      <c r="C117" s="183" t="inlineStr">
        <is>
          <t>グランメイト</t>
        </is>
      </c>
      <c r="D117" s="183" t="inlineStr">
        <is>
          <t>Not retrieved (NTA lookup blocked in this session)</t>
        </is>
      </c>
      <c r="E117" s="183" t="inlineStr">
        <is>
          <t>千葉県</t>
        </is>
      </c>
      <c r="F117" s="183" t="inlineStr">
        <is>
          <t>Kanto</t>
        </is>
      </c>
      <c r="G117" s="183" t="inlineStr">
        <is>
          <t>https://granmate.jp/</t>
        </is>
      </c>
      <c r="H117" s="183" t="inlineStr">
        <is>
          <t>No MAH found; device sales licence (高度管理医療機器等販売業) not confirmed</t>
        </is>
      </c>
      <c r="I117" s="183" t="inlineStr">
        <is>
          <t>Not identified in published sources</t>
        </is>
      </c>
      <c r="J117" s="183" t="inlineStr">
        <is>
          <t>General medical equipment (hospitals and clinics)</t>
        </is>
      </c>
      <c r="K117" s="183" t="inlineStr">
        <is>
          <t>千葉県 (regional; branch network not confirmed)</t>
        </is>
      </c>
      <c r="L117" s="183" t="inlineStr">
        <is>
          <t>Not found</t>
        </is>
      </c>
      <c r="M117" s="183" t="inlineStr">
        <is>
          <t>Not identified</t>
        </is>
      </c>
      <c r="N117" s="183" t="inlineStr">
        <is>
          <t>Not identified</t>
        </is>
      </c>
      <c r="O117" s="183" t="inlineStr">
        <is>
          <t>info@granmate.jp</t>
        </is>
      </c>
      <c r="P117" s="183" t="inlineStr">
        <is>
          <t>Not confirmed</t>
        </is>
      </c>
      <c r="Q117" s="183" t="inlineStr">
        <is>
          <t>Not identified</t>
        </is>
      </c>
      <c r="R117" s="184" t="inlineStr">
        <is>
          <t>Unverified</t>
        </is>
      </c>
      <c r="S117" s="183" t="n">
        <v>18</v>
      </c>
      <c r="T117" s="189" t="inlineStr">
        <is>
          <t>C</t>
        </is>
      </c>
      <c r="U117" s="183" t="inlineStr">
        <is>
          <t>Regional general medical equipment dealer with hospital and clinic accounts; candidate sub dealer under a national MAH partner.</t>
        </is>
      </c>
      <c r="V117" s="183" t="inlineStr">
        <is>
          <t>Introduce CHISON as a future line through a national MAH partner; ask about their hospital and clinic coverage, service engineers and openness to non Japanese brands.</t>
        </is>
      </c>
      <c r="W117" s="183" t="inlineStr">
        <is>
          <t>N (not identified)</t>
        </is>
      </c>
      <c r="X117" s="186" t="inlineStr">
        <is>
          <t>https://baseconnect.in/companies/prefecture/3420045f-8609-4232-9407-75407ae4e6e8/category/b2358a1c-c4c6-46f4-a0b1-dee3a1b30a0b</t>
        </is>
      </c>
      <c r="Y117" s="183" t="inlineStr">
        <is>
          <t>SonoEye P3 plus SonoAir 30 for GP and clinic accounts</t>
        </is>
      </c>
      <c r="Z117" s="183" t="inlineStr">
        <is>
          <t>2, 2, 3, 3, 3, 2, 3</t>
        </is>
      </c>
      <c r="AA117" s="183" t="inlineStr">
        <is>
          <t>Not found</t>
        </is>
      </c>
      <c r="AB117" s="183" t="inlineStr">
        <is>
          <t>Directory or search listing; not opened (direct site access blocked)</t>
        </is>
      </c>
      <c r="AC117" s="183" t="inlineStr">
        <is>
          <t>No expired licence or ended distribution agreement found</t>
        </is>
      </c>
      <c r="AD117" s="183" t="inlineStr">
        <is>
          <t>Not started</t>
        </is>
      </c>
      <c r="AE117" s="183" t="inlineStr"/>
      <c r="AF117" s="183" t="inlineStr">
        <is>
          <t>https://granmate.jp/inquiry/</t>
        </is>
      </c>
      <c r="AG117" s="183" t="inlineStr">
        <is>
          <t>Verified: published on company website</t>
        </is>
      </c>
    </row>
    <row r="118">
      <c r="A118" s="183" t="n">
        <v>114</v>
      </c>
      <c r="B118" s="183" t="inlineStr">
        <is>
          <t>Wawa</t>
        </is>
      </c>
      <c r="C118" s="183" t="inlineStr">
        <is>
          <t>Wawa</t>
        </is>
      </c>
      <c r="D118" s="183" t="inlineStr">
        <is>
          <t>Not retrieved (NTA lookup blocked in this session)</t>
        </is>
      </c>
      <c r="E118" s="183" t="inlineStr">
        <is>
          <t>千葉県</t>
        </is>
      </c>
      <c r="F118" s="183" t="inlineStr">
        <is>
          <t>Kanto</t>
        </is>
      </c>
      <c r="G118" s="183" t="inlineStr">
        <is>
          <t>https://wawa-japan.com/</t>
        </is>
      </c>
      <c r="H118" s="183" t="inlineStr">
        <is>
          <t>No MAH found; device sales licence (高度管理医療機器等販売業) not confirmed</t>
        </is>
      </c>
      <c r="I118" s="183" t="inlineStr">
        <is>
          <t>Not identified in published sources</t>
        </is>
      </c>
      <c r="J118" s="183" t="inlineStr">
        <is>
          <t>General medical equipment (hospitals and clinics)</t>
        </is>
      </c>
      <c r="K118" s="183" t="inlineStr">
        <is>
          <t>千葉県 (regional; branch network not confirmed)</t>
        </is>
      </c>
      <c r="L118" s="183" t="inlineStr">
        <is>
          <t>Not found</t>
        </is>
      </c>
      <c r="M118" s="183" t="inlineStr">
        <is>
          <t>Not identified</t>
        </is>
      </c>
      <c r="N118" s="183" t="inlineStr">
        <is>
          <t>Not identified</t>
        </is>
      </c>
      <c r="O118" s="183" t="inlineStr">
        <is>
          <t>info@wawa-japan.com</t>
        </is>
      </c>
      <c r="P118" s="183" t="inlineStr">
        <is>
          <t>Not confirmed</t>
        </is>
      </c>
      <c r="Q118" s="183" t="inlineStr">
        <is>
          <t>Not identified</t>
        </is>
      </c>
      <c r="R118" s="184" t="inlineStr">
        <is>
          <t>Unverified</t>
        </is>
      </c>
      <c r="S118" s="183" t="n">
        <v>18</v>
      </c>
      <c r="T118" s="189" t="inlineStr">
        <is>
          <t>C</t>
        </is>
      </c>
      <c r="U118" s="183" t="inlineStr">
        <is>
          <t>Regional general medical equipment dealer with hospital and clinic accounts; candidate sub dealer under a national MAH partner.</t>
        </is>
      </c>
      <c r="V118" s="183" t="inlineStr">
        <is>
          <t>Introduce CHISON as a future line through a national MAH partner; ask about their hospital and clinic coverage, service engineers and openness to non Japanese brands.</t>
        </is>
      </c>
      <c r="W118" s="183" t="inlineStr">
        <is>
          <t>N (not identified)</t>
        </is>
      </c>
      <c r="X118" s="186" t="inlineStr">
        <is>
          <t>https://baseconnect.in/companies/prefecture/3420045f-8609-4232-9407-75407ae4e6e8/category/b2358a1c-c4c6-46f4-a0b1-dee3a1b30a0b</t>
        </is>
      </c>
      <c r="Y118" s="183" t="inlineStr">
        <is>
          <t>SonoEye P3 plus SonoAir 30 for GP and clinic accounts</t>
        </is>
      </c>
      <c r="Z118" s="183" t="inlineStr">
        <is>
          <t>2, 2, 3, 3, 3, 2, 3</t>
        </is>
      </c>
      <c r="AA118" s="183" t="inlineStr">
        <is>
          <t>Not found</t>
        </is>
      </c>
      <c r="AB118" s="183" t="inlineStr">
        <is>
          <t>Directory or search listing; not opened (direct site access blocked)</t>
        </is>
      </c>
      <c r="AC118" s="183" t="inlineStr">
        <is>
          <t>No expired licence or ended distribution agreement found</t>
        </is>
      </c>
      <c r="AD118" s="183" t="inlineStr">
        <is>
          <t>Not started</t>
        </is>
      </c>
      <c r="AE118" s="183" t="inlineStr"/>
      <c r="AF118" s="183" t="inlineStr">
        <is>
          <t>https://wawa-japan.com/</t>
        </is>
      </c>
      <c r="AG118" s="183" t="inlineStr">
        <is>
          <t>Verified: published on company website</t>
        </is>
      </c>
    </row>
    <row r="119">
      <c r="A119" s="183" t="n">
        <v>115</v>
      </c>
      <c r="B119" s="183" t="inlineStr">
        <is>
          <t>Creo Medical</t>
        </is>
      </c>
      <c r="C119" s="183" t="inlineStr">
        <is>
          <t>クレオメディカル</t>
        </is>
      </c>
      <c r="D119" s="183" t="inlineStr">
        <is>
          <t>Not retrieved (NTA lookup blocked in this session)</t>
        </is>
      </c>
      <c r="E119" s="183" t="inlineStr">
        <is>
          <t>千葉県</t>
        </is>
      </c>
      <c r="F119" s="183" t="inlineStr">
        <is>
          <t>Kanto</t>
        </is>
      </c>
      <c r="G119" s="183" t="inlineStr">
        <is>
          <t>https://www.creomedical.com/en/</t>
        </is>
      </c>
      <c r="H119" s="183" t="inlineStr">
        <is>
          <t>No MAH found; device sales licence (高度管理医療機器等販売業) not confirmed</t>
        </is>
      </c>
      <c r="I119" s="183" t="inlineStr">
        <is>
          <t>Not identified in published sources</t>
        </is>
      </c>
      <c r="J119" s="183" t="inlineStr">
        <is>
          <t>General medical equipment (hospitals and clinics)</t>
        </is>
      </c>
      <c r="K119" s="183" t="inlineStr">
        <is>
          <t>千葉県 (regional; branch network not confirmed)</t>
        </is>
      </c>
      <c r="L119" s="183" t="inlineStr">
        <is>
          <t>Not found</t>
        </is>
      </c>
      <c r="M119" s="183" t="inlineStr">
        <is>
          <t>Not identified</t>
        </is>
      </c>
      <c r="N119" s="183" t="inlineStr">
        <is>
          <t>Not identified</t>
        </is>
      </c>
      <c r="O119" s="183" t="inlineStr">
        <is>
          <t>uscustomerservice@creomedical.com</t>
        </is>
      </c>
      <c r="P119" s="183" t="inlineStr">
        <is>
          <t>Not confirmed</t>
        </is>
      </c>
      <c r="Q119" s="183" t="inlineStr">
        <is>
          <t>Not identified</t>
        </is>
      </c>
      <c r="R119" s="184" t="inlineStr">
        <is>
          <t>Unverified</t>
        </is>
      </c>
      <c r="S119" s="183" t="n">
        <v>18</v>
      </c>
      <c r="T119" s="189" t="inlineStr">
        <is>
          <t>C</t>
        </is>
      </c>
      <c r="U119" s="183" t="inlineStr">
        <is>
          <t>Regional general medical equipment dealer with hospital and clinic accounts; candidate sub dealer under a national MAH partner.</t>
        </is>
      </c>
      <c r="V119" s="183" t="inlineStr">
        <is>
          <t>Introduce CHISON as a future line through a national MAH partner; ask about their hospital and clinic coverage, service engineers and openness to non Japanese brands.</t>
        </is>
      </c>
      <c r="W119" s="183" t="inlineStr">
        <is>
          <t>N (not identified)</t>
        </is>
      </c>
      <c r="X119" s="186" t="inlineStr">
        <is>
          <t>https://baseconnect.in/companies/prefecture/3420045f-8609-4232-9407-75407ae4e6e8/keyword/89941b4e-2dd1-4848-8957-48af280a31e0</t>
        </is>
      </c>
      <c r="Y119" s="183" t="inlineStr">
        <is>
          <t>SonoEye P3 plus SonoAir 30 for GP and clinic accounts</t>
        </is>
      </c>
      <c r="Z119" s="183" t="inlineStr">
        <is>
          <t>2, 2, 3, 3, 3, 2, 3</t>
        </is>
      </c>
      <c r="AA119" s="183" t="inlineStr">
        <is>
          <t>Not found</t>
        </is>
      </c>
      <c r="AB119" s="183" t="inlineStr">
        <is>
          <t>Directory or search listing; not opened (direct site access blocked)</t>
        </is>
      </c>
      <c r="AC119" s="183" t="inlineStr">
        <is>
          <t>No expired licence or ended distribution agreement found</t>
        </is>
      </c>
      <c r="AD119" s="183" t="inlineStr">
        <is>
          <t>Not started</t>
        </is>
      </c>
      <c r="AE119" s="183" t="inlineStr">
        <is>
          <t>customerservice@creomedical.com</t>
        </is>
      </c>
      <c r="AF119" s="183" t="inlineStr">
        <is>
          <t>https://www.creomedical.com/en/contact</t>
        </is>
      </c>
      <c r="AG119" s="183" t="inlineStr">
        <is>
          <t>Verified: published on company website</t>
        </is>
      </c>
    </row>
    <row r="120">
      <c r="A120" s="183" t="n">
        <v>116</v>
      </c>
      <c r="B120" s="183" t="inlineStr">
        <is>
          <t>Ast</t>
        </is>
      </c>
      <c r="C120" s="183" t="inlineStr">
        <is>
          <t>アスト</t>
        </is>
      </c>
      <c r="D120" s="183" t="inlineStr">
        <is>
          <t>Not retrieved (NTA lookup blocked in this session)</t>
        </is>
      </c>
      <c r="E120" s="183" t="inlineStr">
        <is>
          <t>埼玉県</t>
        </is>
      </c>
      <c r="F120" s="183" t="inlineStr">
        <is>
          <t>Kanto</t>
        </is>
      </c>
      <c r="G120" s="183" t="inlineStr">
        <is>
          <t>https://www.ast-co.jp/</t>
        </is>
      </c>
      <c r="H120" s="183" t="inlineStr">
        <is>
          <t>No MAH found; device sales licence (高度管理医療機器等販売業) not confirmed</t>
        </is>
      </c>
      <c r="I120" s="183" t="inlineStr">
        <is>
          <t>Not identified in published sources</t>
        </is>
      </c>
      <c r="J120" s="183" t="inlineStr">
        <is>
          <t>Anaesthesia, ICU and respiratory, Surgery and OR</t>
        </is>
      </c>
      <c r="K120" s="183" t="inlineStr">
        <is>
          <t>埼玉県 (regional; branch network not confirmed)</t>
        </is>
      </c>
      <c r="L120" s="183" t="inlineStr">
        <is>
          <t>Not found</t>
        </is>
      </c>
      <c r="M120" s="183" t="inlineStr">
        <is>
          <t>Not identified</t>
        </is>
      </c>
      <c r="N120" s="183" t="inlineStr">
        <is>
          <t>Not identified</t>
        </is>
      </c>
      <c r="O120" s="183" t="inlineStr">
        <is>
          <t>Not published; use contact form</t>
        </is>
      </c>
      <c r="P120" s="183" t="inlineStr">
        <is>
          <t>Not confirmed</t>
        </is>
      </c>
      <c r="Q120" s="183" t="inlineStr">
        <is>
          <t>Not identified</t>
        </is>
      </c>
      <c r="R120" s="184" t="inlineStr">
        <is>
          <t>Likely</t>
        </is>
      </c>
      <c r="S120" s="183" t="n">
        <v>18</v>
      </c>
      <c r="T120" s="189" t="inlineStr">
        <is>
          <t>C</t>
        </is>
      </c>
      <c r="U120" s="183" t="inlineStr">
        <is>
          <t>Adjacent hospital department line (no ultrasound found), which is the best recruit profile for a point of care line.</t>
        </is>
      </c>
      <c r="V120" s="183" t="inlineStr">
        <is>
          <t>Introduce CHISON as a future line through a national MAH partner; ask about their hospital and clinic coverage, service engineers and openness to non Japanese brands.</t>
        </is>
      </c>
      <c r="W120" s="183" t="inlineStr">
        <is>
          <t>N (not identified)</t>
        </is>
      </c>
      <c r="X120" s="186" t="inlineStr">
        <is>
          <t>https://baseconnect.in/companies/prefecture/5b2e6d00-cfba-4d0b-850d-54757e4b4d7f/category/b2358a1c-c4c6-46f4-a0b1-dee3a1b30a0b</t>
        </is>
      </c>
      <c r="Y120" s="183" t="inlineStr">
        <is>
          <t>SonoTouch plus SonoEye P3 (nerve block, vascular access, peri operative)</t>
        </is>
      </c>
      <c r="Z120" s="183" t="inlineStr">
        <is>
          <t>2, 3, 3, 2, 3, 2, 3</t>
        </is>
      </c>
      <c r="AA120" s="183" t="inlineStr">
        <is>
          <t>Not found</t>
        </is>
      </c>
      <c r="AB120" s="183" t="inlineStr">
        <is>
          <t>Directory or search listing; not opened (direct site access blocked)</t>
        </is>
      </c>
      <c r="AC120" s="183" t="inlineStr">
        <is>
          <t>No expired licence or ended distribution agreement found</t>
        </is>
      </c>
      <c r="AD120" s="183" t="inlineStr">
        <is>
          <t>Not started</t>
        </is>
      </c>
      <c r="AE120" s="183" t="inlineStr"/>
      <c r="AF120" s="183" t="inlineStr">
        <is>
          <t>https://www.ast-co.jp/inquiry.html</t>
        </is>
      </c>
      <c r="AG120" s="183" t="inlineStr">
        <is>
          <t>No email published; use the contact form (link in Email source)</t>
        </is>
      </c>
    </row>
    <row r="121">
      <c r="A121" s="183" t="n">
        <v>117</v>
      </c>
      <c r="B121" s="183" t="inlineStr">
        <is>
          <t>Normeca Asia</t>
        </is>
      </c>
      <c r="C121" s="183" t="inlineStr">
        <is>
          <t>ノルメカエイシア</t>
        </is>
      </c>
      <c r="D121" s="183" t="inlineStr">
        <is>
          <t>Not retrieved (NTA lookup blocked in this session)</t>
        </is>
      </c>
      <c r="E121" s="183" t="inlineStr">
        <is>
          <t>埼玉県</t>
        </is>
      </c>
      <c r="F121" s="183" t="inlineStr">
        <is>
          <t>Kanto</t>
        </is>
      </c>
      <c r="G121" s="183" t="inlineStr">
        <is>
          <t>https://www.normeca-asia.jp/</t>
        </is>
      </c>
      <c r="H121" s="183" t="inlineStr">
        <is>
          <t>No MAH found; device sales licence (高度管理医療機器等販売業) not confirmed</t>
        </is>
      </c>
      <c r="I121" s="183" t="inlineStr">
        <is>
          <t>Not identified in published sources</t>
        </is>
      </c>
      <c r="J121" s="183" t="inlineStr">
        <is>
          <t>Emergency and disaster</t>
        </is>
      </c>
      <c r="K121" s="183" t="inlineStr">
        <is>
          <t>埼玉県 (regional; branch network not confirmed)</t>
        </is>
      </c>
      <c r="L121" s="183" t="inlineStr">
        <is>
          <t>Not found</t>
        </is>
      </c>
      <c r="M121" s="183" t="inlineStr">
        <is>
          <t>Not identified</t>
        </is>
      </c>
      <c r="N121" s="183" t="inlineStr">
        <is>
          <t>Not identified</t>
        </is>
      </c>
      <c r="O121" s="183" t="inlineStr">
        <is>
          <t>Not published; use contact form</t>
        </is>
      </c>
      <c r="P121" s="183" t="inlineStr">
        <is>
          <t>Not confirmed</t>
        </is>
      </c>
      <c r="Q121" s="183" t="inlineStr">
        <is>
          <t>Not identified</t>
        </is>
      </c>
      <c r="R121" s="184" t="inlineStr">
        <is>
          <t>Likely</t>
        </is>
      </c>
      <c r="S121" s="183" t="n">
        <v>18</v>
      </c>
      <c r="T121" s="189" t="inlineStr">
        <is>
          <t>C</t>
        </is>
      </c>
      <c r="U121" s="183" t="inlineStr">
        <is>
          <t>Adjacent hospital department line (no ultrasound found), which is the best recruit profile for a point of care line.</t>
        </is>
      </c>
      <c r="V121" s="183" t="inlineStr">
        <is>
          <t>Introduce CHISON as a future line through a national MAH partner; ask about their hospital and clinic coverage, service engineers and openness to non Japanese brands.</t>
        </is>
      </c>
      <c r="W121" s="183" t="inlineStr">
        <is>
          <t>N (not identified)</t>
        </is>
      </c>
      <c r="X121" s="186" t="inlineStr">
        <is>
          <t>https://baseconnect.in/companies/prefecture/5b2e6d00-cfba-4d0b-850d-54757e4b4d7f/category/b2358a1c-c4c6-46f4-a0b1-dee3a1b30a0b</t>
        </is>
      </c>
      <c r="Y121" s="183" t="inlineStr">
        <is>
          <t>SonoEye P3 for FAST, lung and vascular access (POCUS)</t>
        </is>
      </c>
      <c r="Z121" s="183" t="inlineStr">
        <is>
          <t>2, 3, 3, 2, 3, 2, 3</t>
        </is>
      </c>
      <c r="AA121" s="183" t="inlineStr">
        <is>
          <t>Not found</t>
        </is>
      </c>
      <c r="AB121" s="183" t="inlineStr">
        <is>
          <t>Directory or search listing; not opened (direct site access blocked)</t>
        </is>
      </c>
      <c r="AC121" s="183" t="inlineStr">
        <is>
          <t>No expired licence or ended distribution agreement found</t>
        </is>
      </c>
      <c r="AD121" s="183" t="inlineStr">
        <is>
          <t>Not started</t>
        </is>
      </c>
      <c r="AE121" s="183" t="inlineStr"/>
      <c r="AF121" s="183" t="inlineStr">
        <is>
          <t>https://www.normeca-asia.jp/contact</t>
        </is>
      </c>
      <c r="AG121" s="183" t="inlineStr">
        <is>
          <t>No email published; use the contact form (link in Email source)</t>
        </is>
      </c>
    </row>
    <row r="122">
      <c r="A122" s="183" t="n">
        <v>118</v>
      </c>
      <c r="B122" s="183" t="inlineStr">
        <is>
          <t>Hoshino Iryoki</t>
        </is>
      </c>
      <c r="C122" s="183" t="inlineStr">
        <is>
          <t>ホシノ医療器</t>
        </is>
      </c>
      <c r="D122" s="183" t="inlineStr">
        <is>
          <t>Not retrieved (NTA lookup blocked in this session)</t>
        </is>
      </c>
      <c r="E122" s="183" t="inlineStr">
        <is>
          <t>埼玉県</t>
        </is>
      </c>
      <c r="F122" s="183" t="inlineStr">
        <is>
          <t>Kanto</t>
        </is>
      </c>
      <c r="G122" s="183" t="inlineStr">
        <is>
          <t>https://hoshinomedical.co.jp/</t>
        </is>
      </c>
      <c r="H122" s="183" t="inlineStr">
        <is>
          <t>No MAH found; device sales licence (高度管理医療機器等販売業) not confirmed</t>
        </is>
      </c>
      <c r="I122" s="183" t="inlineStr">
        <is>
          <t>Not identified in published sources</t>
        </is>
      </c>
      <c r="J122" s="183" t="inlineStr">
        <is>
          <t>General medical equipment (hospitals and clinics)</t>
        </is>
      </c>
      <c r="K122" s="183" t="inlineStr">
        <is>
          <t>埼玉県 (regional; branch network not confirmed)</t>
        </is>
      </c>
      <c r="L122" s="183" t="inlineStr">
        <is>
          <t>Not found</t>
        </is>
      </c>
      <c r="M122" s="183" t="inlineStr">
        <is>
          <t>Not identified</t>
        </is>
      </c>
      <c r="N122" s="183" t="inlineStr">
        <is>
          <t>Not identified</t>
        </is>
      </c>
      <c r="O122" s="183" t="inlineStr">
        <is>
          <t>k_hoshino@hoshinomedical.co.jp</t>
        </is>
      </c>
      <c r="P122" s="183" t="inlineStr">
        <is>
          <t>Not confirmed</t>
        </is>
      </c>
      <c r="Q122" s="183" t="inlineStr">
        <is>
          <t>Not identified</t>
        </is>
      </c>
      <c r="R122" s="184" t="inlineStr">
        <is>
          <t>Unverified</t>
        </is>
      </c>
      <c r="S122" s="183" t="n">
        <v>18</v>
      </c>
      <c r="T122" s="189" t="inlineStr">
        <is>
          <t>C</t>
        </is>
      </c>
      <c r="U122" s="183" t="inlineStr">
        <is>
          <t>Regional general medical equipment dealer with hospital and clinic accounts; candidate sub dealer under a national MAH partner.</t>
        </is>
      </c>
      <c r="V122" s="183" t="inlineStr">
        <is>
          <t>Introduce CHISON as a future line through a national MAH partner; ask about their hospital and clinic coverage, service engineers and openness to non Japanese brands.</t>
        </is>
      </c>
      <c r="W122" s="183" t="inlineStr">
        <is>
          <t>N (not identified)</t>
        </is>
      </c>
      <c r="X122" s="186" t="inlineStr">
        <is>
          <t>https://baseconnect.in/companies/prefecture/5b2e6d00-cfba-4d0b-850d-54757e4b4d7f/category/b2358a1c-c4c6-46f4-a0b1-dee3a1b30a0b</t>
        </is>
      </c>
      <c r="Y122" s="183" t="inlineStr">
        <is>
          <t>SonoEye P3 plus SonoAir 30 for GP and clinic accounts</t>
        </is>
      </c>
      <c r="Z122" s="183" t="inlineStr">
        <is>
          <t>2, 2, 3, 3, 3, 2, 3</t>
        </is>
      </c>
      <c r="AA122" s="183" t="inlineStr">
        <is>
          <t>Not found</t>
        </is>
      </c>
      <c r="AB122" s="183" t="inlineStr">
        <is>
          <t>Directory or search listing; not opened (direct site access blocked)</t>
        </is>
      </c>
      <c r="AC122" s="183" t="inlineStr">
        <is>
          <t>No expired licence or ended distribution agreement found</t>
        </is>
      </c>
      <c r="AD122" s="183" t="inlineStr">
        <is>
          <t>Not started</t>
        </is>
      </c>
      <c r="AE122" s="183" t="inlineStr"/>
      <c r="AF122" s="183" t="inlineStr">
        <is>
          <t>https://store.shopping.yahoo.co.jp/medistarstore/info.html?__ysp=IkBob3NoaW5vbWVkaWNhbC5jby5qcCI%3D</t>
        </is>
      </c>
      <c r="AG122" s="183" t="inlineStr">
        <is>
          <t>Likely: indexed on company domain</t>
        </is>
      </c>
    </row>
    <row r="123">
      <c r="A123" s="183" t="n">
        <v>119</v>
      </c>
      <c r="B123" s="183" t="inlineStr">
        <is>
          <t>Zest Medical</t>
        </is>
      </c>
      <c r="C123" s="183" t="inlineStr">
        <is>
          <t>ゼストメディカル</t>
        </is>
      </c>
      <c r="D123" s="183" t="inlineStr">
        <is>
          <t>Not retrieved (NTA lookup blocked in this session)</t>
        </is>
      </c>
      <c r="E123" s="183" t="inlineStr">
        <is>
          <t>埼玉県</t>
        </is>
      </c>
      <c r="F123" s="183" t="inlineStr">
        <is>
          <t>Kanto</t>
        </is>
      </c>
      <c r="G123" s="183" t="inlineStr">
        <is>
          <t>https://zest-medical.com/</t>
        </is>
      </c>
      <c r="H123" s="183" t="inlineStr">
        <is>
          <t>No MAH found; device sales licence (高度管理医療機器等販売業) not confirmed</t>
        </is>
      </c>
      <c r="I123" s="183" t="inlineStr">
        <is>
          <t>Not identified in published sources</t>
        </is>
      </c>
      <c r="J123" s="183" t="inlineStr">
        <is>
          <t>General medical equipment (hospitals and clinics)</t>
        </is>
      </c>
      <c r="K123" s="183" t="inlineStr">
        <is>
          <t>埼玉県 (regional; branch network not confirmed)</t>
        </is>
      </c>
      <c r="L123" s="183" t="inlineStr">
        <is>
          <t>Not found</t>
        </is>
      </c>
      <c r="M123" s="183" t="inlineStr">
        <is>
          <t>Not identified</t>
        </is>
      </c>
      <c r="N123" s="183" t="inlineStr">
        <is>
          <t>Not identified</t>
        </is>
      </c>
      <c r="O123" s="183" t="inlineStr">
        <is>
          <t>info@zest-medical.com</t>
        </is>
      </c>
      <c r="P123" s="183" t="inlineStr">
        <is>
          <t>Not confirmed</t>
        </is>
      </c>
      <c r="Q123" s="183" t="inlineStr">
        <is>
          <t>Not identified</t>
        </is>
      </c>
      <c r="R123" s="184" t="inlineStr">
        <is>
          <t>Unverified</t>
        </is>
      </c>
      <c r="S123" s="183" t="n">
        <v>18</v>
      </c>
      <c r="T123" s="189" t="inlineStr">
        <is>
          <t>C</t>
        </is>
      </c>
      <c r="U123" s="183" t="inlineStr">
        <is>
          <t>Regional general medical equipment dealer with hospital and clinic accounts; candidate sub dealer under a national MAH partner.</t>
        </is>
      </c>
      <c r="V123" s="183" t="inlineStr">
        <is>
          <t>Introduce CHISON as a future line through a national MAH partner; ask about their hospital and clinic coverage, service engineers and openness to non Japanese brands.</t>
        </is>
      </c>
      <c r="W123" s="183" t="inlineStr">
        <is>
          <t>N (not identified)</t>
        </is>
      </c>
      <c r="X123" s="186" t="inlineStr">
        <is>
          <t>https://baseconnect.in/companies/prefecture/5b2e6d00-cfba-4d0b-850d-54757e4b4d7f/category/b2358a1c-c4c6-46f4-a0b1-dee3a1b30a0b</t>
        </is>
      </c>
      <c r="Y123" s="183" t="inlineStr">
        <is>
          <t>SonoEye P3 plus SonoAir 30 for GP and clinic accounts</t>
        </is>
      </c>
      <c r="Z123" s="183" t="inlineStr">
        <is>
          <t>2, 2, 3, 3, 3, 2, 3</t>
        </is>
      </c>
      <c r="AA123" s="183" t="inlineStr">
        <is>
          <t>Not found</t>
        </is>
      </c>
      <c r="AB123" s="183" t="inlineStr">
        <is>
          <t>Directory or search listing; not opened (direct site access blocked)</t>
        </is>
      </c>
      <c r="AC123" s="183" t="inlineStr">
        <is>
          <t>No expired licence or ended distribution agreement found</t>
        </is>
      </c>
      <c r="AD123" s="183" t="inlineStr">
        <is>
          <t>Not started</t>
        </is>
      </c>
      <c r="AE123" s="183" t="inlineStr">
        <is>
          <t>info4@zest-medical.com, saitamaichiro@zest-medical.com</t>
        </is>
      </c>
      <c r="AF123" s="183" t="inlineStr">
        <is>
          <t>https://zest-medical.com/</t>
        </is>
      </c>
      <c r="AG123" s="183" t="inlineStr">
        <is>
          <t>Verified: published on company website</t>
        </is>
      </c>
    </row>
    <row r="124">
      <c r="A124" s="183" t="n">
        <v>120</v>
      </c>
      <c r="B124" s="183" t="inlineStr">
        <is>
          <t>Matsuo Medical</t>
        </is>
      </c>
      <c r="C124" s="183" t="inlineStr">
        <is>
          <t>マツオメディカル</t>
        </is>
      </c>
      <c r="D124" s="183" t="inlineStr">
        <is>
          <t>Not retrieved (NTA lookup blocked in this session)</t>
        </is>
      </c>
      <c r="E124" s="183" t="inlineStr">
        <is>
          <t>埼玉県</t>
        </is>
      </c>
      <c r="F124" s="183" t="inlineStr">
        <is>
          <t>Kanto</t>
        </is>
      </c>
      <c r="G124" s="183" t="inlineStr">
        <is>
          <t>https://www.matsuo-medical.co.jp/</t>
        </is>
      </c>
      <c r="H124" s="183" t="inlineStr">
        <is>
          <t>No MAH found; device sales licence (高度管理医療機器等販売業) not confirmed</t>
        </is>
      </c>
      <c r="I124" s="183" t="inlineStr">
        <is>
          <t>Not identified in published sources</t>
        </is>
      </c>
      <c r="J124" s="183" t="inlineStr">
        <is>
          <t>General medical equipment (hospitals and clinics)</t>
        </is>
      </c>
      <c r="K124" s="183" t="inlineStr">
        <is>
          <t>埼玉県 (regional; branch network not confirmed)</t>
        </is>
      </c>
      <c r="L124" s="183" t="inlineStr">
        <is>
          <t>Not found</t>
        </is>
      </c>
      <c r="M124" s="183" t="inlineStr">
        <is>
          <t>Not identified</t>
        </is>
      </c>
      <c r="N124" s="183" t="inlineStr">
        <is>
          <t>Not identified</t>
        </is>
      </c>
      <c r="O124" s="183" t="inlineStr">
        <is>
          <t>Not published; use contact form</t>
        </is>
      </c>
      <c r="P124" s="183" t="inlineStr">
        <is>
          <t>Not confirmed</t>
        </is>
      </c>
      <c r="Q124" s="183" t="inlineStr">
        <is>
          <t>Not identified</t>
        </is>
      </c>
      <c r="R124" s="184" t="inlineStr">
        <is>
          <t>Likely</t>
        </is>
      </c>
      <c r="S124" s="183" t="n">
        <v>18</v>
      </c>
      <c r="T124" s="189" t="inlineStr">
        <is>
          <t>C</t>
        </is>
      </c>
      <c r="U124" s="183" t="inlineStr">
        <is>
          <t>Regional general medical equipment dealer with hospital and clinic accounts; candidate sub dealer under a national MAH partner.</t>
        </is>
      </c>
      <c r="V124" s="183" t="inlineStr">
        <is>
          <t>Introduce CHISON as a future line through a national MAH partner; ask about their hospital and clinic coverage, service engineers and openness to non Japanese brands.</t>
        </is>
      </c>
      <c r="W124" s="183" t="inlineStr">
        <is>
          <t>N (not identified)</t>
        </is>
      </c>
      <c r="X124" s="186" t="inlineStr">
        <is>
          <t>https://baseconnect.in/companies/prefecture/5b2e6d00-cfba-4d0b-850d-54757e4b4d7f/category/b2358a1c-c4c6-46f4-a0b1-dee3a1b30a0b</t>
        </is>
      </c>
      <c r="Y124" s="183" t="inlineStr">
        <is>
          <t>SonoEye P3 plus SonoAir 30 for GP and clinic accounts</t>
        </is>
      </c>
      <c r="Z124" s="183" t="inlineStr">
        <is>
          <t>2, 2, 3, 3, 3, 2, 3</t>
        </is>
      </c>
      <c r="AA124" s="183" t="inlineStr">
        <is>
          <t>Not found</t>
        </is>
      </c>
      <c r="AB124" s="183" t="inlineStr">
        <is>
          <t>Directory or search listing; not opened (direct site access blocked)</t>
        </is>
      </c>
      <c r="AC124" s="183" t="inlineStr">
        <is>
          <t>No expired licence or ended distribution agreement found</t>
        </is>
      </c>
      <c r="AD124" s="183" t="inlineStr">
        <is>
          <t>Not started</t>
        </is>
      </c>
      <c r="AE124" s="183" t="inlineStr"/>
      <c r="AF124" s="183" t="inlineStr">
        <is>
          <t>https://www.matsuo-medical.co.jp/contact/</t>
        </is>
      </c>
      <c r="AG124" s="183" t="inlineStr">
        <is>
          <t>No email published; use the contact form (link in Email source)</t>
        </is>
      </c>
    </row>
    <row r="125">
      <c r="A125" s="183" t="n">
        <v>121</v>
      </c>
      <c r="B125" s="183" t="inlineStr">
        <is>
          <t>Kevin Medical</t>
        </is>
      </c>
      <c r="C125" s="183" t="inlineStr">
        <is>
          <t>ケビンメディカル</t>
        </is>
      </c>
      <c r="D125" s="183" t="inlineStr">
        <is>
          <t>Not retrieved (NTA lookup blocked in this session)</t>
        </is>
      </c>
      <c r="E125" s="183" t="inlineStr">
        <is>
          <t>東京都</t>
        </is>
      </c>
      <c r="F125" s="183" t="inlineStr">
        <is>
          <t>Kanto</t>
        </is>
      </c>
      <c r="G125" s="183" t="inlineStr">
        <is>
          <t>Not confirmed (company site not opened; network policy blocked direct access)</t>
        </is>
      </c>
      <c r="H125" s="183" t="inlineStr">
        <is>
          <t>No MAH found; device sales licence (高度管理医療機器等販売業) not confirmed</t>
        </is>
      </c>
      <c r="I125" s="183" t="inlineStr">
        <is>
          <t>Not identified in published sources</t>
        </is>
      </c>
      <c r="J125" s="183" t="inlineStr">
        <is>
          <t>General medical equipment (hospitals and clinics)</t>
        </is>
      </c>
      <c r="K125" s="183" t="inlineStr">
        <is>
          <t>東京都 (regional; branch network not confirmed)</t>
        </is>
      </c>
      <c r="L125" s="183" t="inlineStr">
        <is>
          <t>Not found</t>
        </is>
      </c>
      <c r="M125" s="183" t="inlineStr">
        <is>
          <t>Not identified</t>
        </is>
      </c>
      <c r="N125" s="183" t="inlineStr">
        <is>
          <t>Not identified</t>
        </is>
      </c>
      <c r="O125" s="183" t="inlineStr">
        <is>
          <t>Not published; use company inquiry form</t>
        </is>
      </c>
      <c r="P125" s="183" t="inlineStr">
        <is>
          <t>Not confirmed</t>
        </is>
      </c>
      <c r="Q125" s="183" t="inlineStr">
        <is>
          <t>Not identified</t>
        </is>
      </c>
      <c r="R125" s="184" t="inlineStr">
        <is>
          <t>Unverified</t>
        </is>
      </c>
      <c r="S125" s="183" t="n">
        <v>18</v>
      </c>
      <c r="T125" s="189" t="inlineStr">
        <is>
          <t>C</t>
        </is>
      </c>
      <c r="U125" s="183" t="inlineStr">
        <is>
          <t>Regional general medical equipment dealer with hospital and clinic accounts; candidate sub dealer under a national MAH partner.</t>
        </is>
      </c>
      <c r="V125" s="183" t="inlineStr">
        <is>
          <t>Introduce CHISON as a future line through a national MAH partner; ask about their hospital and clinic coverage, service engineers and openness to non Japanese brands.</t>
        </is>
      </c>
      <c r="W125" s="183" t="inlineStr">
        <is>
          <t>N (not identified)</t>
        </is>
      </c>
      <c r="X125" s="186" t="inlineStr">
        <is>
          <t>https://www.jahid.or.jp/pdf/meibo2025.pdf</t>
        </is>
      </c>
      <c r="Y125" s="183" t="inlineStr">
        <is>
          <t>SonoEye P3 plus SonoAir 30 for GP and clinic accounts</t>
        </is>
      </c>
      <c r="Z125" s="183" t="inlineStr">
        <is>
          <t>2, 2, 3, 3, 3, 2, 3</t>
        </is>
      </c>
      <c r="AA125" s="183" t="inlineStr">
        <is>
          <t>Not found</t>
        </is>
      </c>
      <c r="AB125" s="183" t="inlineStr">
        <is>
          <t>Directory or search listing; not opened (direct site access blocked)</t>
        </is>
      </c>
      <c r="AC125" s="183" t="inlineStr">
        <is>
          <t>No expired licence or ended distribution agreement found</t>
        </is>
      </c>
      <c r="AD125" s="183" t="inlineStr">
        <is>
          <t>Not started</t>
        </is>
      </c>
      <c r="AE125" s="183" t="inlineStr"/>
      <c r="AF125" s="183" t="inlineStr"/>
      <c r="AG125" s="183" t="inlineStr">
        <is>
          <t>No email published and no verified website found</t>
        </is>
      </c>
    </row>
    <row r="126">
      <c r="A126" s="183" t="n">
        <v>122</v>
      </c>
      <c r="B126" s="183" t="inlineStr">
        <is>
          <t>Code One</t>
        </is>
      </c>
      <c r="C126" s="183" t="inlineStr">
        <is>
          <t>コードワン</t>
        </is>
      </c>
      <c r="D126" s="183" t="inlineStr">
        <is>
          <t>Not retrieved (NTA lookup blocked in this session)</t>
        </is>
      </c>
      <c r="E126" s="183" t="inlineStr">
        <is>
          <t>東京都</t>
        </is>
      </c>
      <c r="F126" s="183" t="inlineStr">
        <is>
          <t>Kanto</t>
        </is>
      </c>
      <c r="G126" s="183" t="inlineStr">
        <is>
          <t>https://code1.co.jp/</t>
        </is>
      </c>
      <c r="H126" s="183" t="inlineStr">
        <is>
          <t>No MAH found; device sales licence (高度管理医療機器等販売業) not confirmed</t>
        </is>
      </c>
      <c r="I126" s="183" t="inlineStr">
        <is>
          <t>Not identified in published sources</t>
        </is>
      </c>
      <c r="J126" s="183" t="inlineStr">
        <is>
          <t>General medical equipment (hospitals and clinics)</t>
        </is>
      </c>
      <c r="K126" s="183" t="inlineStr">
        <is>
          <t>東京都 (regional; branch network not confirmed)</t>
        </is>
      </c>
      <c r="L126" s="183" t="inlineStr">
        <is>
          <t>Not found</t>
        </is>
      </c>
      <c r="M126" s="183" t="inlineStr">
        <is>
          <t>Not identified</t>
        </is>
      </c>
      <c r="N126" s="183" t="inlineStr">
        <is>
          <t>Not identified</t>
        </is>
      </c>
      <c r="O126" s="183" t="inlineStr">
        <is>
          <t>sumiyoshi_clinic@code1.co.jp</t>
        </is>
      </c>
      <c r="P126" s="183" t="inlineStr">
        <is>
          <t>Not confirmed</t>
        </is>
      </c>
      <c r="Q126" s="183" t="inlineStr">
        <is>
          <t>Not identified</t>
        </is>
      </c>
      <c r="R126" s="184" t="inlineStr">
        <is>
          <t>Unverified</t>
        </is>
      </c>
      <c r="S126" s="183" t="n">
        <v>18</v>
      </c>
      <c r="T126" s="189" t="inlineStr">
        <is>
          <t>C</t>
        </is>
      </c>
      <c r="U126" s="183" t="inlineStr">
        <is>
          <t>Regional general medical equipment dealer with hospital and clinic accounts; candidate sub dealer under a national MAH partner.</t>
        </is>
      </c>
      <c r="V126" s="183" t="inlineStr">
        <is>
          <t>Introduce CHISON as a future line through a national MAH partner; ask about their hospital and clinic coverage, service engineers and openness to non Japanese brands.</t>
        </is>
      </c>
      <c r="W126" s="183" t="inlineStr">
        <is>
          <t>N (not identified)</t>
        </is>
      </c>
      <c r="X126" s="186" t="inlineStr">
        <is>
          <t>https://www.jahid.or.jp/pdf/meibo2025.pdf</t>
        </is>
      </c>
      <c r="Y126" s="183" t="inlineStr">
        <is>
          <t>SonoEye P3 plus SonoAir 30 for GP and clinic accounts</t>
        </is>
      </c>
      <c r="Z126" s="183" t="inlineStr">
        <is>
          <t>2, 2, 3, 3, 3, 2, 3</t>
        </is>
      </c>
      <c r="AA126" s="183" t="inlineStr">
        <is>
          <t>Not found</t>
        </is>
      </c>
      <c r="AB126" s="183" t="inlineStr">
        <is>
          <t>Directory or search listing; not opened (direct site access blocked)</t>
        </is>
      </c>
      <c r="AC126" s="183" t="inlineStr">
        <is>
          <t>No expired licence or ended distribution agreement found</t>
        </is>
      </c>
      <c r="AD126" s="183" t="inlineStr">
        <is>
          <t>Not started</t>
        </is>
      </c>
      <c r="AE126" s="183" t="inlineStr">
        <is>
          <t>mmb_clinic@code1.co.jp, tomizawanishi@code1.co.jp</t>
        </is>
      </c>
      <c r="AF126" s="183" t="inlineStr">
        <is>
          <t>https://www.hellowork.mhlw.go.jp/kensaku/GECA110010.do?screenId=GECA110010&amp;action=dispDetailBtn&amp;kJNo=1313019177161&amp;kJKbn=1</t>
        </is>
      </c>
      <c r="AG126" s="183" t="inlineStr">
        <is>
          <t>Likely: indexed on company domain</t>
        </is>
      </c>
    </row>
    <row r="127">
      <c r="A127" s="183" t="n">
        <v>123</v>
      </c>
      <c r="B127" s="183" t="inlineStr">
        <is>
          <t>Solve</t>
        </is>
      </c>
      <c r="C127" s="183" t="inlineStr">
        <is>
          <t>ソルブ</t>
        </is>
      </c>
      <c r="D127" s="183" t="inlineStr">
        <is>
          <t>Not retrieved (NTA lookup blocked in this session)</t>
        </is>
      </c>
      <c r="E127" s="183" t="inlineStr">
        <is>
          <t>東京都</t>
        </is>
      </c>
      <c r="F127" s="183" t="inlineStr">
        <is>
          <t>Kanto</t>
        </is>
      </c>
      <c r="G127" s="183" t="inlineStr">
        <is>
          <t>https://solve-net.com/</t>
        </is>
      </c>
      <c r="H127" s="183" t="inlineStr">
        <is>
          <t>No MAH found; device sales licence (高度管理医療機器等販売業) not confirmed</t>
        </is>
      </c>
      <c r="I127" s="183" t="inlineStr">
        <is>
          <t>Not identified in published sources</t>
        </is>
      </c>
      <c r="J127" s="183" t="inlineStr">
        <is>
          <t>General medical equipment (hospitals and clinics)</t>
        </is>
      </c>
      <c r="K127" s="183" t="inlineStr">
        <is>
          <t>東京都 (regional; branch network not confirmed)</t>
        </is>
      </c>
      <c r="L127" s="183" t="inlineStr">
        <is>
          <t>Not found</t>
        </is>
      </c>
      <c r="M127" s="183" t="inlineStr">
        <is>
          <t>Not identified</t>
        </is>
      </c>
      <c r="N127" s="183" t="inlineStr">
        <is>
          <t>Not identified</t>
        </is>
      </c>
      <c r="O127" s="183" t="inlineStr">
        <is>
          <t>ec-info@solve-net.com</t>
        </is>
      </c>
      <c r="P127" s="183" t="inlineStr">
        <is>
          <t>Not confirmed</t>
        </is>
      </c>
      <c r="Q127" s="183" t="inlineStr">
        <is>
          <t>Not identified</t>
        </is>
      </c>
      <c r="R127" s="184" t="inlineStr">
        <is>
          <t>Unverified</t>
        </is>
      </c>
      <c r="S127" s="183" t="n">
        <v>18</v>
      </c>
      <c r="T127" s="189" t="inlineStr">
        <is>
          <t>C</t>
        </is>
      </c>
      <c r="U127" s="183" t="inlineStr">
        <is>
          <t>Regional general medical equipment dealer with hospital and clinic accounts; candidate sub dealer under a national MAH partner.</t>
        </is>
      </c>
      <c r="V127" s="183" t="inlineStr">
        <is>
          <t>Introduce CHISON as a future line through a national MAH partner; ask about their hospital and clinic coverage, service engineers and openness to non Japanese brands.</t>
        </is>
      </c>
      <c r="W127" s="183" t="inlineStr">
        <is>
          <t>N (not identified)</t>
        </is>
      </c>
      <c r="X127" s="186" t="inlineStr">
        <is>
          <t>https://www.jahid.or.jp/pdf/meibo2025.pdf</t>
        </is>
      </c>
      <c r="Y127" s="183" t="inlineStr">
        <is>
          <t>SonoEye P3 plus SonoAir 30 for GP and clinic accounts</t>
        </is>
      </c>
      <c r="Z127" s="183" t="inlineStr">
        <is>
          <t>2, 2, 3, 3, 3, 2, 3</t>
        </is>
      </c>
      <c r="AA127" s="183" t="inlineStr">
        <is>
          <t>Not found</t>
        </is>
      </c>
      <c r="AB127" s="183" t="inlineStr">
        <is>
          <t>Directory or search listing; not opened (direct site access blocked)</t>
        </is>
      </c>
      <c r="AC127" s="183" t="inlineStr">
        <is>
          <t>No expired licence or ended distribution agreement found</t>
        </is>
      </c>
      <c r="AD127" s="183" t="inlineStr">
        <is>
          <t>Not started</t>
        </is>
      </c>
      <c r="AE127" s="183" t="inlineStr"/>
      <c r="AF127" s="183" t="inlineStr">
        <is>
          <t>https://www.drugstoreshow.jp/exibition/list/detail.php?ExhibitorAppID=01127</t>
        </is>
      </c>
      <c r="AG127" s="183" t="inlineStr">
        <is>
          <t>Likely: indexed on company domain</t>
        </is>
      </c>
    </row>
    <row r="128">
      <c r="A128" s="183" t="n">
        <v>124</v>
      </c>
      <c r="B128" s="183" t="inlineStr">
        <is>
          <t>Dynamedic Japan</t>
        </is>
      </c>
      <c r="C128" s="183" t="inlineStr">
        <is>
          <t>ダイナメディックジャパン</t>
        </is>
      </c>
      <c r="D128" s="183" t="inlineStr">
        <is>
          <t>Not retrieved (NTA lookup blocked in this session)</t>
        </is>
      </c>
      <c r="E128" s="183" t="inlineStr">
        <is>
          <t>東京都</t>
        </is>
      </c>
      <c r="F128" s="183" t="inlineStr">
        <is>
          <t>Kanto</t>
        </is>
      </c>
      <c r="G128" s="183" t="inlineStr">
        <is>
          <t>https://www.dynamedicjapan.com/</t>
        </is>
      </c>
      <c r="H128" s="183" t="inlineStr">
        <is>
          <t>No MAH found; device sales licence (高度管理医療機器等販売業) not confirmed</t>
        </is>
      </c>
      <c r="I128" s="183" t="inlineStr">
        <is>
          <t>Not identified in published sources</t>
        </is>
      </c>
      <c r="J128" s="183" t="inlineStr">
        <is>
          <t>General medical equipment (hospitals and clinics)</t>
        </is>
      </c>
      <c r="K128" s="183" t="inlineStr">
        <is>
          <t>東京都 (regional; branch network not confirmed)</t>
        </is>
      </c>
      <c r="L128" s="183" t="inlineStr">
        <is>
          <t>Not found</t>
        </is>
      </c>
      <c r="M128" s="183" t="inlineStr">
        <is>
          <t>Not identified</t>
        </is>
      </c>
      <c r="N128" s="183" t="inlineStr">
        <is>
          <t>Not identified</t>
        </is>
      </c>
      <c r="O128" s="183" t="inlineStr">
        <is>
          <t>Not published; use company inquiry form</t>
        </is>
      </c>
      <c r="P128" s="183" t="inlineStr">
        <is>
          <t>Not confirmed</t>
        </is>
      </c>
      <c r="Q128" s="183" t="inlineStr">
        <is>
          <t>Not identified</t>
        </is>
      </c>
      <c r="R128" s="184" t="inlineStr">
        <is>
          <t>Company inquiry only</t>
        </is>
      </c>
      <c r="S128" s="183" t="n">
        <v>18</v>
      </c>
      <c r="T128" s="189" t="inlineStr">
        <is>
          <t>C</t>
        </is>
      </c>
      <c r="U128" s="183" t="inlineStr">
        <is>
          <t>Regional general medical equipment dealer with hospital and clinic accounts; candidate sub dealer under a national MAH partner.</t>
        </is>
      </c>
      <c r="V128" s="183" t="inlineStr">
        <is>
          <t>Introduce CHISON as a future line through a national MAH partner; ask about their hospital and clinic coverage, service engineers and openness to non Japanese brands.</t>
        </is>
      </c>
      <c r="W128" s="183" t="inlineStr">
        <is>
          <t>N (not identified)</t>
        </is>
      </c>
      <c r="X128" s="186" t="inlineStr">
        <is>
          <t>https://www.jahid.or.jp/pdf/meibo2025.pdf</t>
        </is>
      </c>
      <c r="Y128" s="183" t="inlineStr">
        <is>
          <t>SonoEye P3 plus SonoAir 30 for GP and clinic accounts</t>
        </is>
      </c>
      <c r="Z128" s="183" t="inlineStr">
        <is>
          <t>2, 2, 3, 3, 3, 2, 3</t>
        </is>
      </c>
      <c r="AA128" s="183" t="inlineStr">
        <is>
          <t>Not found</t>
        </is>
      </c>
      <c r="AB128" s="183" t="inlineStr">
        <is>
          <t>Directory or search listing; not opened (direct site access blocked)</t>
        </is>
      </c>
      <c r="AC128" s="183" t="inlineStr">
        <is>
          <t>No expired licence or ended distribution agreement found</t>
        </is>
      </c>
      <c r="AD128" s="183" t="inlineStr">
        <is>
          <t>Not started</t>
        </is>
      </c>
      <c r="AE128" s="183" t="inlineStr"/>
      <c r="AF128" s="183" t="inlineStr"/>
      <c r="AG128" s="183" t="inlineStr">
        <is>
          <t>No email published; website has no contact page link, phone first</t>
        </is>
      </c>
    </row>
    <row r="129">
      <c r="A129" s="183" t="n">
        <v>125</v>
      </c>
      <c r="B129" s="183" t="inlineStr">
        <is>
          <t>Nishino Ika Kikai</t>
        </is>
      </c>
      <c r="C129" s="183" t="inlineStr">
        <is>
          <t>西野医科器械</t>
        </is>
      </c>
      <c r="D129" s="183" t="inlineStr">
        <is>
          <t>Not retrieved (NTA lookup blocked in this session)</t>
        </is>
      </c>
      <c r="E129" s="183" t="inlineStr">
        <is>
          <t>東京都</t>
        </is>
      </c>
      <c r="F129" s="183" t="inlineStr">
        <is>
          <t>Kanto</t>
        </is>
      </c>
      <c r="G129" s="183" t="inlineStr">
        <is>
          <t>http://nishino-ika.co.jp/</t>
        </is>
      </c>
      <c r="H129" s="183" t="inlineStr">
        <is>
          <t>No MAH found; device sales licence (高度管理医療機器等販売業) not confirmed</t>
        </is>
      </c>
      <c r="I129" s="183" t="inlineStr">
        <is>
          <t>Not identified in published sources</t>
        </is>
      </c>
      <c r="J129" s="183" t="inlineStr">
        <is>
          <t>General medical equipment (hospitals and clinics)</t>
        </is>
      </c>
      <c r="K129" s="183" t="inlineStr">
        <is>
          <t>東京都 (regional; branch network not confirmed)</t>
        </is>
      </c>
      <c r="L129" s="183" t="inlineStr">
        <is>
          <t>Not found</t>
        </is>
      </c>
      <c r="M129" s="183" t="inlineStr">
        <is>
          <t>Not identified</t>
        </is>
      </c>
      <c r="N129" s="183" t="inlineStr">
        <is>
          <t>Not identified</t>
        </is>
      </c>
      <c r="O129" s="183" t="inlineStr">
        <is>
          <t>Not published; use company inquiry form</t>
        </is>
      </c>
      <c r="P129" s="183" t="inlineStr">
        <is>
          <t>Not confirmed</t>
        </is>
      </c>
      <c r="Q129" s="183" t="inlineStr">
        <is>
          <t>Not identified</t>
        </is>
      </c>
      <c r="R129" s="184" t="inlineStr">
        <is>
          <t>Company inquiry only</t>
        </is>
      </c>
      <c r="S129" s="183" t="n">
        <v>18</v>
      </c>
      <c r="T129" s="189" t="inlineStr">
        <is>
          <t>C</t>
        </is>
      </c>
      <c r="U129" s="183" t="inlineStr">
        <is>
          <t>Regional general medical equipment dealer with hospital and clinic accounts; candidate sub dealer under a national MAH partner.</t>
        </is>
      </c>
      <c r="V129" s="183" t="inlineStr">
        <is>
          <t>Introduce CHISON as a future line through a national MAH partner; ask about their hospital and clinic coverage, service engineers and openness to non Japanese brands.</t>
        </is>
      </c>
      <c r="W129" s="183" t="inlineStr">
        <is>
          <t>N (not identified)</t>
        </is>
      </c>
      <c r="X129" s="186" t="inlineStr">
        <is>
          <t>https://www.jahid.or.jp/pdf/meibo2025.pdf</t>
        </is>
      </c>
      <c r="Y129" s="183" t="inlineStr">
        <is>
          <t>SonoEye P3 plus SonoAir 30 for GP and clinic accounts</t>
        </is>
      </c>
      <c r="Z129" s="183" t="inlineStr">
        <is>
          <t>2, 2, 3, 3, 3, 2, 3</t>
        </is>
      </c>
      <c r="AA129" s="183" t="inlineStr">
        <is>
          <t>Not found</t>
        </is>
      </c>
      <c r="AB129" s="183" t="inlineStr">
        <is>
          <t>Directory or search listing; not opened (direct site access blocked)</t>
        </is>
      </c>
      <c r="AC129" s="183" t="inlineStr">
        <is>
          <t>No expired licence or ended distribution agreement found</t>
        </is>
      </c>
      <c r="AD129" s="183" t="inlineStr">
        <is>
          <t>Not started</t>
        </is>
      </c>
      <c r="AE129" s="183" t="inlineStr"/>
      <c r="AF129" s="183" t="inlineStr"/>
      <c r="AG129" s="183" t="inlineStr">
        <is>
          <t>No email published; website has no contact page link, phone first</t>
        </is>
      </c>
    </row>
    <row r="130">
      <c r="A130" s="183" t="n">
        <v>126</v>
      </c>
      <c r="B130" s="183" t="inlineStr">
        <is>
          <t>Nisco</t>
        </is>
      </c>
      <c r="C130" s="183" t="inlineStr">
        <is>
          <t>ニスコ</t>
        </is>
      </c>
      <c r="D130" s="183" t="inlineStr">
        <is>
          <t>Not retrieved (NTA lookup blocked in this session)</t>
        </is>
      </c>
      <c r="E130" s="183" t="inlineStr">
        <is>
          <t>東京都</t>
        </is>
      </c>
      <c r="F130" s="183" t="inlineStr">
        <is>
          <t>Kanto</t>
        </is>
      </c>
      <c r="G130" s="183" t="inlineStr">
        <is>
          <t>https://www.nisco-net.co.jp/</t>
        </is>
      </c>
      <c r="H130" s="183" t="inlineStr">
        <is>
          <t>No MAH found; device sales licence (高度管理医療機器等販売業) not confirmed</t>
        </is>
      </c>
      <c r="I130" s="183" t="inlineStr">
        <is>
          <t>Not identified in published sources</t>
        </is>
      </c>
      <c r="J130" s="183" t="inlineStr">
        <is>
          <t>General medical equipment (hospitals and clinics)</t>
        </is>
      </c>
      <c r="K130" s="183" t="inlineStr">
        <is>
          <t>東京都 (regional; branch network not confirmed)</t>
        </is>
      </c>
      <c r="L130" s="183" t="inlineStr">
        <is>
          <t>Not found</t>
        </is>
      </c>
      <c r="M130" s="183" t="inlineStr">
        <is>
          <t>Not identified</t>
        </is>
      </c>
      <c r="N130" s="183" t="inlineStr">
        <is>
          <t>Not identified</t>
        </is>
      </c>
      <c r="O130" s="183" t="inlineStr">
        <is>
          <t>Not published; use contact form</t>
        </is>
      </c>
      <c r="P130" s="183" t="inlineStr">
        <is>
          <t>Not confirmed</t>
        </is>
      </c>
      <c r="Q130" s="183" t="inlineStr">
        <is>
          <t>Not identified</t>
        </is>
      </c>
      <c r="R130" s="184" t="inlineStr">
        <is>
          <t>Likely</t>
        </is>
      </c>
      <c r="S130" s="183" t="n">
        <v>18</v>
      </c>
      <c r="T130" s="189" t="inlineStr">
        <is>
          <t>C</t>
        </is>
      </c>
      <c r="U130" s="183" t="inlineStr">
        <is>
          <t>Regional general medical equipment dealer with hospital and clinic accounts; candidate sub dealer under a national MAH partner.</t>
        </is>
      </c>
      <c r="V130" s="183" t="inlineStr">
        <is>
          <t>Introduce CHISON as a future line through a national MAH partner; ask about their hospital and clinic coverage, service engineers and openness to non Japanese brands.</t>
        </is>
      </c>
      <c r="W130" s="183" t="inlineStr">
        <is>
          <t>N (not identified)</t>
        </is>
      </c>
      <c r="X130" s="186" t="inlineStr">
        <is>
          <t>https://www.jahid.or.jp/pdf/meibo2025.pdf</t>
        </is>
      </c>
      <c r="Y130" s="183" t="inlineStr">
        <is>
          <t>SonoEye P3 plus SonoAir 30 for GP and clinic accounts</t>
        </is>
      </c>
      <c r="Z130" s="183" t="inlineStr">
        <is>
          <t>2, 2, 3, 3, 3, 2, 3</t>
        </is>
      </c>
      <c r="AA130" s="183" t="inlineStr">
        <is>
          <t>Not found</t>
        </is>
      </c>
      <c r="AB130" s="183" t="inlineStr">
        <is>
          <t>Directory or search listing; not opened (direct site access blocked)</t>
        </is>
      </c>
      <c r="AC130" s="183" t="inlineStr">
        <is>
          <t>No expired licence or ended distribution agreement found</t>
        </is>
      </c>
      <c r="AD130" s="183" t="inlineStr">
        <is>
          <t>Not started</t>
        </is>
      </c>
      <c r="AE130" s="183" t="inlineStr"/>
      <c r="AF130" s="183" t="inlineStr">
        <is>
          <t>https://www.nisco-net.co.jp/contact.html</t>
        </is>
      </c>
      <c r="AG130" s="183" t="inlineStr">
        <is>
          <t>No email published; use the contact form (link in Email source)</t>
        </is>
      </c>
    </row>
    <row r="131">
      <c r="A131" s="183" t="n">
        <v>127</v>
      </c>
      <c r="B131" s="183" t="inlineStr">
        <is>
          <t>Medica Line</t>
        </is>
      </c>
      <c r="C131" s="183" t="inlineStr">
        <is>
          <t>メディカ・ライン</t>
        </is>
      </c>
      <c r="D131" s="183" t="inlineStr">
        <is>
          <t>Not retrieved (NTA lookup blocked in this session)</t>
        </is>
      </c>
      <c r="E131" s="183" t="inlineStr">
        <is>
          <t>東京都</t>
        </is>
      </c>
      <c r="F131" s="183" t="inlineStr">
        <is>
          <t>Kanto</t>
        </is>
      </c>
      <c r="G131" s="183" t="inlineStr">
        <is>
          <t>Not confirmed (company site not opened; network policy blocked direct access)</t>
        </is>
      </c>
      <c r="H131" s="183" t="inlineStr">
        <is>
          <t>No MAH found; device sales licence (高度管理医療機器等販売業) not confirmed</t>
        </is>
      </c>
      <c r="I131" s="183" t="inlineStr">
        <is>
          <t>Not identified in published sources</t>
        </is>
      </c>
      <c r="J131" s="183" t="inlineStr">
        <is>
          <t>General medical equipment (hospitals and clinics)</t>
        </is>
      </c>
      <c r="K131" s="183" t="inlineStr">
        <is>
          <t>東京都 (regional; branch network not confirmed)</t>
        </is>
      </c>
      <c r="L131" s="183" t="inlineStr">
        <is>
          <t>Not found</t>
        </is>
      </c>
      <c r="M131" s="183" t="inlineStr">
        <is>
          <t>Not identified</t>
        </is>
      </c>
      <c r="N131" s="183" t="inlineStr">
        <is>
          <t>Not identified</t>
        </is>
      </c>
      <c r="O131" s="183" t="inlineStr">
        <is>
          <t>Not published; use company inquiry form</t>
        </is>
      </c>
      <c r="P131" s="183" t="inlineStr">
        <is>
          <t>Not confirmed</t>
        </is>
      </c>
      <c r="Q131" s="183" t="inlineStr">
        <is>
          <t>Not identified</t>
        </is>
      </c>
      <c r="R131" s="184" t="inlineStr">
        <is>
          <t>Unverified</t>
        </is>
      </c>
      <c r="S131" s="183" t="n">
        <v>18</v>
      </c>
      <c r="T131" s="189" t="inlineStr">
        <is>
          <t>C</t>
        </is>
      </c>
      <c r="U131" s="183" t="inlineStr">
        <is>
          <t>Regional general medical equipment dealer with hospital and clinic accounts; candidate sub dealer under a national MAH partner.</t>
        </is>
      </c>
      <c r="V131" s="183" t="inlineStr">
        <is>
          <t>Introduce CHISON as a future line through a national MAH partner; ask about their hospital and clinic coverage, service engineers and openness to non Japanese brands.</t>
        </is>
      </c>
      <c r="W131" s="183" t="inlineStr">
        <is>
          <t>N (not identified)</t>
        </is>
      </c>
      <c r="X131" s="186" t="inlineStr">
        <is>
          <t>https://www.jahid.or.jp/pdf/meibo2025.pdf</t>
        </is>
      </c>
      <c r="Y131" s="183" t="inlineStr">
        <is>
          <t>SonoEye P3 plus SonoAir 30 for GP and clinic accounts</t>
        </is>
      </c>
      <c r="Z131" s="183" t="inlineStr">
        <is>
          <t>2, 2, 3, 3, 3, 2, 3</t>
        </is>
      </c>
      <c r="AA131" s="183" t="inlineStr">
        <is>
          <t>Not found</t>
        </is>
      </c>
      <c r="AB131" s="183" t="inlineStr">
        <is>
          <t>Directory or search listing; not opened (direct site access blocked)</t>
        </is>
      </c>
      <c r="AC131" s="183" t="inlineStr">
        <is>
          <t>No expired licence or ended distribution agreement found</t>
        </is>
      </c>
      <c r="AD131" s="183" t="inlineStr">
        <is>
          <t>Not started</t>
        </is>
      </c>
      <c r="AE131" s="183" t="inlineStr"/>
      <c r="AF131" s="183" t="inlineStr"/>
      <c r="AG131" s="183" t="inlineStr">
        <is>
          <t>No email published and no verified website found</t>
        </is>
      </c>
    </row>
    <row r="132">
      <c r="A132" s="183" t="n">
        <v>128</v>
      </c>
      <c r="B132" s="183" t="inlineStr">
        <is>
          <t>Fingal Link</t>
        </is>
      </c>
      <c r="C132" s="183" t="inlineStr">
        <is>
          <t>フィンガルリンク</t>
        </is>
      </c>
      <c r="D132" s="183" t="inlineStr">
        <is>
          <t>Not retrieved (NTA lookup blocked in this session)</t>
        </is>
      </c>
      <c r="E132" s="183" t="inlineStr">
        <is>
          <t>東京都</t>
        </is>
      </c>
      <c r="F132" s="183" t="inlineStr">
        <is>
          <t>Kanto</t>
        </is>
      </c>
      <c r="G132" s="183" t="inlineStr">
        <is>
          <t>https://www.finggal-link.com/</t>
        </is>
      </c>
      <c r="H132" s="183" t="inlineStr">
        <is>
          <t>No MAH found; device sales licence (高度管理医療機器等販売業) not confirmed</t>
        </is>
      </c>
      <c r="I132" s="183" t="inlineStr">
        <is>
          <t>Not identified in published sources</t>
        </is>
      </c>
      <c r="J132" s="183" t="inlineStr">
        <is>
          <t>General medical equipment (hospitals and clinics)</t>
        </is>
      </c>
      <c r="K132" s="183" t="inlineStr">
        <is>
          <t>東京都 (regional; branch network not confirmed)</t>
        </is>
      </c>
      <c r="L132" s="183" t="inlineStr">
        <is>
          <t>Not found</t>
        </is>
      </c>
      <c r="M132" s="183" t="inlineStr">
        <is>
          <t>Not identified</t>
        </is>
      </c>
      <c r="N132" s="183" t="inlineStr">
        <is>
          <t>Not identified</t>
        </is>
      </c>
      <c r="O132" s="183" t="inlineStr">
        <is>
          <t>info@finggal-link.com</t>
        </is>
      </c>
      <c r="P132" s="183" t="inlineStr">
        <is>
          <t>Not confirmed</t>
        </is>
      </c>
      <c r="Q132" s="183" t="inlineStr">
        <is>
          <t>Not identified</t>
        </is>
      </c>
      <c r="R132" s="184" t="inlineStr">
        <is>
          <t>Unverified</t>
        </is>
      </c>
      <c r="S132" s="183" t="n">
        <v>18</v>
      </c>
      <c r="T132" s="189" t="inlineStr">
        <is>
          <t>C</t>
        </is>
      </c>
      <c r="U132" s="183" t="inlineStr">
        <is>
          <t>Regional general medical equipment dealer with hospital and clinic accounts; candidate sub dealer under a national MAH partner.</t>
        </is>
      </c>
      <c r="V132" s="183" t="inlineStr">
        <is>
          <t>Introduce CHISON as a future line through a national MAH partner; ask about their hospital and clinic coverage, service engineers and openness to non Japanese brands.</t>
        </is>
      </c>
      <c r="W132" s="183" t="inlineStr">
        <is>
          <t>N (not identified)</t>
        </is>
      </c>
      <c r="X132" s="186" t="inlineStr">
        <is>
          <t>https://www2.jpx.co.jp/disc/26670/140120190403400264.pdf</t>
        </is>
      </c>
      <c r="Y132" s="183" t="inlineStr">
        <is>
          <t>SonoEye P3 plus SonoAir 30 for GP and clinic accounts</t>
        </is>
      </c>
      <c r="Z132" s="183" t="inlineStr">
        <is>
          <t>2, 2, 3, 3, 3, 2, 3</t>
        </is>
      </c>
      <c r="AA132" s="183" t="inlineStr">
        <is>
          <t>Not found</t>
        </is>
      </c>
      <c r="AB132" s="183" t="inlineStr">
        <is>
          <t>Directory or search listing; not opened (direct site access blocked)</t>
        </is>
      </c>
      <c r="AC132" s="183" t="inlineStr">
        <is>
          <t>No expired licence or ended distribution agreement found</t>
        </is>
      </c>
      <c r="AD132" s="183" t="inlineStr">
        <is>
          <t>Not started</t>
        </is>
      </c>
      <c r="AE132" s="183" t="inlineStr">
        <is>
          <t>sapporo@finggal-link.com, osaka@finggal-link.com, bissupport@finggal-link.com, fukuoka@finggal-link.com, hanamaki@finggal-link.com</t>
        </is>
      </c>
      <c r="AF132" s="183" t="inlineStr">
        <is>
          <t>https://www.finggal-link.com/company/company_base.html</t>
        </is>
      </c>
      <c r="AG132" s="183" t="inlineStr">
        <is>
          <t>Verified: published on company website</t>
        </is>
      </c>
    </row>
    <row r="133">
      <c r="A133" s="183" t="n">
        <v>129</v>
      </c>
      <c r="B133" s="183" t="inlineStr">
        <is>
          <t>Ito Ika Kikai</t>
        </is>
      </c>
      <c r="C133" s="183" t="inlineStr">
        <is>
          <t>イトー医科器械</t>
        </is>
      </c>
      <c r="D133" s="183" t="inlineStr">
        <is>
          <t>Not retrieved (NTA lookup blocked in this session)</t>
        </is>
      </c>
      <c r="E133" s="183" t="inlineStr">
        <is>
          <t>東京都</t>
        </is>
      </c>
      <c r="F133" s="183" t="inlineStr">
        <is>
          <t>Kanto</t>
        </is>
      </c>
      <c r="G133" s="183" t="inlineStr">
        <is>
          <t>https://ito-ika.com/</t>
        </is>
      </c>
      <c r="H133" s="183" t="inlineStr">
        <is>
          <t>No MAH found; device sales licence (高度管理医療機器等販売業) not confirmed</t>
        </is>
      </c>
      <c r="I133" s="183" t="inlineStr">
        <is>
          <t>Not identified in published sources</t>
        </is>
      </c>
      <c r="J133" s="183" t="inlineStr">
        <is>
          <t>General medical equipment (hospitals and clinics)</t>
        </is>
      </c>
      <c r="K133" s="183" t="inlineStr">
        <is>
          <t>東京都; Tokyo</t>
        </is>
      </c>
      <c r="L133" s="183" t="inlineStr">
        <is>
          <t>Not found</t>
        </is>
      </c>
      <c r="M133" s="183" t="inlineStr">
        <is>
          <t>Not identified</t>
        </is>
      </c>
      <c r="N133" s="183" t="inlineStr">
        <is>
          <t>Not identified</t>
        </is>
      </c>
      <c r="O133" s="183" t="inlineStr">
        <is>
          <t>Not published; use contact form</t>
        </is>
      </c>
      <c r="P133" s="183" t="inlineStr">
        <is>
          <t>Not confirmed</t>
        </is>
      </c>
      <c r="Q133" s="183" t="inlineStr">
        <is>
          <t>Not identified</t>
        </is>
      </c>
      <c r="R133" s="184" t="inlineStr">
        <is>
          <t>Likely</t>
        </is>
      </c>
      <c r="S133" s="183" t="n">
        <v>18</v>
      </c>
      <c r="T133" s="189" t="inlineStr">
        <is>
          <t>C</t>
        </is>
      </c>
      <c r="U133" s="183" t="inlineStr">
        <is>
          <t>Regional general medical equipment dealer with hospital and clinic accounts; candidate sub dealer under a national MAH partner.</t>
        </is>
      </c>
      <c r="V133" s="183" t="inlineStr">
        <is>
          <t>Introduce CHISON as a future line through a national MAH partner; ask about their hospital and clinic coverage, service engineers and openness to non Japanese brands.</t>
        </is>
      </c>
      <c r="W133" s="183" t="inlineStr">
        <is>
          <t>N (not identified)</t>
        </is>
      </c>
      <c r="X133" s="186" t="inlineStr">
        <is>
          <t>https://baseconnect.in/companies/keyword/a9b4f8d9-510e-403e-859d-c2d2fa9778be</t>
        </is>
      </c>
      <c r="Y133" s="183" t="inlineStr">
        <is>
          <t>SonoEye P3 plus SonoAir 30 for GP and clinic accounts</t>
        </is>
      </c>
      <c r="Z133" s="183" t="inlineStr">
        <is>
          <t>2, 2, 3, 3, 3, 2, 3</t>
        </is>
      </c>
      <c r="AA133" s="183" t="inlineStr">
        <is>
          <t>Not found</t>
        </is>
      </c>
      <c r="AB133" s="183" t="inlineStr">
        <is>
          <t>Directory or search listing; not opened (direct site access blocked)</t>
        </is>
      </c>
      <c r="AC133" s="183" t="inlineStr">
        <is>
          <t>No expired licence or ended distribution agreement found</t>
        </is>
      </c>
      <c r="AD133" s="183" t="inlineStr">
        <is>
          <t>Not started</t>
        </is>
      </c>
      <c r="AE133" s="183" t="inlineStr"/>
      <c r="AF133" s="183" t="inlineStr">
        <is>
          <t>https://ito-ika.com/contact/</t>
        </is>
      </c>
      <c r="AG133" s="183" t="inlineStr">
        <is>
          <t>No email published; use the contact form (link in Email source)</t>
        </is>
      </c>
    </row>
    <row r="134">
      <c r="A134" s="183" t="n">
        <v>130</v>
      </c>
      <c r="B134" s="183" t="inlineStr">
        <is>
          <t>J Tec</t>
        </is>
      </c>
      <c r="C134" s="183" t="inlineStr">
        <is>
          <t>ジェイテック</t>
        </is>
      </c>
      <c r="D134" s="183" t="inlineStr">
        <is>
          <t>Not retrieved (NTA lookup blocked in this session)</t>
        </is>
      </c>
      <c r="E134" s="183" t="inlineStr">
        <is>
          <t>栃木県</t>
        </is>
      </c>
      <c r="F134" s="183" t="inlineStr">
        <is>
          <t>Kanto</t>
        </is>
      </c>
      <c r="G134" s="183" t="inlineStr">
        <is>
          <t>http://www.j-tec-co.com/</t>
        </is>
      </c>
      <c r="H134" s="183" t="inlineStr">
        <is>
          <t>No MAH found; device sales licence (高度管理医療機器等販売業) not confirmed</t>
        </is>
      </c>
      <c r="I134" s="183" t="inlineStr">
        <is>
          <t>Not identified in published sources</t>
        </is>
      </c>
      <c r="J134" s="183" t="inlineStr">
        <is>
          <t>Cardiology, Anaesthesia, ICU and respiratory</t>
        </is>
      </c>
      <c r="K134" s="183" t="inlineStr">
        <is>
          <t>栃木県 (regional; branch network not confirmed)</t>
        </is>
      </c>
      <c r="L134" s="183" t="inlineStr">
        <is>
          <t>Not found</t>
        </is>
      </c>
      <c r="M134" s="183" t="inlineStr">
        <is>
          <t>Not identified</t>
        </is>
      </c>
      <c r="N134" s="183" t="inlineStr">
        <is>
          <t>Not identified</t>
        </is>
      </c>
      <c r="O134" s="183" t="inlineStr">
        <is>
          <t>Not published; use company inquiry form</t>
        </is>
      </c>
      <c r="P134" s="183" t="inlineStr">
        <is>
          <t>Not confirmed</t>
        </is>
      </c>
      <c r="Q134" s="183" t="inlineStr">
        <is>
          <t>Not identified</t>
        </is>
      </c>
      <c r="R134" s="184" t="inlineStr">
        <is>
          <t>Company inquiry only</t>
        </is>
      </c>
      <c r="S134" s="183" t="n">
        <v>18</v>
      </c>
      <c r="T134" s="189" t="inlineStr">
        <is>
          <t>C</t>
        </is>
      </c>
      <c r="U134" s="183" t="inlineStr">
        <is>
          <t>Adjacent hospital department line (no ultrasound found), which is the best recruit profile for a point of care line.</t>
        </is>
      </c>
      <c r="V134" s="183" t="inlineStr">
        <is>
          <t>Introduce CHISON as a future line through a national MAH partner; ask about their hospital and clinic coverage, service engineers and openness to non Japanese brands.</t>
        </is>
      </c>
      <c r="W134" s="183" t="inlineStr">
        <is>
          <t>N (not identified)</t>
        </is>
      </c>
      <c r="X134" s="186" t="inlineStr">
        <is>
          <t>https://baseconnect.in/companies/prefecture/5d54c878-c20d-4f57-bb73-e021f2210d6c/keyword/14f3dcec-9cd5-4be5-84e1-ddccb7bd228c</t>
        </is>
      </c>
      <c r="Y134" s="183" t="inlineStr">
        <is>
          <t>CBit 6 cart plus SonoEye P5 pocket echo</t>
        </is>
      </c>
      <c r="Z134" s="183" t="inlineStr">
        <is>
          <t>2, 3, 3, 2, 3, 2, 3</t>
        </is>
      </c>
      <c r="AA134" s="183" t="inlineStr">
        <is>
          <t>Not found</t>
        </is>
      </c>
      <c r="AB134" s="183" t="inlineStr">
        <is>
          <t>Directory or search listing; not opened (direct site access blocked)</t>
        </is>
      </c>
      <c r="AC134" s="183" t="inlineStr">
        <is>
          <t>No expired licence or ended distribution agreement found</t>
        </is>
      </c>
      <c r="AD134" s="183" t="inlineStr">
        <is>
          <t>Not started</t>
        </is>
      </c>
      <c r="AE134" s="183" t="inlineStr"/>
      <c r="AF134" s="183" t="inlineStr"/>
      <c r="AG134" s="183" t="inlineStr">
        <is>
          <t>No email published; website has no contact page link, phone first</t>
        </is>
      </c>
    </row>
    <row r="135">
      <c r="A135" s="183" t="n">
        <v>131</v>
      </c>
      <c r="B135" s="183" t="inlineStr">
        <is>
          <t>Nippon Senpaku Yakuhin</t>
        </is>
      </c>
      <c r="C135" s="183" t="inlineStr">
        <is>
          <t>日本船舶薬品</t>
        </is>
      </c>
      <c r="D135" s="183" t="inlineStr">
        <is>
          <t>Not retrieved (NTA lookup blocked in this session)</t>
        </is>
      </c>
      <c r="E135" s="183" t="inlineStr">
        <is>
          <t>神奈川県</t>
        </is>
      </c>
      <c r="F135" s="183" t="inlineStr">
        <is>
          <t>Kanto</t>
        </is>
      </c>
      <c r="G135" s="183" t="inlineStr">
        <is>
          <t>https://e-nsy.jp/</t>
        </is>
      </c>
      <c r="H135" s="183" t="inlineStr">
        <is>
          <t>No MAH found; device sales licence (高度管理医療機器等販売業) not confirmed</t>
        </is>
      </c>
      <c r="I135" s="183" t="inlineStr">
        <is>
          <t>Not identified in published sources</t>
        </is>
      </c>
      <c r="J135" s="183" t="inlineStr">
        <is>
          <t>Emergency and disaster</t>
        </is>
      </c>
      <c r="K135" s="183" t="inlineStr">
        <is>
          <t>神奈川県 (regional; branch network not confirmed)</t>
        </is>
      </c>
      <c r="L135" s="183" t="inlineStr">
        <is>
          <t>Not found</t>
        </is>
      </c>
      <c r="M135" s="183" t="inlineStr">
        <is>
          <t>Not identified</t>
        </is>
      </c>
      <c r="N135" s="183" t="inlineStr">
        <is>
          <t>Not identified</t>
        </is>
      </c>
      <c r="O135" s="183" t="inlineStr">
        <is>
          <t>Not published; use contact form</t>
        </is>
      </c>
      <c r="P135" s="183" t="inlineStr">
        <is>
          <t>Not confirmed</t>
        </is>
      </c>
      <c r="Q135" s="183" t="inlineStr">
        <is>
          <t>Not identified</t>
        </is>
      </c>
      <c r="R135" s="184" t="inlineStr">
        <is>
          <t>Likely</t>
        </is>
      </c>
      <c r="S135" s="183" t="n">
        <v>18</v>
      </c>
      <c r="T135" s="189" t="inlineStr">
        <is>
          <t>C</t>
        </is>
      </c>
      <c r="U135" s="183" t="inlineStr">
        <is>
          <t>Adjacent hospital department line (no ultrasound found), which is the best recruit profile for a point of care line.</t>
        </is>
      </c>
      <c r="V135" s="183" t="inlineStr">
        <is>
          <t>Introduce CHISON as a future line through a national MAH partner; ask about their hospital and clinic coverage, service engineers and openness to non Japanese brands.</t>
        </is>
      </c>
      <c r="W135" s="183" t="inlineStr">
        <is>
          <t>N (not identified)</t>
        </is>
      </c>
      <c r="X135" s="186" t="inlineStr">
        <is>
          <t>https://baseconnect.in/companies/prefecture/9c059a11-e5ef-470d-a270-47022ad1f973/category/e8b4fb2e-8cf9-473d-be34-3f729e65fdf3</t>
        </is>
      </c>
      <c r="Y135" s="183" t="inlineStr">
        <is>
          <t>SonoEye P3 for FAST, lung and vascular access (POCUS)</t>
        </is>
      </c>
      <c r="Z135" s="183" t="inlineStr">
        <is>
          <t>2, 3, 3, 2, 3, 2, 3</t>
        </is>
      </c>
      <c r="AA135" s="183" t="inlineStr">
        <is>
          <t>Not found</t>
        </is>
      </c>
      <c r="AB135" s="183" t="inlineStr">
        <is>
          <t>Directory or search listing; not opened (direct site access blocked)</t>
        </is>
      </c>
      <c r="AC135" s="183" t="inlineStr">
        <is>
          <t>No expired licence or ended distribution agreement found</t>
        </is>
      </c>
      <c r="AD135" s="183" t="inlineStr">
        <is>
          <t>Not started</t>
        </is>
      </c>
      <c r="AE135" s="183" t="inlineStr"/>
      <c r="AF135" s="183" t="inlineStr">
        <is>
          <t>https://e-nsy.jp/pages/3/</t>
        </is>
      </c>
      <c r="AG135" s="183" t="inlineStr">
        <is>
          <t>No email published; use the contact form (link in Email source)</t>
        </is>
      </c>
    </row>
    <row r="136">
      <c r="A136" s="183" t="n">
        <v>132</v>
      </c>
      <c r="B136" s="183" t="inlineStr">
        <is>
          <t>Takabayashi Iryo Kikaiten</t>
        </is>
      </c>
      <c r="C136" s="183" t="inlineStr">
        <is>
          <t>高林医療器械店</t>
        </is>
      </c>
      <c r="D136" s="183" t="inlineStr">
        <is>
          <t>Not retrieved (NTA lookup blocked in this session)</t>
        </is>
      </c>
      <c r="E136" s="183" t="inlineStr">
        <is>
          <t>群馬県</t>
        </is>
      </c>
      <c r="F136" s="183" t="inlineStr">
        <is>
          <t>Kanto</t>
        </is>
      </c>
      <c r="G136" s="183" t="inlineStr">
        <is>
          <t>Not confirmed (company site not opened; network policy blocked direct access)</t>
        </is>
      </c>
      <c r="H136" s="183" t="inlineStr">
        <is>
          <t>No MAH found; device sales licence (高度管理医療機器等販売業) not confirmed</t>
        </is>
      </c>
      <c r="I136" s="183" t="inlineStr">
        <is>
          <t>Not identified in published sources</t>
        </is>
      </c>
      <c r="J136" s="183" t="inlineStr">
        <is>
          <t>General medical equipment (hospitals and clinics)</t>
        </is>
      </c>
      <c r="K136" s="183" t="inlineStr">
        <is>
          <t>群馬県 (regional; branch network not confirmed)</t>
        </is>
      </c>
      <c r="L136" s="183" t="inlineStr">
        <is>
          <t>Not found</t>
        </is>
      </c>
      <c r="M136" s="183" t="inlineStr">
        <is>
          <t>Not identified</t>
        </is>
      </c>
      <c r="N136" s="183" t="inlineStr">
        <is>
          <t>Not identified</t>
        </is>
      </c>
      <c r="O136" s="183" t="inlineStr">
        <is>
          <t>Not published; use company inquiry form</t>
        </is>
      </c>
      <c r="P136" s="183" t="inlineStr">
        <is>
          <t>Not confirmed</t>
        </is>
      </c>
      <c r="Q136" s="183" t="inlineStr">
        <is>
          <t>Not identified</t>
        </is>
      </c>
      <c r="R136" s="184" t="inlineStr">
        <is>
          <t>Unverified</t>
        </is>
      </c>
      <c r="S136" s="183" t="n">
        <v>18</v>
      </c>
      <c r="T136" s="189" t="inlineStr">
        <is>
          <t>C</t>
        </is>
      </c>
      <c r="U136" s="183" t="inlineStr">
        <is>
          <t>Regional general medical equipment dealer with hospital and clinic accounts; candidate sub dealer under a national MAH partner.</t>
        </is>
      </c>
      <c r="V136" s="183" t="inlineStr">
        <is>
          <t>Introduce CHISON as a future line through a national MAH partner; ask about their hospital and clinic coverage, service engineers and openness to non Japanese brands.</t>
        </is>
      </c>
      <c r="W136" s="183" t="inlineStr">
        <is>
          <t>N (not identified)</t>
        </is>
      </c>
      <c r="X136" s="186" t="inlineStr">
        <is>
          <t>https://baseconnect.in/companies/prefecture/c59cfe5b-871c-44d1-8594-96d4a5882e4b/keyword/89941b4e-2dd1-4848-8957-48af280a31e0</t>
        </is>
      </c>
      <c r="Y136" s="183" t="inlineStr">
        <is>
          <t>SonoEye P3 plus SonoAir 30 for GP and clinic accounts</t>
        </is>
      </c>
      <c r="Z136" s="183" t="inlineStr">
        <is>
          <t>2, 2, 3, 3, 3, 2, 3</t>
        </is>
      </c>
      <c r="AA136" s="183" t="inlineStr">
        <is>
          <t>Not found</t>
        </is>
      </c>
      <c r="AB136" s="183" t="inlineStr">
        <is>
          <t>Directory or search listing; not opened (direct site access blocked)</t>
        </is>
      </c>
      <c r="AC136" s="183" t="inlineStr">
        <is>
          <t>No expired licence or ended distribution agreement found</t>
        </is>
      </c>
      <c r="AD136" s="183" t="inlineStr">
        <is>
          <t>Not started</t>
        </is>
      </c>
      <c r="AE136" s="183" t="inlineStr"/>
      <c r="AF136" s="183" t="inlineStr"/>
      <c r="AG136" s="183" t="inlineStr">
        <is>
          <t>No email published and no verified website found</t>
        </is>
      </c>
    </row>
    <row r="137">
      <c r="A137" s="183" t="n">
        <v>133</v>
      </c>
      <c r="B137" s="183" t="inlineStr">
        <is>
          <t>IDK</t>
        </is>
      </c>
      <c r="C137" s="183" t="inlineStr">
        <is>
          <t>IDK</t>
        </is>
      </c>
      <c r="D137" s="183" t="inlineStr">
        <is>
          <t>Not retrieved (NTA lookup blocked in this session)</t>
        </is>
      </c>
      <c r="E137" s="183" t="inlineStr">
        <is>
          <t>茨城県</t>
        </is>
      </c>
      <c r="F137" s="183" t="inlineStr">
        <is>
          <t>Kanto</t>
        </is>
      </c>
      <c r="G137" s="183" t="inlineStr">
        <is>
          <t>https://idkcorp.co.jp/</t>
        </is>
      </c>
      <c r="H137" s="183" t="inlineStr">
        <is>
          <t>No MAH found; device sales licence (高度管理医療機器等販売業) not confirmed</t>
        </is>
      </c>
      <c r="I137" s="183" t="inlineStr">
        <is>
          <t>Not identified in published sources</t>
        </is>
      </c>
      <c r="J137" s="183" t="inlineStr">
        <is>
          <t>General medical equipment (hospitals and clinics)</t>
        </is>
      </c>
      <c r="K137" s="183" t="inlineStr">
        <is>
          <t>茨城県 (regional; branch network not confirmed)</t>
        </is>
      </c>
      <c r="L137" s="183" t="inlineStr">
        <is>
          <t>Not found</t>
        </is>
      </c>
      <c r="M137" s="183" t="inlineStr">
        <is>
          <t>Not identified</t>
        </is>
      </c>
      <c r="N137" s="183" t="inlineStr">
        <is>
          <t>Not identified</t>
        </is>
      </c>
      <c r="O137" s="183" t="inlineStr">
        <is>
          <t>Not published; use contact form</t>
        </is>
      </c>
      <c r="P137" s="183" t="inlineStr">
        <is>
          <t>Not confirmed</t>
        </is>
      </c>
      <c r="Q137" s="183" t="inlineStr">
        <is>
          <t>Not identified</t>
        </is>
      </c>
      <c r="R137" s="184" t="inlineStr">
        <is>
          <t>Likely</t>
        </is>
      </c>
      <c r="S137" s="183" t="n">
        <v>18</v>
      </c>
      <c r="T137" s="189" t="inlineStr">
        <is>
          <t>C</t>
        </is>
      </c>
      <c r="U137" s="183" t="inlineStr">
        <is>
          <t>Regional general medical equipment dealer with hospital and clinic accounts; candidate sub dealer under a national MAH partner.</t>
        </is>
      </c>
      <c r="V137" s="183" t="inlineStr">
        <is>
          <t>Introduce CHISON as a future line through a national MAH partner; ask about their hospital and clinic coverage, service engineers and openness to non Japanese brands.</t>
        </is>
      </c>
      <c r="W137" s="183" t="inlineStr">
        <is>
          <t>N (not identified)</t>
        </is>
      </c>
      <c r="X137" s="186" t="inlineStr">
        <is>
          <t>https://baseconnect.in/companies/prefecture/d8203dea-91e2-41c3-a785-b80aa997273c/category/b2358a1c-c4c6-46f4-a0b1-dee3a1b30a0b</t>
        </is>
      </c>
      <c r="Y137" s="183" t="inlineStr">
        <is>
          <t>SonoEye P3 plus SonoAir 30 for GP and clinic accounts</t>
        </is>
      </c>
      <c r="Z137" s="183" t="inlineStr">
        <is>
          <t>2, 2, 3, 3, 3, 2, 3</t>
        </is>
      </c>
      <c r="AA137" s="183" t="inlineStr">
        <is>
          <t>Not found</t>
        </is>
      </c>
      <c r="AB137" s="183" t="inlineStr">
        <is>
          <t>Directory or search listing; not opened (direct site access blocked)</t>
        </is>
      </c>
      <c r="AC137" s="183" t="inlineStr">
        <is>
          <t>No expired licence or ended distribution agreement found</t>
        </is>
      </c>
      <c r="AD137" s="183" t="inlineStr">
        <is>
          <t>Not started</t>
        </is>
      </c>
      <c r="AE137" s="183" t="inlineStr"/>
      <c r="AF137" s="183" t="inlineStr">
        <is>
          <t>https://idkcorp.co.jp/contact/</t>
        </is>
      </c>
      <c r="AG137" s="183" t="inlineStr">
        <is>
          <t>No email published; use the contact form (link in Email source)</t>
        </is>
      </c>
    </row>
    <row r="138">
      <c r="A138" s="183" t="n">
        <v>134</v>
      </c>
      <c r="B138" s="183" t="inlineStr">
        <is>
          <t>Central Medical (Tsuchiura)</t>
        </is>
      </c>
      <c r="C138" s="183" t="inlineStr">
        <is>
          <t>セントラルメディカル茨城</t>
        </is>
      </c>
      <c r="D138" s="183" t="inlineStr">
        <is>
          <t>Not retrieved (NTA lookup blocked in this session)</t>
        </is>
      </c>
      <c r="E138" s="183" t="inlineStr">
        <is>
          <t>茨城県</t>
        </is>
      </c>
      <c r="F138" s="183" t="inlineStr">
        <is>
          <t>Kanto</t>
        </is>
      </c>
      <c r="G138" s="183" t="inlineStr">
        <is>
          <t>Not confirmed (company site not opened; network policy blocked direct access)</t>
        </is>
      </c>
      <c r="H138" s="183" t="inlineStr">
        <is>
          <t>No MAH found; device sales licence (高度管理医療機器等販売業) not confirmed</t>
        </is>
      </c>
      <c r="I138" s="183" t="inlineStr">
        <is>
          <t>Not identified in published sources</t>
        </is>
      </c>
      <c r="J138" s="183" t="inlineStr">
        <is>
          <t>Anaesthesia, ICU and respiratory</t>
        </is>
      </c>
      <c r="K138" s="183" t="inlineStr">
        <is>
          <t>茨城県 (regional; branch network not confirmed)</t>
        </is>
      </c>
      <c r="L138" s="183" t="inlineStr">
        <is>
          <t>Not found</t>
        </is>
      </c>
      <c r="M138" s="183" t="inlineStr">
        <is>
          <t>Not identified</t>
        </is>
      </c>
      <c r="N138" s="183" t="inlineStr">
        <is>
          <t>Not identified</t>
        </is>
      </c>
      <c r="O138" s="183" t="inlineStr">
        <is>
          <t>Not published; use company inquiry form</t>
        </is>
      </c>
      <c r="P138" s="183" t="inlineStr">
        <is>
          <t>Not confirmed</t>
        </is>
      </c>
      <c r="Q138" s="183" t="inlineStr">
        <is>
          <t>Not identified</t>
        </is>
      </c>
      <c r="R138" s="184" t="inlineStr">
        <is>
          <t>Unverified</t>
        </is>
      </c>
      <c r="S138" s="183" t="n">
        <v>18</v>
      </c>
      <c r="T138" s="189" t="inlineStr">
        <is>
          <t>C</t>
        </is>
      </c>
      <c r="U138" s="183" t="inlineStr">
        <is>
          <t>Adjacent hospital department line (no ultrasound found), which is the best recruit profile for a point of care line.</t>
        </is>
      </c>
      <c r="V138" s="183" t="inlineStr">
        <is>
          <t>Introduce CHISON as a future line through a national MAH partner; ask about their hospital and clinic coverage, service engineers and openness to non Japanese brands.</t>
        </is>
      </c>
      <c r="W138" s="183" t="inlineStr">
        <is>
          <t>N (not identified)</t>
        </is>
      </c>
      <c r="X138" s="186" t="inlineStr">
        <is>
          <t>https://baseconnect.in/companies/prefecture/d8203dea-91e2-41c3-a785-b80aa997273c/category/b2358a1c-c4c6-46f4-a0b1-dee3a1b30a0b</t>
        </is>
      </c>
      <c r="Y138" s="183" t="inlineStr">
        <is>
          <t>SonoEye P3 for FAST, lung and vascular access (POCUS)</t>
        </is>
      </c>
      <c r="Z138" s="183" t="inlineStr">
        <is>
          <t>2, 3, 3, 2, 3, 2, 3</t>
        </is>
      </c>
      <c r="AA138" s="183" t="inlineStr">
        <is>
          <t>Not found</t>
        </is>
      </c>
      <c r="AB138" s="183" t="inlineStr">
        <is>
          <t>Directory or search listing; not opened (direct site access blocked)</t>
        </is>
      </c>
      <c r="AC138" s="183" t="inlineStr">
        <is>
          <t>No expired licence or ended distribution agreement found</t>
        </is>
      </c>
      <c r="AD138" s="183" t="inlineStr">
        <is>
          <t>Not started</t>
        </is>
      </c>
      <c r="AE138" s="183" t="inlineStr"/>
      <c r="AF138" s="183" t="inlineStr"/>
      <c r="AG138" s="183" t="inlineStr">
        <is>
          <t>No email published and no verified website found</t>
        </is>
      </c>
    </row>
    <row r="139">
      <c r="A139" s="183" t="n">
        <v>135</v>
      </c>
      <c r="B139" s="183" t="inlineStr">
        <is>
          <t>Niizuma Medical</t>
        </is>
      </c>
      <c r="C139" s="183" t="inlineStr">
        <is>
          <t>新妻メディカル</t>
        </is>
      </c>
      <c r="D139" s="183" t="inlineStr">
        <is>
          <t>Not retrieved (NTA lookup blocked in this session)</t>
        </is>
      </c>
      <c r="E139" s="183" t="inlineStr">
        <is>
          <t>茨城県</t>
        </is>
      </c>
      <c r="F139" s="183" t="inlineStr">
        <is>
          <t>Kanto</t>
        </is>
      </c>
      <c r="G139" s="183" t="inlineStr">
        <is>
          <t>https://niizuma-medical.com/</t>
        </is>
      </c>
      <c r="H139" s="183" t="inlineStr">
        <is>
          <t>No MAH found; device sales licence (高度管理医療機器等販売業) not confirmed</t>
        </is>
      </c>
      <c r="I139" s="183" t="inlineStr">
        <is>
          <t>Not identified in published sources</t>
        </is>
      </c>
      <c r="J139" s="183" t="inlineStr">
        <is>
          <t>Pharma distribution</t>
        </is>
      </c>
      <c r="K139" s="183" t="inlineStr">
        <is>
          <t>茨城県 (regional; branch network not confirmed)</t>
        </is>
      </c>
      <c r="L139" s="183" t="inlineStr">
        <is>
          <t>Not found</t>
        </is>
      </c>
      <c r="M139" s="183" t="inlineStr">
        <is>
          <t>Not identified</t>
        </is>
      </c>
      <c r="N139" s="183" t="inlineStr">
        <is>
          <t>Not identified</t>
        </is>
      </c>
      <c r="O139" s="183" t="inlineStr">
        <is>
          <t>Not published; use contact form</t>
        </is>
      </c>
      <c r="P139" s="183" t="inlineStr">
        <is>
          <t>Not confirmed</t>
        </is>
      </c>
      <c r="Q139" s="183" t="inlineStr">
        <is>
          <t>Not identified</t>
        </is>
      </c>
      <c r="R139" s="184" t="inlineStr">
        <is>
          <t>Likely</t>
        </is>
      </c>
      <c r="S139" s="183" t="n">
        <v>18</v>
      </c>
      <c r="T139" s="189" t="inlineStr">
        <is>
          <t>C</t>
        </is>
      </c>
      <c r="U139" s="183" t="inlineStr">
        <is>
          <t>Regional general medical equipment dealer with hospital and clinic accounts; candidate sub dealer under a national MAH partner.</t>
        </is>
      </c>
      <c r="V139" s="183" t="inlineStr">
        <is>
          <t>Introduce CHISON as a future line through a national MAH partner; ask about their hospital and clinic coverage, service engineers and openness to non Japanese brands.</t>
        </is>
      </c>
      <c r="W139" s="183" t="inlineStr">
        <is>
          <t>N (not identified)</t>
        </is>
      </c>
      <c r="X139" s="186" t="inlineStr">
        <is>
          <t>https://baseconnect.in/companies/prefecture/d8203dea-91e2-41c3-a785-b80aa997273c/category/b2358a1c-c4c6-46f4-a0b1-dee3a1b30a0b</t>
        </is>
      </c>
      <c r="Y139" s="183" t="inlineStr">
        <is>
          <t>SonoEye P3 plus SonoAir 30 for GP and clinic accounts</t>
        </is>
      </c>
      <c r="Z139" s="183" t="inlineStr">
        <is>
          <t>2, 2, 3, 3, 3, 2, 3</t>
        </is>
      </c>
      <c r="AA139" s="183" t="inlineStr">
        <is>
          <t>Not found</t>
        </is>
      </c>
      <c r="AB139" s="183" t="inlineStr">
        <is>
          <t>Directory or search listing; not opened (direct site access blocked)</t>
        </is>
      </c>
      <c r="AC139" s="183" t="inlineStr">
        <is>
          <t>No expired licence or ended distribution agreement found</t>
        </is>
      </c>
      <c r="AD139" s="183" t="inlineStr">
        <is>
          <t>Not started</t>
        </is>
      </c>
      <c r="AE139" s="183" t="inlineStr"/>
      <c r="AF139" s="183" t="inlineStr">
        <is>
          <t>https://niizuma-medical.com/contact/</t>
        </is>
      </c>
      <c r="AG139" s="183" t="inlineStr">
        <is>
          <t>No email published; use the contact form (link in Email source)</t>
        </is>
      </c>
    </row>
    <row r="140">
      <c r="A140" s="183" t="n">
        <v>136</v>
      </c>
      <c r="B140" s="183" t="inlineStr">
        <is>
          <t>Masuda Ika Kikai</t>
        </is>
      </c>
      <c r="C140" s="183" t="inlineStr">
        <is>
          <t>増田医科器械</t>
        </is>
      </c>
      <c r="D140" s="183" t="inlineStr">
        <is>
          <t>Not retrieved (NTA lookup blocked in this session)</t>
        </is>
      </c>
      <c r="E140" s="183" t="inlineStr">
        <is>
          <t>京都府</t>
        </is>
      </c>
      <c r="F140" s="183" t="inlineStr">
        <is>
          <t>Kansai</t>
        </is>
      </c>
      <c r="G140" s="183" t="inlineStr">
        <is>
          <t>https://www.masudaika.co.jp/</t>
        </is>
      </c>
      <c r="H140" s="183" t="inlineStr">
        <is>
          <t>No MAH found; device sales licence (高度管理医療機器等販売業) not confirmed</t>
        </is>
      </c>
      <c r="I140" s="183" t="inlineStr">
        <is>
          <t>Not identified in published sources</t>
        </is>
      </c>
      <c r="J140" s="183" t="inlineStr">
        <is>
          <t>General medical equipment (hospitals and clinics)</t>
        </is>
      </c>
      <c r="K140" s="183" t="inlineStr">
        <is>
          <t>京都府 (regional; branch network not confirmed)</t>
        </is>
      </c>
      <c r="L140" s="183" t="inlineStr">
        <is>
          <t>Not found</t>
        </is>
      </c>
      <c r="M140" s="183" t="inlineStr">
        <is>
          <t>Not identified</t>
        </is>
      </c>
      <c r="N140" s="183" t="inlineStr">
        <is>
          <t>Not identified</t>
        </is>
      </c>
      <c r="O140" s="183" t="inlineStr">
        <is>
          <t>info@masudaika.co.jp</t>
        </is>
      </c>
      <c r="P140" s="183" t="inlineStr">
        <is>
          <t>Not confirmed</t>
        </is>
      </c>
      <c r="Q140" s="183" t="inlineStr">
        <is>
          <t>Not identified</t>
        </is>
      </c>
      <c r="R140" s="184" t="inlineStr">
        <is>
          <t>Unverified</t>
        </is>
      </c>
      <c r="S140" s="183" t="n">
        <v>18</v>
      </c>
      <c r="T140" s="189" t="inlineStr">
        <is>
          <t>C</t>
        </is>
      </c>
      <c r="U140" s="183" t="inlineStr">
        <is>
          <t>Regional general medical equipment dealer with hospital and clinic accounts; candidate sub dealer under a national MAH partner.</t>
        </is>
      </c>
      <c r="V140" s="183" t="inlineStr">
        <is>
          <t>Introduce CHISON as a future line through a national MAH partner; ask about their hospital and clinic coverage, service engineers and openness to non Japanese brands.</t>
        </is>
      </c>
      <c r="W140" s="183" t="inlineStr">
        <is>
          <t>N (not identified)</t>
        </is>
      </c>
      <c r="X140" s="186" t="inlineStr">
        <is>
          <t>https://baseconnect.in/companies/prefecture/63038c5a-e328-472b-b9cc-039738609ba7/keyword/14f3dcec-9cd5-4be5-84e1-ddccb7bd228c</t>
        </is>
      </c>
      <c r="Y140" s="183" t="inlineStr">
        <is>
          <t>SonoEye P3 plus SonoAir 30 for GP and clinic accounts</t>
        </is>
      </c>
      <c r="Z140" s="183" t="inlineStr">
        <is>
          <t>2, 2, 3, 3, 3, 2, 3</t>
        </is>
      </c>
      <c r="AA140" s="183" t="inlineStr">
        <is>
          <t>Not found</t>
        </is>
      </c>
      <c r="AB140" s="183" t="inlineStr">
        <is>
          <t>Directory or search listing; not opened (direct site access blocked)</t>
        </is>
      </c>
      <c r="AC140" s="183" t="inlineStr">
        <is>
          <t>No expired licence or ended distribution agreement found</t>
        </is>
      </c>
      <c r="AD140" s="183" t="inlineStr">
        <is>
          <t>Not started</t>
        </is>
      </c>
      <c r="AE140" s="183" t="inlineStr">
        <is>
          <t>moc@masudaika.co.jp</t>
        </is>
      </c>
      <c r="AF140" s="183" t="inlineStr">
        <is>
          <t>https://sia-japan.com/company_list/690/</t>
        </is>
      </c>
      <c r="AG140" s="183" t="inlineStr">
        <is>
          <t>Likely: indexed on company domain</t>
        </is>
      </c>
    </row>
    <row r="141">
      <c r="A141" s="183" t="n">
        <v>137</v>
      </c>
      <c r="B141" s="183" t="inlineStr">
        <is>
          <t>Ishitsubo</t>
        </is>
      </c>
      <c r="C141" s="183" t="inlineStr">
        <is>
          <t>石坪</t>
        </is>
      </c>
      <c r="D141" s="183" t="inlineStr">
        <is>
          <t>Not retrieved (NTA lookup blocked in this session)</t>
        </is>
      </c>
      <c r="E141" s="183" t="inlineStr">
        <is>
          <t>京都府</t>
        </is>
      </c>
      <c r="F141" s="183" t="inlineStr">
        <is>
          <t>Kansai</t>
        </is>
      </c>
      <c r="G141" s="183" t="inlineStr">
        <is>
          <t>https://ishitsubo.co.jp/</t>
        </is>
      </c>
      <c r="H141" s="183" t="inlineStr">
        <is>
          <t>No MAH found; device sales licence (高度管理医療機器等販売業) not confirmed</t>
        </is>
      </c>
      <c r="I141" s="183" t="inlineStr">
        <is>
          <t>Not identified in published sources</t>
        </is>
      </c>
      <c r="J141" s="183" t="inlineStr">
        <is>
          <t>General medical equipment (hospitals and clinics)</t>
        </is>
      </c>
      <c r="K141" s="183" t="inlineStr">
        <is>
          <t>京都府 (regional; branch network not confirmed)</t>
        </is>
      </c>
      <c r="L141" s="183" t="inlineStr">
        <is>
          <t>Not found</t>
        </is>
      </c>
      <c r="M141" s="183" t="inlineStr">
        <is>
          <t>Not identified</t>
        </is>
      </c>
      <c r="N141" s="183" t="inlineStr">
        <is>
          <t>Not identified</t>
        </is>
      </c>
      <c r="O141" s="183" t="inlineStr">
        <is>
          <t>Not published; use contact form</t>
        </is>
      </c>
      <c r="P141" s="183" t="inlineStr">
        <is>
          <t>Not confirmed</t>
        </is>
      </c>
      <c r="Q141" s="183" t="inlineStr">
        <is>
          <t>Not identified</t>
        </is>
      </c>
      <c r="R141" s="184" t="inlineStr">
        <is>
          <t>Likely</t>
        </is>
      </c>
      <c r="S141" s="183" t="n">
        <v>18</v>
      </c>
      <c r="T141" s="189" t="inlineStr">
        <is>
          <t>C</t>
        </is>
      </c>
      <c r="U141" s="183" t="inlineStr">
        <is>
          <t>Regional general medical equipment dealer with hospital and clinic accounts; candidate sub dealer under a national MAH partner.</t>
        </is>
      </c>
      <c r="V141" s="183" t="inlineStr">
        <is>
          <t>Introduce CHISON as a future line through a national MAH partner; ask about their hospital and clinic coverage, service engineers and openness to non Japanese brands.</t>
        </is>
      </c>
      <c r="W141" s="183" t="inlineStr">
        <is>
          <t>N (not identified)</t>
        </is>
      </c>
      <c r="X141" s="186" t="inlineStr">
        <is>
          <t>https://baseconnect.in/companies/prefecture/63038c5a-e328-472b-b9cc-039738609ba7/keyword/14f3dcec-9cd5-4be5-84e1-ddccb7bd228c</t>
        </is>
      </c>
      <c r="Y141" s="183" t="inlineStr">
        <is>
          <t>SonoEye P3 plus SonoAir 30 for GP and clinic accounts</t>
        </is>
      </c>
      <c r="Z141" s="183" t="inlineStr">
        <is>
          <t>2, 2, 3, 3, 3, 2, 3</t>
        </is>
      </c>
      <c r="AA141" s="183" t="inlineStr">
        <is>
          <t>Not found</t>
        </is>
      </c>
      <c r="AB141" s="183" t="inlineStr">
        <is>
          <t>Directory or search listing; not opened (direct site access blocked)</t>
        </is>
      </c>
      <c r="AC141" s="183" t="inlineStr">
        <is>
          <t>No expired licence or ended distribution agreement found</t>
        </is>
      </c>
      <c r="AD141" s="183" t="inlineStr">
        <is>
          <t>Not started</t>
        </is>
      </c>
      <c r="AE141" s="183" t="inlineStr"/>
      <c r="AF141" s="183" t="inlineStr">
        <is>
          <t>https://ishitsubo.co.jp/contact/</t>
        </is>
      </c>
      <c r="AG141" s="183" t="inlineStr">
        <is>
          <t>No email published; use the contact form (link in Email source)</t>
        </is>
      </c>
    </row>
    <row r="142">
      <c r="A142" s="183" t="n">
        <v>138</v>
      </c>
      <c r="B142" s="183" t="inlineStr">
        <is>
          <t>Umeno Medical</t>
        </is>
      </c>
      <c r="C142" s="183" t="inlineStr">
        <is>
          <t>梅野メディカル</t>
        </is>
      </c>
      <c r="D142" s="183" t="inlineStr">
        <is>
          <t>Not retrieved (NTA lookup blocked in this session)</t>
        </is>
      </c>
      <c r="E142" s="183" t="inlineStr">
        <is>
          <t>京都府</t>
        </is>
      </c>
      <c r="F142" s="183" t="inlineStr">
        <is>
          <t>Kansai</t>
        </is>
      </c>
      <c r="G142" s="183" t="inlineStr">
        <is>
          <t>https://umenomedical.jimdofree.com/</t>
        </is>
      </c>
      <c r="H142" s="183" t="inlineStr">
        <is>
          <t>No MAH found; device sales licence (高度管理医療機器等販売業) not confirmed</t>
        </is>
      </c>
      <c r="I142" s="183" t="inlineStr">
        <is>
          <t>Not identified in published sources</t>
        </is>
      </c>
      <c r="J142" s="183" t="inlineStr">
        <is>
          <t>General medical equipment (hospitals and clinics)</t>
        </is>
      </c>
      <c r="K142" s="183" t="inlineStr">
        <is>
          <t>京都府 (regional; branch network not confirmed)</t>
        </is>
      </c>
      <c r="L142" s="183" t="inlineStr">
        <is>
          <t>Not found</t>
        </is>
      </c>
      <c r="M142" s="183" t="inlineStr">
        <is>
          <t>Not identified</t>
        </is>
      </c>
      <c r="N142" s="183" t="inlineStr">
        <is>
          <t>Not identified</t>
        </is>
      </c>
      <c r="O142" s="183" t="inlineStr">
        <is>
          <t>Not published; use company inquiry form</t>
        </is>
      </c>
      <c r="P142" s="183" t="inlineStr">
        <is>
          <t>Not confirmed</t>
        </is>
      </c>
      <c r="Q142" s="183" t="inlineStr">
        <is>
          <t>Not identified</t>
        </is>
      </c>
      <c r="R142" s="184" t="inlineStr">
        <is>
          <t>Company inquiry only</t>
        </is>
      </c>
      <c r="S142" s="183" t="n">
        <v>18</v>
      </c>
      <c r="T142" s="189" t="inlineStr">
        <is>
          <t>C</t>
        </is>
      </c>
      <c r="U142" s="183" t="inlineStr">
        <is>
          <t>Regional general medical equipment dealer with hospital and clinic accounts; candidate sub dealer under a national MAH partner.</t>
        </is>
      </c>
      <c r="V142" s="183" t="inlineStr">
        <is>
          <t>Introduce CHISON as a future line through a national MAH partner; ask about their hospital and clinic coverage, service engineers and openness to non Japanese brands.</t>
        </is>
      </c>
      <c r="W142" s="183" t="inlineStr">
        <is>
          <t>N (not identified)</t>
        </is>
      </c>
      <c r="X142" s="186" t="inlineStr">
        <is>
          <t>https://baseconnect.in/companies/prefecture/63038c5a-e328-472b-b9cc-039738609ba7/keyword/14f3dcec-9cd5-4be5-84e1-ddccb7bd228c</t>
        </is>
      </c>
      <c r="Y142" s="183" t="inlineStr">
        <is>
          <t>SonoEye P3 plus SonoAir 30 for GP and clinic accounts</t>
        </is>
      </c>
      <c r="Z142" s="183" t="inlineStr">
        <is>
          <t>2, 2, 3, 3, 3, 2, 3</t>
        </is>
      </c>
      <c r="AA142" s="183" t="inlineStr">
        <is>
          <t>Not found</t>
        </is>
      </c>
      <c r="AB142" s="183" t="inlineStr">
        <is>
          <t>Directory or search listing; not opened (direct site access blocked)</t>
        </is>
      </c>
      <c r="AC142" s="183" t="inlineStr">
        <is>
          <t>No expired licence or ended distribution agreement found</t>
        </is>
      </c>
      <c r="AD142" s="183" t="inlineStr">
        <is>
          <t>Not started</t>
        </is>
      </c>
      <c r="AE142" s="183" t="inlineStr"/>
      <c r="AF142" s="183" t="inlineStr"/>
      <c r="AG142" s="183" t="inlineStr">
        <is>
          <t>No email published; website has no contact page link, phone first</t>
        </is>
      </c>
    </row>
    <row r="143">
      <c r="A143" s="183" t="n">
        <v>139</v>
      </c>
      <c r="B143" s="183" t="inlineStr">
        <is>
          <t>Masutomi</t>
        </is>
      </c>
      <c r="C143" s="183" t="inlineStr">
        <is>
          <t>増富</t>
        </is>
      </c>
      <c r="D143" s="183" t="inlineStr">
        <is>
          <t>Not retrieved (NTA lookup blocked in this session)</t>
        </is>
      </c>
      <c r="E143" s="183" t="inlineStr">
        <is>
          <t>京都府</t>
        </is>
      </c>
      <c r="F143" s="183" t="inlineStr">
        <is>
          <t>Kansai</t>
        </is>
      </c>
      <c r="G143" s="183" t="inlineStr">
        <is>
          <t>https://www.mastomy.co.jp/</t>
        </is>
      </c>
      <c r="H143" s="183" t="inlineStr">
        <is>
          <t>No MAH found; device sales licence (高度管理医療機器等販売業) not confirmed</t>
        </is>
      </c>
      <c r="I143" s="183" t="inlineStr">
        <is>
          <t>Not identified in published sources</t>
        </is>
      </c>
      <c r="J143" s="183" t="inlineStr">
        <is>
          <t>General medical equipment (hospitals and clinics)</t>
        </is>
      </c>
      <c r="K143" s="183" t="inlineStr">
        <is>
          <t>京都府 (regional; branch network not confirmed)</t>
        </is>
      </c>
      <c r="L143" s="183" t="inlineStr">
        <is>
          <t>Not found</t>
        </is>
      </c>
      <c r="M143" s="183" t="inlineStr">
        <is>
          <t>Not identified</t>
        </is>
      </c>
      <c r="N143" s="183" t="inlineStr">
        <is>
          <t>Not identified</t>
        </is>
      </c>
      <c r="O143" s="183" t="inlineStr">
        <is>
          <t>webmaster@mastomy.co.jp</t>
        </is>
      </c>
      <c r="P143" s="183" t="inlineStr">
        <is>
          <t>Not confirmed</t>
        </is>
      </c>
      <c r="Q143" s="183" t="inlineStr">
        <is>
          <t>Not identified</t>
        </is>
      </c>
      <c r="R143" s="184" t="inlineStr">
        <is>
          <t>Unverified</t>
        </is>
      </c>
      <c r="S143" s="183" t="n">
        <v>18</v>
      </c>
      <c r="T143" s="189" t="inlineStr">
        <is>
          <t>C</t>
        </is>
      </c>
      <c r="U143" s="183" t="inlineStr">
        <is>
          <t>Regional general medical equipment dealer with hospital and clinic accounts; candidate sub dealer under a national MAH partner.</t>
        </is>
      </c>
      <c r="V143" s="183" t="inlineStr">
        <is>
          <t>Introduce CHISON as a future line through a national MAH partner; ask about their hospital and clinic coverage, service engineers and openness to non Japanese brands.</t>
        </is>
      </c>
      <c r="W143" s="183" t="inlineStr">
        <is>
          <t>N (not identified)</t>
        </is>
      </c>
      <c r="X143" s="186" t="inlineStr">
        <is>
          <t>https://baseconnect.in/companies/prefecture/63038c5a-e328-472b-b9cc-039738609ba7/keyword/14f3dcec-9cd5-4be5-84e1-ddccb7bd228c</t>
        </is>
      </c>
      <c r="Y143" s="183" t="inlineStr">
        <is>
          <t>SonoEye P3 plus SonoAir 30 for GP and clinic accounts</t>
        </is>
      </c>
      <c r="Z143" s="183" t="inlineStr">
        <is>
          <t>2, 2, 3, 3, 3, 2, 3</t>
        </is>
      </c>
      <c r="AA143" s="183" t="inlineStr">
        <is>
          <t>Not found</t>
        </is>
      </c>
      <c r="AB143" s="183" t="inlineStr">
        <is>
          <t>Directory or search listing; not opened (direct site access blocked)</t>
        </is>
      </c>
      <c r="AC143" s="183" t="inlineStr">
        <is>
          <t>No expired licence or ended distribution agreement found</t>
        </is>
      </c>
      <c r="AD143" s="183" t="inlineStr">
        <is>
          <t>Not started</t>
        </is>
      </c>
      <c r="AE143" s="183" t="inlineStr"/>
      <c r="AF143" s="183" t="inlineStr">
        <is>
          <t>https://www.mastomy.co.jp/</t>
        </is>
      </c>
      <c r="AG143" s="183" t="inlineStr">
        <is>
          <t>Verified: published on company website</t>
        </is>
      </c>
    </row>
    <row r="144">
      <c r="A144" s="183" t="n">
        <v>140</v>
      </c>
      <c r="B144" s="183" t="inlineStr">
        <is>
          <t>Ikegami Kikai</t>
        </is>
      </c>
      <c r="C144" s="183" t="inlineStr">
        <is>
          <t>池上器械</t>
        </is>
      </c>
      <c r="D144" s="183" t="inlineStr">
        <is>
          <t>Not retrieved (NTA lookup blocked in this session)</t>
        </is>
      </c>
      <c r="E144" s="183" t="inlineStr">
        <is>
          <t>京都府</t>
        </is>
      </c>
      <c r="F144" s="183" t="inlineStr">
        <is>
          <t>Kansai</t>
        </is>
      </c>
      <c r="G144" s="183" t="inlineStr">
        <is>
          <t>http://www.ikegamikikai.com/</t>
        </is>
      </c>
      <c r="H144" s="183" t="inlineStr">
        <is>
          <t>No MAH found; device sales licence (高度管理医療機器等販売業) not confirmed</t>
        </is>
      </c>
      <c r="I144" s="183" t="inlineStr">
        <is>
          <t>Not identified in published sources</t>
        </is>
      </c>
      <c r="J144" s="183" t="inlineStr">
        <is>
          <t>General medical equipment (hospitals and clinics)</t>
        </is>
      </c>
      <c r="K144" s="183" t="inlineStr">
        <is>
          <t>京都府 (regional; branch network not confirmed)</t>
        </is>
      </c>
      <c r="L144" s="183" t="inlineStr">
        <is>
          <t>Not found</t>
        </is>
      </c>
      <c r="M144" s="183" t="inlineStr">
        <is>
          <t>Not identified</t>
        </is>
      </c>
      <c r="N144" s="183" t="inlineStr">
        <is>
          <t>Not identified</t>
        </is>
      </c>
      <c r="O144" s="183" t="inlineStr">
        <is>
          <t>info@ikegamikikai.com</t>
        </is>
      </c>
      <c r="P144" s="183" t="inlineStr">
        <is>
          <t>Not confirmed</t>
        </is>
      </c>
      <c r="Q144" s="183" t="inlineStr">
        <is>
          <t>Not identified</t>
        </is>
      </c>
      <c r="R144" s="184" t="inlineStr">
        <is>
          <t>Unverified</t>
        </is>
      </c>
      <c r="S144" s="183" t="n">
        <v>18</v>
      </c>
      <c r="T144" s="189" t="inlineStr">
        <is>
          <t>C</t>
        </is>
      </c>
      <c r="U144" s="183" t="inlineStr">
        <is>
          <t>Regional general medical equipment dealer with hospital and clinic accounts; candidate sub dealer under a national MAH partner.</t>
        </is>
      </c>
      <c r="V144" s="183" t="inlineStr">
        <is>
          <t>Introduce CHISON as a future line through a national MAH partner; ask about their hospital and clinic coverage, service engineers and openness to non Japanese brands.</t>
        </is>
      </c>
      <c r="W144" s="183" t="inlineStr">
        <is>
          <t>N (not identified)</t>
        </is>
      </c>
      <c r="X144" s="186" t="inlineStr">
        <is>
          <t>https://baseconnect.in/companies/prefecture/63038c5a-e328-472b-b9cc-039738609ba7/keyword/14f3dcec-9cd5-4be5-84e1-ddccb7bd228c</t>
        </is>
      </c>
      <c r="Y144" s="183" t="inlineStr">
        <is>
          <t>SonoEye P3 plus SonoAir 30 for GP and clinic accounts</t>
        </is>
      </c>
      <c r="Z144" s="183" t="inlineStr">
        <is>
          <t>2, 2, 3, 3, 3, 2, 3</t>
        </is>
      </c>
      <c r="AA144" s="183" t="inlineStr">
        <is>
          <t>Not found</t>
        </is>
      </c>
      <c r="AB144" s="183" t="inlineStr">
        <is>
          <t>Directory or search listing; not opened (direct site access blocked)</t>
        </is>
      </c>
      <c r="AC144" s="183" t="inlineStr">
        <is>
          <t>No expired licence or ended distribution agreement found</t>
        </is>
      </c>
      <c r="AD144" s="183" t="inlineStr">
        <is>
          <t>Not started</t>
        </is>
      </c>
      <c r="AE144" s="183" t="inlineStr"/>
      <c r="AF144" s="183" t="inlineStr">
        <is>
          <t>http://www.ikegamikikai.com/recruit.html</t>
        </is>
      </c>
      <c r="AG144" s="183" t="inlineStr">
        <is>
          <t>Verified: published on company website</t>
        </is>
      </c>
    </row>
    <row r="145">
      <c r="A145" s="183" t="n">
        <v>141</v>
      </c>
      <c r="B145" s="183" t="inlineStr">
        <is>
          <t>Tanaka Iki</t>
        </is>
      </c>
      <c r="C145" s="183" t="inlineStr">
        <is>
          <t>タナカ医器</t>
        </is>
      </c>
      <c r="D145" s="183" t="inlineStr">
        <is>
          <t>Not retrieved (NTA lookup blocked in this session)</t>
        </is>
      </c>
      <c r="E145" s="183" t="inlineStr">
        <is>
          <t>京都府</t>
        </is>
      </c>
      <c r="F145" s="183" t="inlineStr">
        <is>
          <t>Kansai</t>
        </is>
      </c>
      <c r="G145" s="183" t="inlineStr">
        <is>
          <t>Not confirmed (company site not opened; network policy blocked direct access)</t>
        </is>
      </c>
      <c r="H145" s="183" t="inlineStr">
        <is>
          <t>No MAH found; device sales licence (高度管理医療機器等販売業) not confirmed</t>
        </is>
      </c>
      <c r="I145" s="183" t="inlineStr">
        <is>
          <t>Not identified in published sources</t>
        </is>
      </c>
      <c r="J145" s="183" t="inlineStr">
        <is>
          <t>General medical equipment (hospitals and clinics)</t>
        </is>
      </c>
      <c r="K145" s="183" t="inlineStr">
        <is>
          <t>京都府 (regional; branch network not confirmed)</t>
        </is>
      </c>
      <c r="L145" s="183" t="inlineStr">
        <is>
          <t>Not found</t>
        </is>
      </c>
      <c r="M145" s="183" t="inlineStr">
        <is>
          <t>Not identified</t>
        </is>
      </c>
      <c r="N145" s="183" t="inlineStr">
        <is>
          <t>Not identified</t>
        </is>
      </c>
      <c r="O145" s="183" t="inlineStr">
        <is>
          <t>Not published; use company inquiry form</t>
        </is>
      </c>
      <c r="P145" s="183" t="inlineStr">
        <is>
          <t>Not confirmed</t>
        </is>
      </c>
      <c r="Q145" s="183" t="inlineStr">
        <is>
          <t>Not identified</t>
        </is>
      </c>
      <c r="R145" s="184" t="inlineStr">
        <is>
          <t>Unverified</t>
        </is>
      </c>
      <c r="S145" s="183" t="n">
        <v>18</v>
      </c>
      <c r="T145" s="189" t="inlineStr">
        <is>
          <t>C</t>
        </is>
      </c>
      <c r="U145" s="183" t="inlineStr">
        <is>
          <t>Regional general medical equipment dealer with hospital and clinic accounts; candidate sub dealer under a national MAH partner.</t>
        </is>
      </c>
      <c r="V145" s="183" t="inlineStr">
        <is>
          <t>Introduce CHISON as a future line through a national MAH partner; ask about their hospital and clinic coverage, service engineers and openness to non Japanese brands.</t>
        </is>
      </c>
      <c r="W145" s="183" t="inlineStr">
        <is>
          <t>N (not identified)</t>
        </is>
      </c>
      <c r="X145" s="186" t="inlineStr">
        <is>
          <t>https://baseconnect.in/companies/prefecture/63038c5a-e328-472b-b9cc-039738609ba7/keyword/14f3dcec-9cd5-4be5-84e1-ddccb7bd228c</t>
        </is>
      </c>
      <c r="Y145" s="183" t="inlineStr">
        <is>
          <t>SonoEye P3 plus SonoAir 30 for GP and clinic accounts</t>
        </is>
      </c>
      <c r="Z145" s="183" t="inlineStr">
        <is>
          <t>2, 2, 3, 3, 3, 2, 3</t>
        </is>
      </c>
      <c r="AA145" s="183" t="inlineStr">
        <is>
          <t>Not found</t>
        </is>
      </c>
      <c r="AB145" s="183" t="inlineStr">
        <is>
          <t>Directory or search listing; not opened (direct site access blocked)</t>
        </is>
      </c>
      <c r="AC145" s="183" t="inlineStr">
        <is>
          <t>No expired licence or ended distribution agreement found</t>
        </is>
      </c>
      <c r="AD145" s="183" t="inlineStr">
        <is>
          <t>Not started</t>
        </is>
      </c>
      <c r="AE145" s="183" t="inlineStr"/>
      <c r="AF145" s="183" t="inlineStr"/>
      <c r="AG145" s="183" t="inlineStr">
        <is>
          <t>No email published and no verified website found</t>
        </is>
      </c>
    </row>
    <row r="146">
      <c r="A146" s="183" t="n">
        <v>142</v>
      </c>
      <c r="B146" s="183" t="inlineStr">
        <is>
          <t>Maeyama Iryoki</t>
        </is>
      </c>
      <c r="C146" s="183" t="inlineStr">
        <is>
          <t>前山医療器</t>
        </is>
      </c>
      <c r="D146" s="183" t="inlineStr">
        <is>
          <t>Not retrieved (NTA lookup blocked in this session)</t>
        </is>
      </c>
      <c r="E146" s="183" t="inlineStr">
        <is>
          <t>兵庫県</t>
        </is>
      </c>
      <c r="F146" s="183" t="inlineStr">
        <is>
          <t>Kansai</t>
        </is>
      </c>
      <c r="G146" s="183" t="inlineStr">
        <is>
          <t>Not confirmed (company site not opened; network policy blocked direct access)</t>
        </is>
      </c>
      <c r="H146" s="183" t="inlineStr">
        <is>
          <t>No MAH found; device sales licence (高度管理医療機器等販売業) not confirmed</t>
        </is>
      </c>
      <c r="I146" s="183" t="inlineStr">
        <is>
          <t>Not identified in published sources</t>
        </is>
      </c>
      <c r="J146" s="183" t="inlineStr">
        <is>
          <t>Pharma distribution</t>
        </is>
      </c>
      <c r="K146" s="183" t="inlineStr">
        <is>
          <t>兵庫県 (regional; branch network not confirmed)</t>
        </is>
      </c>
      <c r="L146" s="183" t="inlineStr">
        <is>
          <t>Not found</t>
        </is>
      </c>
      <c r="M146" s="183" t="inlineStr">
        <is>
          <t>Not identified</t>
        </is>
      </c>
      <c r="N146" s="183" t="inlineStr">
        <is>
          <t>Not identified</t>
        </is>
      </c>
      <c r="O146" s="183" t="inlineStr">
        <is>
          <t>Not published; use company inquiry form</t>
        </is>
      </c>
      <c r="P146" s="183" t="inlineStr">
        <is>
          <t>Not confirmed</t>
        </is>
      </c>
      <c r="Q146" s="183" t="inlineStr">
        <is>
          <t>Not identified</t>
        </is>
      </c>
      <c r="R146" s="184" t="inlineStr">
        <is>
          <t>Unverified</t>
        </is>
      </c>
      <c r="S146" s="183" t="n">
        <v>18</v>
      </c>
      <c r="T146" s="189" t="inlineStr">
        <is>
          <t>C</t>
        </is>
      </c>
      <c r="U146" s="183" t="inlineStr">
        <is>
          <t>Low fit: mainly welfare or care equipment; only for home care handheld use.</t>
        </is>
      </c>
      <c r="V146" s="183" t="inlineStr">
        <is>
          <t>Introduce CHISON as a future line through a national MAH partner; ask about their hospital and clinic coverage, service engineers and openness to non Japanese brands.</t>
        </is>
      </c>
      <c r="W146" s="183" t="inlineStr">
        <is>
          <t>N (not identified)</t>
        </is>
      </c>
      <c r="X146" s="186" t="inlineStr">
        <is>
          <t>https://baseconnect.in/companies/prefecture/912d7b2d-41c2-4923-a5c1-6666f9834966/keyword/14f3dcec-9cd5-4be5-84e1-ddccb7bd228c</t>
        </is>
      </c>
      <c r="Y146" s="183" t="inlineStr">
        <is>
          <t>SonoEye P3 plus SonoAir 30 for GP and clinic accounts</t>
        </is>
      </c>
      <c r="Z146" s="183" t="inlineStr">
        <is>
          <t>2, 2, 3, 3, 3, 2, 3</t>
        </is>
      </c>
      <c r="AA146" s="183" t="inlineStr">
        <is>
          <t>Not found</t>
        </is>
      </c>
      <c r="AB146" s="183" t="inlineStr">
        <is>
          <t>Directory or search listing; not opened (direct site access blocked)</t>
        </is>
      </c>
      <c r="AC146" s="183" t="inlineStr">
        <is>
          <t>No expired licence or ended distribution agreement found</t>
        </is>
      </c>
      <c r="AD146" s="183" t="inlineStr">
        <is>
          <t>Not started</t>
        </is>
      </c>
      <c r="AE146" s="183" t="inlineStr"/>
      <c r="AF146" s="183" t="inlineStr"/>
      <c r="AG146" s="183" t="inlineStr">
        <is>
          <t>No email published and no verified website found</t>
        </is>
      </c>
    </row>
    <row r="147">
      <c r="A147" s="183" t="n">
        <v>143</v>
      </c>
      <c r="B147" s="183" t="inlineStr">
        <is>
          <t>Kobe Biomedix</t>
        </is>
      </c>
      <c r="C147" s="183" t="inlineStr">
        <is>
          <t>神戸バイオメディクス</t>
        </is>
      </c>
      <c r="D147" s="183" t="inlineStr">
        <is>
          <t>Not retrieved (NTA lookup blocked in this session)</t>
        </is>
      </c>
      <c r="E147" s="183" t="inlineStr">
        <is>
          <t>兵庫県</t>
        </is>
      </c>
      <c r="F147" s="183" t="inlineStr">
        <is>
          <t>Kansai</t>
        </is>
      </c>
      <c r="G147" s="183" t="inlineStr">
        <is>
          <t>https://kobe-biomedix.co.jp/</t>
        </is>
      </c>
      <c r="H147" s="183" t="inlineStr">
        <is>
          <t>No MAH found; device sales licence (高度管理医療機器等販売業) not confirmed</t>
        </is>
      </c>
      <c r="I147" s="183" t="inlineStr">
        <is>
          <t>Not identified in published sources</t>
        </is>
      </c>
      <c r="J147" s="183" t="inlineStr">
        <is>
          <t>General medical equipment (hospitals and clinics)</t>
        </is>
      </c>
      <c r="K147" s="183" t="inlineStr">
        <is>
          <t>兵庫県 (regional; branch network not confirmed)</t>
        </is>
      </c>
      <c r="L147" s="183" t="inlineStr">
        <is>
          <t>Not found</t>
        </is>
      </c>
      <c r="M147" s="183" t="inlineStr">
        <is>
          <t>Not identified</t>
        </is>
      </c>
      <c r="N147" s="183" t="inlineStr">
        <is>
          <t>Not identified</t>
        </is>
      </c>
      <c r="O147" s="183" t="inlineStr">
        <is>
          <t>Not published; use contact form</t>
        </is>
      </c>
      <c r="P147" s="183" t="inlineStr">
        <is>
          <t>Not confirmed</t>
        </is>
      </c>
      <c r="Q147" s="183" t="inlineStr">
        <is>
          <t>Not identified</t>
        </is>
      </c>
      <c r="R147" s="184" t="inlineStr">
        <is>
          <t>Likely</t>
        </is>
      </c>
      <c r="S147" s="183" t="n">
        <v>18</v>
      </c>
      <c r="T147" s="189" t="inlineStr">
        <is>
          <t>C</t>
        </is>
      </c>
      <c r="U147" s="183" t="inlineStr">
        <is>
          <t>Regional general medical equipment dealer with hospital and clinic accounts; candidate sub dealer under a national MAH partner.</t>
        </is>
      </c>
      <c r="V147" s="183" t="inlineStr">
        <is>
          <t>Introduce CHISON as a future line through a national MAH partner; ask about their hospital and clinic coverage, service engineers and openness to non Japanese brands.</t>
        </is>
      </c>
      <c r="W147" s="183" t="inlineStr">
        <is>
          <t>N (not identified)</t>
        </is>
      </c>
      <c r="X147" s="186" t="inlineStr">
        <is>
          <t>https://baseconnect.in/companies/prefecture/912d7b2d-41c2-4923-a5c1-6666f9834966/keyword/14f3dcec-9cd5-4be5-84e1-ddccb7bd228c</t>
        </is>
      </c>
      <c r="Y147" s="183" t="inlineStr">
        <is>
          <t>SonoEye P3 plus SonoAir 30 for GP and clinic accounts</t>
        </is>
      </c>
      <c r="Z147" s="183" t="inlineStr">
        <is>
          <t>2, 2, 3, 3, 3, 2, 3</t>
        </is>
      </c>
      <c r="AA147" s="183" t="inlineStr">
        <is>
          <t>Not found</t>
        </is>
      </c>
      <c r="AB147" s="183" t="inlineStr">
        <is>
          <t>Directory or search listing; not opened (direct site access blocked)</t>
        </is>
      </c>
      <c r="AC147" s="183" t="inlineStr">
        <is>
          <t>No expired licence or ended distribution agreement found</t>
        </is>
      </c>
      <c r="AD147" s="183" t="inlineStr">
        <is>
          <t>Not started</t>
        </is>
      </c>
      <c r="AE147" s="183" t="inlineStr"/>
      <c r="AF147" s="183" t="inlineStr">
        <is>
          <t>https://kobe-biomedix.co.jp/contact</t>
        </is>
      </c>
      <c r="AG147" s="183" t="inlineStr">
        <is>
          <t>No email published; use the contact form (link in Email source)</t>
        </is>
      </c>
    </row>
    <row r="148">
      <c r="A148" s="183" t="n">
        <v>144</v>
      </c>
      <c r="B148" s="183" t="inlineStr">
        <is>
          <t>Seiko Medical</t>
        </is>
      </c>
      <c r="C148" s="183" t="inlineStr">
        <is>
          <t>セイコーメディカル</t>
        </is>
      </c>
      <c r="D148" s="183" t="inlineStr">
        <is>
          <t>Not retrieved (NTA lookup blocked in this session)</t>
        </is>
      </c>
      <c r="E148" s="183" t="inlineStr">
        <is>
          <t>和歌山県</t>
        </is>
      </c>
      <c r="F148" s="183" t="inlineStr">
        <is>
          <t>Kansai</t>
        </is>
      </c>
      <c r="G148" s="183" t="inlineStr">
        <is>
          <t>https://skmnet.co.jp/</t>
        </is>
      </c>
      <c r="H148" s="183" t="inlineStr">
        <is>
          <t>No MAH found; device sales licence (高度管理医療機器等販売業) not confirmed</t>
        </is>
      </c>
      <c r="I148" s="183" t="inlineStr">
        <is>
          <t>Not identified in published sources</t>
        </is>
      </c>
      <c r="J148" s="183" t="inlineStr">
        <is>
          <t>General medical equipment (hospitals and clinics)</t>
        </is>
      </c>
      <c r="K148" s="183" t="inlineStr">
        <is>
          <t>和歌山県 (regional; branch network not confirmed)</t>
        </is>
      </c>
      <c r="L148" s="183" t="inlineStr">
        <is>
          <t>Not found</t>
        </is>
      </c>
      <c r="M148" s="183" t="inlineStr">
        <is>
          <t>Not identified</t>
        </is>
      </c>
      <c r="N148" s="183" t="inlineStr">
        <is>
          <t>Not identified</t>
        </is>
      </c>
      <c r="O148" s="183" t="inlineStr">
        <is>
          <t>info@skmnet.co.jp</t>
        </is>
      </c>
      <c r="P148" s="183" t="inlineStr">
        <is>
          <t>Not confirmed</t>
        </is>
      </c>
      <c r="Q148" s="183" t="inlineStr">
        <is>
          <t>Not identified</t>
        </is>
      </c>
      <c r="R148" s="184" t="inlineStr">
        <is>
          <t>Unverified</t>
        </is>
      </c>
      <c r="S148" s="183" t="n">
        <v>18</v>
      </c>
      <c r="T148" s="189" t="inlineStr">
        <is>
          <t>C</t>
        </is>
      </c>
      <c r="U148" s="183" t="inlineStr">
        <is>
          <t>Regional general medical equipment dealer with hospital and clinic accounts; candidate sub dealer under a national MAH partner.</t>
        </is>
      </c>
      <c r="V148" s="183" t="inlineStr">
        <is>
          <t>Introduce CHISON as a future line through a national MAH partner; ask about their hospital and clinic coverage, service engineers and openness to non Japanese brands.</t>
        </is>
      </c>
      <c r="W148" s="183" t="inlineStr">
        <is>
          <t>N (not identified)</t>
        </is>
      </c>
      <c r="X148" s="186" t="inlineStr">
        <is>
          <t>https://baseconnect.in/companies/prefecture/ba2490e4-a288-4266-8dd3-30b4ef28b3b2</t>
        </is>
      </c>
      <c r="Y148" s="183" t="inlineStr">
        <is>
          <t>SonoEye P3 plus SonoAir 30 for GP and clinic accounts</t>
        </is>
      </c>
      <c r="Z148" s="183" t="inlineStr">
        <is>
          <t>2, 2, 3, 3, 3, 2, 3</t>
        </is>
      </c>
      <c r="AA148" s="183" t="inlineStr">
        <is>
          <t>Not found</t>
        </is>
      </c>
      <c r="AB148" s="183" t="inlineStr">
        <is>
          <t>Directory or search listing; not opened (direct site access blocked)</t>
        </is>
      </c>
      <c r="AC148" s="183" t="inlineStr">
        <is>
          <t>No expired licence or ended distribution agreement found</t>
        </is>
      </c>
      <c r="AD148" s="183" t="inlineStr">
        <is>
          <t>Not started</t>
        </is>
      </c>
      <c r="AE148" s="183" t="inlineStr"/>
      <c r="AF148" s="183" t="inlineStr">
        <is>
          <t>https://skmnet.co.jp/privacy</t>
        </is>
      </c>
      <c r="AG148" s="183" t="inlineStr">
        <is>
          <t>Verified: published on company website</t>
        </is>
      </c>
    </row>
    <row r="149">
      <c r="A149" s="183" t="n">
        <v>145</v>
      </c>
      <c r="B149" s="183" t="inlineStr">
        <is>
          <t>RE Medical</t>
        </is>
      </c>
      <c r="C149" s="183" t="inlineStr">
        <is>
          <t>アールイーメディカル</t>
        </is>
      </c>
      <c r="D149" s="183" t="inlineStr">
        <is>
          <t>Not retrieved (NTA lookup blocked in this session)</t>
        </is>
      </c>
      <c r="E149" s="183" t="inlineStr">
        <is>
          <t>大阪府</t>
        </is>
      </c>
      <c r="F149" s="183" t="inlineStr">
        <is>
          <t>Kansai</t>
        </is>
      </c>
      <c r="G149" s="183" t="inlineStr">
        <is>
          <t>https://www.re-medical.co.jp/</t>
        </is>
      </c>
      <c r="H149" s="183" t="inlineStr">
        <is>
          <t>No MAH found; device sales licence (高度管理医療機器等販売業) not confirmed</t>
        </is>
      </c>
      <c r="I149" s="183" t="inlineStr">
        <is>
          <t>Not identified in published sources</t>
        </is>
      </c>
      <c r="J149" s="183" t="inlineStr">
        <is>
          <t>General medical equipment (hospitals and clinics)</t>
        </is>
      </c>
      <c r="K149" s="183" t="inlineStr">
        <is>
          <t>大阪府 (regional; branch network not confirmed)</t>
        </is>
      </c>
      <c r="L149" s="183" t="inlineStr">
        <is>
          <t>Not found</t>
        </is>
      </c>
      <c r="M149" s="183" t="inlineStr">
        <is>
          <t>Not identified</t>
        </is>
      </c>
      <c r="N149" s="183" t="inlineStr">
        <is>
          <t>Not identified</t>
        </is>
      </c>
      <c r="O149" s="183" t="inlineStr">
        <is>
          <t>rem-privacy@re-medical.co.jp</t>
        </is>
      </c>
      <c r="P149" s="183" t="inlineStr">
        <is>
          <t>Not confirmed</t>
        </is>
      </c>
      <c r="Q149" s="183" t="inlineStr">
        <is>
          <t>Not identified</t>
        </is>
      </c>
      <c r="R149" s="184" t="inlineStr">
        <is>
          <t>Unverified</t>
        </is>
      </c>
      <c r="S149" s="183" t="n">
        <v>18</v>
      </c>
      <c r="T149" s="189" t="inlineStr">
        <is>
          <t>C</t>
        </is>
      </c>
      <c r="U149" s="183" t="inlineStr">
        <is>
          <t>Regional general medical equipment dealer with hospital and clinic accounts; candidate sub dealer under a national MAH partner.</t>
        </is>
      </c>
      <c r="V149" s="183" t="inlineStr">
        <is>
          <t>Introduce CHISON as a future line through a national MAH partner; ask about their hospital and clinic coverage, service engineers and openness to non Japanese brands.</t>
        </is>
      </c>
      <c r="W149" s="183" t="inlineStr">
        <is>
          <t>N (not identified)</t>
        </is>
      </c>
      <c r="X149" s="186" t="inlineStr">
        <is>
          <t>https://www.osaka-iryokiki-kyokai.com/member_list/</t>
        </is>
      </c>
      <c r="Y149" s="183" t="inlineStr">
        <is>
          <t>SonoEye P3 plus SonoAir 30 for GP and clinic accounts</t>
        </is>
      </c>
      <c r="Z149" s="183" t="inlineStr">
        <is>
          <t>2, 2, 3, 3, 3, 2, 3</t>
        </is>
      </c>
      <c r="AA149" s="183" t="inlineStr">
        <is>
          <t>Not found</t>
        </is>
      </c>
      <c r="AB149" s="183" t="inlineStr">
        <is>
          <t>Directory or search listing; not opened (direct site access blocked)</t>
        </is>
      </c>
      <c r="AC149" s="183" t="inlineStr">
        <is>
          <t>No expired licence or ended distribution agreement found</t>
        </is>
      </c>
      <c r="AD149" s="183" t="inlineStr">
        <is>
          <t>Not started</t>
        </is>
      </c>
      <c r="AE149" s="183" t="inlineStr"/>
      <c r="AF149" s="183" t="inlineStr">
        <is>
          <t>https://www.re-medical.co.jp/privacy/</t>
        </is>
      </c>
      <c r="AG149" s="183" t="inlineStr">
        <is>
          <t>Verified: published on company website; HR or recruitment inbox, ask to forward to sales</t>
        </is>
      </c>
    </row>
    <row r="150">
      <c r="A150" s="183" t="n">
        <v>146</v>
      </c>
      <c r="B150" s="183" t="inlineStr">
        <is>
          <t>Act Medic</t>
        </is>
      </c>
      <c r="C150" s="183" t="inlineStr">
        <is>
          <t>アクトメディック</t>
        </is>
      </c>
      <c r="D150" s="183" t="inlineStr">
        <is>
          <t>Not retrieved (NTA lookup blocked in this session)</t>
        </is>
      </c>
      <c r="E150" s="183" t="inlineStr">
        <is>
          <t>大阪府</t>
        </is>
      </c>
      <c r="F150" s="183" t="inlineStr">
        <is>
          <t>Kansai</t>
        </is>
      </c>
      <c r="G150" s="183" t="inlineStr">
        <is>
          <t>https://www.actmedic.jp/</t>
        </is>
      </c>
      <c r="H150" s="183" t="inlineStr">
        <is>
          <t>No MAH found; device sales licence (高度管理医療機器等販売業) not confirmed</t>
        </is>
      </c>
      <c r="I150" s="183" t="inlineStr">
        <is>
          <t>Not identified in published sources</t>
        </is>
      </c>
      <c r="J150" s="183" t="inlineStr">
        <is>
          <t>General medical equipment (hospitals and clinics)</t>
        </is>
      </c>
      <c r="K150" s="183" t="inlineStr">
        <is>
          <t>大阪府 (regional; branch network not confirmed)</t>
        </is>
      </c>
      <c r="L150" s="183" t="inlineStr">
        <is>
          <t>Not found</t>
        </is>
      </c>
      <c r="M150" s="183" t="inlineStr">
        <is>
          <t>Not identified</t>
        </is>
      </c>
      <c r="N150" s="183" t="inlineStr">
        <is>
          <t>Not identified</t>
        </is>
      </c>
      <c r="O150" s="183" t="inlineStr">
        <is>
          <t>Not published; use contact form</t>
        </is>
      </c>
      <c r="P150" s="183" t="inlineStr">
        <is>
          <t>Not confirmed</t>
        </is>
      </c>
      <c r="Q150" s="183" t="inlineStr">
        <is>
          <t>Not identified</t>
        </is>
      </c>
      <c r="R150" s="184" t="inlineStr">
        <is>
          <t>Likely</t>
        </is>
      </c>
      <c r="S150" s="183" t="n">
        <v>18</v>
      </c>
      <c r="T150" s="189" t="inlineStr">
        <is>
          <t>C</t>
        </is>
      </c>
      <c r="U150" s="183" t="inlineStr">
        <is>
          <t>Regional general medical equipment dealer with hospital and clinic accounts; candidate sub dealer under a national MAH partner.</t>
        </is>
      </c>
      <c r="V150" s="183" t="inlineStr">
        <is>
          <t>Introduce CHISON as a future line through a national MAH partner; ask about their hospital and clinic coverage, service engineers and openness to non Japanese brands.</t>
        </is>
      </c>
      <c r="W150" s="183" t="inlineStr">
        <is>
          <t>N (not identified)</t>
        </is>
      </c>
      <c r="X150" s="186" t="inlineStr">
        <is>
          <t>https://www.osaka-iryokiki-kyokai.com/member_list/</t>
        </is>
      </c>
      <c r="Y150" s="183" t="inlineStr">
        <is>
          <t>SonoEye P3 plus SonoAir 30 for GP and clinic accounts</t>
        </is>
      </c>
      <c r="Z150" s="183" t="inlineStr">
        <is>
          <t>2, 2, 3, 3, 3, 2, 3</t>
        </is>
      </c>
      <c r="AA150" s="183" t="inlineStr">
        <is>
          <t>Not found</t>
        </is>
      </c>
      <c r="AB150" s="183" t="inlineStr">
        <is>
          <t>Directory or search listing; not opened (direct site access blocked)</t>
        </is>
      </c>
      <c r="AC150" s="183" t="inlineStr">
        <is>
          <t>No expired licence or ended distribution agreement found</t>
        </is>
      </c>
      <c r="AD150" s="183" t="inlineStr">
        <is>
          <t>Not started</t>
        </is>
      </c>
      <c r="AE150" s="183" t="inlineStr"/>
      <c r="AF150" s="183" t="inlineStr">
        <is>
          <t>https://www.actmedic.jp/contact</t>
        </is>
      </c>
      <c r="AG150" s="183" t="inlineStr">
        <is>
          <t>No email published; use the contact form (link in Email source)</t>
        </is>
      </c>
    </row>
    <row r="151">
      <c r="A151" s="183" t="n">
        <v>147</v>
      </c>
      <c r="B151" s="183" t="inlineStr">
        <is>
          <t>Asuka Medical</t>
        </is>
      </c>
      <c r="C151" s="183" t="inlineStr">
        <is>
          <t>アスカメディカル</t>
        </is>
      </c>
      <c r="D151" s="183" t="inlineStr">
        <is>
          <t>Not retrieved (NTA lookup blocked in this session)</t>
        </is>
      </c>
      <c r="E151" s="183" t="inlineStr">
        <is>
          <t>大阪府</t>
        </is>
      </c>
      <c r="F151" s="183" t="inlineStr">
        <is>
          <t>Kansai</t>
        </is>
      </c>
      <c r="G151" s="183" t="inlineStr">
        <is>
          <t>https://asukamedical.co.jp/</t>
        </is>
      </c>
      <c r="H151" s="183" t="inlineStr">
        <is>
          <t>No MAH found; device sales licence (高度管理医療機器等販売業) not confirmed</t>
        </is>
      </c>
      <c r="I151" s="183" t="inlineStr">
        <is>
          <t>Not identified in published sources</t>
        </is>
      </c>
      <c r="J151" s="183" t="inlineStr">
        <is>
          <t>General medical equipment (hospitals and clinics)</t>
        </is>
      </c>
      <c r="K151" s="183" t="inlineStr">
        <is>
          <t>大阪府 (regional; branch network not confirmed)</t>
        </is>
      </c>
      <c r="L151" s="183" t="inlineStr">
        <is>
          <t>Not found</t>
        </is>
      </c>
      <c r="M151" s="183" t="inlineStr">
        <is>
          <t>Not identified</t>
        </is>
      </c>
      <c r="N151" s="183" t="inlineStr">
        <is>
          <t>Not identified</t>
        </is>
      </c>
      <c r="O151" s="183" t="inlineStr">
        <is>
          <t>Not published; use contact form</t>
        </is>
      </c>
      <c r="P151" s="183" t="inlineStr">
        <is>
          <t>Not confirmed</t>
        </is>
      </c>
      <c r="Q151" s="183" t="inlineStr">
        <is>
          <t>Not identified</t>
        </is>
      </c>
      <c r="R151" s="184" t="inlineStr">
        <is>
          <t>Likely</t>
        </is>
      </c>
      <c r="S151" s="183" t="n">
        <v>18</v>
      </c>
      <c r="T151" s="189" t="inlineStr">
        <is>
          <t>C</t>
        </is>
      </c>
      <c r="U151" s="183" t="inlineStr">
        <is>
          <t>Regional general medical equipment dealer with hospital and clinic accounts; candidate sub dealer under a national MAH partner.</t>
        </is>
      </c>
      <c r="V151" s="183" t="inlineStr">
        <is>
          <t>Introduce CHISON as a future line through a national MAH partner; ask about their hospital and clinic coverage, service engineers and openness to non Japanese brands.</t>
        </is>
      </c>
      <c r="W151" s="183" t="inlineStr">
        <is>
          <t>N (not identified)</t>
        </is>
      </c>
      <c r="X151" s="186" t="inlineStr">
        <is>
          <t>https://www.osaka-iryokiki-kyokai.com/member_list/</t>
        </is>
      </c>
      <c r="Y151" s="183" t="inlineStr">
        <is>
          <t>SonoEye P3 plus SonoAir 30 for GP and clinic accounts</t>
        </is>
      </c>
      <c r="Z151" s="183" t="inlineStr">
        <is>
          <t>2, 2, 3, 3, 3, 2, 3</t>
        </is>
      </c>
      <c r="AA151" s="183" t="inlineStr">
        <is>
          <t>Not found</t>
        </is>
      </c>
      <c r="AB151" s="183" t="inlineStr">
        <is>
          <t>Directory or search listing; not opened (direct site access blocked)</t>
        </is>
      </c>
      <c r="AC151" s="183" t="inlineStr">
        <is>
          <t>No expired licence or ended distribution agreement found</t>
        </is>
      </c>
      <c r="AD151" s="183" t="inlineStr">
        <is>
          <t>Not started</t>
        </is>
      </c>
      <c r="AE151" s="183" t="inlineStr"/>
      <c r="AF151" s="183" t="inlineStr">
        <is>
          <t>https://asukamedical.co.jp/contact</t>
        </is>
      </c>
      <c r="AG151" s="183" t="inlineStr">
        <is>
          <t>No email published; use the contact form (link in Email source)</t>
        </is>
      </c>
    </row>
    <row r="152">
      <c r="A152" s="183" t="n">
        <v>148</v>
      </c>
      <c r="B152" s="183" t="inlineStr">
        <is>
          <t>Intermed Japan</t>
        </is>
      </c>
      <c r="C152" s="183" t="inlineStr">
        <is>
          <t>インターメドジャパン</t>
        </is>
      </c>
      <c r="D152" s="183" t="inlineStr">
        <is>
          <t>Not retrieved (NTA lookup blocked in this session)</t>
        </is>
      </c>
      <c r="E152" s="183" t="inlineStr">
        <is>
          <t>大阪府</t>
        </is>
      </c>
      <c r="F152" s="183" t="inlineStr">
        <is>
          <t>Kansai</t>
        </is>
      </c>
      <c r="G152" s="183" t="inlineStr">
        <is>
          <t>https://intermedjp.co.jp/</t>
        </is>
      </c>
      <c r="H152" s="183" t="inlineStr">
        <is>
          <t>No MAH found; device sales licence (高度管理医療機器等販売業) not confirmed</t>
        </is>
      </c>
      <c r="I152" s="183" t="inlineStr">
        <is>
          <t>Not identified in published sources</t>
        </is>
      </c>
      <c r="J152" s="183" t="inlineStr">
        <is>
          <t>General medical equipment (hospitals and clinics)</t>
        </is>
      </c>
      <c r="K152" s="183" t="inlineStr">
        <is>
          <t>大阪府 (regional; branch network not confirmed)</t>
        </is>
      </c>
      <c r="L152" s="183" t="inlineStr">
        <is>
          <t>Not found</t>
        </is>
      </c>
      <c r="M152" s="183" t="inlineStr">
        <is>
          <t>Not identified</t>
        </is>
      </c>
      <c r="N152" s="183" t="inlineStr">
        <is>
          <t>Not identified</t>
        </is>
      </c>
      <c r="O152" s="183" t="inlineStr">
        <is>
          <t>a-tsukamoto@intermedjp.co.jp</t>
        </is>
      </c>
      <c r="P152" s="183" t="inlineStr">
        <is>
          <t>Not confirmed</t>
        </is>
      </c>
      <c r="Q152" s="183" t="inlineStr">
        <is>
          <t>Not identified</t>
        </is>
      </c>
      <c r="R152" s="184" t="inlineStr">
        <is>
          <t>Unverified</t>
        </is>
      </c>
      <c r="S152" s="183" t="n">
        <v>18</v>
      </c>
      <c r="T152" s="189" t="inlineStr">
        <is>
          <t>C</t>
        </is>
      </c>
      <c r="U152" s="183" t="inlineStr">
        <is>
          <t>Regional general medical equipment dealer with hospital and clinic accounts; candidate sub dealer under a national MAH partner.</t>
        </is>
      </c>
      <c r="V152" s="183" t="inlineStr">
        <is>
          <t>Introduce CHISON as a future line through a national MAH partner; ask about their hospital and clinic coverage, service engineers and openness to non Japanese brands.</t>
        </is>
      </c>
      <c r="W152" s="183" t="inlineStr">
        <is>
          <t>N (not identified)</t>
        </is>
      </c>
      <c r="X152" s="186" t="inlineStr">
        <is>
          <t>https://www.osaka-iryokiki-kyokai.com/member_list/</t>
        </is>
      </c>
      <c r="Y152" s="183" t="inlineStr">
        <is>
          <t>SonoEye P3 plus SonoAir 30 for GP and clinic accounts</t>
        </is>
      </c>
      <c r="Z152" s="183" t="inlineStr">
        <is>
          <t>2, 2, 3, 3, 3, 2, 3</t>
        </is>
      </c>
      <c r="AA152" s="183" t="inlineStr">
        <is>
          <t>Not found</t>
        </is>
      </c>
      <c r="AB152" s="183" t="inlineStr">
        <is>
          <t>Directory or search listing; not opened (direct site access blocked)</t>
        </is>
      </c>
      <c r="AC152" s="183" t="inlineStr">
        <is>
          <t>No expired licence or ended distribution agreement found</t>
        </is>
      </c>
      <c r="AD152" s="183" t="inlineStr">
        <is>
          <t>Not started</t>
        </is>
      </c>
      <c r="AE152" s="183" t="inlineStr"/>
      <c r="AF152" s="183" t="inlineStr">
        <is>
          <t>https://www.mhlw.go.jp/topics/bukyoku/iyaku/kaisyu/02-2-441.html</t>
        </is>
      </c>
      <c r="AG152" s="183" t="inlineStr">
        <is>
          <t>Likely: indexed on company domain</t>
        </is>
      </c>
    </row>
    <row r="153">
      <c r="A153" s="183" t="n">
        <v>149</v>
      </c>
      <c r="B153" s="183" t="inlineStr">
        <is>
          <t>With Medic</t>
        </is>
      </c>
      <c r="C153" s="183" t="inlineStr">
        <is>
          <t>ウィズメディック</t>
        </is>
      </c>
      <c r="D153" s="183" t="inlineStr">
        <is>
          <t>Not retrieved (NTA lookup blocked in this session)</t>
        </is>
      </c>
      <c r="E153" s="183" t="inlineStr">
        <is>
          <t>大阪府</t>
        </is>
      </c>
      <c r="F153" s="183" t="inlineStr">
        <is>
          <t>Kansai</t>
        </is>
      </c>
      <c r="G153" s="183" t="inlineStr">
        <is>
          <t>https://www.with-medic.com/</t>
        </is>
      </c>
      <c r="H153" s="183" t="inlineStr">
        <is>
          <t>No MAH found; device sales licence (高度管理医療機器等販売業) not confirmed</t>
        </is>
      </c>
      <c r="I153" s="183" t="inlineStr">
        <is>
          <t>Not identified in published sources</t>
        </is>
      </c>
      <c r="J153" s="183" t="inlineStr">
        <is>
          <t>General medical equipment (hospitals and clinics)</t>
        </is>
      </c>
      <c r="K153" s="183" t="inlineStr">
        <is>
          <t>大阪府 (regional; branch network not confirmed)</t>
        </is>
      </c>
      <c r="L153" s="183" t="inlineStr">
        <is>
          <t>Not found</t>
        </is>
      </c>
      <c r="M153" s="183" t="inlineStr">
        <is>
          <t>Not identified</t>
        </is>
      </c>
      <c r="N153" s="183" t="inlineStr">
        <is>
          <t>Not identified</t>
        </is>
      </c>
      <c r="O153" s="183" t="inlineStr">
        <is>
          <t>Not published; use contact form</t>
        </is>
      </c>
      <c r="P153" s="183" t="inlineStr">
        <is>
          <t>Not confirmed</t>
        </is>
      </c>
      <c r="Q153" s="183" t="inlineStr">
        <is>
          <t>Not identified</t>
        </is>
      </c>
      <c r="R153" s="184" t="inlineStr">
        <is>
          <t>Likely</t>
        </is>
      </c>
      <c r="S153" s="183" t="n">
        <v>18</v>
      </c>
      <c r="T153" s="189" t="inlineStr">
        <is>
          <t>C</t>
        </is>
      </c>
      <c r="U153" s="183" t="inlineStr">
        <is>
          <t>Regional general medical equipment dealer with hospital and clinic accounts; candidate sub dealer under a national MAH partner.</t>
        </is>
      </c>
      <c r="V153" s="183" t="inlineStr">
        <is>
          <t>Introduce CHISON as a future line through a national MAH partner; ask about their hospital and clinic coverage, service engineers and openness to non Japanese brands.</t>
        </is>
      </c>
      <c r="W153" s="183" t="inlineStr">
        <is>
          <t>N (not identified)</t>
        </is>
      </c>
      <c r="X153" s="186" t="inlineStr">
        <is>
          <t>https://www.osaka-iryokiki-kyokai.com/member_list/</t>
        </is>
      </c>
      <c r="Y153" s="183" t="inlineStr">
        <is>
          <t>SonoEye P3 plus SonoAir 30 for GP and clinic accounts</t>
        </is>
      </c>
      <c r="Z153" s="183" t="inlineStr">
        <is>
          <t>2, 2, 3, 3, 3, 2, 3</t>
        </is>
      </c>
      <c r="AA153" s="183" t="inlineStr">
        <is>
          <t>Not found</t>
        </is>
      </c>
      <c r="AB153" s="183" t="inlineStr">
        <is>
          <t>Directory or search listing; not opened (direct site access blocked)</t>
        </is>
      </c>
      <c r="AC153" s="183" t="inlineStr">
        <is>
          <t>No expired licence or ended distribution agreement found</t>
        </is>
      </c>
      <c r="AD153" s="183" t="inlineStr">
        <is>
          <t>Not started</t>
        </is>
      </c>
      <c r="AE153" s="183" t="inlineStr"/>
      <c r="AF153" s="183" t="inlineStr">
        <is>
          <t>https://www.with-medic.com</t>
        </is>
      </c>
      <c r="AG153" s="183" t="inlineStr">
        <is>
          <t>No email published; use the contact form (link in Email source)</t>
        </is>
      </c>
    </row>
    <row r="154">
      <c r="A154" s="183" t="n">
        <v>150</v>
      </c>
      <c r="B154" s="183" t="inlineStr">
        <is>
          <t>Uekita Shokai</t>
        </is>
      </c>
      <c r="C154" s="183" t="inlineStr">
        <is>
          <t>上北商会</t>
        </is>
      </c>
      <c r="D154" s="183" t="inlineStr">
        <is>
          <t>Not retrieved (NTA lookup blocked in this session)</t>
        </is>
      </c>
      <c r="E154" s="183" t="inlineStr">
        <is>
          <t>大阪府</t>
        </is>
      </c>
      <c r="F154" s="183" t="inlineStr">
        <is>
          <t>Kansai</t>
        </is>
      </c>
      <c r="G154" s="183" t="inlineStr">
        <is>
          <t>Not confirmed (company site not opened; network policy blocked direct access)</t>
        </is>
      </c>
      <c r="H154" s="183" t="inlineStr">
        <is>
          <t>No MAH found; device sales licence (高度管理医療機器等販売業) not confirmed</t>
        </is>
      </c>
      <c r="I154" s="183" t="inlineStr">
        <is>
          <t>Not identified in published sources</t>
        </is>
      </c>
      <c r="J154" s="183" t="inlineStr">
        <is>
          <t>General medical equipment (hospitals and clinics)</t>
        </is>
      </c>
      <c r="K154" s="183" t="inlineStr">
        <is>
          <t>大阪府 (regional; branch network not confirmed)</t>
        </is>
      </c>
      <c r="L154" s="183" t="inlineStr">
        <is>
          <t>Not found</t>
        </is>
      </c>
      <c r="M154" s="183" t="inlineStr">
        <is>
          <t>Not identified</t>
        </is>
      </c>
      <c r="N154" s="183" t="inlineStr">
        <is>
          <t>Not identified</t>
        </is>
      </c>
      <c r="O154" s="183" t="inlineStr">
        <is>
          <t>Not published; use company inquiry form</t>
        </is>
      </c>
      <c r="P154" s="183" t="inlineStr">
        <is>
          <t>Not confirmed</t>
        </is>
      </c>
      <c r="Q154" s="183" t="inlineStr">
        <is>
          <t>Not identified</t>
        </is>
      </c>
      <c r="R154" s="184" t="inlineStr">
        <is>
          <t>Unverified</t>
        </is>
      </c>
      <c r="S154" s="183" t="n">
        <v>18</v>
      </c>
      <c r="T154" s="189" t="inlineStr">
        <is>
          <t>C</t>
        </is>
      </c>
      <c r="U154" s="183" t="inlineStr">
        <is>
          <t>Regional general medical equipment dealer with hospital and clinic accounts; candidate sub dealer under a national MAH partner.</t>
        </is>
      </c>
      <c r="V154" s="183" t="inlineStr">
        <is>
          <t>Introduce CHISON as a future line through a national MAH partner; ask about their hospital and clinic coverage, service engineers and openness to non Japanese brands.</t>
        </is>
      </c>
      <c r="W154" s="183" t="inlineStr">
        <is>
          <t>N (not identified)</t>
        </is>
      </c>
      <c r="X154" s="186" t="inlineStr">
        <is>
          <t>https://www.osaka-iryokiki-kyokai.com/member_list/</t>
        </is>
      </c>
      <c r="Y154" s="183" t="inlineStr">
        <is>
          <t>SonoEye P3 plus SonoAir 30 for GP and clinic accounts</t>
        </is>
      </c>
      <c r="Z154" s="183" t="inlineStr">
        <is>
          <t>2, 2, 3, 3, 3, 2, 3</t>
        </is>
      </c>
      <c r="AA154" s="183" t="inlineStr">
        <is>
          <t>Not found</t>
        </is>
      </c>
      <c r="AB154" s="183" t="inlineStr">
        <is>
          <t>Directory or search listing; not opened (direct site access blocked)</t>
        </is>
      </c>
      <c r="AC154" s="183" t="inlineStr">
        <is>
          <t>No expired licence or ended distribution agreement found</t>
        </is>
      </c>
      <c r="AD154" s="183" t="inlineStr">
        <is>
          <t>Not started</t>
        </is>
      </c>
      <c r="AE154" s="183" t="inlineStr"/>
      <c r="AF154" s="183" t="inlineStr"/>
      <c r="AG154" s="183" t="inlineStr">
        <is>
          <t>No email published and no verified website found</t>
        </is>
      </c>
    </row>
    <row r="155">
      <c r="A155" s="183" t="n">
        <v>151</v>
      </c>
      <c r="B155" s="183" t="inlineStr">
        <is>
          <t>Uesugi Ika Kikai</t>
        </is>
      </c>
      <c r="C155" s="183" t="inlineStr">
        <is>
          <t>上杉医科器械</t>
        </is>
      </c>
      <c r="D155" s="183" t="inlineStr">
        <is>
          <t>Not retrieved (NTA lookup blocked in this session)</t>
        </is>
      </c>
      <c r="E155" s="183" t="inlineStr">
        <is>
          <t>大阪府</t>
        </is>
      </c>
      <c r="F155" s="183" t="inlineStr">
        <is>
          <t>Kansai</t>
        </is>
      </c>
      <c r="G155" s="183" t="inlineStr">
        <is>
          <t>Not confirmed (company site not opened; network policy blocked direct access)</t>
        </is>
      </c>
      <c r="H155" s="183" t="inlineStr">
        <is>
          <t>No MAH found; device sales licence (高度管理医療機器等販売業) not confirmed</t>
        </is>
      </c>
      <c r="I155" s="183" t="inlineStr">
        <is>
          <t>Not identified in published sources</t>
        </is>
      </c>
      <c r="J155" s="183" t="inlineStr">
        <is>
          <t>General medical equipment (hospitals and clinics)</t>
        </is>
      </c>
      <c r="K155" s="183" t="inlineStr">
        <is>
          <t>大阪府 (regional; branch network not confirmed)</t>
        </is>
      </c>
      <c r="L155" s="183" t="inlineStr">
        <is>
          <t>Not found</t>
        </is>
      </c>
      <c r="M155" s="183" t="inlineStr">
        <is>
          <t>Not identified</t>
        </is>
      </c>
      <c r="N155" s="183" t="inlineStr">
        <is>
          <t>Not identified</t>
        </is>
      </c>
      <c r="O155" s="183" t="inlineStr">
        <is>
          <t>Not published; use company inquiry form</t>
        </is>
      </c>
      <c r="P155" s="183" t="inlineStr">
        <is>
          <t>Not confirmed</t>
        </is>
      </c>
      <c r="Q155" s="183" t="inlineStr">
        <is>
          <t>Not identified</t>
        </is>
      </c>
      <c r="R155" s="184" t="inlineStr">
        <is>
          <t>Unverified</t>
        </is>
      </c>
      <c r="S155" s="183" t="n">
        <v>18</v>
      </c>
      <c r="T155" s="189" t="inlineStr">
        <is>
          <t>C</t>
        </is>
      </c>
      <c r="U155" s="183" t="inlineStr">
        <is>
          <t>Regional general medical equipment dealer with hospital and clinic accounts; candidate sub dealer under a national MAH partner.</t>
        </is>
      </c>
      <c r="V155" s="183" t="inlineStr">
        <is>
          <t>Introduce CHISON as a future line through a national MAH partner; ask about their hospital and clinic coverage, service engineers and openness to non Japanese brands.</t>
        </is>
      </c>
      <c r="W155" s="183" t="inlineStr">
        <is>
          <t>N (not identified)</t>
        </is>
      </c>
      <c r="X155" s="186" t="inlineStr">
        <is>
          <t>https://www.osaka-iryokiki-kyokai.com/member_list/</t>
        </is>
      </c>
      <c r="Y155" s="183" t="inlineStr">
        <is>
          <t>SonoEye P3 plus SonoAir 30 for GP and clinic accounts</t>
        </is>
      </c>
      <c r="Z155" s="183" t="inlineStr">
        <is>
          <t>2, 2, 3, 3, 3, 2, 3</t>
        </is>
      </c>
      <c r="AA155" s="183" t="inlineStr">
        <is>
          <t>Not found</t>
        </is>
      </c>
      <c r="AB155" s="183" t="inlineStr">
        <is>
          <t>Directory or search listing; not opened (direct site access blocked)</t>
        </is>
      </c>
      <c r="AC155" s="183" t="inlineStr">
        <is>
          <t>No expired licence or ended distribution agreement found</t>
        </is>
      </c>
      <c r="AD155" s="183" t="inlineStr">
        <is>
          <t>Not started</t>
        </is>
      </c>
      <c r="AE155" s="183" t="inlineStr"/>
      <c r="AF155" s="183" t="inlineStr"/>
      <c r="AG155" s="183" t="inlineStr">
        <is>
          <t>No email published and no verified website found</t>
        </is>
      </c>
    </row>
    <row r="156">
      <c r="A156" s="183" t="n">
        <v>152</v>
      </c>
      <c r="B156" s="183" t="inlineStr">
        <is>
          <t>Uemura Iryoki</t>
        </is>
      </c>
      <c r="C156" s="183" t="inlineStr">
        <is>
          <t>植村医療器</t>
        </is>
      </c>
      <c r="D156" s="183" t="inlineStr">
        <is>
          <t>Not retrieved (NTA lookup blocked in this session)</t>
        </is>
      </c>
      <c r="E156" s="183" t="inlineStr">
        <is>
          <t>大阪府</t>
        </is>
      </c>
      <c r="F156" s="183" t="inlineStr">
        <is>
          <t>Kansai</t>
        </is>
      </c>
      <c r="G156" s="183" t="inlineStr">
        <is>
          <t>Not confirmed (company site not opened; network policy blocked direct access)</t>
        </is>
      </c>
      <c r="H156" s="183" t="inlineStr">
        <is>
          <t>No MAH found; device sales licence (高度管理医療機器等販売業) not confirmed</t>
        </is>
      </c>
      <c r="I156" s="183" t="inlineStr">
        <is>
          <t>Not identified in published sources</t>
        </is>
      </c>
      <c r="J156" s="183" t="inlineStr">
        <is>
          <t>General medical equipment (hospitals and clinics)</t>
        </is>
      </c>
      <c r="K156" s="183" t="inlineStr">
        <is>
          <t>大阪府 (regional; branch network not confirmed)</t>
        </is>
      </c>
      <c r="L156" s="183" t="inlineStr">
        <is>
          <t>Not found</t>
        </is>
      </c>
      <c r="M156" s="183" t="inlineStr">
        <is>
          <t>Not identified</t>
        </is>
      </c>
      <c r="N156" s="183" t="inlineStr">
        <is>
          <t>Not identified</t>
        </is>
      </c>
      <c r="O156" s="183" t="inlineStr">
        <is>
          <t>Not published; use company inquiry form</t>
        </is>
      </c>
      <c r="P156" s="183" t="inlineStr">
        <is>
          <t>Not confirmed</t>
        </is>
      </c>
      <c r="Q156" s="183" t="inlineStr">
        <is>
          <t>Not identified</t>
        </is>
      </c>
      <c r="R156" s="184" t="inlineStr">
        <is>
          <t>Unverified</t>
        </is>
      </c>
      <c r="S156" s="183" t="n">
        <v>18</v>
      </c>
      <c r="T156" s="189" t="inlineStr">
        <is>
          <t>C</t>
        </is>
      </c>
      <c r="U156" s="183" t="inlineStr">
        <is>
          <t>Regional general medical equipment dealer with hospital and clinic accounts; candidate sub dealer under a national MAH partner.</t>
        </is>
      </c>
      <c r="V156" s="183" t="inlineStr">
        <is>
          <t>Introduce CHISON as a future line through a national MAH partner; ask about their hospital and clinic coverage, service engineers and openness to non Japanese brands.</t>
        </is>
      </c>
      <c r="W156" s="183" t="inlineStr">
        <is>
          <t>N (not identified)</t>
        </is>
      </c>
      <c r="X156" s="186" t="inlineStr">
        <is>
          <t>https://www.osaka-iryokiki-kyokai.com/member_list/</t>
        </is>
      </c>
      <c r="Y156" s="183" t="inlineStr">
        <is>
          <t>SonoEye P3 plus SonoAir 30 for GP and clinic accounts</t>
        </is>
      </c>
      <c r="Z156" s="183" t="inlineStr">
        <is>
          <t>2, 2, 3, 3, 3, 2, 3</t>
        </is>
      </c>
      <c r="AA156" s="183" t="inlineStr">
        <is>
          <t>Not found</t>
        </is>
      </c>
      <c r="AB156" s="183" t="inlineStr">
        <is>
          <t>Directory or search listing; not opened (direct site access blocked)</t>
        </is>
      </c>
      <c r="AC156" s="183" t="inlineStr">
        <is>
          <t>No expired licence or ended distribution agreement found</t>
        </is>
      </c>
      <c r="AD156" s="183" t="inlineStr">
        <is>
          <t>Not started</t>
        </is>
      </c>
      <c r="AE156" s="183" t="inlineStr"/>
      <c r="AF156" s="183" t="inlineStr"/>
      <c r="AG156" s="183" t="inlineStr">
        <is>
          <t>No email published and no verified website found</t>
        </is>
      </c>
    </row>
    <row r="157">
      <c r="A157" s="183" t="n">
        <v>153</v>
      </c>
      <c r="B157" s="183" t="inlineStr">
        <is>
          <t>MCS</t>
        </is>
      </c>
      <c r="C157" s="183" t="inlineStr">
        <is>
          <t>エムシーエス</t>
        </is>
      </c>
      <c r="D157" s="183" t="inlineStr">
        <is>
          <t>Not retrieved (NTA lookup blocked in this session)</t>
        </is>
      </c>
      <c r="E157" s="183" t="inlineStr">
        <is>
          <t>大阪府</t>
        </is>
      </c>
      <c r="F157" s="183" t="inlineStr">
        <is>
          <t>Kansai</t>
        </is>
      </c>
      <c r="G157" s="183" t="inlineStr">
        <is>
          <t>https://www.mcs-g.co.jp/</t>
        </is>
      </c>
      <c r="H157" s="183" t="inlineStr">
        <is>
          <t>No MAH found; device sales licence (高度管理医療機器等販売業) not confirmed</t>
        </is>
      </c>
      <c r="I157" s="183" t="inlineStr">
        <is>
          <t>Not identified in published sources</t>
        </is>
      </c>
      <c r="J157" s="183" t="inlineStr">
        <is>
          <t>General medical equipment (hospitals and clinics)</t>
        </is>
      </c>
      <c r="K157" s="183" t="inlineStr">
        <is>
          <t>大阪府 (regional; branch network not confirmed)</t>
        </is>
      </c>
      <c r="L157" s="183" t="inlineStr">
        <is>
          <t>Not found</t>
        </is>
      </c>
      <c r="M157" s="183" t="inlineStr">
        <is>
          <t>Not identified</t>
        </is>
      </c>
      <c r="N157" s="183" t="inlineStr">
        <is>
          <t>Not identified</t>
        </is>
      </c>
      <c r="O157" s="183" t="inlineStr">
        <is>
          <t>info@mcs-g.co.jp</t>
        </is>
      </c>
      <c r="P157" s="183" t="inlineStr">
        <is>
          <t>Not confirmed</t>
        </is>
      </c>
      <c r="Q157" s="183" t="inlineStr">
        <is>
          <t>Not identified</t>
        </is>
      </c>
      <c r="R157" s="184" t="inlineStr">
        <is>
          <t>Unverified</t>
        </is>
      </c>
      <c r="S157" s="183" t="n">
        <v>18</v>
      </c>
      <c r="T157" s="189" t="inlineStr">
        <is>
          <t>C</t>
        </is>
      </c>
      <c r="U157" s="183" t="inlineStr">
        <is>
          <t>Regional general medical equipment dealer with hospital and clinic accounts; candidate sub dealer under a national MAH partner.</t>
        </is>
      </c>
      <c r="V157" s="183" t="inlineStr">
        <is>
          <t>Introduce CHISON as a future line through a national MAH partner; ask about their hospital and clinic coverage, service engineers and openness to non Japanese brands.</t>
        </is>
      </c>
      <c r="W157" s="183" t="inlineStr">
        <is>
          <t>N (not identified)</t>
        </is>
      </c>
      <c r="X157" s="186" t="inlineStr">
        <is>
          <t>https://www.osaka-iryokiki-kyokai.com/member_list/</t>
        </is>
      </c>
      <c r="Y157" s="183" t="inlineStr">
        <is>
          <t>SonoEye P3 plus SonoAir 30 for GP and clinic accounts</t>
        </is>
      </c>
      <c r="Z157" s="183" t="inlineStr">
        <is>
          <t>2, 2, 3, 3, 3, 2, 3</t>
        </is>
      </c>
      <c r="AA157" s="183" t="inlineStr">
        <is>
          <t>Not found</t>
        </is>
      </c>
      <c r="AB157" s="183" t="inlineStr">
        <is>
          <t>Directory or search listing; not opened (direct site access blocked)</t>
        </is>
      </c>
      <c r="AC157" s="183" t="inlineStr">
        <is>
          <t>No expired licence or ended distribution agreement found</t>
        </is>
      </c>
      <c r="AD157" s="183" t="inlineStr">
        <is>
          <t>Not started</t>
        </is>
      </c>
      <c r="AE157" s="183" t="inlineStr"/>
      <c r="AF157" s="183" t="inlineStr">
        <is>
          <t>https://www.mcs-g.co.jp/</t>
        </is>
      </c>
      <c r="AG157" s="183" t="inlineStr">
        <is>
          <t>Verified: published on company website</t>
        </is>
      </c>
    </row>
    <row r="158">
      <c r="A158" s="183" t="n">
        <v>154</v>
      </c>
      <c r="B158" s="183" t="inlineStr">
        <is>
          <t>MDI Japan</t>
        </is>
      </c>
      <c r="C158" s="183" t="inlineStr">
        <is>
          <t>エムディアイジャパン</t>
        </is>
      </c>
      <c r="D158" s="183" t="inlineStr">
        <is>
          <t>Not retrieved (NTA lookup blocked in this session)</t>
        </is>
      </c>
      <c r="E158" s="183" t="inlineStr">
        <is>
          <t>大阪府</t>
        </is>
      </c>
      <c r="F158" s="183" t="inlineStr">
        <is>
          <t>Kansai</t>
        </is>
      </c>
      <c r="G158" s="183" t="inlineStr">
        <is>
          <t>https://mdijapan.co.jp/</t>
        </is>
      </c>
      <c r="H158" s="183" t="inlineStr">
        <is>
          <t>No MAH found; device sales licence (高度管理医療機器等販売業) not confirmed</t>
        </is>
      </c>
      <c r="I158" s="183" t="inlineStr">
        <is>
          <t>Not identified in published sources</t>
        </is>
      </c>
      <c r="J158" s="183" t="inlineStr">
        <is>
          <t>General medical equipment (hospitals and clinics)</t>
        </is>
      </c>
      <c r="K158" s="183" t="inlineStr">
        <is>
          <t>大阪府 (regional; branch network not confirmed)</t>
        </is>
      </c>
      <c r="L158" s="183" t="inlineStr">
        <is>
          <t>Not found</t>
        </is>
      </c>
      <c r="M158" s="183" t="inlineStr">
        <is>
          <t>Not identified</t>
        </is>
      </c>
      <c r="N158" s="183" t="inlineStr">
        <is>
          <t>Not identified</t>
        </is>
      </c>
      <c r="O158" s="183" t="inlineStr">
        <is>
          <t>info@mdijapan.co.jp</t>
        </is>
      </c>
      <c r="P158" s="183" t="inlineStr">
        <is>
          <t>Not confirmed</t>
        </is>
      </c>
      <c r="Q158" s="183" t="inlineStr">
        <is>
          <t>Not identified</t>
        </is>
      </c>
      <c r="R158" s="184" t="inlineStr">
        <is>
          <t>Unverified</t>
        </is>
      </c>
      <c r="S158" s="183" t="n">
        <v>18</v>
      </c>
      <c r="T158" s="189" t="inlineStr">
        <is>
          <t>C</t>
        </is>
      </c>
      <c r="U158" s="183" t="inlineStr">
        <is>
          <t>Regional general medical equipment dealer with hospital and clinic accounts; candidate sub dealer under a national MAH partner.</t>
        </is>
      </c>
      <c r="V158" s="183" t="inlineStr">
        <is>
          <t>Introduce CHISON as a future line through a national MAH partner; ask about their hospital and clinic coverage, service engineers and openness to non Japanese brands.</t>
        </is>
      </c>
      <c r="W158" s="183" t="inlineStr">
        <is>
          <t>N (not identified)</t>
        </is>
      </c>
      <c r="X158" s="186" t="inlineStr">
        <is>
          <t>https://www.osaka-iryokiki-kyokai.com/member_list/</t>
        </is>
      </c>
      <c r="Y158" s="183" t="inlineStr">
        <is>
          <t>SonoEye P3 plus SonoAir 30 for GP and clinic accounts</t>
        </is>
      </c>
      <c r="Z158" s="183" t="inlineStr">
        <is>
          <t>2, 2, 3, 3, 3, 2, 3</t>
        </is>
      </c>
      <c r="AA158" s="183" t="inlineStr">
        <is>
          <t>Not found</t>
        </is>
      </c>
      <c r="AB158" s="183" t="inlineStr">
        <is>
          <t>Directory or search listing; not opened (direct site access blocked)</t>
        </is>
      </c>
      <c r="AC158" s="183" t="inlineStr">
        <is>
          <t>No expired licence or ended distribution agreement found</t>
        </is>
      </c>
      <c r="AD158" s="183" t="inlineStr">
        <is>
          <t>Not started</t>
        </is>
      </c>
      <c r="AE158" s="183" t="inlineStr"/>
      <c r="AF158" s="183" t="inlineStr">
        <is>
          <t>https://mdijapan.co.jp/</t>
        </is>
      </c>
      <c r="AG158" s="183" t="inlineStr">
        <is>
          <t>Verified: published on company website</t>
        </is>
      </c>
    </row>
    <row r="159">
      <c r="A159" s="183" t="n">
        <v>155</v>
      </c>
      <c r="B159" s="183" t="inlineStr">
        <is>
          <t>L&amp;L</t>
        </is>
      </c>
      <c r="C159" s="183" t="inlineStr">
        <is>
          <t>エルアンドエル</t>
        </is>
      </c>
      <c r="D159" s="183" t="inlineStr">
        <is>
          <t>Not retrieved (NTA lookup blocked in this session)</t>
        </is>
      </c>
      <c r="E159" s="183" t="inlineStr">
        <is>
          <t>大阪府</t>
        </is>
      </c>
      <c r="F159" s="183" t="inlineStr">
        <is>
          <t>Kansai</t>
        </is>
      </c>
      <c r="G159" s="183" t="inlineStr">
        <is>
          <t>http://l-and-l.jp/</t>
        </is>
      </c>
      <c r="H159" s="183" t="inlineStr">
        <is>
          <t>No MAH found; device sales licence (高度管理医療機器等販売業) not confirmed</t>
        </is>
      </c>
      <c r="I159" s="183" t="inlineStr">
        <is>
          <t>Not identified in published sources</t>
        </is>
      </c>
      <c r="J159" s="183" t="inlineStr">
        <is>
          <t>General medical equipment (hospitals and clinics)</t>
        </is>
      </c>
      <c r="K159" s="183" t="inlineStr">
        <is>
          <t>大阪府 (regional; branch network not confirmed)</t>
        </is>
      </c>
      <c r="L159" s="183" t="inlineStr">
        <is>
          <t>Not found</t>
        </is>
      </c>
      <c r="M159" s="183" t="inlineStr">
        <is>
          <t>Not identified</t>
        </is>
      </c>
      <c r="N159" s="183" t="inlineStr">
        <is>
          <t>Not identified</t>
        </is>
      </c>
      <c r="O159" s="183" t="inlineStr">
        <is>
          <t>Not published; use contact form</t>
        </is>
      </c>
      <c r="P159" s="183" t="inlineStr">
        <is>
          <t>Not confirmed</t>
        </is>
      </c>
      <c r="Q159" s="183" t="inlineStr">
        <is>
          <t>Not identified</t>
        </is>
      </c>
      <c r="R159" s="184" t="inlineStr">
        <is>
          <t>Likely</t>
        </is>
      </c>
      <c r="S159" s="183" t="n">
        <v>18</v>
      </c>
      <c r="T159" s="189" t="inlineStr">
        <is>
          <t>C</t>
        </is>
      </c>
      <c r="U159" s="183" t="inlineStr">
        <is>
          <t>Regional general medical equipment dealer with hospital and clinic accounts; candidate sub dealer under a national MAH partner.</t>
        </is>
      </c>
      <c r="V159" s="183" t="inlineStr">
        <is>
          <t>Introduce CHISON as a future line through a national MAH partner; ask about their hospital and clinic coverage, service engineers and openness to non Japanese brands.</t>
        </is>
      </c>
      <c r="W159" s="183" t="inlineStr">
        <is>
          <t>N (not identified)</t>
        </is>
      </c>
      <c r="X159" s="186" t="inlineStr">
        <is>
          <t>https://www.osaka-iryokiki-kyokai.com/member_list/</t>
        </is>
      </c>
      <c r="Y159" s="183" t="inlineStr">
        <is>
          <t>SonoEye P3 plus SonoAir 30 for GP and clinic accounts</t>
        </is>
      </c>
      <c r="Z159" s="183" t="inlineStr">
        <is>
          <t>2, 2, 3, 3, 3, 2, 3</t>
        </is>
      </c>
      <c r="AA159" s="183" t="inlineStr">
        <is>
          <t>Not found</t>
        </is>
      </c>
      <c r="AB159" s="183" t="inlineStr">
        <is>
          <t>Directory or search listing; not opened (direct site access blocked)</t>
        </is>
      </c>
      <c r="AC159" s="183" t="inlineStr">
        <is>
          <t>No expired licence or ended distribution agreement found</t>
        </is>
      </c>
      <c r="AD159" s="183" t="inlineStr">
        <is>
          <t>Not started</t>
        </is>
      </c>
      <c r="AE159" s="183" t="inlineStr"/>
      <c r="AF159" s="183" t="inlineStr">
        <is>
          <t>http://l-and-l.jp/contact.php</t>
        </is>
      </c>
      <c r="AG159" s="183" t="inlineStr">
        <is>
          <t>No email published; use the contact form (link in Email source)</t>
        </is>
      </c>
    </row>
    <row r="160">
      <c r="A160" s="183" t="n">
        <v>156</v>
      </c>
      <c r="B160" s="183" t="inlineStr">
        <is>
          <t>Ota Iryo</t>
        </is>
      </c>
      <c r="C160" s="183" t="inlineStr">
        <is>
          <t>太田医療</t>
        </is>
      </c>
      <c r="D160" s="183" t="inlineStr">
        <is>
          <t>Not retrieved (NTA lookup blocked in this session)</t>
        </is>
      </c>
      <c r="E160" s="183" t="inlineStr">
        <is>
          <t>大阪府</t>
        </is>
      </c>
      <c r="F160" s="183" t="inlineStr">
        <is>
          <t>Kansai</t>
        </is>
      </c>
      <c r="G160" s="183" t="inlineStr">
        <is>
          <t>https://www.ota.ac.jp/</t>
        </is>
      </c>
      <c r="H160" s="183" t="inlineStr">
        <is>
          <t>No MAH found; device sales licence (高度管理医療機器等販売業) not confirmed</t>
        </is>
      </c>
      <c r="I160" s="183" t="inlineStr">
        <is>
          <t>Not identified in published sources</t>
        </is>
      </c>
      <c r="J160" s="183" t="inlineStr">
        <is>
          <t>General medical equipment (hospitals and clinics)</t>
        </is>
      </c>
      <c r="K160" s="183" t="inlineStr">
        <is>
          <t>大阪府 (regional; branch network not confirmed)</t>
        </is>
      </c>
      <c r="L160" s="183" t="inlineStr">
        <is>
          <t>Not found</t>
        </is>
      </c>
      <c r="M160" s="183" t="inlineStr">
        <is>
          <t>Not identified</t>
        </is>
      </c>
      <c r="N160" s="183" t="inlineStr">
        <is>
          <t>Not identified</t>
        </is>
      </c>
      <c r="O160" s="183" t="inlineStr">
        <is>
          <t>Not published; use company inquiry form</t>
        </is>
      </c>
      <c r="P160" s="183" t="inlineStr">
        <is>
          <t>Not confirmed</t>
        </is>
      </c>
      <c r="Q160" s="183" t="inlineStr">
        <is>
          <t>Not identified</t>
        </is>
      </c>
      <c r="R160" s="184" t="inlineStr">
        <is>
          <t>Company inquiry only</t>
        </is>
      </c>
      <c r="S160" s="183" t="n">
        <v>18</v>
      </c>
      <c r="T160" s="189" t="inlineStr">
        <is>
          <t>C</t>
        </is>
      </c>
      <c r="U160" s="183" t="inlineStr">
        <is>
          <t>Regional general medical equipment dealer with hospital and clinic accounts; candidate sub dealer under a national MAH partner.</t>
        </is>
      </c>
      <c r="V160" s="183" t="inlineStr">
        <is>
          <t>Introduce CHISON as a future line through a national MAH partner; ask about their hospital and clinic coverage, service engineers and openness to non Japanese brands.</t>
        </is>
      </c>
      <c r="W160" s="183" t="inlineStr">
        <is>
          <t>N (not identified)</t>
        </is>
      </c>
      <c r="X160" s="186" t="inlineStr">
        <is>
          <t>https://www.osaka-iryokiki-kyokai.com/member_list/</t>
        </is>
      </c>
      <c r="Y160" s="183" t="inlineStr">
        <is>
          <t>SonoEye P3 plus SonoAir 30 for GP and clinic accounts</t>
        </is>
      </c>
      <c r="Z160" s="183" t="inlineStr">
        <is>
          <t>2, 2, 3, 3, 3, 2, 3</t>
        </is>
      </c>
      <c r="AA160" s="183" t="inlineStr">
        <is>
          <t>Not found</t>
        </is>
      </c>
      <c r="AB160" s="183" t="inlineStr">
        <is>
          <t>Directory or search listing; not opened (direct site access blocked)</t>
        </is>
      </c>
      <c r="AC160" s="183" t="inlineStr">
        <is>
          <t>No expired licence or ended distribution agreement found</t>
        </is>
      </c>
      <c r="AD160" s="183" t="inlineStr">
        <is>
          <t>Not started</t>
        </is>
      </c>
      <c r="AE160" s="183" t="inlineStr"/>
      <c r="AF160" s="183" t="inlineStr"/>
      <c r="AG160" s="183" t="inlineStr">
        <is>
          <t>No email published; website has no contact page link, phone first</t>
        </is>
      </c>
    </row>
    <row r="161">
      <c r="A161" s="183" t="n">
        <v>157</v>
      </c>
      <c r="B161" s="183" t="inlineStr">
        <is>
          <t>Omori</t>
        </is>
      </c>
      <c r="C161" s="183" t="inlineStr">
        <is>
          <t>オオモリ</t>
        </is>
      </c>
      <c r="D161" s="183" t="inlineStr">
        <is>
          <t>Not retrieved (NTA lookup blocked in this session)</t>
        </is>
      </c>
      <c r="E161" s="183" t="inlineStr">
        <is>
          <t>大阪府</t>
        </is>
      </c>
      <c r="F161" s="183" t="inlineStr">
        <is>
          <t>Kansai</t>
        </is>
      </c>
      <c r="G161" s="183" t="inlineStr">
        <is>
          <t>https://e-omori.co.jp/</t>
        </is>
      </c>
      <c r="H161" s="183" t="inlineStr">
        <is>
          <t>No MAH found; device sales licence (高度管理医療機器等販売業) not confirmed</t>
        </is>
      </c>
      <c r="I161" s="183" t="inlineStr">
        <is>
          <t>Not identified in published sources</t>
        </is>
      </c>
      <c r="J161" s="183" t="inlineStr">
        <is>
          <t>General medical equipment (hospitals and clinics)</t>
        </is>
      </c>
      <c r="K161" s="183" t="inlineStr">
        <is>
          <t>大阪府 (regional; branch network not confirmed)</t>
        </is>
      </c>
      <c r="L161" s="183" t="inlineStr">
        <is>
          <t>Not found</t>
        </is>
      </c>
      <c r="M161" s="183" t="inlineStr">
        <is>
          <t>Not identified</t>
        </is>
      </c>
      <c r="N161" s="183" t="inlineStr">
        <is>
          <t>Not identified</t>
        </is>
      </c>
      <c r="O161" s="183" t="inlineStr">
        <is>
          <t>Not published; use contact form</t>
        </is>
      </c>
      <c r="P161" s="183" t="inlineStr">
        <is>
          <t>Not confirmed</t>
        </is>
      </c>
      <c r="Q161" s="183" t="inlineStr">
        <is>
          <t>Not identified</t>
        </is>
      </c>
      <c r="R161" s="184" t="inlineStr">
        <is>
          <t>Likely</t>
        </is>
      </c>
      <c r="S161" s="183" t="n">
        <v>18</v>
      </c>
      <c r="T161" s="189" t="inlineStr">
        <is>
          <t>C</t>
        </is>
      </c>
      <c r="U161" s="183" t="inlineStr">
        <is>
          <t>Regional general medical equipment dealer with hospital and clinic accounts; candidate sub dealer under a national MAH partner.</t>
        </is>
      </c>
      <c r="V161" s="183" t="inlineStr">
        <is>
          <t>Introduce CHISON as a future line through a national MAH partner; ask about their hospital and clinic coverage, service engineers and openness to non Japanese brands.</t>
        </is>
      </c>
      <c r="W161" s="183" t="inlineStr">
        <is>
          <t>N (not identified)</t>
        </is>
      </c>
      <c r="X161" s="186" t="inlineStr">
        <is>
          <t>https://www.osaka-iryokiki-kyokai.com/member_list/</t>
        </is>
      </c>
      <c r="Y161" s="183" t="inlineStr">
        <is>
          <t>SonoEye P3 plus SonoAir 30 for GP and clinic accounts</t>
        </is>
      </c>
      <c r="Z161" s="183" t="inlineStr">
        <is>
          <t>2, 2, 3, 3, 3, 2, 3</t>
        </is>
      </c>
      <c r="AA161" s="183" t="inlineStr">
        <is>
          <t>Not found</t>
        </is>
      </c>
      <c r="AB161" s="183" t="inlineStr">
        <is>
          <t>Recheck: no independent confirmation found; directory listing only (listed in Osaka Medical Device Assoc roster)</t>
        </is>
      </c>
      <c r="AC161" s="183" t="inlineStr">
        <is>
          <t>No expired licence or ended distribution agreement found</t>
        </is>
      </c>
      <c r="AD161" s="183" t="inlineStr">
        <is>
          <t>Not started</t>
        </is>
      </c>
      <c r="AE161" s="183" t="inlineStr"/>
      <c r="AF161" s="183" t="inlineStr">
        <is>
          <t>https://e-omori.co.jp/contact/</t>
        </is>
      </c>
      <c r="AG161" s="183" t="inlineStr">
        <is>
          <t>No email published; use the contact form (link in Email source)</t>
        </is>
      </c>
    </row>
    <row r="162">
      <c r="A162" s="183" t="n">
        <v>158</v>
      </c>
      <c r="B162" s="183" t="inlineStr">
        <is>
          <t>Hisamura Ika Kikai</t>
        </is>
      </c>
      <c r="C162" s="183" t="inlineStr">
        <is>
          <t>久村医科器械</t>
        </is>
      </c>
      <c r="D162" s="183" t="inlineStr">
        <is>
          <t>Not retrieved (NTA lookup blocked in this session)</t>
        </is>
      </c>
      <c r="E162" s="183" t="inlineStr">
        <is>
          <t>大阪府</t>
        </is>
      </c>
      <c r="F162" s="183" t="inlineStr">
        <is>
          <t>Kansai</t>
        </is>
      </c>
      <c r="G162" s="183" t="inlineStr">
        <is>
          <t>Not confirmed (company site not opened; network policy blocked direct access)</t>
        </is>
      </c>
      <c r="H162" s="183" t="inlineStr">
        <is>
          <t>No MAH found; device sales licence (高度管理医療機器等販売業) not confirmed</t>
        </is>
      </c>
      <c r="I162" s="183" t="inlineStr">
        <is>
          <t>Not identified in published sources</t>
        </is>
      </c>
      <c r="J162" s="183" t="inlineStr">
        <is>
          <t>General medical equipment (hospitals and clinics)</t>
        </is>
      </c>
      <c r="K162" s="183" t="inlineStr">
        <is>
          <t>大阪府 (regional; branch network not confirmed)</t>
        </is>
      </c>
      <c r="L162" s="183" t="inlineStr">
        <is>
          <t>Not found</t>
        </is>
      </c>
      <c r="M162" s="183" t="inlineStr">
        <is>
          <t>Not identified</t>
        </is>
      </c>
      <c r="N162" s="183" t="inlineStr">
        <is>
          <t>Not identified</t>
        </is>
      </c>
      <c r="O162" s="183" t="inlineStr">
        <is>
          <t>Not published; use company inquiry form</t>
        </is>
      </c>
      <c r="P162" s="183" t="inlineStr">
        <is>
          <t>Not confirmed</t>
        </is>
      </c>
      <c r="Q162" s="183" t="inlineStr">
        <is>
          <t>Not identified</t>
        </is>
      </c>
      <c r="R162" s="184" t="inlineStr">
        <is>
          <t>Unverified</t>
        </is>
      </c>
      <c r="S162" s="183" t="n">
        <v>18</v>
      </c>
      <c r="T162" s="189" t="inlineStr">
        <is>
          <t>C</t>
        </is>
      </c>
      <c r="U162" s="183" t="inlineStr">
        <is>
          <t>Regional general medical equipment dealer with hospital and clinic accounts; candidate sub dealer under a national MAH partner.</t>
        </is>
      </c>
      <c r="V162" s="183" t="inlineStr">
        <is>
          <t>Introduce CHISON as a future line through a national MAH partner; ask about their hospital and clinic coverage, service engineers and openness to non Japanese brands.</t>
        </is>
      </c>
      <c r="W162" s="183" t="inlineStr">
        <is>
          <t>N (not identified)</t>
        </is>
      </c>
      <c r="X162" s="186" t="inlineStr">
        <is>
          <t>https://www.osaka-iryokiki-kyokai.com/member_list/06.html</t>
        </is>
      </c>
      <c r="Y162" s="183" t="inlineStr">
        <is>
          <t>SonoEye P3 plus SonoAir 30 for GP and clinic accounts</t>
        </is>
      </c>
      <c r="Z162" s="183" t="inlineStr">
        <is>
          <t>2, 2, 3, 3, 3, 2, 3</t>
        </is>
      </c>
      <c r="AA162" s="183" t="inlineStr">
        <is>
          <t>Not found</t>
        </is>
      </c>
      <c r="AB162" s="183" t="inlineStr">
        <is>
          <t>Directory or search listing; not opened (direct site access blocked)</t>
        </is>
      </c>
      <c r="AC162" s="183" t="inlineStr">
        <is>
          <t>No expired licence or ended distribution agreement found</t>
        </is>
      </c>
      <c r="AD162" s="183" t="inlineStr">
        <is>
          <t>Not started</t>
        </is>
      </c>
      <c r="AE162" s="183" t="inlineStr"/>
      <c r="AF162" s="183" t="inlineStr"/>
      <c r="AG162" s="183" t="inlineStr">
        <is>
          <t>No email published and no verified website found</t>
        </is>
      </c>
    </row>
    <row r="163">
      <c r="A163" s="183" t="n">
        <v>159</v>
      </c>
      <c r="B163" s="183" t="inlineStr">
        <is>
          <t>Hiratani</t>
        </is>
      </c>
      <c r="C163" s="183" t="inlineStr">
        <is>
          <t>ヒラタニ</t>
        </is>
      </c>
      <c r="D163" s="183" t="inlineStr">
        <is>
          <t>Not retrieved (NTA lookup blocked in this session)</t>
        </is>
      </c>
      <c r="E163" s="183" t="inlineStr">
        <is>
          <t>大阪府</t>
        </is>
      </c>
      <c r="F163" s="183" t="inlineStr">
        <is>
          <t>Kansai</t>
        </is>
      </c>
      <c r="G163" s="183" t="inlineStr">
        <is>
          <t>http://www.hiratani.com/</t>
        </is>
      </c>
      <c r="H163" s="183" t="inlineStr">
        <is>
          <t>No MAH found; device sales licence (高度管理医療機器等販売業) not confirmed</t>
        </is>
      </c>
      <c r="I163" s="183" t="inlineStr">
        <is>
          <t>Not identified in published sources</t>
        </is>
      </c>
      <c r="J163" s="183" t="inlineStr">
        <is>
          <t>General medical equipment (hospitals and clinics)</t>
        </is>
      </c>
      <c r="K163" s="183" t="inlineStr">
        <is>
          <t>大阪府 (regional; branch network not confirmed)</t>
        </is>
      </c>
      <c r="L163" s="183" t="inlineStr">
        <is>
          <t>Not found</t>
        </is>
      </c>
      <c r="M163" s="183" t="inlineStr">
        <is>
          <t>Not identified</t>
        </is>
      </c>
      <c r="N163" s="183" t="inlineStr">
        <is>
          <t>Not identified</t>
        </is>
      </c>
      <c r="O163" s="183" t="inlineStr">
        <is>
          <t>info@hiratani.com</t>
        </is>
      </c>
      <c r="P163" s="183" t="inlineStr">
        <is>
          <t>Not confirmed</t>
        </is>
      </c>
      <c r="Q163" s="183" t="inlineStr">
        <is>
          <t>Not identified</t>
        </is>
      </c>
      <c r="R163" s="184" t="inlineStr">
        <is>
          <t>Unverified</t>
        </is>
      </c>
      <c r="S163" s="183" t="n">
        <v>18</v>
      </c>
      <c r="T163" s="189" t="inlineStr">
        <is>
          <t>C</t>
        </is>
      </c>
      <c r="U163" s="183" t="inlineStr">
        <is>
          <t>Regional general medical equipment dealer with hospital and clinic accounts; candidate sub dealer under a national MAH partner.</t>
        </is>
      </c>
      <c r="V163" s="183" t="inlineStr">
        <is>
          <t>Introduce CHISON as a future line through a national MAH partner; ask about their hospital and clinic coverage, service engineers and openness to non Japanese brands.</t>
        </is>
      </c>
      <c r="W163" s="183" t="inlineStr">
        <is>
          <t>N (not identified)</t>
        </is>
      </c>
      <c r="X163" s="186" t="inlineStr">
        <is>
          <t>https://www.osaka-iryokiki-kyokai.com/member_list/06.html</t>
        </is>
      </c>
      <c r="Y163" s="183" t="inlineStr">
        <is>
          <t>SonoEye P3 plus SonoAir 30 for GP and clinic accounts</t>
        </is>
      </c>
      <c r="Z163" s="183" t="inlineStr">
        <is>
          <t>2, 2, 3, 3, 3, 2, 3</t>
        </is>
      </c>
      <c r="AA163" s="183" t="inlineStr">
        <is>
          <t>Not found</t>
        </is>
      </c>
      <c r="AB163" s="183" t="inlineStr">
        <is>
          <t>Recheck: no independent confirmation found; directory listing only (listed in Osaka Medical Device Assoc roster)</t>
        </is>
      </c>
      <c r="AC163" s="183" t="inlineStr">
        <is>
          <t>No expired licence or ended distribution agreement found</t>
        </is>
      </c>
      <c r="AD163" s="183" t="inlineStr">
        <is>
          <t>Not started</t>
        </is>
      </c>
      <c r="AE163" s="183" t="inlineStr">
        <is>
          <t>bh@hiratani.com</t>
        </is>
      </c>
      <c r="AF163" s="183" t="inlineStr">
        <is>
          <t>http://www.hiratani.com/support/support.html</t>
        </is>
      </c>
      <c r="AG163" s="183" t="inlineStr">
        <is>
          <t>Likely: indexed on company domain</t>
        </is>
      </c>
    </row>
    <row r="164">
      <c r="A164" s="183" t="n">
        <v>160</v>
      </c>
      <c r="B164" s="183" t="inlineStr">
        <is>
          <t>Materix</t>
        </is>
      </c>
      <c r="C164" s="183" t="inlineStr">
        <is>
          <t>マテリクス</t>
        </is>
      </c>
      <c r="D164" s="183" t="inlineStr">
        <is>
          <t>Not retrieved (NTA lookup blocked in this session)</t>
        </is>
      </c>
      <c r="E164" s="183" t="inlineStr">
        <is>
          <t>大阪府</t>
        </is>
      </c>
      <c r="F164" s="183" t="inlineStr">
        <is>
          <t>Kansai</t>
        </is>
      </c>
      <c r="G164" s="183" t="inlineStr">
        <is>
          <t>https://materichs.co.jp/</t>
        </is>
      </c>
      <c r="H164" s="183" t="inlineStr">
        <is>
          <t>No MAH found; device sales licence (高度管理医療機器等販売業) not confirmed</t>
        </is>
      </c>
      <c r="I164" s="183" t="inlineStr">
        <is>
          <t>Not identified in published sources</t>
        </is>
      </c>
      <c r="J164" s="183" t="inlineStr">
        <is>
          <t>Surgery and OR</t>
        </is>
      </c>
      <c r="K164" s="183" t="inlineStr">
        <is>
          <t>大阪府 (regional; branch network not confirmed)</t>
        </is>
      </c>
      <c r="L164" s="183" t="inlineStr">
        <is>
          <t>Not found</t>
        </is>
      </c>
      <c r="M164" s="183" t="inlineStr">
        <is>
          <t>Not identified</t>
        </is>
      </c>
      <c r="N164" s="183" t="inlineStr">
        <is>
          <t>Not identified</t>
        </is>
      </c>
      <c r="O164" s="183" t="inlineStr">
        <is>
          <t>info@materichs.co.jp</t>
        </is>
      </c>
      <c r="P164" s="183" t="inlineStr">
        <is>
          <t>Not confirmed</t>
        </is>
      </c>
      <c r="Q164" s="183" t="inlineStr">
        <is>
          <t>Not identified</t>
        </is>
      </c>
      <c r="R164" s="184" t="inlineStr">
        <is>
          <t>Unverified</t>
        </is>
      </c>
      <c r="S164" s="183" t="n">
        <v>18</v>
      </c>
      <c r="T164" s="189" t="inlineStr">
        <is>
          <t>C</t>
        </is>
      </c>
      <c r="U164" s="183" t="inlineStr">
        <is>
          <t>Regional general medical equipment dealer with hospital and clinic accounts; candidate sub dealer under a national MAH partner.</t>
        </is>
      </c>
      <c r="V164" s="183" t="inlineStr">
        <is>
          <t>Introduce CHISON as a future line through a national MAH partner; ask about their hospital and clinic coverage, service engineers and openness to non Japanese brands.</t>
        </is>
      </c>
      <c r="W164" s="183" t="inlineStr">
        <is>
          <t>N (not identified)</t>
        </is>
      </c>
      <c r="X164" s="186" t="inlineStr">
        <is>
          <t>https://baseconnect.in/companies/prefecture/d80b180e-5fd9-4082-8cdc-a510179a3475/keyword/89941b4e-2dd1-4848-8957-48af280a31e0</t>
        </is>
      </c>
      <c r="Y164" s="183" t="inlineStr">
        <is>
          <t>SonoTouch plus SonoEye P3 (nerve block, vascular access, peri operative)</t>
        </is>
      </c>
      <c r="Z164" s="183" t="inlineStr">
        <is>
          <t>2, 2, 3, 3, 3, 2, 3</t>
        </is>
      </c>
      <c r="AA164" s="183" t="inlineStr">
        <is>
          <t>Not found</t>
        </is>
      </c>
      <c r="AB164" s="183" t="inlineStr">
        <is>
          <t>Directory or search listing; not opened (direct site access blocked)</t>
        </is>
      </c>
      <c r="AC164" s="183" t="inlineStr">
        <is>
          <t>No expired licence or ended distribution agreement found</t>
        </is>
      </c>
      <c r="AD164" s="183" t="inlineStr">
        <is>
          <t>Not started</t>
        </is>
      </c>
      <c r="AE164" s="183" t="inlineStr"/>
      <c r="AF164" s="183" t="inlineStr">
        <is>
          <t>http://www.materichs.co.jp/FS-APL/FS-Form/form.cgi?Code=form1</t>
        </is>
      </c>
      <c r="AG164" s="183" t="inlineStr">
        <is>
          <t>Likely: indexed on company domain</t>
        </is>
      </c>
    </row>
    <row r="165">
      <c r="A165" s="183" t="n">
        <v>161</v>
      </c>
      <c r="B165" s="183" t="inlineStr">
        <is>
          <t>Kanyaku</t>
        </is>
      </c>
      <c r="C165" s="183" t="inlineStr">
        <is>
          <t>関薬</t>
        </is>
      </c>
      <c r="D165" s="183" t="inlineStr">
        <is>
          <t>Not retrieved (NTA lookup blocked in this session)</t>
        </is>
      </c>
      <c r="E165" s="183" t="inlineStr">
        <is>
          <t>大阪府</t>
        </is>
      </c>
      <c r="F165" s="183" t="inlineStr">
        <is>
          <t>Kansai</t>
        </is>
      </c>
      <c r="G165" s="183" t="inlineStr">
        <is>
          <t>Not confirmed (company site not opened; network policy blocked direct access)</t>
        </is>
      </c>
      <c r="H165" s="183" t="inlineStr">
        <is>
          <t>No MAH found; device sales licence (高度管理医療機器等販売業) not confirmed</t>
        </is>
      </c>
      <c r="I165" s="183" t="inlineStr">
        <is>
          <t>Not identified in published sources</t>
        </is>
      </c>
      <c r="J165" s="183" t="inlineStr">
        <is>
          <t>Pharma distribution</t>
        </is>
      </c>
      <c r="K165" s="183" t="inlineStr">
        <is>
          <t>大阪府 (regional; branch network not confirmed)</t>
        </is>
      </c>
      <c r="L165" s="183" t="inlineStr">
        <is>
          <t>Not found</t>
        </is>
      </c>
      <c r="M165" s="183" t="inlineStr">
        <is>
          <t>Not identified</t>
        </is>
      </c>
      <c r="N165" s="183" t="inlineStr">
        <is>
          <t>Not identified</t>
        </is>
      </c>
      <c r="O165" s="183" t="inlineStr">
        <is>
          <t>Not published; use company inquiry form</t>
        </is>
      </c>
      <c r="P165" s="183" t="inlineStr">
        <is>
          <t>Not confirmed</t>
        </is>
      </c>
      <c r="Q165" s="183" t="inlineStr">
        <is>
          <t>Not identified</t>
        </is>
      </c>
      <c r="R165" s="184" t="inlineStr">
        <is>
          <t>Unverified</t>
        </is>
      </c>
      <c r="S165" s="183" t="n">
        <v>18</v>
      </c>
      <c r="T165" s="189" t="inlineStr">
        <is>
          <t>C</t>
        </is>
      </c>
      <c r="U165" s="183" t="inlineStr">
        <is>
          <t>Regional general medical equipment dealer with hospital and clinic accounts; candidate sub dealer under a national MAH partner.</t>
        </is>
      </c>
      <c r="V165" s="183" t="inlineStr">
        <is>
          <t>Introduce CHISON as a future line through a national MAH partner; ask about their hospital and clinic coverage, service engineers and openness to non Japanese brands.</t>
        </is>
      </c>
      <c r="W165" s="183" t="inlineStr">
        <is>
          <t>N (not identified)</t>
        </is>
      </c>
      <c r="X165" s="186" t="inlineStr">
        <is>
          <t>https://baseconnect.in/companies/prefecture/d80b180e-5fd9-4082-8cdc-a510179a3475/keyword/89941b4e-2dd1-4848-8957-48af280a31e0</t>
        </is>
      </c>
      <c r="Y165" s="183" t="inlineStr">
        <is>
          <t>SonoEye P3 plus SonoAir 30 for GP and clinic accounts</t>
        </is>
      </c>
      <c r="Z165" s="183" t="inlineStr">
        <is>
          <t>2, 2, 3, 3, 3, 2, 3</t>
        </is>
      </c>
      <c r="AA165" s="183" t="inlineStr">
        <is>
          <t>Not found</t>
        </is>
      </c>
      <c r="AB165" s="183" t="inlineStr">
        <is>
          <t>Directory or search listing; not opened (direct site access blocked)</t>
        </is>
      </c>
      <c r="AC165" s="183" t="inlineStr">
        <is>
          <t>No expired licence or ended distribution agreement found</t>
        </is>
      </c>
      <c r="AD165" s="183" t="inlineStr">
        <is>
          <t>Not started</t>
        </is>
      </c>
      <c r="AE165" s="183" t="inlineStr"/>
      <c r="AF165" s="183" t="inlineStr"/>
      <c r="AG165" s="183" t="inlineStr">
        <is>
          <t>No email published and no verified website found</t>
        </is>
      </c>
    </row>
    <row r="166">
      <c r="A166" s="183" t="n">
        <v>162</v>
      </c>
      <c r="B166" s="183" t="inlineStr">
        <is>
          <t>Mizuki</t>
        </is>
      </c>
      <c r="C166" s="183" t="inlineStr">
        <is>
          <t>ミズキ</t>
        </is>
      </c>
      <c r="D166" s="183" t="inlineStr">
        <is>
          <t>Not retrieved (NTA lookup blocked in this session)</t>
        </is>
      </c>
      <c r="E166" s="183" t="inlineStr">
        <is>
          <t>奈良県</t>
        </is>
      </c>
      <c r="F166" s="183" t="inlineStr">
        <is>
          <t>Kansai</t>
        </is>
      </c>
      <c r="G166" s="183" t="inlineStr">
        <is>
          <t>https://www.mizuki-corp.co.jp/</t>
        </is>
      </c>
      <c r="H166" s="183" t="inlineStr">
        <is>
          <t>No MAH found; device sales licence (高度管理医療機器等販売業) not confirmed</t>
        </is>
      </c>
      <c r="I166" s="183" t="inlineStr">
        <is>
          <t>Not identified in published sources</t>
        </is>
      </c>
      <c r="J166" s="183" t="inlineStr">
        <is>
          <t>General medical equipment (hospitals and clinics)</t>
        </is>
      </c>
      <c r="K166" s="183" t="inlineStr">
        <is>
          <t>奈良県 (regional; branch network not confirmed)</t>
        </is>
      </c>
      <c r="L166" s="183" t="inlineStr">
        <is>
          <t>Not found</t>
        </is>
      </c>
      <c r="M166" s="183" t="inlineStr">
        <is>
          <t>Not identified</t>
        </is>
      </c>
      <c r="N166" s="183" t="inlineStr">
        <is>
          <t>Not identified</t>
        </is>
      </c>
      <c r="O166" s="183" t="inlineStr">
        <is>
          <t>master@mizuki-corp.co.jp</t>
        </is>
      </c>
      <c r="P166" s="183" t="inlineStr">
        <is>
          <t>Not confirmed</t>
        </is>
      </c>
      <c r="Q166" s="183" t="inlineStr">
        <is>
          <t>Not identified</t>
        </is>
      </c>
      <c r="R166" s="184" t="inlineStr">
        <is>
          <t>Unverified</t>
        </is>
      </c>
      <c r="S166" s="183" t="n">
        <v>18</v>
      </c>
      <c r="T166" s="189" t="inlineStr">
        <is>
          <t>C</t>
        </is>
      </c>
      <c r="U166" s="183" t="inlineStr">
        <is>
          <t>Regional general medical equipment dealer with hospital and clinic accounts; candidate sub dealer under a national MAH partner.</t>
        </is>
      </c>
      <c r="V166" s="183" t="inlineStr">
        <is>
          <t>Introduce CHISON as a future line through a national MAH partner; ask about their hospital and clinic coverage, service engineers and openness to non Japanese brands.</t>
        </is>
      </c>
      <c r="W166" s="183" t="inlineStr">
        <is>
          <t>N (not identified)</t>
        </is>
      </c>
      <c r="X166" s="186" t="inlineStr">
        <is>
          <t>https://baseconnect.in/companies/prefecture/9ed9a43b-c714-41d5-b91b-6b21041f1294/category/b2358a1c-c4c6-46f4-a0b1-dee3a1b30a0b</t>
        </is>
      </c>
      <c r="Y166" s="183" t="inlineStr">
        <is>
          <t>SonoEye P3 plus SonoAir 30 for GP and clinic accounts</t>
        </is>
      </c>
      <c r="Z166" s="183" t="inlineStr">
        <is>
          <t>2, 2, 3, 3, 3, 2, 3</t>
        </is>
      </c>
      <c r="AA166" s="183" t="inlineStr">
        <is>
          <t>Not found</t>
        </is>
      </c>
      <c r="AB166" s="183" t="inlineStr">
        <is>
          <t>Directory or search listing; not opened (direct site access blocked)</t>
        </is>
      </c>
      <c r="AC166" s="183" t="inlineStr">
        <is>
          <t>No expired licence or ended distribution agreement found</t>
        </is>
      </c>
      <c r="AD166" s="183" t="inlineStr">
        <is>
          <t>Not started</t>
        </is>
      </c>
      <c r="AE166" s="183" t="inlineStr"/>
      <c r="AF166" s="183" t="inlineStr">
        <is>
          <t>https://www.mizuki-corp.co.jp/en/</t>
        </is>
      </c>
      <c r="AG166" s="183" t="inlineStr">
        <is>
          <t>Verified: published on company website</t>
        </is>
      </c>
    </row>
    <row r="167">
      <c r="A167" s="183" t="n">
        <v>163</v>
      </c>
      <c r="B167" s="183" t="inlineStr">
        <is>
          <t>Nakayama Ika Kikaiten</t>
        </is>
      </c>
      <c r="C167" s="183" t="inlineStr">
        <is>
          <t>中山医科器械店</t>
        </is>
      </c>
      <c r="D167" s="183" t="inlineStr">
        <is>
          <t>Not retrieved (NTA lookup blocked in this session)</t>
        </is>
      </c>
      <c r="E167" s="183" t="inlineStr">
        <is>
          <t>滋賀県</t>
        </is>
      </c>
      <c r="F167" s="183" t="inlineStr">
        <is>
          <t>Kansai</t>
        </is>
      </c>
      <c r="G167" s="183" t="inlineStr">
        <is>
          <t>https://nakayamaika.com/</t>
        </is>
      </c>
      <c r="H167" s="183" t="inlineStr">
        <is>
          <t>No MAH found; device sales licence (高度管理医療機器等販売業) not confirmed</t>
        </is>
      </c>
      <c r="I167" s="183" t="inlineStr">
        <is>
          <t>Not identified in published sources</t>
        </is>
      </c>
      <c r="J167" s="183" t="inlineStr">
        <is>
          <t>General medical equipment (hospitals and clinics)</t>
        </is>
      </c>
      <c r="K167" s="183" t="inlineStr">
        <is>
          <t>滋賀県 (regional; branch network not confirmed)</t>
        </is>
      </c>
      <c r="L167" s="183" t="inlineStr">
        <is>
          <t>Not found</t>
        </is>
      </c>
      <c r="M167" s="183" t="inlineStr">
        <is>
          <t>Not identified</t>
        </is>
      </c>
      <c r="N167" s="183" t="inlineStr">
        <is>
          <t>Not identified</t>
        </is>
      </c>
      <c r="O167" s="183" t="inlineStr">
        <is>
          <t>Not published; use contact form</t>
        </is>
      </c>
      <c r="P167" s="183" t="inlineStr">
        <is>
          <t>Not confirmed</t>
        </is>
      </c>
      <c r="Q167" s="183" t="inlineStr">
        <is>
          <t>Not identified</t>
        </is>
      </c>
      <c r="R167" s="184" t="inlineStr">
        <is>
          <t>Likely</t>
        </is>
      </c>
      <c r="S167" s="183" t="n">
        <v>18</v>
      </c>
      <c r="T167" s="189" t="inlineStr">
        <is>
          <t>C</t>
        </is>
      </c>
      <c r="U167" s="183" t="inlineStr">
        <is>
          <t>Regional general medical equipment dealer with hospital and clinic accounts; candidate sub dealer under a national MAH partner.</t>
        </is>
      </c>
      <c r="V167" s="183" t="inlineStr">
        <is>
          <t>Introduce CHISON as a future line through a national MAH partner; ask about their hospital and clinic coverage, service engineers and openness to non Japanese brands.</t>
        </is>
      </c>
      <c r="W167" s="183" t="inlineStr">
        <is>
          <t>N (not identified)</t>
        </is>
      </c>
      <c r="X167" s="186" t="inlineStr">
        <is>
          <t>https://baseconnect.in/companies/prefecture/1d5a2479-736c-41d9-98fe-d43b8d447ca4/keyword/89941b4e-2dd1-4848-8957-48af280a31e0</t>
        </is>
      </c>
      <c r="Y167" s="183" t="inlineStr">
        <is>
          <t>SonoEye P3 plus SonoAir 30 for GP and clinic accounts</t>
        </is>
      </c>
      <c r="Z167" s="183" t="inlineStr">
        <is>
          <t>2, 2, 3, 3, 3, 2, 3</t>
        </is>
      </c>
      <c r="AA167" s="183" t="inlineStr">
        <is>
          <t>Not found</t>
        </is>
      </c>
      <c r="AB167" s="183" t="inlineStr">
        <is>
          <t>Directory or search listing; not opened (direct site access blocked)</t>
        </is>
      </c>
      <c r="AC167" s="183" t="inlineStr">
        <is>
          <t>No expired licence or ended distribution agreement found</t>
        </is>
      </c>
      <c r="AD167" s="183" t="inlineStr">
        <is>
          <t>Not started</t>
        </is>
      </c>
      <c r="AE167" s="183" t="inlineStr"/>
      <c r="AF167" s="183" t="inlineStr">
        <is>
          <t>https://nakayamaika.com/contact/index.html</t>
        </is>
      </c>
      <c r="AG167" s="183" t="inlineStr">
        <is>
          <t>No email published; use the contact form (link in Email source)</t>
        </is>
      </c>
    </row>
    <row r="168">
      <c r="A168" s="183" t="n">
        <v>164</v>
      </c>
      <c r="B168" s="183" t="inlineStr">
        <is>
          <t>Tenyu</t>
        </is>
      </c>
      <c r="C168" s="183" t="inlineStr">
        <is>
          <t>テンユー</t>
        </is>
      </c>
      <c r="D168" s="183" t="inlineStr">
        <is>
          <t>Not retrieved (NTA lookup blocked in this session)</t>
        </is>
      </c>
      <c r="E168" s="183" t="inlineStr">
        <is>
          <t>滋賀県</t>
        </is>
      </c>
      <c r="F168" s="183" t="inlineStr">
        <is>
          <t>Kansai</t>
        </is>
      </c>
      <c r="G168" s="183" t="inlineStr">
        <is>
          <t>http://www.tenyu.co.jp/</t>
        </is>
      </c>
      <c r="H168" s="183" t="inlineStr">
        <is>
          <t>No MAH found; device sales licence (高度管理医療機器等販売業) not confirmed</t>
        </is>
      </c>
      <c r="I168" s="183" t="inlineStr">
        <is>
          <t>Not identified in published sources</t>
        </is>
      </c>
      <c r="J168" s="183" t="inlineStr">
        <is>
          <t>General medical equipment (hospitals and clinics)</t>
        </is>
      </c>
      <c r="K168" s="183" t="inlineStr">
        <is>
          <t>滋賀県 (regional; branch network not confirmed)</t>
        </is>
      </c>
      <c r="L168" s="183" t="inlineStr">
        <is>
          <t>Not found</t>
        </is>
      </c>
      <c r="M168" s="183" t="inlineStr">
        <is>
          <t>Not identified</t>
        </is>
      </c>
      <c r="N168" s="183" t="inlineStr">
        <is>
          <t>Not identified</t>
        </is>
      </c>
      <c r="O168" s="183" t="inlineStr">
        <is>
          <t>Not published; use contact form</t>
        </is>
      </c>
      <c r="P168" s="183" t="inlineStr">
        <is>
          <t>Not confirmed</t>
        </is>
      </c>
      <c r="Q168" s="183" t="inlineStr">
        <is>
          <t>Not identified</t>
        </is>
      </c>
      <c r="R168" s="184" t="inlineStr">
        <is>
          <t>Likely</t>
        </is>
      </c>
      <c r="S168" s="183" t="n">
        <v>18</v>
      </c>
      <c r="T168" s="189" t="inlineStr">
        <is>
          <t>C</t>
        </is>
      </c>
      <c r="U168" s="183" t="inlineStr">
        <is>
          <t>Regional general medical equipment dealer with hospital and clinic accounts; candidate sub dealer under a national MAH partner.</t>
        </is>
      </c>
      <c r="V168" s="183" t="inlineStr">
        <is>
          <t>Introduce CHISON as a future line through a national MAH partner; ask about their hospital and clinic coverage, service engineers and openness to non Japanese brands.</t>
        </is>
      </c>
      <c r="W168" s="183" t="inlineStr">
        <is>
          <t>N (not identified)</t>
        </is>
      </c>
      <c r="X168" s="186" t="inlineStr">
        <is>
          <t>https://baseconnect.in/companies/prefecture/1d5a2479-736c-41d9-98fe-d43b8d447ca4/keyword/89941b4e-2dd1-4848-8957-48af280a31e0</t>
        </is>
      </c>
      <c r="Y168" s="183" t="inlineStr">
        <is>
          <t>SonoEye P3 plus SonoAir 30 for GP and clinic accounts</t>
        </is>
      </c>
      <c r="Z168" s="183" t="inlineStr">
        <is>
          <t>2, 2, 3, 3, 3, 2, 3</t>
        </is>
      </c>
      <c r="AA168" s="183" t="inlineStr">
        <is>
          <t>Not found</t>
        </is>
      </c>
      <c r="AB168" s="183" t="inlineStr">
        <is>
          <t>Recheck: no independent confirmation found; directory listing only</t>
        </is>
      </c>
      <c r="AC168" s="183" t="inlineStr">
        <is>
          <t>No expired licence or ended distribution agreement found</t>
        </is>
      </c>
      <c r="AD168" s="183" t="inlineStr">
        <is>
          <t>Not started</t>
        </is>
      </c>
      <c r="AE168" s="183" t="inlineStr"/>
      <c r="AF168" s="183" t="inlineStr">
        <is>
          <t>http://www.tenyu.co.jp/contact_us.html</t>
        </is>
      </c>
      <c r="AG168" s="183" t="inlineStr">
        <is>
          <t>No email published; use the contact form (link in Email source)</t>
        </is>
      </c>
    </row>
    <row r="169">
      <c r="A169" s="183" t="n">
        <v>165</v>
      </c>
      <c r="B169" s="183" t="inlineStr">
        <is>
          <t>Ray and Company</t>
        </is>
      </c>
      <c r="C169" s="183" t="inlineStr">
        <is>
          <t>レイアンドカンパニー</t>
        </is>
      </c>
      <c r="D169" s="183" t="inlineStr">
        <is>
          <t>Not retrieved (NTA lookup blocked in this session)</t>
        </is>
      </c>
      <c r="E169" s="183" t="inlineStr">
        <is>
          <t>滋賀県</t>
        </is>
      </c>
      <c r="F169" s="183" t="inlineStr">
        <is>
          <t>Kansai</t>
        </is>
      </c>
      <c r="G169" s="183" t="inlineStr">
        <is>
          <t>http://www.rayandc.co.jp/</t>
        </is>
      </c>
      <c r="H169" s="183" t="inlineStr">
        <is>
          <t>No MAH found; device sales licence (高度管理医療機器等販売業) not confirmed</t>
        </is>
      </c>
      <c r="I169" s="183" t="inlineStr">
        <is>
          <t>Not identified in published sources</t>
        </is>
      </c>
      <c r="J169" s="183" t="inlineStr">
        <is>
          <t>General medical equipment (hospitals and clinics)</t>
        </is>
      </c>
      <c r="K169" s="183" t="inlineStr">
        <is>
          <t>滋賀県 (regional; branch network not confirmed)</t>
        </is>
      </c>
      <c r="L169" s="183" t="inlineStr">
        <is>
          <t>Not found</t>
        </is>
      </c>
      <c r="M169" s="183" t="inlineStr">
        <is>
          <t>Not identified</t>
        </is>
      </c>
      <c r="N169" s="183" t="inlineStr">
        <is>
          <t>Not identified</t>
        </is>
      </c>
      <c r="O169" s="183" t="inlineStr">
        <is>
          <t>info@rayandc.co.jp</t>
        </is>
      </c>
      <c r="P169" s="183" t="inlineStr">
        <is>
          <t>Not confirmed</t>
        </is>
      </c>
      <c r="Q169" s="183" t="inlineStr">
        <is>
          <t>Not identified</t>
        </is>
      </c>
      <c r="R169" s="184" t="inlineStr">
        <is>
          <t>Unverified</t>
        </is>
      </c>
      <c r="S169" s="183" t="n">
        <v>18</v>
      </c>
      <c r="T169" s="189" t="inlineStr">
        <is>
          <t>C</t>
        </is>
      </c>
      <c r="U169" s="183" t="inlineStr">
        <is>
          <t>Regional general medical equipment dealer with hospital and clinic accounts; candidate sub dealer under a national MAH partner.</t>
        </is>
      </c>
      <c r="V169" s="183" t="inlineStr">
        <is>
          <t>Introduce CHISON as a future line through a national MAH partner; ask about their hospital and clinic coverage, service engineers and openness to non Japanese brands.</t>
        </is>
      </c>
      <c r="W169" s="183" t="inlineStr">
        <is>
          <t>N (not identified)</t>
        </is>
      </c>
      <c r="X169" s="186" t="inlineStr">
        <is>
          <t>https://baseconnect.in/companies/prefecture/1d5a2479-736c-41d9-98fe-d43b8d447ca4/keyword/89941b4e-2dd1-4848-8957-48af280a31e0</t>
        </is>
      </c>
      <c r="Y169" s="183" t="inlineStr">
        <is>
          <t>SonoEye P3 plus SonoAir 30 for GP and clinic accounts</t>
        </is>
      </c>
      <c r="Z169" s="183" t="inlineStr">
        <is>
          <t>2, 2, 3, 3, 3, 2, 3</t>
        </is>
      </c>
      <c r="AA169" s="183" t="inlineStr">
        <is>
          <t>Not found</t>
        </is>
      </c>
      <c r="AB169" s="183" t="inlineStr">
        <is>
          <t>Directory or search listing; not opened (direct site access blocked)</t>
        </is>
      </c>
      <c r="AC169" s="183" t="inlineStr">
        <is>
          <t>No expired licence or ended distribution agreement found</t>
        </is>
      </c>
      <c r="AD169" s="183" t="inlineStr">
        <is>
          <t>Not started</t>
        </is>
      </c>
      <c r="AE169" s="183" t="inlineStr"/>
      <c r="AF169" s="183" t="inlineStr">
        <is>
          <t>https://www.rayandc.co.jp/form/general.html</t>
        </is>
      </c>
      <c r="AG169" s="183" t="inlineStr">
        <is>
          <t>Likely: indexed on company domain</t>
        </is>
      </c>
    </row>
    <row r="170">
      <c r="A170" s="183" t="n">
        <v>166</v>
      </c>
      <c r="B170" s="183" t="inlineStr">
        <is>
          <t>M's (Gifu)</t>
        </is>
      </c>
      <c r="C170" s="183" t="inlineStr">
        <is>
          <t>エムズ</t>
        </is>
      </c>
      <c r="D170" s="183" t="inlineStr">
        <is>
          <t>Not retrieved (NTA lookup blocked in this session)</t>
        </is>
      </c>
      <c r="E170" s="183" t="inlineStr">
        <is>
          <t>岐阜県</t>
        </is>
      </c>
      <c r="F170" s="183" t="inlineStr">
        <is>
          <t>Chubu</t>
        </is>
      </c>
      <c r="G170" s="183" t="inlineStr">
        <is>
          <t>https://kk-ms.co.jp/</t>
        </is>
      </c>
      <c r="H170" s="183" t="inlineStr">
        <is>
          <t>No MAH found; device sales licence (高度管理医療機器等販売業) not confirmed</t>
        </is>
      </c>
      <c r="I170" s="183" t="inlineStr">
        <is>
          <t>Not identified in published sources</t>
        </is>
      </c>
      <c r="J170" s="183" t="inlineStr">
        <is>
          <t>General medical equipment (hospitals and clinics)</t>
        </is>
      </c>
      <c r="K170" s="183" t="inlineStr">
        <is>
          <t>岐阜県 (regional; branch network not confirmed)</t>
        </is>
      </c>
      <c r="L170" s="183" t="inlineStr">
        <is>
          <t>Not found</t>
        </is>
      </c>
      <c r="M170" s="183" t="inlineStr">
        <is>
          <t>Not identified</t>
        </is>
      </c>
      <c r="N170" s="183" t="inlineStr">
        <is>
          <t>Not identified</t>
        </is>
      </c>
      <c r="O170" s="183" t="inlineStr">
        <is>
          <t>Not published; use contact form</t>
        </is>
      </c>
      <c r="P170" s="183" t="inlineStr">
        <is>
          <t>Not confirmed</t>
        </is>
      </c>
      <c r="Q170" s="183" t="inlineStr">
        <is>
          <t>Not identified</t>
        </is>
      </c>
      <c r="R170" s="184" t="inlineStr">
        <is>
          <t>Likely</t>
        </is>
      </c>
      <c r="S170" s="183" t="n">
        <v>18</v>
      </c>
      <c r="T170" s="189" t="inlineStr">
        <is>
          <t>C</t>
        </is>
      </c>
      <c r="U170" s="183" t="inlineStr">
        <is>
          <t>Regional general medical equipment dealer with hospital and clinic accounts; candidate sub dealer under a national MAH partner.</t>
        </is>
      </c>
      <c r="V170" s="183" t="inlineStr">
        <is>
          <t>Introduce CHISON as a future line through a national MAH partner; ask about their hospital and clinic coverage, service engineers and openness to non Japanese brands.</t>
        </is>
      </c>
      <c r="W170" s="183" t="inlineStr">
        <is>
          <t>N (not identified)</t>
        </is>
      </c>
      <c r="X170" s="186" t="inlineStr">
        <is>
          <t>https://baseconnect.in/companies/prefecture/8de2e273-a5a8-45b9-8fc1-0fe6344d6843/keyword/14f3dcec-9cd5-4be5-84e1-ddccb7bd228c</t>
        </is>
      </c>
      <c r="Y170" s="183" t="inlineStr">
        <is>
          <t>SonoEye P3 plus SonoAir 30 for GP and clinic accounts</t>
        </is>
      </c>
      <c r="Z170" s="183" t="inlineStr">
        <is>
          <t>2, 2, 3, 3, 3, 2, 3</t>
        </is>
      </c>
      <c r="AA170" s="183" t="inlineStr">
        <is>
          <t>Not found</t>
        </is>
      </c>
      <c r="AB170" s="183" t="inlineStr">
        <is>
          <t>Recheck: no independent confirmation found; directory listing only</t>
        </is>
      </c>
      <c r="AC170" s="183" t="inlineStr">
        <is>
          <t>No expired licence or ended distribution agreement found</t>
        </is>
      </c>
      <c r="AD170" s="183" t="inlineStr">
        <is>
          <t>Not started</t>
        </is>
      </c>
      <c r="AE170" s="183" t="inlineStr"/>
      <c r="AF170" s="183" t="inlineStr">
        <is>
          <t>https://kk-ms.co.jp/contact/</t>
        </is>
      </c>
      <c r="AG170" s="183" t="inlineStr">
        <is>
          <t>No email published; use the contact form (link in Email source)</t>
        </is>
      </c>
    </row>
    <row r="171">
      <c r="A171" s="183" t="n">
        <v>167</v>
      </c>
      <c r="B171" s="183" t="inlineStr">
        <is>
          <t>Meiko Iryo</t>
        </is>
      </c>
      <c r="C171" s="183" t="inlineStr">
        <is>
          <t>メイコー医療</t>
        </is>
      </c>
      <c r="D171" s="183" t="inlineStr">
        <is>
          <t>Not retrieved (NTA lookup blocked in this session)</t>
        </is>
      </c>
      <c r="E171" s="183" t="inlineStr">
        <is>
          <t>愛知県</t>
        </is>
      </c>
      <c r="F171" s="183" t="inlineStr">
        <is>
          <t>Chubu</t>
        </is>
      </c>
      <c r="G171" s="183" t="inlineStr">
        <is>
          <t>https://www.meiko-m.co.jp/</t>
        </is>
      </c>
      <c r="H171" s="183" t="inlineStr">
        <is>
          <t>No MAH found; device sales licence (高度管理医療機器等販売業) not confirmed</t>
        </is>
      </c>
      <c r="I171" s="183" t="inlineStr">
        <is>
          <t>Not identified in published sources</t>
        </is>
      </c>
      <c r="J171" s="183" t="inlineStr">
        <is>
          <t>General medical equipment (hospitals and clinics)</t>
        </is>
      </c>
      <c r="K171" s="183" t="inlineStr">
        <is>
          <t>愛知県; Aichi Gifu</t>
        </is>
      </c>
      <c r="L171" s="183" t="inlineStr">
        <is>
          <t>Not found</t>
        </is>
      </c>
      <c r="M171" s="183" t="inlineStr">
        <is>
          <t>Not identified</t>
        </is>
      </c>
      <c r="N171" s="183" t="inlineStr">
        <is>
          <t>Not identified</t>
        </is>
      </c>
      <c r="O171" s="183" t="inlineStr">
        <is>
          <t>Not published; use contact form</t>
        </is>
      </c>
      <c r="P171" s="183" t="inlineStr">
        <is>
          <t>Not confirmed</t>
        </is>
      </c>
      <c r="Q171" s="183" t="inlineStr">
        <is>
          <t>Not identified</t>
        </is>
      </c>
      <c r="R171" s="184" t="inlineStr">
        <is>
          <t>Likely</t>
        </is>
      </c>
      <c r="S171" s="183" t="n">
        <v>18</v>
      </c>
      <c r="T171" s="189" t="inlineStr">
        <is>
          <t>C</t>
        </is>
      </c>
      <c r="U171" s="183" t="inlineStr">
        <is>
          <t>Regional general medical equipment dealer with hospital and clinic accounts; candidate sub dealer under a national MAH partner.</t>
        </is>
      </c>
      <c r="V171" s="183" t="inlineStr">
        <is>
          <t>Introduce CHISON as a future line through a national MAH partner; ask about their hospital and clinic coverage, service engineers and openness to non Japanese brands.</t>
        </is>
      </c>
      <c r="W171" s="183" t="inlineStr">
        <is>
          <t>N (not identified)</t>
        </is>
      </c>
      <c r="X171" s="186" t="inlineStr">
        <is>
          <t>https://baseconnect.in/companies/prefecture/60622468-79bd-4eef-86f8-cb69d1ef09f0/category/b2358a1c-c4c6-46f4-a0b1-dee3a1b30a0b</t>
        </is>
      </c>
      <c r="Y171" s="183" t="inlineStr">
        <is>
          <t>SonoEye P3 plus SonoAir 30 for GP and clinic accounts</t>
        </is>
      </c>
      <c r="Z171" s="183" t="inlineStr">
        <is>
          <t>2, 2, 3, 2, 4, 2, 3</t>
        </is>
      </c>
      <c r="AA171" s="183" t="inlineStr">
        <is>
          <t>Not found</t>
        </is>
      </c>
      <c r="AB171" s="183" t="inlineStr">
        <is>
          <t>Directory or search listing; not opened (direct site access blocked)</t>
        </is>
      </c>
      <c r="AC171" s="183" t="inlineStr">
        <is>
          <t>No expired licence or ended distribution agreement found</t>
        </is>
      </c>
      <c r="AD171" s="183" t="inlineStr">
        <is>
          <t>Not started</t>
        </is>
      </c>
      <c r="AE171" s="183" t="inlineStr"/>
      <c r="AF171" s="183" t="inlineStr">
        <is>
          <t>https://www.meiko-m.co.jp/contact/</t>
        </is>
      </c>
      <c r="AG171" s="183" t="inlineStr">
        <is>
          <t>No email published; use the contact form (link in Email source)</t>
        </is>
      </c>
    </row>
    <row r="172">
      <c r="A172" s="183" t="n">
        <v>168</v>
      </c>
      <c r="B172" s="183" t="inlineStr">
        <is>
          <t>Chubu Ika Shokai</t>
        </is>
      </c>
      <c r="C172" s="183" t="inlineStr">
        <is>
          <t>中部医科商会</t>
        </is>
      </c>
      <c r="D172" s="183" t="inlineStr">
        <is>
          <t>Not retrieved (NTA lookup blocked in this session)</t>
        </is>
      </c>
      <c r="E172" s="183" t="inlineStr">
        <is>
          <t>愛知県</t>
        </is>
      </c>
      <c r="F172" s="183" t="inlineStr">
        <is>
          <t>Chubu</t>
        </is>
      </c>
      <c r="G172" s="183" t="inlineStr">
        <is>
          <t>Not confirmed (company site not opened; network policy blocked direct access)</t>
        </is>
      </c>
      <c r="H172" s="183" t="inlineStr">
        <is>
          <t>No MAH found; device sales licence (高度管理医療機器等販売業) not confirmed</t>
        </is>
      </c>
      <c r="I172" s="183" t="inlineStr">
        <is>
          <t>Not identified in published sources</t>
        </is>
      </c>
      <c r="J172" s="183" t="inlineStr">
        <is>
          <t>General medical equipment (hospitals and clinics)</t>
        </is>
      </c>
      <c r="K172" s="183" t="inlineStr">
        <is>
          <t>愛知県 (regional; branch network not confirmed)</t>
        </is>
      </c>
      <c r="L172" s="183" t="inlineStr">
        <is>
          <t>Not found</t>
        </is>
      </c>
      <c r="M172" s="183" t="inlineStr">
        <is>
          <t>Not identified</t>
        </is>
      </c>
      <c r="N172" s="183" t="inlineStr">
        <is>
          <t>Not identified</t>
        </is>
      </c>
      <c r="O172" s="183" t="inlineStr">
        <is>
          <t>Not published; use company inquiry form</t>
        </is>
      </c>
      <c r="P172" s="183" t="inlineStr">
        <is>
          <t>Not confirmed</t>
        </is>
      </c>
      <c r="Q172" s="183" t="inlineStr">
        <is>
          <t>Not identified</t>
        </is>
      </c>
      <c r="R172" s="184" t="inlineStr">
        <is>
          <t>Unverified</t>
        </is>
      </c>
      <c r="S172" s="183" t="n">
        <v>18</v>
      </c>
      <c r="T172" s="189" t="inlineStr">
        <is>
          <t>C</t>
        </is>
      </c>
      <c r="U172" s="183" t="inlineStr">
        <is>
          <t>Regional general medical equipment dealer with hospital and clinic accounts; candidate sub dealer under a national MAH partner.</t>
        </is>
      </c>
      <c r="V172" s="183" t="inlineStr">
        <is>
          <t>Introduce CHISON as a future line through a national MAH partner; ask about their hospital and clinic coverage, service engineers and openness to non Japanese brands.</t>
        </is>
      </c>
      <c r="W172" s="183" t="inlineStr">
        <is>
          <t>N (not identified)</t>
        </is>
      </c>
      <c r="X172" s="186" t="inlineStr">
        <is>
          <t>https://baseconnect.in/companies/prefecture/60622468-79bd-4eef-86f8-cb69d1ef09f0/category/b2358a1c-c4c6-46f4-a0b1-dee3a1b30a0b</t>
        </is>
      </c>
      <c r="Y172" s="183" t="inlineStr">
        <is>
          <t>SonoEye P3 plus SonoAir 30 for GP and clinic accounts</t>
        </is>
      </c>
      <c r="Z172" s="183" t="inlineStr">
        <is>
          <t>2, 2, 3, 3, 3, 2, 3</t>
        </is>
      </c>
      <c r="AA172" s="183" t="inlineStr">
        <is>
          <t>Not found</t>
        </is>
      </c>
      <c r="AB172" s="183" t="inlineStr">
        <is>
          <t>Directory or search listing; not opened (direct site access blocked)</t>
        </is>
      </c>
      <c r="AC172" s="183" t="inlineStr">
        <is>
          <t>No expired licence or ended distribution agreement found</t>
        </is>
      </c>
      <c r="AD172" s="183" t="inlineStr">
        <is>
          <t>Not started</t>
        </is>
      </c>
      <c r="AE172" s="183" t="inlineStr"/>
      <c r="AF172" s="183" t="inlineStr"/>
      <c r="AG172" s="183" t="inlineStr">
        <is>
          <t>No email published and no verified website found</t>
        </is>
      </c>
    </row>
    <row r="173">
      <c r="A173" s="183" t="n">
        <v>169</v>
      </c>
      <c r="B173" s="183" t="inlineStr">
        <is>
          <t>Holonavi Medical Technology</t>
        </is>
      </c>
      <c r="C173" s="183" t="inlineStr">
        <is>
          <t>ホロナビメディカルテクノロジー</t>
        </is>
      </c>
      <c r="D173" s="183" t="inlineStr">
        <is>
          <t>Not retrieved (NTA lookup blocked in this session)</t>
        </is>
      </c>
      <c r="E173" s="183" t="inlineStr">
        <is>
          <t>愛知県</t>
        </is>
      </c>
      <c r="F173" s="183" t="inlineStr">
        <is>
          <t>Chubu</t>
        </is>
      </c>
      <c r="G173" s="183" t="inlineStr">
        <is>
          <t>https://holonavi.net/</t>
        </is>
      </c>
      <c r="H173" s="183" t="inlineStr">
        <is>
          <t>No MAH found; device sales licence (高度管理医療機器等販売業) not confirmed</t>
        </is>
      </c>
      <c r="I173" s="183" t="inlineStr">
        <is>
          <t>Not identified in published sources</t>
        </is>
      </c>
      <c r="J173" s="183" t="inlineStr">
        <is>
          <t>General medical equipment (hospitals and clinics)</t>
        </is>
      </c>
      <c r="K173" s="183" t="inlineStr">
        <is>
          <t>愛知県 (regional; branch network not confirmed)</t>
        </is>
      </c>
      <c r="L173" s="183" t="inlineStr">
        <is>
          <t>Not found</t>
        </is>
      </c>
      <c r="M173" s="183" t="inlineStr">
        <is>
          <t>Not identified</t>
        </is>
      </c>
      <c r="N173" s="183" t="inlineStr">
        <is>
          <t>Not identified</t>
        </is>
      </c>
      <c r="O173" s="183" t="inlineStr">
        <is>
          <t>Not published; use contact form</t>
        </is>
      </c>
      <c r="P173" s="183" t="inlineStr">
        <is>
          <t>Not confirmed</t>
        </is>
      </c>
      <c r="Q173" s="183" t="inlineStr">
        <is>
          <t>Not identified</t>
        </is>
      </c>
      <c r="R173" s="184" t="inlineStr">
        <is>
          <t>Likely</t>
        </is>
      </c>
      <c r="S173" s="183" t="n">
        <v>18</v>
      </c>
      <c r="T173" s="189" t="inlineStr">
        <is>
          <t>C</t>
        </is>
      </c>
      <c r="U173" s="183" t="inlineStr">
        <is>
          <t>Regional general medical equipment dealer with hospital and clinic accounts; candidate sub dealer under a national MAH partner.</t>
        </is>
      </c>
      <c r="V173" s="183" t="inlineStr">
        <is>
          <t>Introduce CHISON as a future line through a national MAH partner; ask about their hospital and clinic coverage, service engineers and openness to non Japanese brands.</t>
        </is>
      </c>
      <c r="W173" s="183" t="inlineStr">
        <is>
          <t>N (not identified)</t>
        </is>
      </c>
      <c r="X173" s="186" t="inlineStr">
        <is>
          <t>https://baseconnect.in/companies/prefecture/60622468-79bd-4eef-86f8-cb69d1ef09f0/category/b2358a1c-c4c6-46f4-a0b1-dee3a1b30a0b</t>
        </is>
      </c>
      <c r="Y173" s="183" t="inlineStr">
        <is>
          <t>SonoEye P3 plus SonoAir 30 for GP and clinic accounts</t>
        </is>
      </c>
      <c r="Z173" s="183" t="inlineStr">
        <is>
          <t>2, 2, 3, 3, 3, 2, 3</t>
        </is>
      </c>
      <c r="AA173" s="183" t="inlineStr">
        <is>
          <t>Not found</t>
        </is>
      </c>
      <c r="AB173" s="183" t="inlineStr">
        <is>
          <t>Directory or search listing; not opened (direct site access blocked)</t>
        </is>
      </c>
      <c r="AC173" s="183" t="inlineStr">
        <is>
          <t>No expired licence or ended distribution agreement found</t>
        </is>
      </c>
      <c r="AD173" s="183" t="inlineStr">
        <is>
          <t>Not started</t>
        </is>
      </c>
      <c r="AE173" s="183" t="inlineStr"/>
      <c r="AF173" s="183" t="inlineStr">
        <is>
          <t>https://holonavi.net/%e3%83%8b%e3%83%a5%e3%83%bc%e3%82%b9/</t>
        </is>
      </c>
      <c r="AG173" s="183" t="inlineStr">
        <is>
          <t>No email published; use the contact form (link in Email source)</t>
        </is>
      </c>
    </row>
    <row r="174">
      <c r="A174" s="183" t="n">
        <v>170</v>
      </c>
      <c r="B174" s="183" t="inlineStr">
        <is>
          <t>Masuda Iryo Shokai</t>
        </is>
      </c>
      <c r="C174" s="183" t="inlineStr">
        <is>
          <t>ますだ医療商会</t>
        </is>
      </c>
      <c r="D174" s="183" t="inlineStr">
        <is>
          <t>Not retrieved (NTA lookup blocked in this session)</t>
        </is>
      </c>
      <c r="E174" s="183" t="inlineStr">
        <is>
          <t>愛知県</t>
        </is>
      </c>
      <c r="F174" s="183" t="inlineStr">
        <is>
          <t>Chubu</t>
        </is>
      </c>
      <c r="G174" s="183" t="inlineStr">
        <is>
          <t>Not confirmed (company site not opened; network policy blocked direct access)</t>
        </is>
      </c>
      <c r="H174" s="183" t="inlineStr">
        <is>
          <t>No MAH found; device sales licence (高度管理医療機器等販売業) not confirmed</t>
        </is>
      </c>
      <c r="I174" s="183" t="inlineStr">
        <is>
          <t>Not identified in published sources</t>
        </is>
      </c>
      <c r="J174" s="183" t="inlineStr">
        <is>
          <t>Welfare and care</t>
        </is>
      </c>
      <c r="K174" s="183" t="inlineStr">
        <is>
          <t>愛知県 (regional; branch network not confirmed)</t>
        </is>
      </c>
      <c r="L174" s="183" t="inlineStr">
        <is>
          <t>Not found</t>
        </is>
      </c>
      <c r="M174" s="183" t="inlineStr">
        <is>
          <t>Not identified</t>
        </is>
      </c>
      <c r="N174" s="183" t="inlineStr">
        <is>
          <t>Not identified</t>
        </is>
      </c>
      <c r="O174" s="183" t="inlineStr">
        <is>
          <t>Not published; use company inquiry form</t>
        </is>
      </c>
      <c r="P174" s="183" t="inlineStr">
        <is>
          <t>Not confirmed</t>
        </is>
      </c>
      <c r="Q174" s="183" t="inlineStr">
        <is>
          <t>Not identified</t>
        </is>
      </c>
      <c r="R174" s="184" t="inlineStr">
        <is>
          <t>Unverified</t>
        </is>
      </c>
      <c r="S174" s="183" t="n">
        <v>18</v>
      </c>
      <c r="T174" s="189" t="inlineStr">
        <is>
          <t>C</t>
        </is>
      </c>
      <c r="U174" s="183" t="inlineStr">
        <is>
          <t>Regional general medical equipment dealer with hospital and clinic accounts; candidate sub dealer under a national MAH partner.</t>
        </is>
      </c>
      <c r="V174" s="183" t="inlineStr">
        <is>
          <t>Introduce CHISON as a future line through a national MAH partner; ask about their hospital and clinic coverage, service engineers and openness to non Japanese brands.</t>
        </is>
      </c>
      <c r="W174" s="183" t="inlineStr">
        <is>
          <t>N (not identified)</t>
        </is>
      </c>
      <c r="X174" s="186" t="inlineStr">
        <is>
          <t>https://baseconnect.in/companies/prefecture/60622468-79bd-4eef-86f8-cb69d1ef09f0/category/b2358a1c-c4c6-46f4-a0b1-dee3a1b30a0b</t>
        </is>
      </c>
      <c r="Y174" s="183" t="inlineStr">
        <is>
          <t>SonoEye P5 for home visit doctors (在宅医療)</t>
        </is>
      </c>
      <c r="Z174" s="183" t="inlineStr">
        <is>
          <t>2, 2, 3, 3, 3, 2, 3</t>
        </is>
      </c>
      <c r="AA174" s="183" t="inlineStr">
        <is>
          <t>Not found</t>
        </is>
      </c>
      <c r="AB174" s="183" t="inlineStr">
        <is>
          <t>Directory or search listing; not opened (direct site access blocked)</t>
        </is>
      </c>
      <c r="AC174" s="183" t="inlineStr">
        <is>
          <t>No expired licence or ended distribution agreement found</t>
        </is>
      </c>
      <c r="AD174" s="183" t="inlineStr">
        <is>
          <t>Not started</t>
        </is>
      </c>
      <c r="AE174" s="183" t="inlineStr"/>
      <c r="AF174" s="183" t="inlineStr"/>
      <c r="AG174" s="183" t="inlineStr">
        <is>
          <t>No email published and no verified website found</t>
        </is>
      </c>
    </row>
    <row r="175">
      <c r="A175" s="183" t="n">
        <v>171</v>
      </c>
      <c r="B175" s="183" t="inlineStr">
        <is>
          <t>Suzuki Kikaiten</t>
        </is>
      </c>
      <c r="C175" s="183" t="inlineStr">
        <is>
          <t>鈴木器械店</t>
        </is>
      </c>
      <c r="D175" s="183" t="inlineStr">
        <is>
          <t>Not retrieved (NTA lookup blocked in this session)</t>
        </is>
      </c>
      <c r="E175" s="183" t="inlineStr">
        <is>
          <t>愛知県</t>
        </is>
      </c>
      <c r="F175" s="183" t="inlineStr">
        <is>
          <t>Chubu</t>
        </is>
      </c>
      <c r="G175" s="183" t="inlineStr">
        <is>
          <t>https://s-medical-instrument.localinfo.jp/</t>
        </is>
      </c>
      <c r="H175" s="183" t="inlineStr">
        <is>
          <t>No MAH found; device sales licence (高度管理医療機器等販売業) not confirmed</t>
        </is>
      </c>
      <c r="I175" s="183" t="inlineStr">
        <is>
          <t>Not identified in published sources</t>
        </is>
      </c>
      <c r="J175" s="183" t="inlineStr">
        <is>
          <t>General medical equipment (hospitals and clinics)</t>
        </is>
      </c>
      <c r="K175" s="183" t="inlineStr">
        <is>
          <t>愛知県 (regional; branch network not confirmed)</t>
        </is>
      </c>
      <c r="L175" s="183" t="inlineStr">
        <is>
          <t>Not found</t>
        </is>
      </c>
      <c r="M175" s="183" t="inlineStr">
        <is>
          <t>Not identified</t>
        </is>
      </c>
      <c r="N175" s="183" t="inlineStr">
        <is>
          <t>Not identified</t>
        </is>
      </c>
      <c r="O175" s="183" t="inlineStr">
        <is>
          <t>Not published; use contact form</t>
        </is>
      </c>
      <c r="P175" s="183" t="inlineStr">
        <is>
          <t>Not confirmed</t>
        </is>
      </c>
      <c r="Q175" s="183" t="inlineStr">
        <is>
          <t>Not identified</t>
        </is>
      </c>
      <c r="R175" s="184" t="inlineStr">
        <is>
          <t>Likely</t>
        </is>
      </c>
      <c r="S175" s="183" t="n">
        <v>18</v>
      </c>
      <c r="T175" s="189" t="inlineStr">
        <is>
          <t>C</t>
        </is>
      </c>
      <c r="U175" s="183" t="inlineStr">
        <is>
          <t>Regional general medical equipment dealer with hospital and clinic accounts; candidate sub dealer under a national MAH partner.</t>
        </is>
      </c>
      <c r="V175" s="183" t="inlineStr">
        <is>
          <t>Introduce CHISON as a future line through a national MAH partner; ask about their hospital and clinic coverage, service engineers and openness to non Japanese brands.</t>
        </is>
      </c>
      <c r="W175" s="183" t="inlineStr">
        <is>
          <t>N (not identified)</t>
        </is>
      </c>
      <c r="X175" s="186" t="inlineStr">
        <is>
          <t>https://baseconnect.in/companies/prefecture/60622468-79bd-4eef-86f8-cb69d1ef09f0/category/b2358a1c-c4c6-46f4-a0b1-dee3a1b30a0b</t>
        </is>
      </c>
      <c r="Y175" s="183" t="inlineStr">
        <is>
          <t>SonoEye P3 plus SonoAir 30 for GP and clinic accounts</t>
        </is>
      </c>
      <c r="Z175" s="183" t="inlineStr">
        <is>
          <t>2, 2, 3, 3, 3, 2, 3</t>
        </is>
      </c>
      <c r="AA175" s="183" t="inlineStr">
        <is>
          <t>Not found</t>
        </is>
      </c>
      <c r="AB175" s="183" t="inlineStr">
        <is>
          <t>Directory or search listing; not opened (direct site access blocked)</t>
        </is>
      </c>
      <c r="AC175" s="183" t="inlineStr">
        <is>
          <t>No expired licence or ended distribution agreement found</t>
        </is>
      </c>
      <c r="AD175" s="183" t="inlineStr">
        <is>
          <t>Not started</t>
        </is>
      </c>
      <c r="AE175" s="183" t="inlineStr"/>
      <c r="AF175" s="183" t="inlineStr">
        <is>
          <t>https://s-medical-instrument.localinfo.jp/pages/3803012/page_202004281244</t>
        </is>
      </c>
      <c r="AG175" s="183" t="inlineStr">
        <is>
          <t>No email published; use the contact form (link in Email source)</t>
        </is>
      </c>
    </row>
    <row r="176">
      <c r="A176" s="183" t="n">
        <v>172</v>
      </c>
      <c r="B176" s="183" t="inlineStr">
        <is>
          <t>Mandoh Shoji</t>
        </is>
      </c>
      <c r="C176" s="183" t="inlineStr">
        <is>
          <t>万東商事</t>
        </is>
      </c>
      <c r="D176" s="183" t="inlineStr">
        <is>
          <t>Not retrieved (NTA lookup blocked in this session)</t>
        </is>
      </c>
      <c r="E176" s="183" t="inlineStr">
        <is>
          <t>愛知県</t>
        </is>
      </c>
      <c r="F176" s="183" t="inlineStr">
        <is>
          <t>Chubu</t>
        </is>
      </c>
      <c r="G176" s="183" t="inlineStr">
        <is>
          <t>Not confirmed (company site not opened; network policy blocked direct access)</t>
        </is>
      </c>
      <c r="H176" s="183" t="inlineStr">
        <is>
          <t>No MAH found; device sales licence (高度管理医療機器等販売業) not confirmed</t>
        </is>
      </c>
      <c r="I176" s="183" t="inlineStr">
        <is>
          <t>Not identified in published sources</t>
        </is>
      </c>
      <c r="J176" s="183" t="inlineStr">
        <is>
          <t>General medical equipment (hospitals and clinics)</t>
        </is>
      </c>
      <c r="K176" s="183" t="inlineStr">
        <is>
          <t>愛知県 (regional; branch network not confirmed)</t>
        </is>
      </c>
      <c r="L176" s="183" t="inlineStr">
        <is>
          <t>Not found</t>
        </is>
      </c>
      <c r="M176" s="183" t="inlineStr">
        <is>
          <t>Not identified</t>
        </is>
      </c>
      <c r="N176" s="183" t="inlineStr">
        <is>
          <t>Not identified</t>
        </is>
      </c>
      <c r="O176" s="183" t="inlineStr">
        <is>
          <t>Not published; use company inquiry form</t>
        </is>
      </c>
      <c r="P176" s="183" t="inlineStr">
        <is>
          <t>Not confirmed</t>
        </is>
      </c>
      <c r="Q176" s="183" t="inlineStr">
        <is>
          <t>Not identified</t>
        </is>
      </c>
      <c r="R176" s="184" t="inlineStr">
        <is>
          <t>Unverified</t>
        </is>
      </c>
      <c r="S176" s="183" t="n">
        <v>18</v>
      </c>
      <c r="T176" s="189" t="inlineStr">
        <is>
          <t>C</t>
        </is>
      </c>
      <c r="U176" s="183" t="inlineStr">
        <is>
          <t>Regional general medical equipment dealer with hospital and clinic accounts; candidate sub dealer under a national MAH partner.</t>
        </is>
      </c>
      <c r="V176" s="183" t="inlineStr">
        <is>
          <t>Introduce CHISON as a future line through a national MAH partner; ask about their hospital and clinic coverage, service engineers and openness to non Japanese brands.</t>
        </is>
      </c>
      <c r="W176" s="183" t="inlineStr">
        <is>
          <t>N (not identified)</t>
        </is>
      </c>
      <c r="X176" s="186" t="inlineStr">
        <is>
          <t>https://baseconnect.in/companies/prefecture/60622468-79bd-4eef-86f8-cb69d1ef09f0/category/b2358a1c-c4c6-46f4-a0b1-dee3a1b30a0b</t>
        </is>
      </c>
      <c r="Y176" s="183" t="inlineStr">
        <is>
          <t>SonoEye P3 plus SonoAir 30 for GP and clinic accounts</t>
        </is>
      </c>
      <c r="Z176" s="183" t="inlineStr">
        <is>
          <t>2, 2, 3, 3, 3, 2, 3</t>
        </is>
      </c>
      <c r="AA176" s="183" t="inlineStr">
        <is>
          <t>Not found</t>
        </is>
      </c>
      <c r="AB176" s="183" t="inlineStr">
        <is>
          <t>Directory or search listing; not opened (direct site access blocked)</t>
        </is>
      </c>
      <c r="AC176" s="183" t="inlineStr">
        <is>
          <t>No expired licence or ended distribution agreement found</t>
        </is>
      </c>
      <c r="AD176" s="183" t="inlineStr">
        <is>
          <t>Not started</t>
        </is>
      </c>
      <c r="AE176" s="183" t="inlineStr"/>
      <c r="AF176" s="183" t="inlineStr"/>
      <c r="AG176" s="183" t="inlineStr">
        <is>
          <t>No email published and no verified website found</t>
        </is>
      </c>
    </row>
    <row r="177">
      <c r="A177" s="183" t="n">
        <v>173</v>
      </c>
      <c r="B177" s="183" t="inlineStr">
        <is>
          <t>Omori Kikaiten</t>
        </is>
      </c>
      <c r="C177" s="183" t="inlineStr">
        <is>
          <t>大森器械店</t>
        </is>
      </c>
      <c r="D177" s="183" t="inlineStr">
        <is>
          <t>Not retrieved (NTA lookup blocked in this session)</t>
        </is>
      </c>
      <c r="E177" s="183" t="inlineStr">
        <is>
          <t>愛知県</t>
        </is>
      </c>
      <c r="F177" s="183" t="inlineStr">
        <is>
          <t>Chubu</t>
        </is>
      </c>
      <c r="G177" s="183" t="inlineStr">
        <is>
          <t>https://www.omori-medical.co.jp/</t>
        </is>
      </c>
      <c r="H177" s="183" t="inlineStr">
        <is>
          <t>No MAH found; device sales licence (高度管理医療機器等販売業) not confirmed</t>
        </is>
      </c>
      <c r="I177" s="183" t="inlineStr">
        <is>
          <t>Not identified in published sources</t>
        </is>
      </c>
      <c r="J177" s="183" t="inlineStr">
        <is>
          <t>General medical equipment (hospitals and clinics)</t>
        </is>
      </c>
      <c r="K177" s="183" t="inlineStr">
        <is>
          <t>愛知県 (regional; branch network not confirmed)</t>
        </is>
      </c>
      <c r="L177" s="183" t="inlineStr">
        <is>
          <t>Not found</t>
        </is>
      </c>
      <c r="M177" s="183" t="inlineStr">
        <is>
          <t>Not identified</t>
        </is>
      </c>
      <c r="N177" s="183" t="inlineStr">
        <is>
          <t>Not identified</t>
        </is>
      </c>
      <c r="O177" s="183" t="inlineStr">
        <is>
          <t>Not published; use company inquiry form</t>
        </is>
      </c>
      <c r="P177" s="183" t="inlineStr">
        <is>
          <t>Not confirmed</t>
        </is>
      </c>
      <c r="Q177" s="183" t="inlineStr">
        <is>
          <t>Not identified</t>
        </is>
      </c>
      <c r="R177" s="184" t="inlineStr">
        <is>
          <t>Company inquiry only</t>
        </is>
      </c>
      <c r="S177" s="183" t="n">
        <v>18</v>
      </c>
      <c r="T177" s="189" t="inlineStr">
        <is>
          <t>C</t>
        </is>
      </c>
      <c r="U177" s="183" t="inlineStr">
        <is>
          <t>Regional general medical equipment dealer with hospital and clinic accounts; candidate sub dealer under a national MAH partner.</t>
        </is>
      </c>
      <c r="V177" s="183" t="inlineStr">
        <is>
          <t>Introduce CHISON as a future line through a national MAH partner; ask about their hospital and clinic coverage, service engineers and openness to non Japanese brands.</t>
        </is>
      </c>
      <c r="W177" s="183" t="inlineStr">
        <is>
          <t>N (not identified)</t>
        </is>
      </c>
      <c r="X177" s="186" t="inlineStr">
        <is>
          <t>https://baseconnect.in/companies/prefecture/60622468-79bd-4eef-86f8-cb69d1ef09f0/category/b2358a1c-c4c6-46f4-a0b1-dee3a1b30a0b</t>
        </is>
      </c>
      <c r="Y177" s="183" t="inlineStr">
        <is>
          <t>SonoEye P3 plus SonoAir 30 for GP and clinic accounts</t>
        </is>
      </c>
      <c r="Z177" s="183" t="inlineStr">
        <is>
          <t>2, 2, 3, 3, 3, 2, 3</t>
        </is>
      </c>
      <c r="AA177" s="183" t="inlineStr">
        <is>
          <t>Not found</t>
        </is>
      </c>
      <c r="AB177" s="183" t="inlineStr">
        <is>
          <t>Directory or search listing; not opened (direct site access blocked)</t>
        </is>
      </c>
      <c r="AC177" s="183" t="inlineStr">
        <is>
          <t>No expired licence or ended distribution agreement found</t>
        </is>
      </c>
      <c r="AD177" s="183" t="inlineStr">
        <is>
          <t>Not started</t>
        </is>
      </c>
      <c r="AE177" s="183" t="inlineStr"/>
      <c r="AF177" s="183" t="inlineStr"/>
      <c r="AG177" s="183" t="inlineStr">
        <is>
          <t>No email published; website has no contact page link, phone first</t>
        </is>
      </c>
    </row>
    <row r="178">
      <c r="A178" s="183" t="n">
        <v>174</v>
      </c>
      <c r="B178" s="183" t="inlineStr">
        <is>
          <t>Marutake</t>
        </is>
      </c>
      <c r="C178" s="183" t="inlineStr">
        <is>
          <t>マルタケ</t>
        </is>
      </c>
      <c r="D178" s="183" t="inlineStr">
        <is>
          <t>Not retrieved (NTA lookup blocked in this session)</t>
        </is>
      </c>
      <c r="E178" s="183" t="inlineStr">
        <is>
          <t>新潟県</t>
        </is>
      </c>
      <c r="F178" s="183" t="inlineStr">
        <is>
          <t>Chubu</t>
        </is>
      </c>
      <c r="G178" s="183" t="inlineStr">
        <is>
          <t>https://www.kk-marutake.co.jp/</t>
        </is>
      </c>
      <c r="H178" s="183" t="inlineStr">
        <is>
          <t>No MAH found; device sales licence (高度管理医療機器等販売業) not confirmed</t>
        </is>
      </c>
      <c r="I178" s="183" t="inlineStr">
        <is>
          <t>Not identified in published sources</t>
        </is>
      </c>
      <c r="J178" s="183" t="inlineStr">
        <is>
          <t>General medical equipment (hospitals and clinics)</t>
        </is>
      </c>
      <c r="K178" s="183" t="inlineStr">
        <is>
          <t>新潟県 (regional; branch network not confirmed)</t>
        </is>
      </c>
      <c r="L178" s="183" t="inlineStr">
        <is>
          <t>Not found</t>
        </is>
      </c>
      <c r="M178" s="183" t="inlineStr">
        <is>
          <t>Not identified</t>
        </is>
      </c>
      <c r="N178" s="183" t="inlineStr">
        <is>
          <t>Not identified</t>
        </is>
      </c>
      <c r="O178" s="183" t="inlineStr">
        <is>
          <t>orange.west@kk-marutake.co.jp</t>
        </is>
      </c>
      <c r="P178" s="183" t="inlineStr">
        <is>
          <t>Not confirmed</t>
        </is>
      </c>
      <c r="Q178" s="183" t="inlineStr">
        <is>
          <t>Not identified</t>
        </is>
      </c>
      <c r="R178" s="184" t="inlineStr">
        <is>
          <t>Unverified</t>
        </is>
      </c>
      <c r="S178" s="183" t="n">
        <v>18</v>
      </c>
      <c r="T178" s="189" t="inlineStr">
        <is>
          <t>C</t>
        </is>
      </c>
      <c r="U178" s="183" t="inlineStr">
        <is>
          <t>Regional general medical equipment dealer with hospital and clinic accounts; candidate sub dealer under a national MAH partner.</t>
        </is>
      </c>
      <c r="V178" s="183" t="inlineStr">
        <is>
          <t>Introduce CHISON as a future line through a national MAH partner; ask about their hospital and clinic coverage, service engineers and openness to non Japanese brands.</t>
        </is>
      </c>
      <c r="W178" s="183" t="inlineStr">
        <is>
          <t>N (not identified)</t>
        </is>
      </c>
      <c r="X178" s="186" t="inlineStr">
        <is>
          <t>https://baseconnect.in/companies/prefecture/3cf97f91-8b39-4cdb-981b-d035b0176b65/keyword/89941b4e-2dd1-4848-8957-48af280a31e0</t>
        </is>
      </c>
      <c r="Y178" s="183" t="inlineStr">
        <is>
          <t>SonoEye P3 plus SonoAir 30 for GP and clinic accounts</t>
        </is>
      </c>
      <c r="Z178" s="183" t="inlineStr">
        <is>
          <t>2, 2, 3, 3, 3, 2, 3</t>
        </is>
      </c>
      <c r="AA178" s="183" t="inlineStr">
        <is>
          <t>Not found</t>
        </is>
      </c>
      <c r="AB178" s="183" t="inlineStr">
        <is>
          <t>Directory or search listing; not opened (direct site access blocked)</t>
        </is>
      </c>
      <c r="AC178" s="183" t="inlineStr">
        <is>
          <t>No expired licence or ended distribution agreement found</t>
        </is>
      </c>
      <c r="AD178" s="183" t="inlineStr">
        <is>
          <t>Not started</t>
        </is>
      </c>
      <c r="AE178" s="183" t="inlineStr">
        <is>
          <t>saiyo@kk-marutake.co.jp</t>
        </is>
      </c>
      <c r="AF178" s="183" t="inlineStr">
        <is>
          <t>https://ninchisho-barrierfree.jp/search/detail/65/list/</t>
        </is>
      </c>
      <c r="AG178" s="183" t="inlineStr">
        <is>
          <t>Likely: indexed on company domain</t>
        </is>
      </c>
    </row>
    <row r="179">
      <c r="A179" s="183" t="n">
        <v>175</v>
      </c>
      <c r="B179" s="183" t="inlineStr">
        <is>
          <t>Yukyudo Ika Kikaiten</t>
        </is>
      </c>
      <c r="C179" s="183" t="inlineStr">
        <is>
          <t>悠久堂医科器械店</t>
        </is>
      </c>
      <c r="D179" s="183" t="inlineStr">
        <is>
          <t>Not retrieved (NTA lookup blocked in this session)</t>
        </is>
      </c>
      <c r="E179" s="183" t="inlineStr">
        <is>
          <t>新潟県</t>
        </is>
      </c>
      <c r="F179" s="183" t="inlineStr">
        <is>
          <t>Chubu</t>
        </is>
      </c>
      <c r="G179" s="183" t="inlineStr">
        <is>
          <t>https://www.i-yukyudo.co.jp/</t>
        </is>
      </c>
      <c r="H179" s="183" t="inlineStr">
        <is>
          <t>No MAH found; device sales licence (高度管理医療機器等販売業) not confirmed</t>
        </is>
      </c>
      <c r="I179" s="183" t="inlineStr">
        <is>
          <t>Not identified in published sources</t>
        </is>
      </c>
      <c r="J179" s="183" t="inlineStr">
        <is>
          <t>General medical equipment (hospitals and clinics)</t>
        </is>
      </c>
      <c r="K179" s="183" t="inlineStr">
        <is>
          <t>新潟県 (regional; branch network not confirmed)</t>
        </is>
      </c>
      <c r="L179" s="183" t="inlineStr">
        <is>
          <t>Not found</t>
        </is>
      </c>
      <c r="M179" s="183" t="inlineStr">
        <is>
          <t>Not identified</t>
        </is>
      </c>
      <c r="N179" s="183" t="inlineStr">
        <is>
          <t>Not identified</t>
        </is>
      </c>
      <c r="O179" s="183" t="inlineStr">
        <is>
          <t>uq-headoffice@i-yukyudo.co.jp</t>
        </is>
      </c>
      <c r="P179" s="183" t="inlineStr">
        <is>
          <t>Not confirmed</t>
        </is>
      </c>
      <c r="Q179" s="183" t="inlineStr">
        <is>
          <t>Not identified</t>
        </is>
      </c>
      <c r="R179" s="184" t="inlineStr">
        <is>
          <t>Unverified</t>
        </is>
      </c>
      <c r="S179" s="183" t="n">
        <v>18</v>
      </c>
      <c r="T179" s="189" t="inlineStr">
        <is>
          <t>C</t>
        </is>
      </c>
      <c r="U179" s="183" t="inlineStr">
        <is>
          <t>Regional general medical equipment dealer with hospital and clinic accounts; candidate sub dealer under a national MAH partner.</t>
        </is>
      </c>
      <c r="V179" s="183" t="inlineStr">
        <is>
          <t>Introduce CHISON as a future line through a national MAH partner; ask about their hospital and clinic coverage, service engineers and openness to non Japanese brands.</t>
        </is>
      </c>
      <c r="W179" s="183" t="inlineStr">
        <is>
          <t>N (not identified)</t>
        </is>
      </c>
      <c r="X179" s="186" t="inlineStr">
        <is>
          <t>https://baseconnect.in/companies/prefecture/3cf97f91-8b39-4cdb-981b-d035b0176b65/keyword/89941b4e-2dd1-4848-8957-48af280a31e0</t>
        </is>
      </c>
      <c r="Y179" s="183" t="inlineStr">
        <is>
          <t>SonoEye P3 plus SonoAir 30 for GP and clinic accounts</t>
        </is>
      </c>
      <c r="Z179" s="183" t="inlineStr">
        <is>
          <t>2, 2, 3, 3, 3, 2, 3</t>
        </is>
      </c>
      <c r="AA179" s="183" t="inlineStr">
        <is>
          <t>Not found</t>
        </is>
      </c>
      <c r="AB179" s="183" t="inlineStr">
        <is>
          <t>Directory or search listing; not opened (direct site access blocked)</t>
        </is>
      </c>
      <c r="AC179" s="183" t="inlineStr">
        <is>
          <t>No expired licence or ended distribution agreement found</t>
        </is>
      </c>
      <c r="AD179" s="183" t="inlineStr">
        <is>
          <t>Not started</t>
        </is>
      </c>
      <c r="AE179" s="183" t="inlineStr"/>
      <c r="AF179" s="183" t="inlineStr">
        <is>
          <t>https://www.i-yukyudo.co.jp/</t>
        </is>
      </c>
      <c r="AG179" s="183" t="inlineStr">
        <is>
          <t>Verified: published on company website</t>
        </is>
      </c>
    </row>
    <row r="180">
      <c r="A180" s="183" t="n">
        <v>176</v>
      </c>
      <c r="B180" s="183" t="inlineStr">
        <is>
          <t>Kanamori Iryo Kikaiten</t>
        </is>
      </c>
      <c r="C180" s="183" t="inlineStr">
        <is>
          <t>金森医療器械店</t>
        </is>
      </c>
      <c r="D180" s="183" t="inlineStr">
        <is>
          <t>Not retrieved (NTA lookup blocked in this session)</t>
        </is>
      </c>
      <c r="E180" s="183" t="inlineStr">
        <is>
          <t>新潟県</t>
        </is>
      </c>
      <c r="F180" s="183" t="inlineStr">
        <is>
          <t>Chubu</t>
        </is>
      </c>
      <c r="G180" s="183" t="inlineStr">
        <is>
          <t>Not confirmed (company site not opened; network policy blocked direct access)</t>
        </is>
      </c>
      <c r="H180" s="183" t="inlineStr">
        <is>
          <t>No MAH found; device sales licence (高度管理医療機器等販売業) not confirmed</t>
        </is>
      </c>
      <c r="I180" s="183" t="inlineStr">
        <is>
          <t>Not identified in published sources</t>
        </is>
      </c>
      <c r="J180" s="183" t="inlineStr">
        <is>
          <t>General medical equipment (hospitals and clinics)</t>
        </is>
      </c>
      <c r="K180" s="183" t="inlineStr">
        <is>
          <t>新潟県 (regional; branch network not confirmed)</t>
        </is>
      </c>
      <c r="L180" s="183" t="inlineStr">
        <is>
          <t>Not found</t>
        </is>
      </c>
      <c r="M180" s="183" t="inlineStr">
        <is>
          <t>Not identified</t>
        </is>
      </c>
      <c r="N180" s="183" t="inlineStr">
        <is>
          <t>Not identified</t>
        </is>
      </c>
      <c r="O180" s="183" t="inlineStr">
        <is>
          <t>Not published; use company inquiry form</t>
        </is>
      </c>
      <c r="P180" s="183" t="inlineStr">
        <is>
          <t>Not confirmed</t>
        </is>
      </c>
      <c r="Q180" s="183" t="inlineStr">
        <is>
          <t>Not identified</t>
        </is>
      </c>
      <c r="R180" s="184" t="inlineStr">
        <is>
          <t>Unverified</t>
        </is>
      </c>
      <c r="S180" s="183" t="n">
        <v>18</v>
      </c>
      <c r="T180" s="189" t="inlineStr">
        <is>
          <t>C</t>
        </is>
      </c>
      <c r="U180" s="183" t="inlineStr">
        <is>
          <t>Regional general medical equipment dealer with hospital and clinic accounts; candidate sub dealer under a national MAH partner.</t>
        </is>
      </c>
      <c r="V180" s="183" t="inlineStr">
        <is>
          <t>Introduce CHISON as a future line through a national MAH partner; ask about their hospital and clinic coverage, service engineers and openness to non Japanese brands.</t>
        </is>
      </c>
      <c r="W180" s="183" t="inlineStr">
        <is>
          <t>N (not identified)</t>
        </is>
      </c>
      <c r="X180" s="186" t="inlineStr">
        <is>
          <t>https://baseconnect.in/companies/prefecture/3cf97f91-8b39-4cdb-981b-d035b0176b65/keyword/89941b4e-2dd1-4848-8957-48af280a31e0</t>
        </is>
      </c>
      <c r="Y180" s="183" t="inlineStr">
        <is>
          <t>SonoEye P3 plus SonoAir 30 for GP and clinic accounts</t>
        </is>
      </c>
      <c r="Z180" s="183" t="inlineStr">
        <is>
          <t>2, 2, 3, 3, 3, 2, 3</t>
        </is>
      </c>
      <c r="AA180" s="183" t="inlineStr">
        <is>
          <t>Not found</t>
        </is>
      </c>
      <c r="AB180" s="183" t="inlineStr">
        <is>
          <t>Directory or search listing; not opened (direct site access blocked)</t>
        </is>
      </c>
      <c r="AC180" s="183" t="inlineStr">
        <is>
          <t>No expired licence or ended distribution agreement found</t>
        </is>
      </c>
      <c r="AD180" s="183" t="inlineStr">
        <is>
          <t>Not started</t>
        </is>
      </c>
      <c r="AE180" s="183" t="inlineStr"/>
      <c r="AF180" s="183" t="inlineStr"/>
      <c r="AG180" s="183" t="inlineStr">
        <is>
          <t>No email published and no verified website found</t>
        </is>
      </c>
    </row>
    <row r="181">
      <c r="A181" s="183" t="n">
        <v>177</v>
      </c>
      <c r="B181" s="183" t="inlineStr">
        <is>
          <t>Meisho</t>
        </is>
      </c>
      <c r="C181" s="183" t="inlineStr">
        <is>
          <t>明祥</t>
        </is>
      </c>
      <c r="D181" s="183" t="inlineStr">
        <is>
          <t>Not retrieved (NTA lookup blocked in this session)</t>
        </is>
      </c>
      <c r="E181" s="183" t="inlineStr">
        <is>
          <t>石川県</t>
        </is>
      </c>
      <c r="F181" s="183" t="inlineStr">
        <is>
          <t>Chubu</t>
        </is>
      </c>
      <c r="G181" s="183" t="inlineStr">
        <is>
          <t>https://www.mshhs.com/</t>
        </is>
      </c>
      <c r="H181" s="183" t="inlineStr">
        <is>
          <t>No MAH found; device sales licence (高度管理医療機器等販売業) not confirmed</t>
        </is>
      </c>
      <c r="I181" s="183" t="inlineStr">
        <is>
          <t>Not identified in published sources</t>
        </is>
      </c>
      <c r="J181" s="183" t="inlineStr">
        <is>
          <t>General medical equipment (hospitals and clinics)</t>
        </is>
      </c>
      <c r="K181" s="183" t="inlineStr">
        <is>
          <t>石川県 (regional; branch network not confirmed)</t>
        </is>
      </c>
      <c r="L181" s="183" t="inlineStr">
        <is>
          <t>Not found</t>
        </is>
      </c>
      <c r="M181" s="183" t="inlineStr">
        <is>
          <t>Not identified</t>
        </is>
      </c>
      <c r="N181" s="183" t="inlineStr">
        <is>
          <t>Not identified</t>
        </is>
      </c>
      <c r="O181" s="183" t="inlineStr">
        <is>
          <t>y-inoue@mshhs.com</t>
        </is>
      </c>
      <c r="P181" s="183" t="inlineStr">
        <is>
          <t>Not confirmed</t>
        </is>
      </c>
      <c r="Q181" s="183" t="inlineStr">
        <is>
          <t>Not identified</t>
        </is>
      </c>
      <c r="R181" s="184" t="inlineStr">
        <is>
          <t>Unverified</t>
        </is>
      </c>
      <c r="S181" s="183" t="n">
        <v>18</v>
      </c>
      <c r="T181" s="189" t="inlineStr">
        <is>
          <t>C</t>
        </is>
      </c>
      <c r="U181" s="183" t="inlineStr">
        <is>
          <t>Regional general medical equipment dealer with hospital and clinic accounts; candidate sub dealer under a national MAH partner.</t>
        </is>
      </c>
      <c r="V181" s="183" t="inlineStr">
        <is>
          <t>Introduce CHISON as a future line through a national MAH partner; ask about their hospital and clinic coverage, service engineers and openness to non Japanese brands.</t>
        </is>
      </c>
      <c r="W181" s="183" t="inlineStr">
        <is>
          <t>N (not identified)</t>
        </is>
      </c>
      <c r="X181" s="186" t="inlineStr">
        <is>
          <t>https://baseconnect.in/companies/prefecture/4637ba90-383b-4656-8be1-ca34c7f7244f/keyword/89941b4e-2dd1-4848-8957-48af280a31e0</t>
        </is>
      </c>
      <c r="Y181" s="183" t="inlineStr">
        <is>
          <t>SonoEye P3 plus SonoAir 30 for GP and clinic accounts</t>
        </is>
      </c>
      <c r="Z181" s="183" t="inlineStr">
        <is>
          <t>2, 2, 3, 3, 3, 2, 3</t>
        </is>
      </c>
      <c r="AA181" s="183" t="inlineStr">
        <is>
          <t>Not found</t>
        </is>
      </c>
      <c r="AB181" s="183" t="inlineStr">
        <is>
          <t>Directory or search listing; not opened (direct site access blocked)</t>
        </is>
      </c>
      <c r="AC181" s="183" t="inlineStr">
        <is>
          <t>No expired licence or ended distribution agreement found</t>
        </is>
      </c>
      <c r="AD181" s="183" t="inlineStr">
        <is>
          <t>Not started</t>
        </is>
      </c>
      <c r="AE181" s="183" t="inlineStr">
        <is>
          <t>t-yamaguti@mshhs.com, w-isiguro@mshhs.com</t>
        </is>
      </c>
      <c r="AF181" s="183" t="inlineStr">
        <is>
          <t>https://job.mynavi.jp/28/pc/search/corp95281/is.html</t>
        </is>
      </c>
      <c r="AG181" s="183" t="inlineStr">
        <is>
          <t>Likely: indexed on company domain</t>
        </is>
      </c>
    </row>
    <row r="182">
      <c r="A182" s="183" t="n">
        <v>178</v>
      </c>
      <c r="B182" s="183" t="inlineStr">
        <is>
          <t>East Medic</t>
        </is>
      </c>
      <c r="C182" s="183" t="inlineStr">
        <is>
          <t>イーストメディック</t>
        </is>
      </c>
      <c r="D182" s="183" t="inlineStr">
        <is>
          <t>Not retrieved (NTA lookup blocked in this session)</t>
        </is>
      </c>
      <c r="E182" s="183" t="inlineStr">
        <is>
          <t>石川県</t>
        </is>
      </c>
      <c r="F182" s="183" t="inlineStr">
        <is>
          <t>Chubu</t>
        </is>
      </c>
      <c r="G182" s="183" t="inlineStr">
        <is>
          <t>http://www.east-medic.jp/</t>
        </is>
      </c>
      <c r="H182" s="183" t="inlineStr">
        <is>
          <t>No MAH found; device sales licence (高度管理医療機器等販売業) not confirmed</t>
        </is>
      </c>
      <c r="I182" s="183" t="inlineStr">
        <is>
          <t>Not identified in published sources</t>
        </is>
      </c>
      <c r="J182" s="183" t="inlineStr">
        <is>
          <t>General medical equipment (hospitals and clinics)</t>
        </is>
      </c>
      <c r="K182" s="183" t="inlineStr">
        <is>
          <t>石川県 (regional; branch network not confirmed)</t>
        </is>
      </c>
      <c r="L182" s="183" t="inlineStr">
        <is>
          <t>Not found</t>
        </is>
      </c>
      <c r="M182" s="183" t="inlineStr">
        <is>
          <t>Not identified</t>
        </is>
      </c>
      <c r="N182" s="183" t="inlineStr">
        <is>
          <t>Not identified</t>
        </is>
      </c>
      <c r="O182" s="183" t="inlineStr">
        <is>
          <t>info@east-medic.jp</t>
        </is>
      </c>
      <c r="P182" s="183" t="inlineStr">
        <is>
          <t>Not confirmed</t>
        </is>
      </c>
      <c r="Q182" s="183" t="inlineStr">
        <is>
          <t>Not identified</t>
        </is>
      </c>
      <c r="R182" s="184" t="inlineStr">
        <is>
          <t>Unverified</t>
        </is>
      </c>
      <c r="S182" s="183" t="n">
        <v>18</v>
      </c>
      <c r="T182" s="189" t="inlineStr">
        <is>
          <t>C</t>
        </is>
      </c>
      <c r="U182" s="183" t="inlineStr">
        <is>
          <t>Regional general medical equipment dealer with hospital and clinic accounts; candidate sub dealer under a national MAH partner.</t>
        </is>
      </c>
      <c r="V182" s="183" t="inlineStr">
        <is>
          <t>Introduce CHISON as a future line through a national MAH partner; ask about their hospital and clinic coverage, service engineers and openness to non Japanese brands.</t>
        </is>
      </c>
      <c r="W182" s="183" t="inlineStr">
        <is>
          <t>N (not identified)</t>
        </is>
      </c>
      <c r="X182" s="186" t="inlineStr">
        <is>
          <t>https://baseconnect.in/companies/prefecture/4637ba90-383b-4656-8be1-ca34c7f7244f/keyword/89941b4e-2dd1-4848-8957-48af280a31e0</t>
        </is>
      </c>
      <c r="Y182" s="183" t="inlineStr">
        <is>
          <t>SonoEye P3 plus SonoAir 30 for GP and clinic accounts</t>
        </is>
      </c>
      <c r="Z182" s="183" t="inlineStr">
        <is>
          <t>2, 2, 3, 3, 3, 2, 3</t>
        </is>
      </c>
      <c r="AA182" s="183" t="inlineStr">
        <is>
          <t>Not found</t>
        </is>
      </c>
      <c r="AB182" s="183" t="inlineStr">
        <is>
          <t>Directory or search listing; not opened (direct site access blocked)</t>
        </is>
      </c>
      <c r="AC182" s="183" t="inlineStr">
        <is>
          <t>No expired licence or ended distribution agreement found</t>
        </is>
      </c>
      <c r="AD182" s="183" t="inlineStr">
        <is>
          <t>Not started</t>
        </is>
      </c>
      <c r="AE182" s="183" t="inlineStr"/>
      <c r="AF182" s="183" t="inlineStr">
        <is>
          <t>http://www.east-medic.jp/information/</t>
        </is>
      </c>
      <c r="AG182" s="183" t="inlineStr">
        <is>
          <t>Verified: published on company website</t>
        </is>
      </c>
    </row>
    <row r="183">
      <c r="A183" s="183" t="n">
        <v>179</v>
      </c>
      <c r="B183" s="183" t="inlineStr">
        <is>
          <t>Hashino Medical</t>
        </is>
      </c>
      <c r="C183" s="183" t="inlineStr">
        <is>
          <t>端野メディカル</t>
        </is>
      </c>
      <c r="D183" s="183" t="inlineStr">
        <is>
          <t>Not retrieved (NTA lookup blocked in this session)</t>
        </is>
      </c>
      <c r="E183" s="183" t="inlineStr">
        <is>
          <t>福井県</t>
        </is>
      </c>
      <c r="F183" s="183" t="inlineStr">
        <is>
          <t>Chubu</t>
        </is>
      </c>
      <c r="G183" s="183" t="inlineStr">
        <is>
          <t>https://www.hashino-medical.co.jp/</t>
        </is>
      </c>
      <c r="H183" s="183" t="inlineStr">
        <is>
          <t>No MAH found; device sales licence (高度管理医療機器等販売業) not confirmed</t>
        </is>
      </c>
      <c r="I183" s="183" t="inlineStr">
        <is>
          <t>Not identified in published sources</t>
        </is>
      </c>
      <c r="J183" s="183" t="inlineStr">
        <is>
          <t>General medical equipment (hospitals and clinics)</t>
        </is>
      </c>
      <c r="K183" s="183" t="inlineStr">
        <is>
          <t>福井県 (regional; branch network not confirmed)</t>
        </is>
      </c>
      <c r="L183" s="183" t="inlineStr">
        <is>
          <t>Not found</t>
        </is>
      </c>
      <c r="M183" s="183" t="inlineStr">
        <is>
          <t>Not identified</t>
        </is>
      </c>
      <c r="N183" s="183" t="inlineStr">
        <is>
          <t>Not identified</t>
        </is>
      </c>
      <c r="O183" s="183" t="inlineStr">
        <is>
          <t>Not published; use contact form</t>
        </is>
      </c>
      <c r="P183" s="183" t="inlineStr">
        <is>
          <t>Not confirmed</t>
        </is>
      </c>
      <c r="Q183" s="183" t="inlineStr">
        <is>
          <t>Not identified</t>
        </is>
      </c>
      <c r="R183" s="184" t="inlineStr">
        <is>
          <t>Likely</t>
        </is>
      </c>
      <c r="S183" s="183" t="n">
        <v>18</v>
      </c>
      <c r="T183" s="189" t="inlineStr">
        <is>
          <t>C</t>
        </is>
      </c>
      <c r="U183" s="183" t="inlineStr">
        <is>
          <t>Regional general medical equipment dealer with hospital and clinic accounts; candidate sub dealer under a national MAH partner.</t>
        </is>
      </c>
      <c r="V183" s="183" t="inlineStr">
        <is>
          <t>Introduce CHISON as a future line through a national MAH partner; ask about their hospital and clinic coverage, service engineers and openness to non Japanese brands.</t>
        </is>
      </c>
      <c r="W183" s="183" t="inlineStr">
        <is>
          <t>N (not identified)</t>
        </is>
      </c>
      <c r="X183" s="186" t="inlineStr">
        <is>
          <t>https://baseconnect.in/companies/prefecture/aed784f6-cd06-4f72-95d9-876e82d37385/keyword/89941b4e-2dd1-4848-8957-48af280a31e0</t>
        </is>
      </c>
      <c r="Y183" s="183" t="inlineStr">
        <is>
          <t>SonoEye P3 plus SonoAir 30 for GP and clinic accounts</t>
        </is>
      </c>
      <c r="Z183" s="183" t="inlineStr">
        <is>
          <t>2, 2, 3, 3, 3, 2, 3</t>
        </is>
      </c>
      <c r="AA183" s="183" t="inlineStr">
        <is>
          <t>Not found</t>
        </is>
      </c>
      <c r="AB183" s="183" t="inlineStr">
        <is>
          <t>Directory or search listing; not opened (direct site access blocked)</t>
        </is>
      </c>
      <c r="AC183" s="183" t="inlineStr">
        <is>
          <t>No expired licence or ended distribution agreement found</t>
        </is>
      </c>
      <c r="AD183" s="183" t="inlineStr">
        <is>
          <t>Not started</t>
        </is>
      </c>
      <c r="AE183" s="183" t="inlineStr"/>
      <c r="AF183" s="183" t="inlineStr">
        <is>
          <t>https://www.hashino-medical.co.jp/inquiry/</t>
        </is>
      </c>
      <c r="AG183" s="183" t="inlineStr">
        <is>
          <t>No email published; use the contact form (link in Email source)</t>
        </is>
      </c>
    </row>
    <row r="184">
      <c r="A184" s="183" t="n">
        <v>180</v>
      </c>
      <c r="B184" s="183" t="inlineStr">
        <is>
          <t>Ito Iryoki</t>
        </is>
      </c>
      <c r="C184" s="183" t="inlineStr">
        <is>
          <t>伊藤医療器</t>
        </is>
      </c>
      <c r="D184" s="183" t="inlineStr">
        <is>
          <t>Not retrieved (NTA lookup blocked in this session)</t>
        </is>
      </c>
      <c r="E184" s="183" t="inlineStr">
        <is>
          <t>福井県</t>
        </is>
      </c>
      <c r="F184" s="183" t="inlineStr">
        <is>
          <t>Chubu</t>
        </is>
      </c>
      <c r="G184" s="183" t="inlineStr">
        <is>
          <t>Not confirmed (company site not opened; network policy blocked direct access)</t>
        </is>
      </c>
      <c r="H184" s="183" t="inlineStr">
        <is>
          <t>No MAH found; device sales licence (高度管理医療機器等販売業) not confirmed</t>
        </is>
      </c>
      <c r="I184" s="183" t="inlineStr">
        <is>
          <t>Not identified in published sources</t>
        </is>
      </c>
      <c r="J184" s="183" t="inlineStr">
        <is>
          <t>General medical equipment (hospitals and clinics)</t>
        </is>
      </c>
      <c r="K184" s="183" t="inlineStr">
        <is>
          <t>福井県 (regional; branch network not confirmed)</t>
        </is>
      </c>
      <c r="L184" s="183" t="inlineStr">
        <is>
          <t>Not found</t>
        </is>
      </c>
      <c r="M184" s="183" t="inlineStr">
        <is>
          <t>Not identified</t>
        </is>
      </c>
      <c r="N184" s="183" t="inlineStr">
        <is>
          <t>Not identified</t>
        </is>
      </c>
      <c r="O184" s="183" t="inlineStr">
        <is>
          <t>Not published; use company inquiry form</t>
        </is>
      </c>
      <c r="P184" s="183" t="inlineStr">
        <is>
          <t>Not confirmed</t>
        </is>
      </c>
      <c r="Q184" s="183" t="inlineStr">
        <is>
          <t>Not identified</t>
        </is>
      </c>
      <c r="R184" s="184" t="inlineStr">
        <is>
          <t>Unverified</t>
        </is>
      </c>
      <c r="S184" s="183" t="n">
        <v>18</v>
      </c>
      <c r="T184" s="189" t="inlineStr">
        <is>
          <t>C</t>
        </is>
      </c>
      <c r="U184" s="183" t="inlineStr">
        <is>
          <t>Regional general medical equipment dealer with hospital and clinic accounts; candidate sub dealer under a national MAH partner.</t>
        </is>
      </c>
      <c r="V184" s="183" t="inlineStr">
        <is>
          <t>Introduce CHISON as a future line through a national MAH partner; ask about their hospital and clinic coverage, service engineers and openness to non Japanese brands.</t>
        </is>
      </c>
      <c r="W184" s="183" t="inlineStr">
        <is>
          <t>N (not identified)</t>
        </is>
      </c>
      <c r="X184" s="186" t="inlineStr">
        <is>
          <t>https://baseconnect.in/companies/prefecture/aed784f6-cd06-4f72-95d9-876e82d37385/keyword/89941b4e-2dd1-4848-8957-48af280a31e0</t>
        </is>
      </c>
      <c r="Y184" s="183" t="inlineStr">
        <is>
          <t>SonoEye P3 plus SonoAir 30 for GP and clinic accounts</t>
        </is>
      </c>
      <c r="Z184" s="183" t="inlineStr">
        <is>
          <t>2, 2, 3, 3, 3, 2, 3</t>
        </is>
      </c>
      <c r="AA184" s="183" t="inlineStr">
        <is>
          <t>Not found</t>
        </is>
      </c>
      <c r="AB184" s="183" t="inlineStr">
        <is>
          <t>Directory or search listing; not opened (direct site access blocked)</t>
        </is>
      </c>
      <c r="AC184" s="183" t="inlineStr">
        <is>
          <t>No expired licence or ended distribution agreement found</t>
        </is>
      </c>
      <c r="AD184" s="183" t="inlineStr">
        <is>
          <t>Not started</t>
        </is>
      </c>
      <c r="AE184" s="183" t="inlineStr"/>
      <c r="AF184" s="183" t="inlineStr"/>
      <c r="AG184" s="183" t="inlineStr">
        <is>
          <t>No email published and no verified website found</t>
        </is>
      </c>
    </row>
    <row r="185">
      <c r="A185" s="183" t="n">
        <v>181</v>
      </c>
      <c r="B185" s="183" t="inlineStr">
        <is>
          <t>Kamijo Kikaiten</t>
        </is>
      </c>
      <c r="C185" s="183" t="inlineStr">
        <is>
          <t>上條器械店</t>
        </is>
      </c>
      <c r="D185" s="183" t="inlineStr">
        <is>
          <t>Not retrieved (NTA lookup blocked in this session)</t>
        </is>
      </c>
      <c r="E185" s="183" t="inlineStr">
        <is>
          <t>長野県</t>
        </is>
      </c>
      <c r="F185" s="183" t="inlineStr">
        <is>
          <t>Chubu</t>
        </is>
      </c>
      <c r="G185" s="183" t="inlineStr">
        <is>
          <t>https://www.kjm.co.jp/</t>
        </is>
      </c>
      <c r="H185" s="183" t="inlineStr">
        <is>
          <t>No MAH found; device sales licence (高度管理医療機器等販売業) not confirmed</t>
        </is>
      </c>
      <c r="I185" s="183" t="inlineStr">
        <is>
          <t>Not identified in published sources</t>
        </is>
      </c>
      <c r="J185" s="183" t="inlineStr">
        <is>
          <t>General medical equipment (hospitals and clinics)</t>
        </is>
      </c>
      <c r="K185" s="183" t="inlineStr">
        <is>
          <t>長野県 (regional; branch network not confirmed)</t>
        </is>
      </c>
      <c r="L185" s="183" t="inlineStr">
        <is>
          <t>Not found</t>
        </is>
      </c>
      <c r="M185" s="183" t="inlineStr">
        <is>
          <t>Not identified</t>
        </is>
      </c>
      <c r="N185" s="183" t="inlineStr">
        <is>
          <t>Not identified</t>
        </is>
      </c>
      <c r="O185" s="183" t="inlineStr">
        <is>
          <t>kjm-smartk@kjm.co.jp</t>
        </is>
      </c>
      <c r="P185" s="183" t="inlineStr">
        <is>
          <t>Not confirmed</t>
        </is>
      </c>
      <c r="Q185" s="183" t="inlineStr">
        <is>
          <t>Not identified</t>
        </is>
      </c>
      <c r="R185" s="184" t="inlineStr">
        <is>
          <t>Unverified</t>
        </is>
      </c>
      <c r="S185" s="183" t="n">
        <v>18</v>
      </c>
      <c r="T185" s="189" t="inlineStr">
        <is>
          <t>C</t>
        </is>
      </c>
      <c r="U185" s="183" t="inlineStr">
        <is>
          <t>Regional general medical equipment dealer with hospital and clinic accounts; candidate sub dealer under a national MAH partner.</t>
        </is>
      </c>
      <c r="V185" s="183" t="inlineStr">
        <is>
          <t>Introduce CHISON as a future line through a national MAH partner; ask about their hospital and clinic coverage, service engineers and openness to non Japanese brands.</t>
        </is>
      </c>
      <c r="W185" s="183" t="inlineStr">
        <is>
          <t>N (not identified)</t>
        </is>
      </c>
      <c r="X185" s="186" t="inlineStr">
        <is>
          <t>https://baseconnect.in/companies/prefecture/47b312cd-84c4-4e89-951a-b56344bc774e/keyword/89941b4e-2dd1-4848-8957-48af280a31e0</t>
        </is>
      </c>
      <c r="Y185" s="183" t="inlineStr">
        <is>
          <t>SonoEye P3 plus SonoAir 30 for GP and clinic accounts</t>
        </is>
      </c>
      <c r="Z185" s="183" t="inlineStr">
        <is>
          <t>2, 2, 3, 3, 3, 2, 3</t>
        </is>
      </c>
      <c r="AA185" s="183" t="inlineStr">
        <is>
          <t>Not found</t>
        </is>
      </c>
      <c r="AB185" s="183" t="inlineStr">
        <is>
          <t>Directory or search listing; not opened (direct site access blocked)</t>
        </is>
      </c>
      <c r="AC185" s="183" t="inlineStr">
        <is>
          <t>No expired licence or ended distribution agreement found</t>
        </is>
      </c>
      <c r="AD185" s="183" t="inlineStr">
        <is>
          <t>Not started</t>
        </is>
      </c>
      <c r="AE185" s="183" t="inlineStr"/>
      <c r="AF185" s="183" t="inlineStr">
        <is>
          <t>https://www.kjm.co.jp/outline/other/</t>
        </is>
      </c>
      <c r="AG185" s="183" t="inlineStr">
        <is>
          <t>Verified: published on company website</t>
        </is>
      </c>
    </row>
    <row r="186">
      <c r="A186" s="183" t="n">
        <v>182</v>
      </c>
      <c r="B186" s="183" t="inlineStr">
        <is>
          <t>Kyoei Ika Kikai</t>
        </is>
      </c>
      <c r="C186" s="183" t="inlineStr">
        <is>
          <t>共栄医科器械</t>
        </is>
      </c>
      <c r="D186" s="183" t="inlineStr">
        <is>
          <t>Not retrieved (NTA lookup blocked in this session)</t>
        </is>
      </c>
      <c r="E186" s="183" t="inlineStr">
        <is>
          <t>長野県</t>
        </is>
      </c>
      <c r="F186" s="183" t="inlineStr">
        <is>
          <t>Chubu</t>
        </is>
      </c>
      <c r="G186" s="183" t="inlineStr">
        <is>
          <t>https://kyoei-med.jp/</t>
        </is>
      </c>
      <c r="H186" s="183" t="inlineStr">
        <is>
          <t>No MAH found; device sales licence (高度管理医療機器等販売業) not confirmed</t>
        </is>
      </c>
      <c r="I186" s="183" t="inlineStr">
        <is>
          <t>Not identified in published sources</t>
        </is>
      </c>
      <c r="J186" s="183" t="inlineStr">
        <is>
          <t>General medical equipment (hospitals and clinics)</t>
        </is>
      </c>
      <c r="K186" s="183" t="inlineStr">
        <is>
          <t>長野県 (regional; branch network not confirmed)</t>
        </is>
      </c>
      <c r="L186" s="183" t="inlineStr">
        <is>
          <t>Not found</t>
        </is>
      </c>
      <c r="M186" s="183" t="inlineStr">
        <is>
          <t>Not identified</t>
        </is>
      </c>
      <c r="N186" s="183" t="inlineStr">
        <is>
          <t>Not identified</t>
        </is>
      </c>
      <c r="O186" s="183" t="inlineStr">
        <is>
          <t>Not published; use company inquiry form</t>
        </is>
      </c>
      <c r="P186" s="183" t="inlineStr">
        <is>
          <t>Not confirmed</t>
        </is>
      </c>
      <c r="Q186" s="183" t="inlineStr">
        <is>
          <t>Not identified</t>
        </is>
      </c>
      <c r="R186" s="184" t="inlineStr">
        <is>
          <t>Company inquiry only</t>
        </is>
      </c>
      <c r="S186" s="183" t="n">
        <v>18</v>
      </c>
      <c r="T186" s="189" t="inlineStr">
        <is>
          <t>C</t>
        </is>
      </c>
      <c r="U186" s="183" t="inlineStr">
        <is>
          <t>Regional general medical equipment dealer with hospital and clinic accounts; candidate sub dealer under a national MAH partner.</t>
        </is>
      </c>
      <c r="V186" s="183" t="inlineStr">
        <is>
          <t>Introduce CHISON as a future line through a national MAH partner; ask about their hospital and clinic coverage, service engineers and openness to non Japanese brands.</t>
        </is>
      </c>
      <c r="W186" s="183" t="inlineStr">
        <is>
          <t>N (not identified)</t>
        </is>
      </c>
      <c r="X186" s="186" t="inlineStr">
        <is>
          <t>https://baseconnect.in/companies/prefecture/47b312cd-84c4-4e89-951a-b56344bc774e/keyword/89941b4e-2dd1-4848-8957-48af280a31e0</t>
        </is>
      </c>
      <c r="Y186" s="183" t="inlineStr">
        <is>
          <t>SonoEye P3 plus SonoAir 30 for GP and clinic accounts</t>
        </is>
      </c>
      <c r="Z186" s="183" t="inlineStr">
        <is>
          <t>2, 2, 3, 3, 3, 2, 3</t>
        </is>
      </c>
      <c r="AA186" s="183" t="inlineStr">
        <is>
          <t>Not found</t>
        </is>
      </c>
      <c r="AB186" s="183" t="inlineStr">
        <is>
          <t>Directory or search listing; not opened (direct site access blocked)</t>
        </is>
      </c>
      <c r="AC186" s="183" t="inlineStr">
        <is>
          <t>No expired licence or ended distribution agreement found</t>
        </is>
      </c>
      <c r="AD186" s="183" t="inlineStr">
        <is>
          <t>Not started</t>
        </is>
      </c>
      <c r="AE186" s="183" t="inlineStr"/>
      <c r="AF186" s="183" t="inlineStr"/>
      <c r="AG186" s="183" t="inlineStr">
        <is>
          <t>No email published; website has no contact page link, phone first</t>
        </is>
      </c>
    </row>
    <row r="187">
      <c r="A187" s="183" t="n">
        <v>183</v>
      </c>
      <c r="B187" s="183" t="inlineStr">
        <is>
          <t>NeXT (Nagano)</t>
        </is>
      </c>
      <c r="C187" s="183" t="inlineStr">
        <is>
          <t>NeXT</t>
        </is>
      </c>
      <c r="D187" s="183" t="inlineStr">
        <is>
          <t>Not retrieved (NTA lookup blocked in this session)</t>
        </is>
      </c>
      <c r="E187" s="183" t="inlineStr">
        <is>
          <t>長野県</t>
        </is>
      </c>
      <c r="F187" s="183" t="inlineStr">
        <is>
          <t>Chubu</t>
        </is>
      </c>
      <c r="G187" s="183" t="inlineStr">
        <is>
          <t>https://next.nagano.jp/</t>
        </is>
      </c>
      <c r="H187" s="183" t="inlineStr">
        <is>
          <t>No MAH found; device sales licence (高度管理医療機器等販売業) not confirmed</t>
        </is>
      </c>
      <c r="I187" s="183" t="inlineStr">
        <is>
          <t>Not identified in published sources</t>
        </is>
      </c>
      <c r="J187" s="183" t="inlineStr">
        <is>
          <t>General medical equipment (hospitals and clinics)</t>
        </is>
      </c>
      <c r="K187" s="183" t="inlineStr">
        <is>
          <t>長野県 (regional; branch network not confirmed)</t>
        </is>
      </c>
      <c r="L187" s="183" t="inlineStr">
        <is>
          <t>Not found</t>
        </is>
      </c>
      <c r="M187" s="183" t="inlineStr">
        <is>
          <t>Not identified</t>
        </is>
      </c>
      <c r="N187" s="183" t="inlineStr">
        <is>
          <t>Not identified</t>
        </is>
      </c>
      <c r="O187" s="183" t="inlineStr">
        <is>
          <t>Not published; use contact form</t>
        </is>
      </c>
      <c r="P187" s="183" t="inlineStr">
        <is>
          <t>Not confirmed</t>
        </is>
      </c>
      <c r="Q187" s="183" t="inlineStr">
        <is>
          <t>Not identified</t>
        </is>
      </c>
      <c r="R187" s="184" t="inlineStr">
        <is>
          <t>Likely</t>
        </is>
      </c>
      <c r="S187" s="183" t="n">
        <v>18</v>
      </c>
      <c r="T187" s="189" t="inlineStr">
        <is>
          <t>C</t>
        </is>
      </c>
      <c r="U187" s="183" t="inlineStr">
        <is>
          <t>Regional general medical equipment dealer with hospital and clinic accounts; candidate sub dealer under a national MAH partner.</t>
        </is>
      </c>
      <c r="V187" s="183" t="inlineStr">
        <is>
          <t>Introduce CHISON as a future line through a national MAH partner; ask about their hospital and clinic coverage, service engineers and openness to non Japanese brands.</t>
        </is>
      </c>
      <c r="W187" s="183" t="inlineStr">
        <is>
          <t>N (not identified)</t>
        </is>
      </c>
      <c r="X187" s="186" t="inlineStr">
        <is>
          <t>https://baseconnect.in/companies/prefecture/47b312cd-84c4-4e89-951a-b56344bc774e/keyword/89941b4e-2dd1-4848-8957-48af280a31e0</t>
        </is>
      </c>
      <c r="Y187" s="183" t="inlineStr">
        <is>
          <t>SonoEye P3 plus SonoAir 30 for GP and clinic accounts</t>
        </is>
      </c>
      <c r="Z187" s="183" t="inlineStr">
        <is>
          <t>2, 2, 3, 3, 3, 2, 3</t>
        </is>
      </c>
      <c r="AA187" s="183" t="inlineStr">
        <is>
          <t>Not found</t>
        </is>
      </c>
      <c r="AB187" s="183" t="inlineStr">
        <is>
          <t>Directory or search listing; not opened (direct site access blocked)</t>
        </is>
      </c>
      <c r="AC187" s="183" t="inlineStr">
        <is>
          <t>No expired licence or ended distribution agreement found</t>
        </is>
      </c>
      <c r="AD187" s="183" t="inlineStr">
        <is>
          <t>Not started</t>
        </is>
      </c>
      <c r="AE187" s="183" t="inlineStr"/>
      <c r="AF187" s="183" t="inlineStr">
        <is>
          <t>https://next.nagano.jp/contact/</t>
        </is>
      </c>
      <c r="AG187" s="183" t="inlineStr">
        <is>
          <t>No email published; use the contact form (link in Email source)</t>
        </is>
      </c>
    </row>
    <row r="188">
      <c r="A188" s="183" t="n">
        <v>184</v>
      </c>
      <c r="B188" s="183" t="inlineStr">
        <is>
          <t>Nagano Ika Kikai</t>
        </is>
      </c>
      <c r="C188" s="183" t="inlineStr">
        <is>
          <t>長野医科器械</t>
        </is>
      </c>
      <c r="D188" s="183" t="inlineStr">
        <is>
          <t>Not retrieved (NTA lookup blocked in this session)</t>
        </is>
      </c>
      <c r="E188" s="183" t="inlineStr">
        <is>
          <t>長野県</t>
        </is>
      </c>
      <c r="F188" s="183" t="inlineStr">
        <is>
          <t>Chubu</t>
        </is>
      </c>
      <c r="G188" s="183" t="inlineStr">
        <is>
          <t>Not confirmed (company site not opened; network policy blocked direct access)</t>
        </is>
      </c>
      <c r="H188" s="183" t="inlineStr">
        <is>
          <t>No MAH found; device sales licence (高度管理医療機器等販売業) not confirmed</t>
        </is>
      </c>
      <c r="I188" s="183" t="inlineStr">
        <is>
          <t>Not identified in published sources</t>
        </is>
      </c>
      <c r="J188" s="183" t="inlineStr">
        <is>
          <t>General medical equipment (hospitals and clinics)</t>
        </is>
      </c>
      <c r="K188" s="183" t="inlineStr">
        <is>
          <t>長野県 (regional; branch network not confirmed)</t>
        </is>
      </c>
      <c r="L188" s="183" t="inlineStr">
        <is>
          <t>Not found</t>
        </is>
      </c>
      <c r="M188" s="183" t="inlineStr">
        <is>
          <t>Not identified</t>
        </is>
      </c>
      <c r="N188" s="183" t="inlineStr">
        <is>
          <t>Not identified</t>
        </is>
      </c>
      <c r="O188" s="183" t="inlineStr">
        <is>
          <t>naganoik@eos.ocn.ne.jp</t>
        </is>
      </c>
      <c r="P188" s="183" t="inlineStr">
        <is>
          <t>Not confirmed</t>
        </is>
      </c>
      <c r="Q188" s="183" t="inlineStr">
        <is>
          <t>Not identified</t>
        </is>
      </c>
      <c r="R188" s="184" t="inlineStr">
        <is>
          <t>Unverified</t>
        </is>
      </c>
      <c r="S188" s="183" t="n">
        <v>18</v>
      </c>
      <c r="T188" s="189" t="inlineStr">
        <is>
          <t>C</t>
        </is>
      </c>
      <c r="U188" s="183" t="inlineStr">
        <is>
          <t>Regional general medical equipment dealer with hospital and clinic accounts; candidate sub dealer under a national MAH partner.</t>
        </is>
      </c>
      <c r="V188" s="183" t="inlineStr">
        <is>
          <t>Introduce CHISON as a future line through a national MAH partner; ask about their hospital and clinic coverage, service engineers and openness to non Japanese brands.</t>
        </is>
      </c>
      <c r="W188" s="183" t="inlineStr">
        <is>
          <t>N (not identified)</t>
        </is>
      </c>
      <c r="X188" s="186" t="inlineStr">
        <is>
          <t>https://baseconnect.in/companies/prefecture/47b312cd-84c4-4e89-951a-b56344bc774e/keyword/89941b4e-2dd1-4848-8957-48af280a31e0</t>
        </is>
      </c>
      <c r="Y188" s="183" t="inlineStr">
        <is>
          <t>SonoEye P3 plus SonoAir 30 for GP and clinic accounts</t>
        </is>
      </c>
      <c r="Z188" s="183" t="inlineStr">
        <is>
          <t>2, 2, 3, 3, 3, 2, 3</t>
        </is>
      </c>
      <c r="AA188" s="183" t="inlineStr">
        <is>
          <t>Not found</t>
        </is>
      </c>
      <c r="AB188" s="183" t="inlineStr">
        <is>
          <t>Directory or search listing; not opened (direct site access blocked)</t>
        </is>
      </c>
      <c r="AC188" s="183" t="inlineStr">
        <is>
          <t>No expired licence or ended distribution agreement found</t>
        </is>
      </c>
      <c r="AD188" s="183" t="inlineStr">
        <is>
          <t>Not started</t>
        </is>
      </c>
      <c r="AE188" s="183" t="inlineStr"/>
      <c r="AF188" s="183" t="inlineStr">
        <is>
          <t>https://www.city.nakano.nagano.jp/docs/2025033100044/file_contents/bmeibo260911.pdf</t>
        </is>
      </c>
      <c r="AG188" s="183" t="inlineStr">
        <is>
          <t>Likely: third party listing, check before sending</t>
        </is>
      </c>
    </row>
    <row r="189">
      <c r="A189" s="183" t="n">
        <v>185</v>
      </c>
      <c r="B189" s="183" t="inlineStr">
        <is>
          <t>Matsumoto Nikko Iryo Shoji</t>
        </is>
      </c>
      <c r="C189" s="183" t="inlineStr">
        <is>
          <t>松本日興医療商事</t>
        </is>
      </c>
      <c r="D189" s="183" t="inlineStr">
        <is>
          <t>Not retrieved (NTA lookup blocked in this session)</t>
        </is>
      </c>
      <c r="E189" s="183" t="inlineStr">
        <is>
          <t>長野県</t>
        </is>
      </c>
      <c r="F189" s="183" t="inlineStr">
        <is>
          <t>Chubu</t>
        </is>
      </c>
      <c r="G189" s="183" t="inlineStr">
        <is>
          <t>https://www.matsumoto-nikko.com/</t>
        </is>
      </c>
      <c r="H189" s="183" t="inlineStr">
        <is>
          <t>No MAH found; device sales licence (高度管理医療機器等販売業) not confirmed</t>
        </is>
      </c>
      <c r="I189" s="183" t="inlineStr">
        <is>
          <t>Not identified in published sources</t>
        </is>
      </c>
      <c r="J189" s="183" t="inlineStr">
        <is>
          <t>General medical equipment (hospitals and clinics)</t>
        </is>
      </c>
      <c r="K189" s="183" t="inlineStr">
        <is>
          <t>長野県 (regional; branch network not confirmed)</t>
        </is>
      </c>
      <c r="L189" s="183" t="inlineStr">
        <is>
          <t>Not found</t>
        </is>
      </c>
      <c r="M189" s="183" t="inlineStr">
        <is>
          <t>Not identified</t>
        </is>
      </c>
      <c r="N189" s="183" t="inlineStr">
        <is>
          <t>Not identified</t>
        </is>
      </c>
      <c r="O189" s="183" t="inlineStr">
        <is>
          <t>ishigaki@matsumoto-nikko.com</t>
        </is>
      </c>
      <c r="P189" s="183" t="inlineStr">
        <is>
          <t>Not confirmed</t>
        </is>
      </c>
      <c r="Q189" s="183" t="inlineStr">
        <is>
          <t>Not identified</t>
        </is>
      </c>
      <c r="R189" s="184" t="inlineStr">
        <is>
          <t>Unverified</t>
        </is>
      </c>
      <c r="S189" s="183" t="n">
        <v>18</v>
      </c>
      <c r="T189" s="189" t="inlineStr">
        <is>
          <t>C</t>
        </is>
      </c>
      <c r="U189" s="183" t="inlineStr">
        <is>
          <t>Regional general medical equipment dealer with hospital and clinic accounts; candidate sub dealer under a national MAH partner.</t>
        </is>
      </c>
      <c r="V189" s="183" t="inlineStr">
        <is>
          <t>Introduce CHISON as a future line through a national MAH partner; ask about their hospital and clinic coverage, service engineers and openness to non Japanese brands.</t>
        </is>
      </c>
      <c r="W189" s="183" t="inlineStr">
        <is>
          <t>N (not identified)</t>
        </is>
      </c>
      <c r="X189" s="186" t="inlineStr">
        <is>
          <t>https://baseconnect.in/companies/prefecture/47b312cd-84c4-4e89-951a-b56344bc774e/keyword/89941b4e-2dd1-4848-8957-48af280a31e0</t>
        </is>
      </c>
      <c r="Y189" s="183" t="inlineStr">
        <is>
          <t>SonoEye P3 plus SonoAir 30 for GP and clinic accounts</t>
        </is>
      </c>
      <c r="Z189" s="183" t="inlineStr">
        <is>
          <t>2, 2, 3, 3, 3, 2, 3</t>
        </is>
      </c>
      <c r="AA189" s="183" t="inlineStr">
        <is>
          <t>Not found</t>
        </is>
      </c>
      <c r="AB189" s="183" t="inlineStr">
        <is>
          <t>Directory or search listing; not opened (direct site access blocked)</t>
        </is>
      </c>
      <c r="AC189" s="183" t="inlineStr">
        <is>
          <t>No expired licence or ended distribution agreement found</t>
        </is>
      </c>
      <c r="AD189" s="183" t="inlineStr">
        <is>
          <t>Not started</t>
        </is>
      </c>
      <c r="AE189" s="183" t="inlineStr"/>
      <c r="AF189" s="183" t="inlineStr">
        <is>
          <t>https://www.matsumoto-nikko.com/</t>
        </is>
      </c>
      <c r="AG189" s="183" t="inlineStr">
        <is>
          <t>Verified: published on company website</t>
        </is>
      </c>
    </row>
    <row r="190">
      <c r="A190" s="183" t="n">
        <v>186</v>
      </c>
      <c r="B190" s="183" t="inlineStr">
        <is>
          <t>Matsumoto Medical</t>
        </is>
      </c>
      <c r="C190" s="183" t="inlineStr">
        <is>
          <t>松本メディカル</t>
        </is>
      </c>
      <c r="D190" s="183" t="inlineStr">
        <is>
          <t>Not retrieved (NTA lookup blocked in this session)</t>
        </is>
      </c>
      <c r="E190" s="183" t="inlineStr">
        <is>
          <t>長野県</t>
        </is>
      </c>
      <c r="F190" s="183" t="inlineStr">
        <is>
          <t>Chubu</t>
        </is>
      </c>
      <c r="G190" s="183" t="inlineStr">
        <is>
          <t>Not confirmed (company site not opened; network policy blocked direct access)</t>
        </is>
      </c>
      <c r="H190" s="183" t="inlineStr">
        <is>
          <t>No MAH found; device sales licence (高度管理医療機器等販売業) not confirmed</t>
        </is>
      </c>
      <c r="I190" s="183" t="inlineStr">
        <is>
          <t>Not identified in published sources</t>
        </is>
      </c>
      <c r="J190" s="183" t="inlineStr">
        <is>
          <t>General medical equipment (hospitals and clinics)</t>
        </is>
      </c>
      <c r="K190" s="183" t="inlineStr">
        <is>
          <t>長野県 (regional; branch network not confirmed)</t>
        </is>
      </c>
      <c r="L190" s="183" t="inlineStr">
        <is>
          <t>Not found</t>
        </is>
      </c>
      <c r="M190" s="183" t="inlineStr">
        <is>
          <t>Not identified</t>
        </is>
      </c>
      <c r="N190" s="183" t="inlineStr">
        <is>
          <t>Not identified</t>
        </is>
      </c>
      <c r="O190" s="183" t="inlineStr">
        <is>
          <t>Not published; use company inquiry form</t>
        </is>
      </c>
      <c r="P190" s="183" t="inlineStr">
        <is>
          <t>Not confirmed</t>
        </is>
      </c>
      <c r="Q190" s="183" t="inlineStr">
        <is>
          <t>Not identified</t>
        </is>
      </c>
      <c r="R190" s="184" t="inlineStr">
        <is>
          <t>Unverified</t>
        </is>
      </c>
      <c r="S190" s="183" t="n">
        <v>18</v>
      </c>
      <c r="T190" s="189" t="inlineStr">
        <is>
          <t>C</t>
        </is>
      </c>
      <c r="U190" s="183" t="inlineStr">
        <is>
          <t>Regional general medical equipment dealer with hospital and clinic accounts; candidate sub dealer under a national MAH partner.</t>
        </is>
      </c>
      <c r="V190" s="183" t="inlineStr">
        <is>
          <t>Introduce CHISON as a future line through a national MAH partner; ask about their hospital and clinic coverage, service engineers and openness to non Japanese brands.</t>
        </is>
      </c>
      <c r="W190" s="183" t="inlineStr">
        <is>
          <t>N (not identified)</t>
        </is>
      </c>
      <c r="X190" s="186" t="inlineStr">
        <is>
          <t>https://baseconnect.in/companies/prefecture/47b312cd-84c4-4e89-951a-b56344bc774e/keyword/89941b4e-2dd1-4848-8957-48af280a31e0</t>
        </is>
      </c>
      <c r="Y190" s="183" t="inlineStr">
        <is>
          <t>SonoEye P3 plus SonoAir 30 for GP and clinic accounts</t>
        </is>
      </c>
      <c r="Z190" s="183" t="inlineStr">
        <is>
          <t>2, 2, 3, 3, 3, 2, 3</t>
        </is>
      </c>
      <c r="AA190" s="183" t="inlineStr">
        <is>
          <t>Not found</t>
        </is>
      </c>
      <c r="AB190" s="183" t="inlineStr">
        <is>
          <t>Directory or search listing; not opened (direct site access blocked)</t>
        </is>
      </c>
      <c r="AC190" s="183" t="inlineStr">
        <is>
          <t>No expired licence or ended distribution agreement found</t>
        </is>
      </c>
      <c r="AD190" s="183" t="inlineStr">
        <is>
          <t>Not started</t>
        </is>
      </c>
      <c r="AE190" s="183" t="inlineStr"/>
      <c r="AF190" s="183" t="inlineStr"/>
      <c r="AG190" s="183" t="inlineStr">
        <is>
          <t>No email published and no verified website found</t>
        </is>
      </c>
    </row>
    <row r="191">
      <c r="A191" s="183" t="n">
        <v>187</v>
      </c>
      <c r="B191" s="183" t="inlineStr">
        <is>
          <t>Shizuoka Ika Kikai</t>
        </is>
      </c>
      <c r="C191" s="183" t="inlineStr">
        <is>
          <t>静岡医科器械</t>
        </is>
      </c>
      <c r="D191" s="183" t="inlineStr">
        <is>
          <t>Not retrieved (NTA lookup blocked in this session)</t>
        </is>
      </c>
      <c r="E191" s="183" t="inlineStr">
        <is>
          <t>静岡県</t>
        </is>
      </c>
      <c r="F191" s="183" t="inlineStr">
        <is>
          <t>Chubu</t>
        </is>
      </c>
      <c r="G191" s="183" t="inlineStr">
        <is>
          <t>http://www.shizuokaika.co.jp/</t>
        </is>
      </c>
      <c r="H191" s="183" t="inlineStr">
        <is>
          <t>No MAH found; device sales licence (高度管理医療機器等販売業) not confirmed</t>
        </is>
      </c>
      <c r="I191" s="183" t="inlineStr">
        <is>
          <t>Not identified in published sources</t>
        </is>
      </c>
      <c r="J191" s="183" t="inlineStr">
        <is>
          <t>General medical equipment (hospitals and clinics)</t>
        </is>
      </c>
      <c r="K191" s="183" t="inlineStr">
        <is>
          <t>静岡県 (regional; branch network not confirmed)</t>
        </is>
      </c>
      <c r="L191" s="183" t="inlineStr">
        <is>
          <t>Not found</t>
        </is>
      </c>
      <c r="M191" s="183" t="inlineStr">
        <is>
          <t>Not identified</t>
        </is>
      </c>
      <c r="N191" s="183" t="inlineStr">
        <is>
          <t>Not identified</t>
        </is>
      </c>
      <c r="O191" s="183" t="inlineStr">
        <is>
          <t>info@shizuokaika.co.jp</t>
        </is>
      </c>
      <c r="P191" s="183" t="inlineStr">
        <is>
          <t>Not confirmed</t>
        </is>
      </c>
      <c r="Q191" s="183" t="inlineStr">
        <is>
          <t>Not identified</t>
        </is>
      </c>
      <c r="R191" s="184" t="inlineStr">
        <is>
          <t>Unverified</t>
        </is>
      </c>
      <c r="S191" s="183" t="n">
        <v>18</v>
      </c>
      <c r="T191" s="189" t="inlineStr">
        <is>
          <t>C</t>
        </is>
      </c>
      <c r="U191" s="183" t="inlineStr">
        <is>
          <t>Regional general medical equipment dealer with hospital and clinic accounts; candidate sub dealer under a national MAH partner.</t>
        </is>
      </c>
      <c r="V191" s="183" t="inlineStr">
        <is>
          <t>Introduce CHISON as a future line through a national MAH partner; ask about their hospital and clinic coverage, service engineers and openness to non Japanese brands.</t>
        </is>
      </c>
      <c r="W191" s="183" t="inlineStr">
        <is>
          <t>N (not identified)</t>
        </is>
      </c>
      <c r="X191" s="186" t="inlineStr">
        <is>
          <t>https://baseconnect.in/companies/prefecture/ce8171a3-9c3a-4158-b1ce-74bbb8bad1e4/keyword/bacc2d48-54d0-4e67-94c7-df7c3cb3a34e</t>
        </is>
      </c>
      <c r="Y191" s="183" t="inlineStr">
        <is>
          <t>SonoEye P3 plus SonoAir 30 for GP and clinic accounts</t>
        </is>
      </c>
      <c r="Z191" s="183" t="inlineStr">
        <is>
          <t>2, 2, 3, 3, 3, 2, 3</t>
        </is>
      </c>
      <c r="AA191" s="183" t="inlineStr">
        <is>
          <t>Not found</t>
        </is>
      </c>
      <c r="AB191" s="183" t="inlineStr">
        <is>
          <t>Directory or search listing; not opened (direct site access blocked)</t>
        </is>
      </c>
      <c r="AC191" s="183" t="inlineStr">
        <is>
          <t>No expired licence or ended distribution agreement found</t>
        </is>
      </c>
      <c r="AD191" s="183" t="inlineStr">
        <is>
          <t>Not started</t>
        </is>
      </c>
      <c r="AE191" s="183" t="inlineStr"/>
      <c r="AF191" s="183" t="inlineStr">
        <is>
          <t>http://www.shizuokaika.co.jp/publics/index/28/</t>
        </is>
      </c>
      <c r="AG191" s="183" t="inlineStr">
        <is>
          <t>Verified: published on company website</t>
        </is>
      </c>
    </row>
    <row r="192">
      <c r="A192" s="183" t="n">
        <v>188</v>
      </c>
      <c r="B192" s="183" t="inlineStr">
        <is>
          <t>Hoei Ika Kikai</t>
        </is>
      </c>
      <c r="C192" s="183" t="inlineStr">
        <is>
          <t>豊栄医科器械</t>
        </is>
      </c>
      <c r="D192" s="183" t="inlineStr">
        <is>
          <t>Not retrieved (NTA lookup blocked in this session)</t>
        </is>
      </c>
      <c r="E192" s="183" t="inlineStr">
        <is>
          <t>静岡県</t>
        </is>
      </c>
      <c r="F192" s="183" t="inlineStr">
        <is>
          <t>Chubu</t>
        </is>
      </c>
      <c r="G192" s="183" t="inlineStr">
        <is>
          <t>Not confirmed (company site not opened; network policy blocked direct access)</t>
        </is>
      </c>
      <c r="H192" s="183" t="inlineStr">
        <is>
          <t>No MAH found; device sales licence (高度管理医療機器等販売業) not confirmed</t>
        </is>
      </c>
      <c r="I192" s="183" t="inlineStr">
        <is>
          <t>Not identified in published sources</t>
        </is>
      </c>
      <c r="J192" s="183" t="inlineStr">
        <is>
          <t>Welfare and care</t>
        </is>
      </c>
      <c r="K192" s="183" t="inlineStr">
        <is>
          <t>静岡県 (regional; branch network not confirmed)</t>
        </is>
      </c>
      <c r="L192" s="183" t="inlineStr">
        <is>
          <t>Not found</t>
        </is>
      </c>
      <c r="M192" s="183" t="inlineStr">
        <is>
          <t>Not identified</t>
        </is>
      </c>
      <c r="N192" s="183" t="inlineStr">
        <is>
          <t>Not identified</t>
        </is>
      </c>
      <c r="O192" s="183" t="inlineStr">
        <is>
          <t>Not published; use company inquiry form</t>
        </is>
      </c>
      <c r="P192" s="183" t="inlineStr">
        <is>
          <t>Not confirmed</t>
        </is>
      </c>
      <c r="Q192" s="183" t="inlineStr">
        <is>
          <t>Not identified</t>
        </is>
      </c>
      <c r="R192" s="184" t="inlineStr">
        <is>
          <t>Unverified</t>
        </is>
      </c>
      <c r="S192" s="183" t="n">
        <v>18</v>
      </c>
      <c r="T192" s="189" t="inlineStr">
        <is>
          <t>C</t>
        </is>
      </c>
      <c r="U192" s="183" t="inlineStr">
        <is>
          <t>Low fit: mainly welfare or care equipment; only for home care handheld use.</t>
        </is>
      </c>
      <c r="V192" s="183" t="inlineStr">
        <is>
          <t>Introduce CHISON as a future line through a national MAH partner; ask about their hospital and clinic coverage, service engineers and openness to non Japanese brands.</t>
        </is>
      </c>
      <c r="W192" s="183" t="inlineStr">
        <is>
          <t>N (not identified)</t>
        </is>
      </c>
      <c r="X192" s="186" t="inlineStr">
        <is>
          <t>https://kaigo.homes.co.jp/scare/ad22/cc26/3/ ; https://baseconnect.in/companies/prefecture/ce8171a3-9c3a-4158-b1ce-74bbb8bad1e4/keyword/bacc2d48-54d0-4e67-94c7-df7c3cb3a34e</t>
        </is>
      </c>
      <c r="Y192" s="183" t="inlineStr">
        <is>
          <t>SonoEye P5 for home visit doctors (在宅医療)</t>
        </is>
      </c>
      <c r="Z192" s="183" t="inlineStr">
        <is>
          <t>2, 1, 3, 2, 5, 2, 3</t>
        </is>
      </c>
      <c r="AA192" s="183" t="inlineStr">
        <is>
          <t>Not found</t>
        </is>
      </c>
      <c r="AB192" s="183" t="inlineStr">
        <is>
          <t>Verified in 10% recheck. Correction: only welfare equipment listing found, low fit</t>
        </is>
      </c>
      <c r="AC192" s="183" t="inlineStr">
        <is>
          <t>No expired licence or ended distribution agreement found</t>
        </is>
      </c>
      <c r="AD192" s="183" t="inlineStr">
        <is>
          <t>Not started</t>
        </is>
      </c>
      <c r="AE192" s="183" t="inlineStr"/>
      <c r="AF192" s="183" t="inlineStr"/>
      <c r="AG192" s="183" t="inlineStr">
        <is>
          <t>No email published and no verified website found</t>
        </is>
      </c>
    </row>
    <row r="193">
      <c r="A193" s="183" t="n">
        <v>189</v>
      </c>
      <c r="B193" s="183" t="inlineStr">
        <is>
          <t>Jinken Medical Rising</t>
        </is>
      </c>
      <c r="C193" s="183" t="inlineStr">
        <is>
          <t>人健メディカルライジング</t>
        </is>
      </c>
      <c r="D193" s="183" t="inlineStr">
        <is>
          <t>Not retrieved (NTA lookup blocked in this session)</t>
        </is>
      </c>
      <c r="E193" s="183" t="inlineStr">
        <is>
          <t>大分県</t>
        </is>
      </c>
      <c r="F193" s="183" t="inlineStr">
        <is>
          <t>Kyushu and Okinawa</t>
        </is>
      </c>
      <c r="G193" s="183" t="inlineStr">
        <is>
          <t>https://jinken-medical.com/</t>
        </is>
      </c>
      <c r="H193" s="183" t="inlineStr">
        <is>
          <t>No MAH found; device sales licence (高度管理医療機器等販売業) not confirmed</t>
        </is>
      </c>
      <c r="I193" s="183" t="inlineStr">
        <is>
          <t>Not identified in published sources</t>
        </is>
      </c>
      <c r="J193" s="183" t="inlineStr">
        <is>
          <t>General medical equipment (hospitals and clinics)</t>
        </is>
      </c>
      <c r="K193" s="183" t="inlineStr">
        <is>
          <t>大分県 (regional; branch network not confirmed)</t>
        </is>
      </c>
      <c r="L193" s="183" t="inlineStr">
        <is>
          <t>Not found</t>
        </is>
      </c>
      <c r="M193" s="183" t="inlineStr">
        <is>
          <t>Not identified</t>
        </is>
      </c>
      <c r="N193" s="183" t="inlineStr">
        <is>
          <t>Not identified</t>
        </is>
      </c>
      <c r="O193" s="183" t="inlineStr">
        <is>
          <t>Not published; use contact form</t>
        </is>
      </c>
      <c r="P193" s="183" t="inlineStr">
        <is>
          <t>Not confirmed</t>
        </is>
      </c>
      <c r="Q193" s="183" t="inlineStr">
        <is>
          <t>Not identified</t>
        </is>
      </c>
      <c r="R193" s="184" t="inlineStr">
        <is>
          <t>Likely</t>
        </is>
      </c>
      <c r="S193" s="183" t="n">
        <v>18</v>
      </c>
      <c r="T193" s="189" t="inlineStr">
        <is>
          <t>C</t>
        </is>
      </c>
      <c r="U193" s="183" t="inlineStr">
        <is>
          <t>Regional general medical equipment dealer with hospital and clinic accounts; candidate sub dealer under a national MAH partner.</t>
        </is>
      </c>
      <c r="V193" s="183" t="inlineStr">
        <is>
          <t>Introduce CHISON as a future line through a national MAH partner; ask about their hospital and clinic coverage, service engineers and openness to non Japanese brands.</t>
        </is>
      </c>
      <c r="W193" s="183" t="inlineStr">
        <is>
          <t>N (not identified)</t>
        </is>
      </c>
      <c r="X193" s="186" t="inlineStr">
        <is>
          <t>https://kyuren.jp/%E4%BC%9A%E5%93%A1%E7%B4%B9%E4%BB%8B/</t>
        </is>
      </c>
      <c r="Y193" s="183" t="inlineStr">
        <is>
          <t>SonoEye P3 plus SonoAir 30 for GP and clinic accounts</t>
        </is>
      </c>
      <c r="Z193" s="183" t="inlineStr">
        <is>
          <t>2, 2, 3, 3, 3, 2, 3</t>
        </is>
      </c>
      <c r="AA193" s="183" t="inlineStr">
        <is>
          <t>Not found</t>
        </is>
      </c>
      <c r="AB193" s="183" t="inlineStr">
        <is>
          <t>Directory or search listing; not opened (direct site access blocked)</t>
        </is>
      </c>
      <c r="AC193" s="183" t="inlineStr">
        <is>
          <t>No expired licence or ended distribution agreement found</t>
        </is>
      </c>
      <c r="AD193" s="183" t="inlineStr">
        <is>
          <t>Not started</t>
        </is>
      </c>
      <c r="AE193" s="183" t="inlineStr"/>
      <c r="AF193" s="183" t="inlineStr">
        <is>
          <t>https://jinken-medical.com/contact/</t>
        </is>
      </c>
      <c r="AG193" s="183" t="inlineStr">
        <is>
          <t>No email published; use the contact form (link in Email source)</t>
        </is>
      </c>
    </row>
    <row r="194">
      <c r="A194" s="183" t="n">
        <v>190</v>
      </c>
      <c r="B194" s="183" t="inlineStr">
        <is>
          <t>Matsui Shokai</t>
        </is>
      </c>
      <c r="C194" s="183" t="inlineStr">
        <is>
          <t>松井商会</t>
        </is>
      </c>
      <c r="D194" s="183" t="inlineStr">
        <is>
          <t>Not retrieved (NTA lookup blocked in this session)</t>
        </is>
      </c>
      <c r="E194" s="183" t="inlineStr">
        <is>
          <t>大分県</t>
        </is>
      </c>
      <c r="F194" s="183" t="inlineStr">
        <is>
          <t>Kyushu and Okinawa</t>
        </is>
      </c>
      <c r="G194" s="183" t="inlineStr">
        <is>
          <t>https://www.matsuishokai.net/</t>
        </is>
      </c>
      <c r="H194" s="183" t="inlineStr">
        <is>
          <t>No MAH found; device sales licence (高度管理医療機器等販売業) not confirmed</t>
        </is>
      </c>
      <c r="I194" s="183" t="inlineStr">
        <is>
          <t>Not identified in published sources</t>
        </is>
      </c>
      <c r="J194" s="183" t="inlineStr">
        <is>
          <t>General medical equipment (hospitals and clinics)</t>
        </is>
      </c>
      <c r="K194" s="183" t="inlineStr">
        <is>
          <t>大分県 (regional; branch network not confirmed)</t>
        </is>
      </c>
      <c r="L194" s="183" t="inlineStr">
        <is>
          <t>Not found</t>
        </is>
      </c>
      <c r="M194" s="183" t="inlineStr">
        <is>
          <t>Not identified</t>
        </is>
      </c>
      <c r="N194" s="183" t="inlineStr">
        <is>
          <t>Not identified</t>
        </is>
      </c>
      <c r="O194" s="183" t="inlineStr">
        <is>
          <t>Not published; use contact form</t>
        </is>
      </c>
      <c r="P194" s="183" t="inlineStr">
        <is>
          <t>Not confirmed</t>
        </is>
      </c>
      <c r="Q194" s="183" t="inlineStr">
        <is>
          <t>Not identified</t>
        </is>
      </c>
      <c r="R194" s="184" t="inlineStr">
        <is>
          <t>Likely</t>
        </is>
      </c>
      <c r="S194" s="183" t="n">
        <v>18</v>
      </c>
      <c r="T194" s="189" t="inlineStr">
        <is>
          <t>C</t>
        </is>
      </c>
      <c r="U194" s="183" t="inlineStr">
        <is>
          <t>Regional general medical equipment dealer with hospital and clinic accounts; candidate sub dealer under a national MAH partner.</t>
        </is>
      </c>
      <c r="V194" s="183" t="inlineStr">
        <is>
          <t>Introduce CHISON as a future line through a national MAH partner; ask about their hospital and clinic coverage, service engineers and openness to non Japanese brands.</t>
        </is>
      </c>
      <c r="W194" s="183" t="inlineStr">
        <is>
          <t>N (not identified)</t>
        </is>
      </c>
      <c r="X194" s="186" t="inlineStr">
        <is>
          <t>https://baseconnect.in/companies/prefecture/082ceea9-0e2a-4911-900e-35c6f7c160b3/keyword/89941b4e-2dd1-4848-8957-48af280a31e0</t>
        </is>
      </c>
      <c r="Y194" s="183" t="inlineStr">
        <is>
          <t>SonoEye P3 plus SonoAir 30 for GP and clinic accounts</t>
        </is>
      </c>
      <c r="Z194" s="183" t="inlineStr">
        <is>
          <t>2, 2, 3, 3, 3, 2, 3</t>
        </is>
      </c>
      <c r="AA194" s="183" t="inlineStr">
        <is>
          <t>Not found</t>
        </is>
      </c>
      <c r="AB194" s="183" t="inlineStr">
        <is>
          <t>Directory or search listing; not opened (direct site access blocked)</t>
        </is>
      </c>
      <c r="AC194" s="183" t="inlineStr">
        <is>
          <t>No expired licence or ended distribution agreement found</t>
        </is>
      </c>
      <c r="AD194" s="183" t="inlineStr">
        <is>
          <t>Not started</t>
        </is>
      </c>
      <c r="AE194" s="183" t="inlineStr"/>
      <c r="AF194" s="183" t="inlineStr">
        <is>
          <t>https://www.matsuishokai.net/inquiry/</t>
        </is>
      </c>
      <c r="AG194" s="183" t="inlineStr">
        <is>
          <t>No email published; use the contact form (link in Email source)</t>
        </is>
      </c>
    </row>
    <row r="195">
      <c r="A195" s="183" t="n">
        <v>191</v>
      </c>
      <c r="B195" s="183" t="inlineStr">
        <is>
          <t>MIT</t>
        </is>
      </c>
      <c r="C195" s="183" t="inlineStr">
        <is>
          <t>エムアイティー</t>
        </is>
      </c>
      <c r="D195" s="183" t="inlineStr">
        <is>
          <t>Not retrieved (NTA lookup blocked in this session)</t>
        </is>
      </c>
      <c r="E195" s="183" t="inlineStr">
        <is>
          <t>大分県</t>
        </is>
      </c>
      <c r="F195" s="183" t="inlineStr">
        <is>
          <t>Kyushu and Okinawa</t>
        </is>
      </c>
      <c r="G195" s="183" t="inlineStr">
        <is>
          <t>https://mit-kyoto.com/</t>
        </is>
      </c>
      <c r="H195" s="183" t="inlineStr">
        <is>
          <t>No MAH found; device sales licence (高度管理医療機器等販売業) not confirmed</t>
        </is>
      </c>
      <c r="I195" s="183" t="inlineStr">
        <is>
          <t>Not identified in published sources</t>
        </is>
      </c>
      <c r="J195" s="183" t="inlineStr">
        <is>
          <t>General medical equipment (hospitals and clinics)</t>
        </is>
      </c>
      <c r="K195" s="183" t="inlineStr">
        <is>
          <t>大分県 (regional; branch network not confirmed)</t>
        </is>
      </c>
      <c r="L195" s="183" t="inlineStr">
        <is>
          <t>Not found</t>
        </is>
      </c>
      <c r="M195" s="183" t="inlineStr">
        <is>
          <t>Not identified</t>
        </is>
      </c>
      <c r="N195" s="183" t="inlineStr">
        <is>
          <t>Not identified</t>
        </is>
      </c>
      <c r="O195" s="183" t="inlineStr">
        <is>
          <t>Not published; use company inquiry form</t>
        </is>
      </c>
      <c r="P195" s="183" t="inlineStr">
        <is>
          <t>Not confirmed</t>
        </is>
      </c>
      <c r="Q195" s="183" t="inlineStr">
        <is>
          <t>Not identified</t>
        </is>
      </c>
      <c r="R195" s="184" t="inlineStr">
        <is>
          <t>Company inquiry only</t>
        </is>
      </c>
      <c r="S195" s="183" t="n">
        <v>18</v>
      </c>
      <c r="T195" s="189" t="inlineStr">
        <is>
          <t>C</t>
        </is>
      </c>
      <c r="U195" s="183" t="inlineStr">
        <is>
          <t>Regional general medical equipment dealer with hospital and clinic accounts; candidate sub dealer under a national MAH partner.</t>
        </is>
      </c>
      <c r="V195" s="183" t="inlineStr">
        <is>
          <t>Introduce CHISON as a future line through a national MAH partner; ask about their hospital and clinic coverage, service engineers and openness to non Japanese brands.</t>
        </is>
      </c>
      <c r="W195" s="183" t="inlineStr">
        <is>
          <t>N (not identified)</t>
        </is>
      </c>
      <c r="X195" s="186" t="inlineStr">
        <is>
          <t>https://baseconnect.in/companies/prefecture/082ceea9-0e2a-4911-900e-35c6f7c160b3/keyword/89941b4e-2dd1-4848-8957-48af280a31e0</t>
        </is>
      </c>
      <c r="Y195" s="183" t="inlineStr">
        <is>
          <t>SonoEye P3 plus SonoAir 30 for GP and clinic accounts</t>
        </is>
      </c>
      <c r="Z195" s="183" t="inlineStr">
        <is>
          <t>2, 2, 3, 3, 3, 2, 3</t>
        </is>
      </c>
      <c r="AA195" s="183" t="inlineStr">
        <is>
          <t>Not found</t>
        </is>
      </c>
      <c r="AB195" s="183" t="inlineStr">
        <is>
          <t>Directory or search listing; not opened (direct site access blocked)</t>
        </is>
      </c>
      <c r="AC195" s="183" t="inlineStr">
        <is>
          <t>No expired licence or ended distribution agreement found</t>
        </is>
      </c>
      <c r="AD195" s="183" t="inlineStr">
        <is>
          <t>Not started</t>
        </is>
      </c>
      <c r="AE195" s="183" t="inlineStr"/>
      <c r="AF195" s="183" t="inlineStr"/>
      <c r="AG195" s="183" t="inlineStr">
        <is>
          <t>No email published; website has no contact page link, phone first</t>
        </is>
      </c>
    </row>
    <row r="196">
      <c r="A196" s="183" t="n">
        <v>192</v>
      </c>
      <c r="B196" s="183" t="inlineStr">
        <is>
          <t>Iwanaga Shokai</t>
        </is>
      </c>
      <c r="C196" s="183" t="inlineStr">
        <is>
          <t>岩永商会</t>
        </is>
      </c>
      <c r="D196" s="183" t="inlineStr">
        <is>
          <t>Not retrieved (NTA lookup blocked in this session)</t>
        </is>
      </c>
      <c r="E196" s="183" t="inlineStr">
        <is>
          <t>宮崎県</t>
        </is>
      </c>
      <c r="F196" s="183" t="inlineStr">
        <is>
          <t>Kyushu and Okinawa</t>
        </is>
      </c>
      <c r="G196" s="183" t="inlineStr">
        <is>
          <t>Not confirmed (company site not opened; network policy blocked direct access)</t>
        </is>
      </c>
      <c r="H196" s="183" t="inlineStr">
        <is>
          <t>No MAH found; device sales licence (高度管理医療機器等販売業) not confirmed</t>
        </is>
      </c>
      <c r="I196" s="183" t="inlineStr">
        <is>
          <t>Not identified in published sources</t>
        </is>
      </c>
      <c r="J196" s="183" t="inlineStr">
        <is>
          <t>General medical equipment (hospitals and clinics)</t>
        </is>
      </c>
      <c r="K196" s="183" t="inlineStr">
        <is>
          <t>宮崎県 (regional; branch network not confirmed)</t>
        </is>
      </c>
      <c r="L196" s="183" t="inlineStr">
        <is>
          <t>Not found</t>
        </is>
      </c>
      <c r="M196" s="183" t="inlineStr">
        <is>
          <t>Not identified</t>
        </is>
      </c>
      <c r="N196" s="183" t="inlineStr">
        <is>
          <t>Not identified</t>
        </is>
      </c>
      <c r="O196" s="183" t="inlineStr">
        <is>
          <t>Not published; use company inquiry form</t>
        </is>
      </c>
      <c r="P196" s="183" t="inlineStr">
        <is>
          <t>Not confirmed</t>
        </is>
      </c>
      <c r="Q196" s="183" t="inlineStr">
        <is>
          <t>Not identified</t>
        </is>
      </c>
      <c r="R196" s="184" t="inlineStr">
        <is>
          <t>Unverified</t>
        </is>
      </c>
      <c r="S196" s="183" t="n">
        <v>18</v>
      </c>
      <c r="T196" s="189" t="inlineStr">
        <is>
          <t>C</t>
        </is>
      </c>
      <c r="U196" s="183" t="inlineStr">
        <is>
          <t>Regional general medical equipment dealer with hospital and clinic accounts; candidate sub dealer under a national MAH partner.</t>
        </is>
      </c>
      <c r="V196" s="183" t="inlineStr">
        <is>
          <t>Introduce CHISON as a future line through a national MAH partner; ask about their hospital and clinic coverage, service engineers and openness to non Japanese brands.</t>
        </is>
      </c>
      <c r="W196" s="183" t="inlineStr">
        <is>
          <t>N (not identified)</t>
        </is>
      </c>
      <c r="X196" s="186" t="inlineStr">
        <is>
          <t>https://baseconnect.in/companies/prefecture/b147f06d-09b9-4c4f-9e51-e7157354eec0/keyword/14f3dcec-9cd5-4be5-84e1-ddccb7bd228c</t>
        </is>
      </c>
      <c r="Y196" s="183" t="inlineStr">
        <is>
          <t>SonoEye P3 plus SonoAir 30 for GP and clinic accounts</t>
        </is>
      </c>
      <c r="Z196" s="183" t="inlineStr">
        <is>
          <t>2, 2, 3, 3, 3, 2, 3</t>
        </is>
      </c>
      <c r="AA196" s="183" t="inlineStr">
        <is>
          <t>Not found</t>
        </is>
      </c>
      <c r="AB196" s="183" t="inlineStr">
        <is>
          <t>Directory or search listing; not opened (direct site access blocked)</t>
        </is>
      </c>
      <c r="AC196" s="183" t="inlineStr">
        <is>
          <t>No expired licence or ended distribution agreement found</t>
        </is>
      </c>
      <c r="AD196" s="183" t="inlineStr">
        <is>
          <t>Not started</t>
        </is>
      </c>
      <c r="AE196" s="183" t="inlineStr"/>
      <c r="AF196" s="183" t="inlineStr"/>
      <c r="AG196" s="183" t="inlineStr">
        <is>
          <t>No email published and no verified website found</t>
        </is>
      </c>
    </row>
    <row r="197">
      <c r="A197" s="183" t="n">
        <v>193</v>
      </c>
      <c r="B197" s="183" t="inlineStr">
        <is>
          <t>Okinawa Sanwa Medical</t>
        </is>
      </c>
      <c r="C197" s="183" t="inlineStr">
        <is>
          <t>沖縄三和メディカル</t>
        </is>
      </c>
      <c r="D197" s="183" t="inlineStr">
        <is>
          <t>Not retrieved (NTA lookup blocked in this session)</t>
        </is>
      </c>
      <c r="E197" s="183" t="inlineStr">
        <is>
          <t>沖縄県</t>
        </is>
      </c>
      <c r="F197" s="183" t="inlineStr">
        <is>
          <t>Kyushu and Okinawa</t>
        </is>
      </c>
      <c r="G197" s="183" t="inlineStr">
        <is>
          <t>https://www.sanwa-md.com/</t>
        </is>
      </c>
      <c r="H197" s="183" t="inlineStr">
        <is>
          <t>No MAH found; device sales licence (高度管理医療機器等販売業) not confirmed</t>
        </is>
      </c>
      <c r="I197" s="183" t="inlineStr">
        <is>
          <t>Not identified in published sources</t>
        </is>
      </c>
      <c r="J197" s="183" t="inlineStr">
        <is>
          <t>General medical equipment (hospitals and clinics)</t>
        </is>
      </c>
      <c r="K197" s="183" t="inlineStr">
        <is>
          <t>沖縄県 (regional; branch network not confirmed)</t>
        </is>
      </c>
      <c r="L197" s="183" t="inlineStr">
        <is>
          <t>Not found</t>
        </is>
      </c>
      <c r="M197" s="183" t="inlineStr">
        <is>
          <t>Not identified</t>
        </is>
      </c>
      <c r="N197" s="183" t="inlineStr">
        <is>
          <t>Not identified</t>
        </is>
      </c>
      <c r="O197" s="183" t="inlineStr">
        <is>
          <t>Not published; use contact form</t>
        </is>
      </c>
      <c r="P197" s="183" t="inlineStr">
        <is>
          <t>Not confirmed</t>
        </is>
      </c>
      <c r="Q197" s="183" t="inlineStr">
        <is>
          <t>Not identified</t>
        </is>
      </c>
      <c r="R197" s="184" t="inlineStr">
        <is>
          <t>Likely</t>
        </is>
      </c>
      <c r="S197" s="183" t="n">
        <v>18</v>
      </c>
      <c r="T197" s="189" t="inlineStr">
        <is>
          <t>C</t>
        </is>
      </c>
      <c r="U197" s="183" t="inlineStr">
        <is>
          <t>Regional general medical equipment dealer with hospital and clinic accounts; candidate sub dealer under a national MAH partner.</t>
        </is>
      </c>
      <c r="V197" s="183" t="inlineStr">
        <is>
          <t>Introduce CHISON as a future line through a national MAH partner; ask about their hospital and clinic coverage, service engineers and openness to non Japanese brands.</t>
        </is>
      </c>
      <c r="W197" s="183" t="inlineStr">
        <is>
          <t>N (not identified)</t>
        </is>
      </c>
      <c r="X197" s="186" t="inlineStr">
        <is>
          <t>https://kyuren.jp/%E4%BC%9A%E5%93%A1%E7%B4%B9%E4%BB%8B/</t>
        </is>
      </c>
      <c r="Y197" s="183" t="inlineStr">
        <is>
          <t>SonoEye P3 plus SonoAir 30 for GP and clinic accounts</t>
        </is>
      </c>
      <c r="Z197" s="183" t="inlineStr">
        <is>
          <t>2, 2, 3, 3, 3, 2, 3</t>
        </is>
      </c>
      <c r="AA197" s="183" t="inlineStr">
        <is>
          <t>Not found</t>
        </is>
      </c>
      <c r="AB197" s="183" t="inlineStr">
        <is>
          <t>Directory or search listing; not opened (direct site access blocked)</t>
        </is>
      </c>
      <c r="AC197" s="183" t="inlineStr">
        <is>
          <t>No expired licence or ended distribution agreement found</t>
        </is>
      </c>
      <c r="AD197" s="183" t="inlineStr">
        <is>
          <t>Not started</t>
        </is>
      </c>
      <c r="AE197" s="183" t="inlineStr"/>
      <c r="AF197" s="183" t="inlineStr">
        <is>
          <t>https://www.sanwa-md.com/contact.php</t>
        </is>
      </c>
      <c r="AG197" s="183" t="inlineStr">
        <is>
          <t>No email published; use the contact form (link in Email source)</t>
        </is>
      </c>
    </row>
    <row r="198">
      <c r="A198" s="183" t="n">
        <v>194</v>
      </c>
      <c r="B198" s="183" t="inlineStr">
        <is>
          <t>MK Bussan</t>
        </is>
      </c>
      <c r="C198" s="183" t="inlineStr">
        <is>
          <t>エム・ケイ物産</t>
        </is>
      </c>
      <c r="D198" s="183" t="inlineStr">
        <is>
          <t>Not retrieved (NTA lookup blocked in this session)</t>
        </is>
      </c>
      <c r="E198" s="183" t="inlineStr">
        <is>
          <t>沖縄県</t>
        </is>
      </c>
      <c r="F198" s="183" t="inlineStr">
        <is>
          <t>Kyushu and Okinawa</t>
        </is>
      </c>
      <c r="G198" s="183" t="inlineStr">
        <is>
          <t>https://www.mkbussan.jp/</t>
        </is>
      </c>
      <c r="H198" s="183" t="inlineStr">
        <is>
          <t>No MAH found; device sales licence (高度管理医療機器等販売業) not confirmed</t>
        </is>
      </c>
      <c r="I198" s="183" t="inlineStr">
        <is>
          <t>Not identified in published sources</t>
        </is>
      </c>
      <c r="J198" s="183" t="inlineStr">
        <is>
          <t>General medical equipment (hospitals and clinics)</t>
        </is>
      </c>
      <c r="K198" s="183" t="inlineStr">
        <is>
          <t>沖縄県 (regional; branch network not confirmed)</t>
        </is>
      </c>
      <c r="L198" s="183" t="inlineStr">
        <is>
          <t>Not found</t>
        </is>
      </c>
      <c r="M198" s="183" t="inlineStr">
        <is>
          <t>Not identified</t>
        </is>
      </c>
      <c r="N198" s="183" t="inlineStr">
        <is>
          <t>Not identified</t>
        </is>
      </c>
      <c r="O198" s="183" t="inlineStr">
        <is>
          <t>Not published; use contact form</t>
        </is>
      </c>
      <c r="P198" s="183" t="inlineStr">
        <is>
          <t>Not confirmed</t>
        </is>
      </c>
      <c r="Q198" s="183" t="inlineStr">
        <is>
          <t>Not identified</t>
        </is>
      </c>
      <c r="R198" s="184" t="inlineStr">
        <is>
          <t>Likely</t>
        </is>
      </c>
      <c r="S198" s="183" t="n">
        <v>18</v>
      </c>
      <c r="T198" s="189" t="inlineStr">
        <is>
          <t>C</t>
        </is>
      </c>
      <c r="U198" s="183" t="inlineStr">
        <is>
          <t>Regional general medical equipment dealer with hospital and clinic accounts; candidate sub dealer under a national MAH partner.</t>
        </is>
      </c>
      <c r="V198" s="183" t="inlineStr">
        <is>
          <t>Introduce CHISON as a future line through a national MAH partner; ask about their hospital and clinic coverage, service engineers and openness to non Japanese brands.</t>
        </is>
      </c>
      <c r="W198" s="183" t="inlineStr">
        <is>
          <t>N (not identified)</t>
        </is>
      </c>
      <c r="X198" s="186" t="inlineStr">
        <is>
          <t>https://kyuren.jp/%E4%BC%9A%E5%93%A1%E7%B4%B9%E4%BB%8B/</t>
        </is>
      </c>
      <c r="Y198" s="183" t="inlineStr">
        <is>
          <t>SonoEye P3 plus SonoAir 30 for GP and clinic accounts</t>
        </is>
      </c>
      <c r="Z198" s="183" t="inlineStr">
        <is>
          <t>2, 2, 3, 3, 3, 2, 3</t>
        </is>
      </c>
      <c r="AA198" s="183" t="inlineStr">
        <is>
          <t>Not found</t>
        </is>
      </c>
      <c r="AB198" s="183" t="inlineStr">
        <is>
          <t>Directory or search listing; not opened (direct site access blocked)</t>
        </is>
      </c>
      <c r="AC198" s="183" t="inlineStr">
        <is>
          <t>No expired licence or ended distribution agreement found</t>
        </is>
      </c>
      <c r="AD198" s="183" t="inlineStr">
        <is>
          <t>Not started</t>
        </is>
      </c>
      <c r="AE198" s="183" t="inlineStr"/>
      <c r="AF198" s="183" t="inlineStr">
        <is>
          <t>https://www.mkbussan.jp/contact.php</t>
        </is>
      </c>
      <c r="AG198" s="183" t="inlineStr">
        <is>
          <t>No email published; use the contact form (link in Email source)</t>
        </is>
      </c>
    </row>
    <row r="199">
      <c r="A199" s="183" t="n">
        <v>195</v>
      </c>
      <c r="B199" s="183" t="inlineStr">
        <is>
          <t>Okinawa Mutoh</t>
        </is>
      </c>
      <c r="C199" s="183" t="inlineStr">
        <is>
          <t>沖縄ムトウ</t>
        </is>
      </c>
      <c r="D199" s="183" t="inlineStr">
        <is>
          <t>Not retrieved (NTA lookup blocked in this session)</t>
        </is>
      </c>
      <c r="E199" s="183" t="inlineStr">
        <is>
          <t>沖縄県</t>
        </is>
      </c>
      <c r="F199" s="183" t="inlineStr">
        <is>
          <t>Kyushu and Okinawa</t>
        </is>
      </c>
      <c r="G199" s="183" t="inlineStr">
        <is>
          <t>Not confirmed (company site not opened; network policy blocked direct access)</t>
        </is>
      </c>
      <c r="H199" s="183" t="inlineStr">
        <is>
          <t>No MAH found; device sales licence (高度管理医療機器等販売業) not confirmed</t>
        </is>
      </c>
      <c r="I199" s="183" t="inlineStr">
        <is>
          <t>Not identified in published sources</t>
        </is>
      </c>
      <c r="J199" s="183" t="inlineStr">
        <is>
          <t>General medical equipment (hospitals and clinics)</t>
        </is>
      </c>
      <c r="K199" s="183" t="inlineStr">
        <is>
          <t>沖縄県 (regional; branch network not confirmed)</t>
        </is>
      </c>
      <c r="L199" s="183" t="inlineStr">
        <is>
          <t>Not found</t>
        </is>
      </c>
      <c r="M199" s="183" t="inlineStr">
        <is>
          <t>Not identified</t>
        </is>
      </c>
      <c r="N199" s="183" t="inlineStr">
        <is>
          <t>Not identified</t>
        </is>
      </c>
      <c r="O199" s="183" t="inlineStr">
        <is>
          <t>Not published; use company inquiry form</t>
        </is>
      </c>
      <c r="P199" s="183" t="inlineStr">
        <is>
          <t>Not confirmed</t>
        </is>
      </c>
      <c r="Q199" s="183" t="inlineStr">
        <is>
          <t>Not identified</t>
        </is>
      </c>
      <c r="R199" s="184" t="inlineStr">
        <is>
          <t>Unverified</t>
        </is>
      </c>
      <c r="S199" s="183" t="n">
        <v>18</v>
      </c>
      <c r="T199" s="189" t="inlineStr">
        <is>
          <t>C</t>
        </is>
      </c>
      <c r="U199" s="183" t="inlineStr">
        <is>
          <t>Regional general medical equipment dealer with hospital and clinic accounts; candidate sub dealer under a national MAH partner.</t>
        </is>
      </c>
      <c r="V199" s="183" t="inlineStr">
        <is>
          <t>Introduce CHISON as a future line through a national MAH partner; ask about their hospital and clinic coverage, service engineers and openness to non Japanese brands.</t>
        </is>
      </c>
      <c r="W199" s="183" t="inlineStr">
        <is>
          <t>N (not identified)</t>
        </is>
      </c>
      <c r="X199" s="186" t="inlineStr">
        <is>
          <t>https://kyuren.jp/%E4%BC%9A%E5%93%A1%E7%B4%B9%E4%BB%8B/</t>
        </is>
      </c>
      <c r="Y199" s="183" t="inlineStr">
        <is>
          <t>SonoEye P3 plus SonoAir 30 for GP and clinic accounts</t>
        </is>
      </c>
      <c r="Z199" s="183" t="inlineStr">
        <is>
          <t>2, 2, 3, 3, 3, 2, 3</t>
        </is>
      </c>
      <c r="AA199" s="183" t="inlineStr">
        <is>
          <t>Not found</t>
        </is>
      </c>
      <c r="AB199" s="183" t="inlineStr">
        <is>
          <t>Recheck: no independent confirmation found; directory listing only. Mutoh recruits for Okinawa postings</t>
        </is>
      </c>
      <c r="AC199" s="183" t="inlineStr">
        <is>
          <t>Holding group overlap: Mutoh group (existing row 15). Approach via Mutoh head office. No expired licence or ended distribution agreement found</t>
        </is>
      </c>
      <c r="AD199" s="183" t="inlineStr">
        <is>
          <t>Not started</t>
        </is>
      </c>
      <c r="AE199" s="183" t="inlineStr"/>
      <c r="AF199" s="183" t="inlineStr"/>
      <c r="AG199" s="183" t="inlineStr">
        <is>
          <t>No email published and no verified website found</t>
        </is>
      </c>
    </row>
    <row r="200">
      <c r="A200" s="183" t="n">
        <v>196</v>
      </c>
      <c r="B200" s="183" t="inlineStr">
        <is>
          <t>Okinawa Medico</t>
        </is>
      </c>
      <c r="C200" s="183" t="inlineStr">
        <is>
          <t>沖縄メディコ</t>
        </is>
      </c>
      <c r="D200" s="183" t="inlineStr">
        <is>
          <t>Not retrieved (NTA lookup blocked in this session)</t>
        </is>
      </c>
      <c r="E200" s="183" t="inlineStr">
        <is>
          <t>沖縄県</t>
        </is>
      </c>
      <c r="F200" s="183" t="inlineStr">
        <is>
          <t>Kyushu and Okinawa</t>
        </is>
      </c>
      <c r="G200" s="183" t="inlineStr">
        <is>
          <t>https://okinawa-medico.com/</t>
        </is>
      </c>
      <c r="H200" s="183" t="inlineStr">
        <is>
          <t>No MAH found; device sales licence (高度管理医療機器等販売業) not confirmed</t>
        </is>
      </c>
      <c r="I200" s="183" t="inlineStr">
        <is>
          <t>Not identified in published sources</t>
        </is>
      </c>
      <c r="J200" s="183" t="inlineStr">
        <is>
          <t>General medical equipment (hospitals and clinics)</t>
        </is>
      </c>
      <c r="K200" s="183" t="inlineStr">
        <is>
          <t>沖縄県 (regional; branch network not confirmed)</t>
        </is>
      </c>
      <c r="L200" s="183" t="inlineStr">
        <is>
          <t>Not found</t>
        </is>
      </c>
      <c r="M200" s="183" t="inlineStr">
        <is>
          <t>Not identified</t>
        </is>
      </c>
      <c r="N200" s="183" t="inlineStr">
        <is>
          <t>Not identified</t>
        </is>
      </c>
      <c r="O200" s="183" t="inlineStr">
        <is>
          <t>Not published; use contact form</t>
        </is>
      </c>
      <c r="P200" s="183" t="inlineStr">
        <is>
          <t>Not confirmed</t>
        </is>
      </c>
      <c r="Q200" s="183" t="inlineStr">
        <is>
          <t>Not identified</t>
        </is>
      </c>
      <c r="R200" s="184" t="inlineStr">
        <is>
          <t>Likely</t>
        </is>
      </c>
      <c r="S200" s="183" t="n">
        <v>18</v>
      </c>
      <c r="T200" s="189" t="inlineStr">
        <is>
          <t>C</t>
        </is>
      </c>
      <c r="U200" s="183" t="inlineStr">
        <is>
          <t>Regional general medical equipment dealer with hospital and clinic accounts; candidate sub dealer under a national MAH partner.</t>
        </is>
      </c>
      <c r="V200" s="183" t="inlineStr">
        <is>
          <t>Introduce CHISON as a future line through a national MAH partner; ask about their hospital and clinic coverage, service engineers and openness to non Japanese brands.</t>
        </is>
      </c>
      <c r="W200" s="183" t="inlineStr">
        <is>
          <t>N (not identified)</t>
        </is>
      </c>
      <c r="X200" s="186" t="inlineStr">
        <is>
          <t>https://kyuren.jp/%E4%BC%9A%E5%93%A1%E7%B4%B9%E4%BB%8B/</t>
        </is>
      </c>
      <c r="Y200" s="183" t="inlineStr">
        <is>
          <t>SonoEye P3 plus SonoAir 30 for GP and clinic accounts</t>
        </is>
      </c>
      <c r="Z200" s="183" t="inlineStr">
        <is>
          <t>2, 2, 3, 3, 3, 2, 3</t>
        </is>
      </c>
      <c r="AA200" s="183" t="inlineStr">
        <is>
          <t>Not found</t>
        </is>
      </c>
      <c r="AB200" s="183" t="inlineStr">
        <is>
          <t>Directory or search listing; not opened (direct site access blocked)</t>
        </is>
      </c>
      <c r="AC200" s="183" t="inlineStr">
        <is>
          <t>No expired licence or ended distribution agreement found</t>
        </is>
      </c>
      <c r="AD200" s="183" t="inlineStr">
        <is>
          <t>Not started</t>
        </is>
      </c>
      <c r="AE200" s="183" t="inlineStr"/>
      <c r="AF200" s="183" t="inlineStr">
        <is>
          <t>https://okinawa-medico.com/contact/</t>
        </is>
      </c>
      <c r="AG200" s="183" t="inlineStr">
        <is>
          <t>No email published; use the contact form (link in Email source)</t>
        </is>
      </c>
    </row>
    <row r="201">
      <c r="A201" s="183" t="n">
        <v>197</v>
      </c>
      <c r="B201" s="183" t="inlineStr">
        <is>
          <t>Daiichi Iryoki</t>
        </is>
      </c>
      <c r="C201" s="183" t="inlineStr">
        <is>
          <t>第一医療器</t>
        </is>
      </c>
      <c r="D201" s="183" t="inlineStr">
        <is>
          <t>Not retrieved (NTA lookup blocked in this session)</t>
        </is>
      </c>
      <c r="E201" s="183" t="inlineStr">
        <is>
          <t>沖縄県</t>
        </is>
      </c>
      <c r="F201" s="183" t="inlineStr">
        <is>
          <t>Kyushu and Okinawa</t>
        </is>
      </c>
      <c r="G201" s="183" t="inlineStr">
        <is>
          <t>Not confirmed (company site not opened; network policy blocked direct access)</t>
        </is>
      </c>
      <c r="H201" s="183" t="inlineStr">
        <is>
          <t>No MAH found; device sales licence (高度管理医療機器等販売業) not confirmed</t>
        </is>
      </c>
      <c r="I201" s="183" t="inlineStr">
        <is>
          <t>Not identified in published sources</t>
        </is>
      </c>
      <c r="J201" s="183" t="inlineStr">
        <is>
          <t>General medical equipment (hospitals and clinics)</t>
        </is>
      </c>
      <c r="K201" s="183" t="inlineStr">
        <is>
          <t>沖縄県 (regional; branch network not confirmed)</t>
        </is>
      </c>
      <c r="L201" s="183" t="inlineStr">
        <is>
          <t>Not found</t>
        </is>
      </c>
      <c r="M201" s="183" t="inlineStr">
        <is>
          <t>Not identified</t>
        </is>
      </c>
      <c r="N201" s="183" t="inlineStr">
        <is>
          <t>Not identified</t>
        </is>
      </c>
      <c r="O201" s="183" t="inlineStr">
        <is>
          <t>Not published; use company inquiry form</t>
        </is>
      </c>
      <c r="P201" s="183" t="inlineStr">
        <is>
          <t>Not confirmed</t>
        </is>
      </c>
      <c r="Q201" s="183" t="inlineStr">
        <is>
          <t>Not identified</t>
        </is>
      </c>
      <c r="R201" s="184" t="inlineStr">
        <is>
          <t>Unverified</t>
        </is>
      </c>
      <c r="S201" s="183" t="n">
        <v>18</v>
      </c>
      <c r="T201" s="189" t="inlineStr">
        <is>
          <t>C</t>
        </is>
      </c>
      <c r="U201" s="183" t="inlineStr">
        <is>
          <t>Regional general medical equipment dealer with hospital and clinic accounts; candidate sub dealer under a national MAH partner.</t>
        </is>
      </c>
      <c r="V201" s="183" t="inlineStr">
        <is>
          <t>Introduce CHISON as a future line through a national MAH partner; ask about their hospital and clinic coverage, service engineers and openness to non Japanese brands.</t>
        </is>
      </c>
      <c r="W201" s="183" t="inlineStr">
        <is>
          <t>N (not identified)</t>
        </is>
      </c>
      <c r="X201" s="186" t="inlineStr">
        <is>
          <t>https://kyuren.jp/%E4%BC%9A%E5%93%A1%E7%B4%B9%E4%BB%8B/</t>
        </is>
      </c>
      <c r="Y201" s="183" t="inlineStr">
        <is>
          <t>SonoEye P3 plus SonoAir 30 for GP and clinic accounts</t>
        </is>
      </c>
      <c r="Z201" s="183" t="inlineStr">
        <is>
          <t>2, 2, 3, 3, 3, 2, 3</t>
        </is>
      </c>
      <c r="AA201" s="183" t="inlineStr">
        <is>
          <t>Not found</t>
        </is>
      </c>
      <c r="AB201" s="183" t="inlineStr">
        <is>
          <t>Directory or search listing; not opened (direct site access blocked)</t>
        </is>
      </c>
      <c r="AC201" s="183" t="inlineStr">
        <is>
          <t>No expired licence or ended distribution agreement found</t>
        </is>
      </c>
      <c r="AD201" s="183" t="inlineStr">
        <is>
          <t>Not started</t>
        </is>
      </c>
      <c r="AE201" s="183" t="inlineStr"/>
      <c r="AF201" s="183" t="inlineStr"/>
      <c r="AG201" s="183" t="inlineStr">
        <is>
          <t>No email published and no verified website found</t>
        </is>
      </c>
    </row>
    <row r="202">
      <c r="A202" s="183" t="n">
        <v>198</v>
      </c>
      <c r="B202" s="183" t="inlineStr">
        <is>
          <t>Chuo Iryoki</t>
        </is>
      </c>
      <c r="C202" s="183" t="inlineStr">
        <is>
          <t>中央医療器</t>
        </is>
      </c>
      <c r="D202" s="183" t="inlineStr">
        <is>
          <t>Not retrieved (NTA lookup blocked in this session)</t>
        </is>
      </c>
      <c r="E202" s="183" t="inlineStr">
        <is>
          <t>沖縄県</t>
        </is>
      </c>
      <c r="F202" s="183" t="inlineStr">
        <is>
          <t>Kyushu and Okinawa</t>
        </is>
      </c>
      <c r="G202" s="183" t="inlineStr">
        <is>
          <t>https://www.chuoiryoki.co.jp/</t>
        </is>
      </c>
      <c r="H202" s="183" t="inlineStr">
        <is>
          <t>No MAH found; device sales licence (高度管理医療機器等販売業) not confirmed</t>
        </is>
      </c>
      <c r="I202" s="183" t="inlineStr">
        <is>
          <t>Not identified in published sources</t>
        </is>
      </c>
      <c r="J202" s="183" t="inlineStr">
        <is>
          <t>General medical equipment (hospitals and clinics)</t>
        </is>
      </c>
      <c r="K202" s="183" t="inlineStr">
        <is>
          <t>沖縄県 (regional; branch network not confirmed)</t>
        </is>
      </c>
      <c r="L202" s="183" t="inlineStr">
        <is>
          <t>Not found</t>
        </is>
      </c>
      <c r="M202" s="183" t="inlineStr">
        <is>
          <t>Not identified</t>
        </is>
      </c>
      <c r="N202" s="183" t="inlineStr">
        <is>
          <t>Not identified</t>
        </is>
      </c>
      <c r="O202" s="183" t="inlineStr">
        <is>
          <t>info@chuoiryoki.co.jp</t>
        </is>
      </c>
      <c r="P202" s="183" t="inlineStr">
        <is>
          <t>Not confirmed</t>
        </is>
      </c>
      <c r="Q202" s="183" t="inlineStr">
        <is>
          <t>Not identified</t>
        </is>
      </c>
      <c r="R202" s="184" t="inlineStr">
        <is>
          <t>Unverified</t>
        </is>
      </c>
      <c r="S202" s="183" t="n">
        <v>18</v>
      </c>
      <c r="T202" s="189" t="inlineStr">
        <is>
          <t>C</t>
        </is>
      </c>
      <c r="U202" s="183" t="inlineStr">
        <is>
          <t>Regional general medical equipment dealer with hospital and clinic accounts; candidate sub dealer under a national MAH partner.</t>
        </is>
      </c>
      <c r="V202" s="183" t="inlineStr">
        <is>
          <t>Introduce CHISON as a future line through a national MAH partner; ask about their hospital and clinic coverage, service engineers and openness to non Japanese brands.</t>
        </is>
      </c>
      <c r="W202" s="183" t="inlineStr">
        <is>
          <t>N (not identified)</t>
        </is>
      </c>
      <c r="X202" s="186" t="inlineStr">
        <is>
          <t>https://kyuren.jp/%E4%BC%9A%E5%93%A1%E7%B4%B9%E4%BB%8B/</t>
        </is>
      </c>
      <c r="Y202" s="183" t="inlineStr">
        <is>
          <t>SonoEye P3 plus SonoAir 30 for GP and clinic accounts</t>
        </is>
      </c>
      <c r="Z202" s="183" t="inlineStr">
        <is>
          <t>2, 2, 3, 3, 3, 2, 3</t>
        </is>
      </c>
      <c r="AA202" s="183" t="inlineStr">
        <is>
          <t>Not found</t>
        </is>
      </c>
      <c r="AB202" s="183" t="inlineStr">
        <is>
          <t>Directory or search listing; not opened (direct site access blocked)</t>
        </is>
      </c>
      <c r="AC202" s="183" t="inlineStr">
        <is>
          <t>No expired licence or ended distribution agreement found</t>
        </is>
      </c>
      <c r="AD202" s="183" t="inlineStr">
        <is>
          <t>Not started</t>
        </is>
      </c>
      <c r="AE202" s="183" t="inlineStr"/>
      <c r="AF202" s="183" t="inlineStr">
        <is>
          <t>https://www.facebook.com/chuoiryoki/?locale=ja_JP</t>
        </is>
      </c>
      <c r="AG202" s="183" t="inlineStr">
        <is>
          <t>Likely: indexed on company domain</t>
        </is>
      </c>
    </row>
    <row r="203">
      <c r="A203" s="183" t="n">
        <v>199</v>
      </c>
      <c r="B203" s="183" t="inlineStr">
        <is>
          <t>Nansei Iryoki</t>
        </is>
      </c>
      <c r="C203" s="183" t="inlineStr">
        <is>
          <t>南西医療器</t>
        </is>
      </c>
      <c r="D203" s="183" t="inlineStr">
        <is>
          <t>Not retrieved (NTA lookup blocked in this session)</t>
        </is>
      </c>
      <c r="E203" s="183" t="inlineStr">
        <is>
          <t>沖縄県</t>
        </is>
      </c>
      <c r="F203" s="183" t="inlineStr">
        <is>
          <t>Kyushu and Okinawa</t>
        </is>
      </c>
      <c r="G203" s="183" t="inlineStr">
        <is>
          <t>http://www.swm-i.co.jp/</t>
        </is>
      </c>
      <c r="H203" s="183" t="inlineStr">
        <is>
          <t>No MAH found; device sales licence (高度管理医療機器等販売業) not confirmed</t>
        </is>
      </c>
      <c r="I203" s="183" t="inlineStr">
        <is>
          <t>Not identified in published sources</t>
        </is>
      </c>
      <c r="J203" s="183" t="inlineStr">
        <is>
          <t>General medical equipment (hospitals and clinics)</t>
        </is>
      </c>
      <c r="K203" s="183" t="inlineStr">
        <is>
          <t>沖縄県 (regional; branch network not confirmed)</t>
        </is>
      </c>
      <c r="L203" s="183" t="inlineStr">
        <is>
          <t>Not found</t>
        </is>
      </c>
      <c r="M203" s="183" t="inlineStr">
        <is>
          <t>Not identified</t>
        </is>
      </c>
      <c r="N203" s="183" t="inlineStr">
        <is>
          <t>Not identified</t>
        </is>
      </c>
      <c r="O203" s="183" t="inlineStr">
        <is>
          <t>Not published; use contact form</t>
        </is>
      </c>
      <c r="P203" s="183" t="inlineStr">
        <is>
          <t>Not confirmed</t>
        </is>
      </c>
      <c r="Q203" s="183" t="inlineStr">
        <is>
          <t>Not identified</t>
        </is>
      </c>
      <c r="R203" s="184" t="inlineStr">
        <is>
          <t>Likely</t>
        </is>
      </c>
      <c r="S203" s="183" t="n">
        <v>18</v>
      </c>
      <c r="T203" s="189" t="inlineStr">
        <is>
          <t>C</t>
        </is>
      </c>
      <c r="U203" s="183" t="inlineStr">
        <is>
          <t>Regional general medical equipment dealer with hospital and clinic accounts; candidate sub dealer under a national MAH partner.</t>
        </is>
      </c>
      <c r="V203" s="183" t="inlineStr">
        <is>
          <t>Introduce CHISON as a future line through a national MAH partner; ask about their hospital and clinic coverage, service engineers and openness to non Japanese brands.</t>
        </is>
      </c>
      <c r="W203" s="183" t="inlineStr">
        <is>
          <t>N (not identified)</t>
        </is>
      </c>
      <c r="X203" s="186" t="inlineStr">
        <is>
          <t>https://kyuren.jp/%E4%BC%9A%E5%93%A1%E7%B4%B9%E4%BB%8B/</t>
        </is>
      </c>
      <c r="Y203" s="183" t="inlineStr">
        <is>
          <t>SonoEye P3 plus SonoAir 30 for GP and clinic accounts</t>
        </is>
      </c>
      <c r="Z203" s="183" t="inlineStr">
        <is>
          <t>2, 2, 3, 3, 3, 2, 3</t>
        </is>
      </c>
      <c r="AA203" s="183" t="inlineStr">
        <is>
          <t>Not found</t>
        </is>
      </c>
      <c r="AB203" s="183" t="inlineStr">
        <is>
          <t>Directory or search listing; not opened (direct site access blocked)</t>
        </is>
      </c>
      <c r="AC203" s="183" t="inlineStr">
        <is>
          <t>No expired licence or ended distribution agreement found</t>
        </is>
      </c>
      <c r="AD203" s="183" t="inlineStr">
        <is>
          <t>Not started</t>
        </is>
      </c>
      <c r="AE203" s="183" t="inlineStr"/>
      <c r="AF203" s="183" t="inlineStr">
        <is>
          <t>http://www.swm-i.co.jp/inquirie/</t>
        </is>
      </c>
      <c r="AG203" s="183" t="inlineStr">
        <is>
          <t>No email published; use the contact form (link in Email source)</t>
        </is>
      </c>
    </row>
    <row r="204">
      <c r="A204" s="183" t="n">
        <v>200</v>
      </c>
      <c r="B204" s="183" t="inlineStr">
        <is>
          <t>Ryukyu Kowa</t>
        </is>
      </c>
      <c r="C204" s="183" t="inlineStr">
        <is>
          <t>琉球光和</t>
        </is>
      </c>
      <c r="D204" s="183" t="inlineStr">
        <is>
          <t>Not retrieved (NTA lookup blocked in this session)</t>
        </is>
      </c>
      <c r="E204" s="183" t="inlineStr">
        <is>
          <t>沖縄県</t>
        </is>
      </c>
      <c r="F204" s="183" t="inlineStr">
        <is>
          <t>Kyushu and Okinawa</t>
        </is>
      </c>
      <c r="G204" s="183" t="inlineStr">
        <is>
          <t>https://rkowa.com/</t>
        </is>
      </c>
      <c r="H204" s="183" t="inlineStr">
        <is>
          <t>No MAH found; device sales licence (高度管理医療機器等販売業) not confirmed</t>
        </is>
      </c>
      <c r="I204" s="183" t="inlineStr">
        <is>
          <t>Not identified in published sources</t>
        </is>
      </c>
      <c r="J204" s="183" t="inlineStr">
        <is>
          <t>General medical equipment (hospitals and clinics)</t>
        </is>
      </c>
      <c r="K204" s="183" t="inlineStr">
        <is>
          <t>沖縄県 (regional; branch network not confirmed)</t>
        </is>
      </c>
      <c r="L204" s="183" t="inlineStr">
        <is>
          <t>Not found</t>
        </is>
      </c>
      <c r="M204" s="183" t="inlineStr">
        <is>
          <t>Not identified</t>
        </is>
      </c>
      <c r="N204" s="183" t="inlineStr">
        <is>
          <t>Not identified</t>
        </is>
      </c>
      <c r="O204" s="183" t="inlineStr">
        <is>
          <t>recruit2028@rkowa.com</t>
        </is>
      </c>
      <c r="P204" s="183" t="inlineStr">
        <is>
          <t>Not confirmed</t>
        </is>
      </c>
      <c r="Q204" s="183" t="inlineStr">
        <is>
          <t>Not identified</t>
        </is>
      </c>
      <c r="R204" s="184" t="inlineStr">
        <is>
          <t>Unverified</t>
        </is>
      </c>
      <c r="S204" s="183" t="n">
        <v>18</v>
      </c>
      <c r="T204" s="189" t="inlineStr">
        <is>
          <t>C</t>
        </is>
      </c>
      <c r="U204" s="183" t="inlineStr">
        <is>
          <t>Regional general medical equipment dealer with hospital and clinic accounts; candidate sub dealer under a national MAH partner.</t>
        </is>
      </c>
      <c r="V204" s="183" t="inlineStr">
        <is>
          <t>Introduce CHISON as a future line through a national MAH partner; ask about their hospital and clinic coverage, service engineers and openness to non Japanese brands.</t>
        </is>
      </c>
      <c r="W204" s="183" t="inlineStr">
        <is>
          <t>N (not identified)</t>
        </is>
      </c>
      <c r="X204" s="186" t="inlineStr">
        <is>
          <t>https://kyuren.jp/%E4%BC%9A%E5%93%A1%E7%B4%B9%E4%BB%8B/</t>
        </is>
      </c>
      <c r="Y204" s="183" t="inlineStr">
        <is>
          <t>SonoEye P3 plus SonoAir 30 for GP and clinic accounts</t>
        </is>
      </c>
      <c r="Z204" s="183" t="inlineStr">
        <is>
          <t>2, 2, 3, 3, 3, 2, 3</t>
        </is>
      </c>
      <c r="AA204" s="183" t="inlineStr">
        <is>
          <t>Not found</t>
        </is>
      </c>
      <c r="AB204" s="183" t="inlineStr">
        <is>
          <t>Directory or search listing; not opened (direct site access blocked)</t>
        </is>
      </c>
      <c r="AC204" s="183" t="inlineStr">
        <is>
          <t>No expired licence or ended distribution agreement found</t>
        </is>
      </c>
      <c r="AD204" s="183" t="inlineStr">
        <is>
          <t>Not started</t>
        </is>
      </c>
      <c r="AE204" s="183" t="inlineStr"/>
      <c r="AF204" s="183" t="inlineStr">
        <is>
          <t>https://rkowa.com/recruit/job-description</t>
        </is>
      </c>
      <c r="AG204" s="183" t="inlineStr">
        <is>
          <t>Verified: published on company website; HR or recruitment inbox, ask to forward to sales</t>
        </is>
      </c>
    </row>
    <row r="205">
      <c r="A205" s="183" t="n">
        <v>201</v>
      </c>
      <c r="B205" s="183" t="inlineStr">
        <is>
          <t>Medical Support Kan</t>
        </is>
      </c>
      <c r="C205" s="183" t="inlineStr">
        <is>
          <t>メディカルサポート環</t>
        </is>
      </c>
      <c r="D205" s="183" t="inlineStr">
        <is>
          <t>Not retrieved (NTA lookup blocked in this session)</t>
        </is>
      </c>
      <c r="E205" s="183" t="inlineStr">
        <is>
          <t>沖縄県</t>
        </is>
      </c>
      <c r="F205" s="183" t="inlineStr">
        <is>
          <t>Kyushu and Okinawa</t>
        </is>
      </c>
      <c r="G205" s="183" t="inlineStr">
        <is>
          <t>https://mstamaki.com/</t>
        </is>
      </c>
      <c r="H205" s="183" t="inlineStr">
        <is>
          <t>No MAH found; device sales licence (高度管理医療機器等販売業) not confirmed</t>
        </is>
      </c>
      <c r="I205" s="183" t="inlineStr">
        <is>
          <t>Not identified in published sources</t>
        </is>
      </c>
      <c r="J205" s="183" t="inlineStr">
        <is>
          <t>General medical equipment (hospitals and clinics)</t>
        </is>
      </c>
      <c r="K205" s="183" t="inlineStr">
        <is>
          <t>沖縄県 (regional; branch network not confirmed)</t>
        </is>
      </c>
      <c r="L205" s="183" t="inlineStr">
        <is>
          <t>Not found</t>
        </is>
      </c>
      <c r="M205" s="183" t="inlineStr">
        <is>
          <t>Not identified</t>
        </is>
      </c>
      <c r="N205" s="183" t="inlineStr">
        <is>
          <t>Not identified</t>
        </is>
      </c>
      <c r="O205" s="183" t="inlineStr">
        <is>
          <t>mstamaki07@gmail.com</t>
        </is>
      </c>
      <c r="P205" s="183" t="inlineStr">
        <is>
          <t>Not confirmed</t>
        </is>
      </c>
      <c r="Q205" s="183" t="inlineStr">
        <is>
          <t>Not identified</t>
        </is>
      </c>
      <c r="R205" s="184" t="inlineStr">
        <is>
          <t>Unverified</t>
        </is>
      </c>
      <c r="S205" s="183" t="n">
        <v>18</v>
      </c>
      <c r="T205" s="189" t="inlineStr">
        <is>
          <t>C</t>
        </is>
      </c>
      <c r="U205" s="183" t="inlineStr">
        <is>
          <t>Regional general medical equipment dealer with hospital and clinic accounts; candidate sub dealer under a national MAH partner.</t>
        </is>
      </c>
      <c r="V205" s="183" t="inlineStr">
        <is>
          <t>Introduce CHISON as a future line through a national MAH partner; ask about their hospital and clinic coverage, service engineers and openness to non Japanese brands.</t>
        </is>
      </c>
      <c r="W205" s="183" t="inlineStr">
        <is>
          <t>N (not identified)</t>
        </is>
      </c>
      <c r="X205" s="186" t="inlineStr">
        <is>
          <t>https://kyuren.jp/%E4%BC%9A%E5%93%A1%E7%B4%B9%E4%BB%8B/</t>
        </is>
      </c>
      <c r="Y205" s="183" t="inlineStr">
        <is>
          <t>SonoEye P3 plus SonoAir 30 for GP and clinic accounts</t>
        </is>
      </c>
      <c r="Z205" s="183" t="inlineStr">
        <is>
          <t>2, 2, 3, 3, 3, 2, 3</t>
        </is>
      </c>
      <c r="AA205" s="183" t="inlineStr">
        <is>
          <t>Not found</t>
        </is>
      </c>
      <c r="AB205" s="183" t="inlineStr">
        <is>
          <t>Directory or search listing; not opened (direct site access blocked)</t>
        </is>
      </c>
      <c r="AC205" s="183" t="inlineStr">
        <is>
          <t>No expired licence or ended distribution agreement found</t>
        </is>
      </c>
      <c r="AD205" s="183" t="inlineStr">
        <is>
          <t>Not started</t>
        </is>
      </c>
      <c r="AE205" s="183" t="inlineStr"/>
      <c r="AF205" s="183" t="inlineStr">
        <is>
          <t>https://mstamaki.com/gazou</t>
        </is>
      </c>
      <c r="AG205" s="183" t="inlineStr">
        <is>
          <t>Likely: free webmail address shown on company website, confirm</t>
        </is>
      </c>
    </row>
    <row r="206">
      <c r="A206" s="183" t="n">
        <v>202</v>
      </c>
      <c r="B206" s="183" t="inlineStr">
        <is>
          <t>Kimura Iryoki</t>
        </is>
      </c>
      <c r="C206" s="183" t="inlineStr">
        <is>
          <t>木村医療器</t>
        </is>
      </c>
      <c r="D206" s="183" t="inlineStr">
        <is>
          <t>Not retrieved (NTA lookup blocked in this session)</t>
        </is>
      </c>
      <c r="E206" s="183" t="inlineStr">
        <is>
          <t>熊本県</t>
        </is>
      </c>
      <c r="F206" s="183" t="inlineStr">
        <is>
          <t>Kyushu and Okinawa</t>
        </is>
      </c>
      <c r="G206" s="183" t="inlineStr">
        <is>
          <t>https://www.kimura-iryoki.com/</t>
        </is>
      </c>
      <c r="H206" s="183" t="inlineStr">
        <is>
          <t>No MAH found; device sales licence (高度管理医療機器等販売業) not confirmed</t>
        </is>
      </c>
      <c r="I206" s="183" t="inlineStr">
        <is>
          <t>Not identified in published sources</t>
        </is>
      </c>
      <c r="J206" s="183" t="inlineStr">
        <is>
          <t>General medical equipment (hospitals and clinics)</t>
        </is>
      </c>
      <c r="K206" s="183" t="inlineStr">
        <is>
          <t>熊本県 (regional; branch network not confirmed)</t>
        </is>
      </c>
      <c r="L206" s="183" t="inlineStr">
        <is>
          <t>Not found</t>
        </is>
      </c>
      <c r="M206" s="183" t="inlineStr">
        <is>
          <t>Not identified</t>
        </is>
      </c>
      <c r="N206" s="183" t="inlineStr">
        <is>
          <t>Not identified</t>
        </is>
      </c>
      <c r="O206" s="183" t="inlineStr">
        <is>
          <t>Not published; use contact form</t>
        </is>
      </c>
      <c r="P206" s="183" t="inlineStr">
        <is>
          <t>Not confirmed</t>
        </is>
      </c>
      <c r="Q206" s="183" t="inlineStr">
        <is>
          <t>Not identified</t>
        </is>
      </c>
      <c r="R206" s="184" t="inlineStr">
        <is>
          <t>Likely</t>
        </is>
      </c>
      <c r="S206" s="183" t="n">
        <v>18</v>
      </c>
      <c r="T206" s="189" t="inlineStr">
        <is>
          <t>C</t>
        </is>
      </c>
      <c r="U206" s="183" t="inlineStr">
        <is>
          <t>Regional general medical equipment dealer with hospital and clinic accounts; candidate sub dealer under a national MAH partner.</t>
        </is>
      </c>
      <c r="V206" s="183" t="inlineStr">
        <is>
          <t>Introduce CHISON as a future line through a national MAH partner; ask about their hospital and clinic coverage, service engineers and openness to non Japanese brands.</t>
        </is>
      </c>
      <c r="W206" s="183" t="inlineStr">
        <is>
          <t>N (not identified)</t>
        </is>
      </c>
      <c r="X206" s="186" t="inlineStr">
        <is>
          <t>https://baseconnect.in/companies/prefecture/96c84bbe-0dd4-4885-9333-4913e3f022c9/keyword/89941b4e-2dd1-4848-8957-48af280a31e0</t>
        </is>
      </c>
      <c r="Y206" s="183" t="inlineStr">
        <is>
          <t>SonoEye P3 plus SonoAir 30 for GP and clinic accounts</t>
        </is>
      </c>
      <c r="Z206" s="183" t="inlineStr">
        <is>
          <t>2, 2, 3, 3, 3, 2, 3</t>
        </is>
      </c>
      <c r="AA206" s="183" t="inlineStr">
        <is>
          <t>Not found</t>
        </is>
      </c>
      <c r="AB206" s="183" t="inlineStr">
        <is>
          <t>Directory or search listing; not opened (direct site access blocked)</t>
        </is>
      </c>
      <c r="AC206" s="183" t="inlineStr">
        <is>
          <t>No expired licence or ended distribution agreement found</t>
        </is>
      </c>
      <c r="AD206" s="183" t="inlineStr">
        <is>
          <t>Not started</t>
        </is>
      </c>
      <c r="AE206" s="183" t="inlineStr"/>
      <c r="AF206" s="183" t="inlineStr">
        <is>
          <t>https://www.kimura-iryoki.com/blank-3</t>
        </is>
      </c>
      <c r="AG206" s="183" t="inlineStr">
        <is>
          <t>No email published; use the contact form (link in Email source)</t>
        </is>
      </c>
    </row>
    <row r="207">
      <c r="A207" s="183" t="n">
        <v>203</v>
      </c>
      <c r="B207" s="183" t="inlineStr">
        <is>
          <t>Medical System Service</t>
        </is>
      </c>
      <c r="C207" s="183" t="inlineStr">
        <is>
          <t>メディカルシステムサービス</t>
        </is>
      </c>
      <c r="D207" s="183" t="inlineStr">
        <is>
          <t>Not retrieved (NTA lookup blocked in this session)</t>
        </is>
      </c>
      <c r="E207" s="183" t="inlineStr">
        <is>
          <t>熊本県</t>
        </is>
      </c>
      <c r="F207" s="183" t="inlineStr">
        <is>
          <t>Kyushu and Okinawa</t>
        </is>
      </c>
      <c r="G207" s="183" t="inlineStr">
        <is>
          <t>https://osakamss.jp/</t>
        </is>
      </c>
      <c r="H207" s="183" t="inlineStr">
        <is>
          <t>No MAH found; device sales licence (高度管理医療機器等販売業) not confirmed</t>
        </is>
      </c>
      <c r="I207" s="183" t="inlineStr">
        <is>
          <t>Not identified in published sources</t>
        </is>
      </c>
      <c r="J207" s="183" t="inlineStr">
        <is>
          <t>General medical equipment (hospitals and clinics)</t>
        </is>
      </c>
      <c r="K207" s="183" t="inlineStr">
        <is>
          <t>熊本県 (regional; branch network not confirmed)</t>
        </is>
      </c>
      <c r="L207" s="183" t="inlineStr">
        <is>
          <t>Not found</t>
        </is>
      </c>
      <c r="M207" s="183" t="inlineStr">
        <is>
          <t>Not identified</t>
        </is>
      </c>
      <c r="N207" s="183" t="inlineStr">
        <is>
          <t>Not identified</t>
        </is>
      </c>
      <c r="O207" s="183" t="inlineStr">
        <is>
          <t>Not published; use contact form</t>
        </is>
      </c>
      <c r="P207" s="183" t="inlineStr">
        <is>
          <t>Not confirmed</t>
        </is>
      </c>
      <c r="Q207" s="183" t="inlineStr">
        <is>
          <t>Not identified</t>
        </is>
      </c>
      <c r="R207" s="184" t="inlineStr">
        <is>
          <t>Likely</t>
        </is>
      </c>
      <c r="S207" s="183" t="n">
        <v>18</v>
      </c>
      <c r="T207" s="189" t="inlineStr">
        <is>
          <t>C</t>
        </is>
      </c>
      <c r="U207" s="183" t="inlineStr">
        <is>
          <t>Regional general medical equipment dealer with hospital and clinic accounts; candidate sub dealer under a national MAH partner.</t>
        </is>
      </c>
      <c r="V207" s="183" t="inlineStr">
        <is>
          <t>Introduce CHISON as a future line through a national MAH partner; ask about their hospital and clinic coverage, service engineers and openness to non Japanese brands.</t>
        </is>
      </c>
      <c r="W207" s="183" t="inlineStr">
        <is>
          <t>N (not identified)</t>
        </is>
      </c>
      <c r="X207" s="186" t="inlineStr">
        <is>
          <t>https://baseconnect.in/companies/prefecture/96c84bbe-0dd4-4885-9333-4913e3f022c9/keyword/89941b4e-2dd1-4848-8957-48af280a31e0</t>
        </is>
      </c>
      <c r="Y207" s="183" t="inlineStr">
        <is>
          <t>SonoEye P3 plus SonoAir 30 for GP and clinic accounts</t>
        </is>
      </c>
      <c r="Z207" s="183" t="inlineStr">
        <is>
          <t>2, 2, 3, 3, 3, 2, 3</t>
        </is>
      </c>
      <c r="AA207" s="183" t="inlineStr">
        <is>
          <t>Not found</t>
        </is>
      </c>
      <c r="AB207" s="183" t="inlineStr">
        <is>
          <t>Directory or search listing; not opened (direct site access blocked)</t>
        </is>
      </c>
      <c r="AC207" s="183" t="inlineStr">
        <is>
          <t>No expired licence or ended distribution agreement found</t>
        </is>
      </c>
      <c r="AD207" s="183" t="inlineStr">
        <is>
          <t>Not started</t>
        </is>
      </c>
      <c r="AE207" s="183" t="inlineStr"/>
      <c r="AF207" s="183" t="inlineStr">
        <is>
          <t>https://osakamss.jp/contact/</t>
        </is>
      </c>
      <c r="AG207" s="183" t="inlineStr">
        <is>
          <t>No email published; use the contact form (link in Email source)</t>
        </is>
      </c>
    </row>
    <row r="208">
      <c r="A208" s="183" t="n">
        <v>204</v>
      </c>
      <c r="B208" s="183" t="inlineStr">
        <is>
          <t>Medical Appliance</t>
        </is>
      </c>
      <c r="C208" s="183" t="inlineStr">
        <is>
          <t>メデイカル・アプライアンス</t>
        </is>
      </c>
      <c r="D208" s="183" t="inlineStr">
        <is>
          <t>Not retrieved (NTA lookup blocked in this session)</t>
        </is>
      </c>
      <c r="E208" s="183" t="inlineStr">
        <is>
          <t>熊本県</t>
        </is>
      </c>
      <c r="F208" s="183" t="inlineStr">
        <is>
          <t>Kyushu and Okinawa</t>
        </is>
      </c>
      <c r="G208" s="183" t="inlineStr">
        <is>
          <t>Not confirmed (company site not opened; network policy blocked direct access)</t>
        </is>
      </c>
      <c r="H208" s="183" t="inlineStr">
        <is>
          <t>No MAH found; device sales licence (高度管理医療機器等販売業) not confirmed</t>
        </is>
      </c>
      <c r="I208" s="183" t="inlineStr">
        <is>
          <t>Not identified in published sources</t>
        </is>
      </c>
      <c r="J208" s="183" t="inlineStr">
        <is>
          <t>General medical equipment (hospitals and clinics)</t>
        </is>
      </c>
      <c r="K208" s="183" t="inlineStr">
        <is>
          <t>熊本県 (regional; branch network not confirmed)</t>
        </is>
      </c>
      <c r="L208" s="183" t="inlineStr">
        <is>
          <t>Not found</t>
        </is>
      </c>
      <c r="M208" s="183" t="inlineStr">
        <is>
          <t>Not identified</t>
        </is>
      </c>
      <c r="N208" s="183" t="inlineStr">
        <is>
          <t>Not identified</t>
        </is>
      </c>
      <c r="O208" s="183" t="inlineStr">
        <is>
          <t>Not published; use company inquiry form</t>
        </is>
      </c>
      <c r="P208" s="183" t="inlineStr">
        <is>
          <t>Not confirmed</t>
        </is>
      </c>
      <c r="Q208" s="183" t="inlineStr">
        <is>
          <t>Not identified</t>
        </is>
      </c>
      <c r="R208" s="184" t="inlineStr">
        <is>
          <t>Unverified</t>
        </is>
      </c>
      <c r="S208" s="183" t="n">
        <v>18</v>
      </c>
      <c r="T208" s="189" t="inlineStr">
        <is>
          <t>C</t>
        </is>
      </c>
      <c r="U208" s="183" t="inlineStr">
        <is>
          <t>Regional general medical equipment dealer with hospital and clinic accounts; candidate sub dealer under a national MAH partner.</t>
        </is>
      </c>
      <c r="V208" s="183" t="inlineStr">
        <is>
          <t>Introduce CHISON as a future line through a national MAH partner; ask about their hospital and clinic coverage, service engineers and openness to non Japanese brands.</t>
        </is>
      </c>
      <c r="W208" s="183" t="inlineStr">
        <is>
          <t>N (not identified)</t>
        </is>
      </c>
      <c r="X208" s="186" t="inlineStr">
        <is>
          <t>https://baseconnect.in/companies/prefecture/96c84bbe-0dd4-4885-9333-4913e3f022c9/keyword/89941b4e-2dd1-4848-8957-48af280a31e0</t>
        </is>
      </c>
      <c r="Y208" s="183" t="inlineStr">
        <is>
          <t>SonoEye P3 plus SonoAir 30 for GP and clinic accounts</t>
        </is>
      </c>
      <c r="Z208" s="183" t="inlineStr">
        <is>
          <t>2, 2, 3, 3, 3, 2, 3</t>
        </is>
      </c>
      <c r="AA208" s="183" t="inlineStr">
        <is>
          <t>Not found</t>
        </is>
      </c>
      <c r="AB208" s="183" t="inlineStr">
        <is>
          <t>Directory or search listing; not opened (direct site access blocked)</t>
        </is>
      </c>
      <c r="AC208" s="183" t="inlineStr">
        <is>
          <t>No expired licence or ended distribution agreement found</t>
        </is>
      </c>
      <c r="AD208" s="183" t="inlineStr">
        <is>
          <t>Not started</t>
        </is>
      </c>
      <c r="AE208" s="183" t="inlineStr"/>
      <c r="AF208" s="183" t="inlineStr"/>
      <c r="AG208" s="183" t="inlineStr">
        <is>
          <t>No email published and no verified website found</t>
        </is>
      </c>
    </row>
    <row r="209">
      <c r="A209" s="183" t="n">
        <v>205</v>
      </c>
      <c r="B209" s="183" t="inlineStr">
        <is>
          <t>Amex Kumamoto</t>
        </is>
      </c>
      <c r="C209" s="183" t="inlineStr">
        <is>
          <t>アメックス熊本</t>
        </is>
      </c>
      <c r="D209" s="183" t="inlineStr">
        <is>
          <t>Not retrieved (NTA lookup blocked in this session)</t>
        </is>
      </c>
      <c r="E209" s="183" t="inlineStr">
        <is>
          <t>熊本県</t>
        </is>
      </c>
      <c r="F209" s="183" t="inlineStr">
        <is>
          <t>Kyushu and Okinawa</t>
        </is>
      </c>
      <c r="G209" s="183" t="inlineStr">
        <is>
          <t>http://www.amex-k.jp/</t>
        </is>
      </c>
      <c r="H209" s="183" t="inlineStr">
        <is>
          <t>No MAH found; device sales licence (高度管理医療機器等販売業) not confirmed</t>
        </is>
      </c>
      <c r="I209" s="183" t="inlineStr">
        <is>
          <t>Not identified in published sources</t>
        </is>
      </c>
      <c r="J209" s="183" t="inlineStr">
        <is>
          <t>General medical equipment (hospitals and clinics)</t>
        </is>
      </c>
      <c r="K209" s="183" t="inlineStr">
        <is>
          <t>熊本県 (regional; branch network not confirmed)</t>
        </is>
      </c>
      <c r="L209" s="183" t="inlineStr">
        <is>
          <t>Not found</t>
        </is>
      </c>
      <c r="M209" s="183" t="inlineStr">
        <is>
          <t>Not identified</t>
        </is>
      </c>
      <c r="N209" s="183" t="inlineStr">
        <is>
          <t>Not identified</t>
        </is>
      </c>
      <c r="O209" s="183" t="inlineStr">
        <is>
          <t>Not published; use company inquiry form</t>
        </is>
      </c>
      <c r="P209" s="183" t="inlineStr">
        <is>
          <t>Not confirmed</t>
        </is>
      </c>
      <c r="Q209" s="183" t="inlineStr">
        <is>
          <t>Not identified</t>
        </is>
      </c>
      <c r="R209" s="184" t="inlineStr">
        <is>
          <t>Company inquiry only</t>
        </is>
      </c>
      <c r="S209" s="183" t="n">
        <v>18</v>
      </c>
      <c r="T209" s="189" t="inlineStr">
        <is>
          <t>C</t>
        </is>
      </c>
      <c r="U209" s="183" t="inlineStr">
        <is>
          <t>Regional general medical equipment dealer with hospital and clinic accounts; candidate sub dealer under a national MAH partner.</t>
        </is>
      </c>
      <c r="V209" s="183" t="inlineStr">
        <is>
          <t>Introduce CHISON as a future line through a national MAH partner; ask about their hospital and clinic coverage, service engineers and openness to non Japanese brands.</t>
        </is>
      </c>
      <c r="W209" s="183" t="inlineStr">
        <is>
          <t>N (not identified)</t>
        </is>
      </c>
      <c r="X209" s="186" t="inlineStr">
        <is>
          <t>https://baseconnect.in/companies/prefecture/96c84bbe-0dd4-4885-9333-4913e3f022c9/keyword/89941b4e-2dd1-4848-8957-48af280a31e0</t>
        </is>
      </c>
      <c r="Y209" s="183" t="inlineStr">
        <is>
          <t>SonoEye P3 plus SonoAir 30 for GP and clinic accounts</t>
        </is>
      </c>
      <c r="Z209" s="183" t="inlineStr">
        <is>
          <t>2, 2, 3, 3, 3, 2, 3</t>
        </is>
      </c>
      <c r="AA209" s="183" t="inlineStr">
        <is>
          <t>Not found</t>
        </is>
      </c>
      <c r="AB209" s="183" t="inlineStr">
        <is>
          <t>Directory or search listing; not opened (direct site access blocked)</t>
        </is>
      </c>
      <c r="AC209" s="183" t="inlineStr">
        <is>
          <t>No expired licence or ended distribution agreement found</t>
        </is>
      </c>
      <c r="AD209" s="183" t="inlineStr">
        <is>
          <t>Not started</t>
        </is>
      </c>
      <c r="AE209" s="183" t="inlineStr"/>
      <c r="AF209" s="183" t="inlineStr"/>
      <c r="AG209" s="183" t="inlineStr">
        <is>
          <t>No email published; website has no contact page link, phone first</t>
        </is>
      </c>
    </row>
    <row r="210">
      <c r="A210" s="183" t="n">
        <v>206</v>
      </c>
      <c r="B210" s="183" t="inlineStr">
        <is>
          <t>Yonemitsu Iryoki</t>
        </is>
      </c>
      <c r="C210" s="183" t="inlineStr">
        <is>
          <t>米満医療器</t>
        </is>
      </c>
      <c r="D210" s="183" t="inlineStr">
        <is>
          <t>Not retrieved (NTA lookup blocked in this session)</t>
        </is>
      </c>
      <c r="E210" s="183" t="inlineStr">
        <is>
          <t>熊本県</t>
        </is>
      </c>
      <c r="F210" s="183" t="inlineStr">
        <is>
          <t>Kyushu and Okinawa</t>
        </is>
      </c>
      <c r="G210" s="183" t="inlineStr">
        <is>
          <t>Not confirmed (company site not opened; network policy blocked direct access)</t>
        </is>
      </c>
      <c r="H210" s="183" t="inlineStr">
        <is>
          <t>No MAH found; device sales licence (高度管理医療機器等販売業) not confirmed</t>
        </is>
      </c>
      <c r="I210" s="183" t="inlineStr">
        <is>
          <t>Not identified in published sources</t>
        </is>
      </c>
      <c r="J210" s="183" t="inlineStr">
        <is>
          <t>General medical equipment (hospitals and clinics)</t>
        </is>
      </c>
      <c r="K210" s="183" t="inlineStr">
        <is>
          <t>熊本県 (regional; branch network not confirmed)</t>
        </is>
      </c>
      <c r="L210" s="183" t="inlineStr">
        <is>
          <t>Not found</t>
        </is>
      </c>
      <c r="M210" s="183" t="inlineStr">
        <is>
          <t>Not identified</t>
        </is>
      </c>
      <c r="N210" s="183" t="inlineStr">
        <is>
          <t>Not identified</t>
        </is>
      </c>
      <c r="O210" s="183" t="inlineStr">
        <is>
          <t>Not published; use company inquiry form</t>
        </is>
      </c>
      <c r="P210" s="183" t="inlineStr">
        <is>
          <t>Not confirmed</t>
        </is>
      </c>
      <c r="Q210" s="183" t="inlineStr">
        <is>
          <t>Not identified</t>
        </is>
      </c>
      <c r="R210" s="184" t="inlineStr">
        <is>
          <t>Unverified</t>
        </is>
      </c>
      <c r="S210" s="183" t="n">
        <v>18</v>
      </c>
      <c r="T210" s="189" t="inlineStr">
        <is>
          <t>C</t>
        </is>
      </c>
      <c r="U210" s="183" t="inlineStr">
        <is>
          <t>Regional general medical equipment dealer with hospital and clinic accounts; candidate sub dealer under a national MAH partner.</t>
        </is>
      </c>
      <c r="V210" s="183" t="inlineStr">
        <is>
          <t>Introduce CHISON as a future line through a national MAH partner; ask about their hospital and clinic coverage, service engineers and openness to non Japanese brands.</t>
        </is>
      </c>
      <c r="W210" s="183" t="inlineStr">
        <is>
          <t>N (not identified)</t>
        </is>
      </c>
      <c r="X210" s="186" t="inlineStr">
        <is>
          <t>https://baseconnect.in/companies/prefecture/96c84bbe-0dd4-4885-9333-4913e3f022c9/keyword/89941b4e-2dd1-4848-8957-48af280a31e0</t>
        </is>
      </c>
      <c r="Y210" s="183" t="inlineStr">
        <is>
          <t>SonoEye P3 plus SonoAir 30 for GP and clinic accounts</t>
        </is>
      </c>
      <c r="Z210" s="183" t="inlineStr">
        <is>
          <t>2, 2, 3, 3, 3, 2, 3</t>
        </is>
      </c>
      <c r="AA210" s="183" t="inlineStr">
        <is>
          <t>Not found</t>
        </is>
      </c>
      <c r="AB210" s="183" t="inlineStr">
        <is>
          <t>Recheck: no independent confirmation found; directory listing only</t>
        </is>
      </c>
      <c r="AC210" s="183" t="inlineStr">
        <is>
          <t>No expired licence or ended distribution agreement found</t>
        </is>
      </c>
      <c r="AD210" s="183" t="inlineStr">
        <is>
          <t>Not started</t>
        </is>
      </c>
      <c r="AE210" s="183" t="inlineStr"/>
      <c r="AF210" s="183" t="inlineStr"/>
      <c r="AG210" s="183" t="inlineStr">
        <is>
          <t>No email published and no verified website found</t>
        </is>
      </c>
    </row>
    <row r="211">
      <c r="A211" s="183" t="n">
        <v>207</v>
      </c>
      <c r="B211" s="183" t="inlineStr">
        <is>
          <t>Tsukushi Medical</t>
        </is>
      </c>
      <c r="C211" s="183" t="inlineStr">
        <is>
          <t>つくしメディカル</t>
        </is>
      </c>
      <c r="D211" s="183" t="inlineStr">
        <is>
          <t>Not retrieved (NTA lookup blocked in this session)</t>
        </is>
      </c>
      <c r="E211" s="183" t="inlineStr">
        <is>
          <t>福岡県</t>
        </is>
      </c>
      <c r="F211" s="183" t="inlineStr">
        <is>
          <t>Kyushu and Okinawa</t>
        </is>
      </c>
      <c r="G211" s="183" t="inlineStr">
        <is>
          <t>https://www.tukushi.jp/</t>
        </is>
      </c>
      <c r="H211" s="183" t="inlineStr">
        <is>
          <t>No MAH found; device sales licence (高度管理医療機器等販売業) not confirmed</t>
        </is>
      </c>
      <c r="I211" s="183" t="inlineStr">
        <is>
          <t>Not identified in published sources</t>
        </is>
      </c>
      <c r="J211" s="183" t="inlineStr">
        <is>
          <t>General medical equipment (hospitals and clinics)</t>
        </is>
      </c>
      <c r="K211" s="183" t="inlineStr">
        <is>
          <t>福岡県 (regional; branch network not confirmed)</t>
        </is>
      </c>
      <c r="L211" s="183" t="inlineStr">
        <is>
          <t>Not found</t>
        </is>
      </c>
      <c r="M211" s="183" t="inlineStr">
        <is>
          <t>Not identified</t>
        </is>
      </c>
      <c r="N211" s="183" t="inlineStr">
        <is>
          <t>Not identified</t>
        </is>
      </c>
      <c r="O211" s="183" t="inlineStr">
        <is>
          <t>Not published; use contact form</t>
        </is>
      </c>
      <c r="P211" s="183" t="inlineStr">
        <is>
          <t>Not confirmed</t>
        </is>
      </c>
      <c r="Q211" s="183" t="inlineStr">
        <is>
          <t>Not identified</t>
        </is>
      </c>
      <c r="R211" s="184" t="inlineStr">
        <is>
          <t>Likely</t>
        </is>
      </c>
      <c r="S211" s="183" t="n">
        <v>18</v>
      </c>
      <c r="T211" s="189" t="inlineStr">
        <is>
          <t>C</t>
        </is>
      </c>
      <c r="U211" s="183" t="inlineStr">
        <is>
          <t>Regional general medical equipment dealer with hospital and clinic accounts; candidate sub dealer under a national MAH partner.</t>
        </is>
      </c>
      <c r="V211" s="183" t="inlineStr">
        <is>
          <t>Introduce CHISON as a future line through a national MAH partner; ask about their hospital and clinic coverage, service engineers and openness to non Japanese brands.</t>
        </is>
      </c>
      <c r="W211" s="183" t="inlineStr">
        <is>
          <t>N (not identified)</t>
        </is>
      </c>
      <c r="X211" s="186" t="inlineStr">
        <is>
          <t>https://kyuren.jp/%E4%BC%9A%E5%93%A1%E7%B4%B9%E4%BB%8B/</t>
        </is>
      </c>
      <c r="Y211" s="183" t="inlineStr">
        <is>
          <t>SonoEye P3 plus SonoAir 30 for GP and clinic accounts</t>
        </is>
      </c>
      <c r="Z211" s="183" t="inlineStr">
        <is>
          <t>2, 2, 3, 3, 3, 2, 3</t>
        </is>
      </c>
      <c r="AA211" s="183" t="inlineStr">
        <is>
          <t>Not found</t>
        </is>
      </c>
      <c r="AB211" s="183" t="inlineStr">
        <is>
          <t>Directory or search listing; not opened (direct site access blocked)</t>
        </is>
      </c>
      <c r="AC211" s="183" t="inlineStr">
        <is>
          <t>No expired licence or ended distribution agreement found</t>
        </is>
      </c>
      <c r="AD211" s="183" t="inlineStr">
        <is>
          <t>Not started</t>
        </is>
      </c>
      <c r="AE211" s="183" t="inlineStr"/>
      <c r="AF211" s="183" t="inlineStr">
        <is>
          <t>https://www.tukushi.jp/contact.html</t>
        </is>
      </c>
      <c r="AG211" s="183" t="inlineStr">
        <is>
          <t>No email published; use the contact form (link in Email source)</t>
        </is>
      </c>
    </row>
    <row r="212">
      <c r="A212" s="183" t="n">
        <v>208</v>
      </c>
      <c r="B212" s="183" t="inlineStr">
        <is>
          <t>Fides One</t>
        </is>
      </c>
      <c r="C212" s="183" t="inlineStr">
        <is>
          <t>フィデスワン</t>
        </is>
      </c>
      <c r="D212" s="183" t="inlineStr">
        <is>
          <t>Not retrieved (NTA lookup blocked in this session)</t>
        </is>
      </c>
      <c r="E212" s="183" t="inlineStr">
        <is>
          <t>福岡県</t>
        </is>
      </c>
      <c r="F212" s="183" t="inlineStr">
        <is>
          <t>Kyushu and Okinawa</t>
        </is>
      </c>
      <c r="G212" s="183" t="inlineStr">
        <is>
          <t>https://www.fides-one.jp/</t>
        </is>
      </c>
      <c r="H212" s="183" t="inlineStr">
        <is>
          <t>No MAH found; device sales licence (高度管理医療機器等販売業) not confirmed</t>
        </is>
      </c>
      <c r="I212" s="183" t="inlineStr">
        <is>
          <t>Not identified in published sources</t>
        </is>
      </c>
      <c r="J212" s="183" t="inlineStr">
        <is>
          <t>Cardiology, Emergency and disaster, Orthopaedics and rehab</t>
        </is>
      </c>
      <c r="K212" s="183" t="inlineStr">
        <is>
          <t>福岡県 (regional; branch network not confirmed)</t>
        </is>
      </c>
      <c r="L212" s="183" t="inlineStr">
        <is>
          <t>Not found</t>
        </is>
      </c>
      <c r="M212" s="183" t="inlineStr">
        <is>
          <t>Not identified</t>
        </is>
      </c>
      <c r="N212" s="183" t="inlineStr">
        <is>
          <t>Not identified</t>
        </is>
      </c>
      <c r="O212" s="183" t="inlineStr">
        <is>
          <t>Not published; use contact form</t>
        </is>
      </c>
      <c r="P212" s="183" t="inlineStr">
        <is>
          <t>Not confirmed</t>
        </is>
      </c>
      <c r="Q212" s="183" t="inlineStr">
        <is>
          <t>Not identified</t>
        </is>
      </c>
      <c r="R212" s="184" t="inlineStr">
        <is>
          <t>Likely</t>
        </is>
      </c>
      <c r="S212" s="183" t="n">
        <v>18</v>
      </c>
      <c r="T212" s="189" t="inlineStr">
        <is>
          <t>C</t>
        </is>
      </c>
      <c r="U212" s="183" t="inlineStr">
        <is>
          <t>Regional general medical equipment dealer with hospital and clinic accounts; candidate sub dealer under a national MAH partner.</t>
        </is>
      </c>
      <c r="V212" s="183" t="inlineStr">
        <is>
          <t>Introduce CHISON as a future line through a national MAH partner; ask about their hospital and clinic coverage, service engineers and openness to non Japanese brands.</t>
        </is>
      </c>
      <c r="W212" s="183" t="inlineStr">
        <is>
          <t>N (not identified)</t>
        </is>
      </c>
      <c r="X212" s="186" t="inlineStr">
        <is>
          <t>https://baseconnect.in/companies/prefecture/39b58ff0-63fd-405f-8b8a-37c5443ce5c7/keyword/89941b4e-2dd1-4848-8957-48af280a31e0</t>
        </is>
      </c>
      <c r="Y212" s="183" t="inlineStr">
        <is>
          <t>CBit 6 cart plus SonoEye P5 pocket echo</t>
        </is>
      </c>
      <c r="Z212" s="183" t="inlineStr">
        <is>
          <t>2, 3, 3, 2, 3, 2, 3</t>
        </is>
      </c>
      <c r="AA212" s="183" t="inlineStr">
        <is>
          <t>Not found</t>
        </is>
      </c>
      <c r="AB212" s="183" t="inlineStr">
        <is>
          <t>Directory or search listing; not opened (direct site access blocked)</t>
        </is>
      </c>
      <c r="AC212" s="183" t="inlineStr">
        <is>
          <t>No expired licence or ended distribution agreement found</t>
        </is>
      </c>
      <c r="AD212" s="183" t="inlineStr">
        <is>
          <t>Not started</t>
        </is>
      </c>
      <c r="AE212" s="183" t="inlineStr"/>
      <c r="AF212" s="183" t="inlineStr">
        <is>
          <t>https://www.fides-one.jp/contact</t>
        </is>
      </c>
      <c r="AG212" s="183" t="inlineStr">
        <is>
          <t>No email published; use the contact form (link in Email source)</t>
        </is>
      </c>
    </row>
    <row r="213">
      <c r="A213" s="183" t="n">
        <v>209</v>
      </c>
      <c r="B213" s="183" t="inlineStr">
        <is>
          <t>Medical Familia</t>
        </is>
      </c>
      <c r="C213" s="183" t="inlineStr">
        <is>
          <t>メディカルファミリア</t>
        </is>
      </c>
      <c r="D213" s="183" t="inlineStr">
        <is>
          <t>Not retrieved (NTA lookup blocked in this session)</t>
        </is>
      </c>
      <c r="E213" s="183" t="inlineStr">
        <is>
          <t>福岡県</t>
        </is>
      </c>
      <c r="F213" s="183" t="inlineStr">
        <is>
          <t>Kyushu and Okinawa</t>
        </is>
      </c>
      <c r="G213" s="183" t="inlineStr">
        <is>
          <t>https://familia-gr.jp/</t>
        </is>
      </c>
      <c r="H213" s="183" t="inlineStr">
        <is>
          <t>No MAH found; device sales licence (高度管理医療機器等販売業) not confirmed</t>
        </is>
      </c>
      <c r="I213" s="183" t="inlineStr">
        <is>
          <t>Not identified in published sources</t>
        </is>
      </c>
      <c r="J213" s="183" t="inlineStr">
        <is>
          <t>General medical equipment (hospitals and clinics)</t>
        </is>
      </c>
      <c r="K213" s="183" t="inlineStr">
        <is>
          <t>福岡県 (regional; branch network not confirmed)</t>
        </is>
      </c>
      <c r="L213" s="183" t="inlineStr">
        <is>
          <t>Not found</t>
        </is>
      </c>
      <c r="M213" s="183" t="inlineStr">
        <is>
          <t>Not identified</t>
        </is>
      </c>
      <c r="N213" s="183" t="inlineStr">
        <is>
          <t>Not identified</t>
        </is>
      </c>
      <c r="O213" s="183" t="inlineStr">
        <is>
          <t>Not published; use company inquiry form</t>
        </is>
      </c>
      <c r="P213" s="183" t="inlineStr">
        <is>
          <t>Not confirmed</t>
        </is>
      </c>
      <c r="Q213" s="183" t="inlineStr">
        <is>
          <t>Not identified</t>
        </is>
      </c>
      <c r="R213" s="184" t="inlineStr">
        <is>
          <t>Company inquiry only</t>
        </is>
      </c>
      <c r="S213" s="183" t="n">
        <v>18</v>
      </c>
      <c r="T213" s="189" t="inlineStr">
        <is>
          <t>C</t>
        </is>
      </c>
      <c r="U213" s="183" t="inlineStr">
        <is>
          <t>Regional general medical equipment dealer with hospital and clinic accounts; candidate sub dealer under a national MAH partner.</t>
        </is>
      </c>
      <c r="V213" s="183" t="inlineStr">
        <is>
          <t>Introduce CHISON as a future line through a national MAH partner; ask about their hospital and clinic coverage, service engineers and openness to non Japanese brands.</t>
        </is>
      </c>
      <c r="W213" s="183" t="inlineStr">
        <is>
          <t>N (not identified)</t>
        </is>
      </c>
      <c r="X213" s="186" t="inlineStr">
        <is>
          <t>https://baseconnect.in/companies/prefecture/39b58ff0-63fd-405f-8b8a-37c5443ce5c7/keyword/89941b4e-2dd1-4848-8957-48af280a31e0</t>
        </is>
      </c>
      <c r="Y213" s="183" t="inlineStr">
        <is>
          <t>SonoEye P3 plus SonoAir 30 for GP and clinic accounts</t>
        </is>
      </c>
      <c r="Z213" s="183" t="inlineStr">
        <is>
          <t>2, 2, 3, 3, 3, 2, 3</t>
        </is>
      </c>
      <c r="AA213" s="183" t="inlineStr">
        <is>
          <t>Not found</t>
        </is>
      </c>
      <c r="AB213" s="183" t="inlineStr">
        <is>
          <t>Directory or search listing; not opened (direct site access blocked)</t>
        </is>
      </c>
      <c r="AC213" s="183" t="inlineStr">
        <is>
          <t>No expired licence or ended distribution agreement found</t>
        </is>
      </c>
      <c r="AD213" s="183" t="inlineStr">
        <is>
          <t>Not started</t>
        </is>
      </c>
      <c r="AE213" s="183" t="inlineStr"/>
      <c r="AF213" s="183" t="inlineStr"/>
      <c r="AG213" s="183" t="inlineStr">
        <is>
          <t>No email published; website has no contact page link, phone first</t>
        </is>
      </c>
    </row>
    <row r="214">
      <c r="A214" s="183" t="n">
        <v>210</v>
      </c>
      <c r="B214" s="183" t="inlineStr">
        <is>
          <t>Infrasonics</t>
        </is>
      </c>
      <c r="C214" s="183" t="inlineStr">
        <is>
          <t>インフラソニックス</t>
        </is>
      </c>
      <c r="D214" s="183" t="inlineStr">
        <is>
          <t>Not retrieved (NTA lookup blocked in this session)</t>
        </is>
      </c>
      <c r="E214" s="183" t="inlineStr">
        <is>
          <t>福岡県</t>
        </is>
      </c>
      <c r="F214" s="183" t="inlineStr">
        <is>
          <t>Kyushu and Okinawa</t>
        </is>
      </c>
      <c r="G214" s="183" t="inlineStr">
        <is>
          <t>http://www.infrasonics.co.jp/</t>
        </is>
      </c>
      <c r="H214" s="183" t="inlineStr">
        <is>
          <t>No MAH found; device sales licence (高度管理医療機器等販売業) not confirmed</t>
        </is>
      </c>
      <c r="I214" s="183" t="inlineStr">
        <is>
          <t>Not identified in published sources</t>
        </is>
      </c>
      <c r="J214" s="183" t="inlineStr">
        <is>
          <t>Anaesthesia, ICU and respiratory, Emergency and disaster</t>
        </is>
      </c>
      <c r="K214" s="183" t="inlineStr">
        <is>
          <t>福岡県 (regional; branch network not confirmed)</t>
        </is>
      </c>
      <c r="L214" s="183" t="inlineStr">
        <is>
          <t>Not found</t>
        </is>
      </c>
      <c r="M214" s="183" t="inlineStr">
        <is>
          <t>Not identified</t>
        </is>
      </c>
      <c r="N214" s="183" t="inlineStr">
        <is>
          <t>Not identified</t>
        </is>
      </c>
      <c r="O214" s="183" t="inlineStr">
        <is>
          <t>blancodent@infrasonics.co.jp</t>
        </is>
      </c>
      <c r="P214" s="183" t="inlineStr">
        <is>
          <t>Not confirmed</t>
        </is>
      </c>
      <c r="Q214" s="183" t="inlineStr">
        <is>
          <t>Not identified</t>
        </is>
      </c>
      <c r="R214" s="184" t="inlineStr">
        <is>
          <t>Unverified</t>
        </is>
      </c>
      <c r="S214" s="183" t="n">
        <v>18</v>
      </c>
      <c r="T214" s="189" t="inlineStr">
        <is>
          <t>C</t>
        </is>
      </c>
      <c r="U214" s="183" t="inlineStr">
        <is>
          <t>Adjacent hospital department line (no ultrasound found), which is the best recruit profile for a point of care line.</t>
        </is>
      </c>
      <c r="V214" s="183" t="inlineStr">
        <is>
          <t>Introduce CHISON as a future line through a national MAH partner; ask about their hospital and clinic coverage, service engineers and openness to non Japanese brands.</t>
        </is>
      </c>
      <c r="W214" s="183" t="inlineStr">
        <is>
          <t>N (not identified)</t>
        </is>
      </c>
      <c r="X214" s="186" t="inlineStr">
        <is>
          <t>https://baseconnect.in/companies/prefecture/39b58ff0-63fd-405f-8b8a-37c5443ce5c7/keyword/89941b4e-2dd1-4848-8957-48af280a31e0</t>
        </is>
      </c>
      <c r="Y214" s="183" t="inlineStr">
        <is>
          <t>SonoEye P3 for FAST, lung and vascular access (POCUS)</t>
        </is>
      </c>
      <c r="Z214" s="183" t="inlineStr">
        <is>
          <t>2, 3, 3, 2, 3, 2, 3</t>
        </is>
      </c>
      <c r="AA214" s="183" t="inlineStr">
        <is>
          <t>Not found</t>
        </is>
      </c>
      <c r="AB214" s="183" t="inlineStr">
        <is>
          <t>Directory or search listing; not opened (direct site access blocked)</t>
        </is>
      </c>
      <c r="AC214" s="183" t="inlineStr">
        <is>
          <t>No expired licence or ended distribution agreement found</t>
        </is>
      </c>
      <c r="AD214" s="183" t="inlineStr">
        <is>
          <t>Not started</t>
        </is>
      </c>
      <c r="AE214" s="183" t="inlineStr"/>
      <c r="AF214" s="183" t="inlineStr">
        <is>
          <t>http://www.infrasonics.co.jp/blancodent.html</t>
        </is>
      </c>
      <c r="AG214" s="183" t="inlineStr">
        <is>
          <t>Likely: indexed on company domain</t>
        </is>
      </c>
    </row>
    <row r="215">
      <c r="A215" s="183" t="n">
        <v>211</v>
      </c>
      <c r="B215" s="183" t="inlineStr">
        <is>
          <t>Kyushu Medical Service</t>
        </is>
      </c>
      <c r="C215" s="183" t="inlineStr">
        <is>
          <t>九州メディカルサービス</t>
        </is>
      </c>
      <c r="D215" s="183" t="inlineStr">
        <is>
          <t>Not retrieved (NTA lookup blocked in this session)</t>
        </is>
      </c>
      <c r="E215" s="183" t="inlineStr">
        <is>
          <t>福岡県</t>
        </is>
      </c>
      <c r="F215" s="183" t="inlineStr">
        <is>
          <t>Kyushu and Okinawa</t>
        </is>
      </c>
      <c r="G215" s="183" t="inlineStr">
        <is>
          <t>https://www.kyushu-med.jp/</t>
        </is>
      </c>
      <c r="H215" s="183" t="inlineStr">
        <is>
          <t>No MAH found; device sales licence (高度管理医療機器等販売業) not confirmed</t>
        </is>
      </c>
      <c r="I215" s="183" t="inlineStr">
        <is>
          <t>Not identified in published sources</t>
        </is>
      </c>
      <c r="J215" s="183" t="inlineStr">
        <is>
          <t>General medical equipment (hospitals and clinics)</t>
        </is>
      </c>
      <c r="K215" s="183" t="inlineStr">
        <is>
          <t>福岡県 (regional; branch network not confirmed)</t>
        </is>
      </c>
      <c r="L215" s="183" t="inlineStr">
        <is>
          <t>Not found</t>
        </is>
      </c>
      <c r="M215" s="183" t="inlineStr">
        <is>
          <t>Not identified</t>
        </is>
      </c>
      <c r="N215" s="183" t="inlineStr">
        <is>
          <t>Not identified</t>
        </is>
      </c>
      <c r="O215" s="183" t="inlineStr">
        <is>
          <t>Not published; use contact form</t>
        </is>
      </c>
      <c r="P215" s="183" t="inlineStr">
        <is>
          <t>Not confirmed</t>
        </is>
      </c>
      <c r="Q215" s="183" t="inlineStr">
        <is>
          <t>Not identified</t>
        </is>
      </c>
      <c r="R215" s="184" t="inlineStr">
        <is>
          <t>Likely</t>
        </is>
      </c>
      <c r="S215" s="183" t="n">
        <v>18</v>
      </c>
      <c r="T215" s="189" t="inlineStr">
        <is>
          <t>C</t>
        </is>
      </c>
      <c r="U215" s="183" t="inlineStr">
        <is>
          <t>Regional general medical equipment dealer with hospital and clinic accounts; candidate sub dealer under a national MAH partner.</t>
        </is>
      </c>
      <c r="V215" s="183" t="inlineStr">
        <is>
          <t>Introduce CHISON as a future line through a national MAH partner; ask about their hospital and clinic coverage, service engineers and openness to non Japanese brands.</t>
        </is>
      </c>
      <c r="W215" s="183" t="inlineStr">
        <is>
          <t>N (not identified)</t>
        </is>
      </c>
      <c r="X215" s="186" t="inlineStr">
        <is>
          <t>https://baseconnect.in/companies/prefecture/39b58ff0-63fd-405f-8b8a-37c5443ce5c7/keyword/89941b4e-2dd1-4848-8957-48af280a31e0</t>
        </is>
      </c>
      <c r="Y215" s="183" t="inlineStr">
        <is>
          <t>SonoEye P3 plus SonoAir 30 for GP and clinic accounts</t>
        </is>
      </c>
      <c r="Z215" s="183" t="inlineStr">
        <is>
          <t>2, 2, 3, 3, 3, 2, 3</t>
        </is>
      </c>
      <c r="AA215" s="183" t="inlineStr">
        <is>
          <t>Not found</t>
        </is>
      </c>
      <c r="AB215" s="183" t="inlineStr">
        <is>
          <t>Directory or search listing; not opened (direct site access blocked)</t>
        </is>
      </c>
      <c r="AC215" s="183" t="inlineStr">
        <is>
          <t>No expired licence or ended distribution agreement found</t>
        </is>
      </c>
      <c r="AD215" s="183" t="inlineStr">
        <is>
          <t>Not started</t>
        </is>
      </c>
      <c r="AE215" s="183" t="inlineStr"/>
      <c r="AF215" s="183" t="inlineStr">
        <is>
          <t>https://www.kyushu-med.jp/contact/</t>
        </is>
      </c>
      <c r="AG215" s="183" t="inlineStr">
        <is>
          <t>No email published; use the contact form (link in Email source)</t>
        </is>
      </c>
    </row>
    <row r="216">
      <c r="A216" s="183" t="n">
        <v>212</v>
      </c>
      <c r="B216" s="183" t="inlineStr">
        <is>
          <t>Miyazaki Onsendo Shoten</t>
        </is>
      </c>
      <c r="C216" s="183" t="inlineStr">
        <is>
          <t>宮崎温仙堂商店</t>
        </is>
      </c>
      <c r="D216" s="183" t="inlineStr">
        <is>
          <t>Not retrieved (NTA lookup blocked in this session)</t>
        </is>
      </c>
      <c r="E216" s="183" t="inlineStr">
        <is>
          <t>長崎県</t>
        </is>
      </c>
      <c r="F216" s="183" t="inlineStr">
        <is>
          <t>Kyushu and Okinawa</t>
        </is>
      </c>
      <c r="G216" s="183" t="inlineStr">
        <is>
          <t>https://www.m-onsendo.co.jp/</t>
        </is>
      </c>
      <c r="H216" s="183" t="inlineStr">
        <is>
          <t>No MAH found; device sales licence (高度管理医療機器等販売業) not confirmed</t>
        </is>
      </c>
      <c r="I216" s="183" t="inlineStr">
        <is>
          <t>Not identified in published sources</t>
        </is>
      </c>
      <c r="J216" s="183" t="inlineStr">
        <is>
          <t>General medical equipment (hospitals and clinics)</t>
        </is>
      </c>
      <c r="K216" s="183" t="inlineStr">
        <is>
          <t>長崎県 (regional; branch network not confirmed)</t>
        </is>
      </c>
      <c r="L216" s="183" t="inlineStr">
        <is>
          <t>Not found</t>
        </is>
      </c>
      <c r="M216" s="183" t="inlineStr">
        <is>
          <t>Not identified</t>
        </is>
      </c>
      <c r="N216" s="183" t="inlineStr">
        <is>
          <t>Not identified</t>
        </is>
      </c>
      <c r="O216" s="183" t="inlineStr">
        <is>
          <t>mos-soumu@m-onsendo.co.jp</t>
        </is>
      </c>
      <c r="P216" s="183" t="inlineStr">
        <is>
          <t>Not confirmed</t>
        </is>
      </c>
      <c r="Q216" s="183" t="inlineStr">
        <is>
          <t>Not identified</t>
        </is>
      </c>
      <c r="R216" s="184" t="inlineStr">
        <is>
          <t>Unverified</t>
        </is>
      </c>
      <c r="S216" s="183" t="n">
        <v>18</v>
      </c>
      <c r="T216" s="189" t="inlineStr">
        <is>
          <t>C</t>
        </is>
      </c>
      <c r="U216" s="183" t="inlineStr">
        <is>
          <t>Regional general medical equipment dealer with hospital and clinic accounts; candidate sub dealer under a national MAH partner.</t>
        </is>
      </c>
      <c r="V216" s="183" t="inlineStr">
        <is>
          <t>Introduce CHISON as a future line through a national MAH partner; ask about their hospital and clinic coverage, service engineers and openness to non Japanese brands.</t>
        </is>
      </c>
      <c r="W216" s="183" t="inlineStr">
        <is>
          <t>N (not identified)</t>
        </is>
      </c>
      <c r="X216" s="186" t="inlineStr">
        <is>
          <t>https://baseconnect.in/companies/prefecture/88d796cc-214f-4ebf-b294-ebcaa486f8a2/category/b2358a1c-c4c6-46f4-a0b1-dee3a1b30a0b ; https://data-max.co.jp/corpo_database/corpo/detail/4310001009518</t>
        </is>
      </c>
      <c r="Y216" s="183" t="inlineStr">
        <is>
          <t>SonoEye P3 plus SonoAir 30 for GP and clinic accounts</t>
        </is>
      </c>
      <c r="Z216" s="183" t="inlineStr">
        <is>
          <t>2, 2, 3, 3, 3, 2, 3</t>
        </is>
      </c>
      <c r="AA216" s="183" t="inlineStr">
        <is>
          <t>Not found</t>
        </is>
      </c>
      <c r="AB216" s="183" t="inlineStr">
        <is>
          <t>Recheck: no independent confirmation found; directory listing only. Possible match: 株式会社温仙堂, Isahaya (data max.co.jp); confirm</t>
        </is>
      </c>
      <c r="AC216" s="183" t="inlineStr">
        <is>
          <t>No expired licence or ended distribution agreement found</t>
        </is>
      </c>
      <c r="AD216" s="183" t="inlineStr">
        <is>
          <t>Not started</t>
        </is>
      </c>
      <c r="AE216" s="183" t="inlineStr"/>
      <c r="AF216" s="183" t="inlineStr">
        <is>
          <t>https://www.m-onsendo.co.jp/contact/</t>
        </is>
      </c>
      <c r="AG216" s="183" t="inlineStr">
        <is>
          <t>Verified: published on company website</t>
        </is>
      </c>
    </row>
    <row r="217">
      <c r="A217" s="183" t="n">
        <v>213</v>
      </c>
      <c r="B217" s="183" t="inlineStr">
        <is>
          <t>Nagasaki Mutoh</t>
        </is>
      </c>
      <c r="C217" s="183" t="inlineStr">
        <is>
          <t>長崎ムトウ</t>
        </is>
      </c>
      <c r="D217" s="183" t="inlineStr">
        <is>
          <t>Not retrieved (NTA lookup blocked in this session)</t>
        </is>
      </c>
      <c r="E217" s="183" t="inlineStr">
        <is>
          <t>長崎県</t>
        </is>
      </c>
      <c r="F217" s="183" t="inlineStr">
        <is>
          <t>Kyushu and Okinawa</t>
        </is>
      </c>
      <c r="G217" s="183" t="inlineStr">
        <is>
          <t>Not confirmed (company site not opened; network policy blocked direct access)</t>
        </is>
      </c>
      <c r="H217" s="183" t="inlineStr">
        <is>
          <t>No MAH found; device sales licence (高度管理医療機器等販売業) not confirmed</t>
        </is>
      </c>
      <c r="I217" s="183" t="inlineStr">
        <is>
          <t>Not identified in published sources</t>
        </is>
      </c>
      <c r="J217" s="183" t="inlineStr">
        <is>
          <t>General medical equipment (hospitals and clinics)</t>
        </is>
      </c>
      <c r="K217" s="183" t="inlineStr">
        <is>
          <t>長崎県 (regional; branch network not confirmed)</t>
        </is>
      </c>
      <c r="L217" s="183" t="inlineStr">
        <is>
          <t>Not found</t>
        </is>
      </c>
      <c r="M217" s="183" t="inlineStr">
        <is>
          <t>Not identified</t>
        </is>
      </c>
      <c r="N217" s="183" t="inlineStr">
        <is>
          <t>Not identified</t>
        </is>
      </c>
      <c r="O217" s="183" t="inlineStr">
        <is>
          <t>Not published; use company inquiry form</t>
        </is>
      </c>
      <c r="P217" s="183" t="inlineStr">
        <is>
          <t>Not confirmed</t>
        </is>
      </c>
      <c r="Q217" s="183" t="inlineStr">
        <is>
          <t>Not identified</t>
        </is>
      </c>
      <c r="R217" s="184" t="inlineStr">
        <is>
          <t>Unverified</t>
        </is>
      </c>
      <c r="S217" s="183" t="n">
        <v>18</v>
      </c>
      <c r="T217" s="189" t="inlineStr">
        <is>
          <t>C</t>
        </is>
      </c>
      <c r="U217" s="183" t="inlineStr">
        <is>
          <t>Regional general medical equipment dealer with hospital and clinic accounts; candidate sub dealer under a national MAH partner.</t>
        </is>
      </c>
      <c r="V217" s="183" t="inlineStr">
        <is>
          <t>Introduce CHISON as a future line through a national MAH partner; ask about their hospital and clinic coverage, service engineers and openness to non Japanese brands.</t>
        </is>
      </c>
      <c r="W217" s="183" t="inlineStr">
        <is>
          <t>N (not identified)</t>
        </is>
      </c>
      <c r="X217" s="186" t="inlineStr">
        <is>
          <t>https://baseconnect.in/companies/prefecture/88d796cc-214f-4ebf-b294-ebcaa486f8a2/category/b2358a1c-c4c6-46f4-a0b1-dee3a1b30a0b</t>
        </is>
      </c>
      <c r="Y217" s="183" t="inlineStr">
        <is>
          <t>SonoEye P3 plus SonoAir 30 for GP and clinic accounts</t>
        </is>
      </c>
      <c r="Z217" s="183" t="inlineStr">
        <is>
          <t>2, 2, 3, 3, 3, 2, 3</t>
        </is>
      </c>
      <c r="AA217" s="183" t="inlineStr">
        <is>
          <t>Not found</t>
        </is>
      </c>
      <c r="AB217" s="183" t="inlineStr">
        <is>
          <t>Directory or search listing; not opened (direct site access blocked)</t>
        </is>
      </c>
      <c r="AC217" s="183" t="inlineStr">
        <is>
          <t>Holding group overlap: Mutoh group (existing row 15). Approach via Mutoh head office. No expired licence or ended distribution agreement found</t>
        </is>
      </c>
      <c r="AD217" s="183" t="inlineStr">
        <is>
          <t>Not started</t>
        </is>
      </c>
      <c r="AE217" s="183" t="inlineStr"/>
      <c r="AF217" s="183" t="inlineStr"/>
      <c r="AG217" s="183" t="inlineStr">
        <is>
          <t>No email published and no verified website found</t>
        </is>
      </c>
    </row>
    <row r="218">
      <c r="A218" s="183" t="n">
        <v>214</v>
      </c>
      <c r="B218" s="183" t="inlineStr">
        <is>
          <t>Chōshiba Medical</t>
        </is>
      </c>
      <c r="C218" s="183" t="inlineStr">
        <is>
          <t>長芝メディカル</t>
        </is>
      </c>
      <c r="D218" s="183" t="inlineStr">
        <is>
          <t>Not retrieved (NTA lookup blocked in this session)</t>
        </is>
      </c>
      <c r="E218" s="183" t="inlineStr">
        <is>
          <t>長崎県</t>
        </is>
      </c>
      <c r="F218" s="183" t="inlineStr">
        <is>
          <t>Kyushu and Okinawa</t>
        </is>
      </c>
      <c r="G218" s="183" t="inlineStr">
        <is>
          <t>https://nagashiba.com/</t>
        </is>
      </c>
      <c r="H218" s="183" t="inlineStr">
        <is>
          <t>No MAH found; device sales licence (高度管理医療機器等販売業) not confirmed</t>
        </is>
      </c>
      <c r="I218" s="183" t="inlineStr">
        <is>
          <t>Not identified in published sources</t>
        </is>
      </c>
      <c r="J218" s="183" t="inlineStr">
        <is>
          <t>General medical equipment (hospitals and clinics)</t>
        </is>
      </c>
      <c r="K218" s="183" t="inlineStr">
        <is>
          <t>長崎県 (regional; branch network not confirmed)</t>
        </is>
      </c>
      <c r="L218" s="183" t="inlineStr">
        <is>
          <t>Not found</t>
        </is>
      </c>
      <c r="M218" s="183" t="inlineStr">
        <is>
          <t>Not identified</t>
        </is>
      </c>
      <c r="N218" s="183" t="inlineStr">
        <is>
          <t>Not identified</t>
        </is>
      </c>
      <c r="O218" s="183" t="inlineStr">
        <is>
          <t>Not published; use contact form</t>
        </is>
      </c>
      <c r="P218" s="183" t="inlineStr">
        <is>
          <t>Not confirmed</t>
        </is>
      </c>
      <c r="Q218" s="183" t="inlineStr">
        <is>
          <t>Not identified</t>
        </is>
      </c>
      <c r="R218" s="184" t="inlineStr">
        <is>
          <t>Likely</t>
        </is>
      </c>
      <c r="S218" s="183" t="n">
        <v>18</v>
      </c>
      <c r="T218" s="189" t="inlineStr">
        <is>
          <t>C</t>
        </is>
      </c>
      <c r="U218" s="183" t="inlineStr">
        <is>
          <t>Regional general medical equipment dealer with hospital and clinic accounts; candidate sub dealer under a national MAH partner.</t>
        </is>
      </c>
      <c r="V218" s="183" t="inlineStr">
        <is>
          <t>Introduce CHISON as a future line through a national MAH partner; ask about their hospital and clinic coverage, service engineers and openness to non Japanese brands.</t>
        </is>
      </c>
      <c r="W218" s="183" t="inlineStr">
        <is>
          <t>N (not identified)</t>
        </is>
      </c>
      <c r="X218" s="186" t="inlineStr">
        <is>
          <t>https://baseconnect.in/companies/prefecture/88d796cc-214f-4ebf-b294-ebcaa486f8a2/category/b2358a1c-c4c6-46f4-a0b1-dee3a1b30a0b</t>
        </is>
      </c>
      <c r="Y218" s="183" t="inlineStr">
        <is>
          <t>SonoEye P3 plus SonoAir 30 for GP and clinic accounts</t>
        </is>
      </c>
      <c r="Z218" s="183" t="inlineStr">
        <is>
          <t>2, 2, 3, 3, 3, 2, 3</t>
        </is>
      </c>
      <c r="AA218" s="183" t="inlineStr">
        <is>
          <t>Not found</t>
        </is>
      </c>
      <c r="AB218" s="183" t="inlineStr">
        <is>
          <t>Directory or search listing; not opened (direct site access blocked)</t>
        </is>
      </c>
      <c r="AC218" s="183" t="inlineStr">
        <is>
          <t>No expired licence or ended distribution agreement found</t>
        </is>
      </c>
      <c r="AD218" s="183" t="inlineStr">
        <is>
          <t>Not started</t>
        </is>
      </c>
      <c r="AE218" s="183" t="inlineStr"/>
      <c r="AF218" s="183" t="inlineStr">
        <is>
          <t>https://nagashiba.com/%e3%81%8a%e5%95%8f%e3%81%84%e5%90%88%e3%82%8f%e3%81%9b/</t>
        </is>
      </c>
      <c r="AG218" s="183" t="inlineStr">
        <is>
          <t>No email published; use the contact form (link in Email source)</t>
        </is>
      </c>
    </row>
    <row r="219">
      <c r="A219" s="183" t="n">
        <v>215</v>
      </c>
      <c r="B219" s="183" t="inlineStr">
        <is>
          <t>High Medical Service</t>
        </is>
      </c>
      <c r="C219" s="183" t="inlineStr">
        <is>
          <t>ハイメディカルサービス</t>
        </is>
      </c>
      <c r="D219" s="183" t="inlineStr">
        <is>
          <t>Not retrieved (NTA lookup blocked in this session)</t>
        </is>
      </c>
      <c r="E219" s="183" t="inlineStr">
        <is>
          <t>長崎県</t>
        </is>
      </c>
      <c r="F219" s="183" t="inlineStr">
        <is>
          <t>Kyushu and Okinawa</t>
        </is>
      </c>
      <c r="G219" s="183" t="inlineStr">
        <is>
          <t>Not confirmed (company site not opened; network policy blocked direct access)</t>
        </is>
      </c>
      <c r="H219" s="183" t="inlineStr">
        <is>
          <t>No MAH found; device sales licence (高度管理医療機器等販売業) not confirmed</t>
        </is>
      </c>
      <c r="I219" s="183" t="inlineStr">
        <is>
          <t>Not identified in published sources</t>
        </is>
      </c>
      <c r="J219" s="183" t="inlineStr">
        <is>
          <t>General medical equipment (hospitals and clinics)</t>
        </is>
      </c>
      <c r="K219" s="183" t="inlineStr">
        <is>
          <t>長崎県 (regional; branch network not confirmed)</t>
        </is>
      </c>
      <c r="L219" s="183" t="inlineStr">
        <is>
          <t>Not found</t>
        </is>
      </c>
      <c r="M219" s="183" t="inlineStr">
        <is>
          <t>Not identified</t>
        </is>
      </c>
      <c r="N219" s="183" t="inlineStr">
        <is>
          <t>Not identified</t>
        </is>
      </c>
      <c r="O219" s="183" t="inlineStr">
        <is>
          <t>Not published; use company inquiry form</t>
        </is>
      </c>
      <c r="P219" s="183" t="inlineStr">
        <is>
          <t>Not confirmed</t>
        </is>
      </c>
      <c r="Q219" s="183" t="inlineStr">
        <is>
          <t>Not identified</t>
        </is>
      </c>
      <c r="R219" s="184" t="inlineStr">
        <is>
          <t>Unverified</t>
        </is>
      </c>
      <c r="S219" s="183" t="n">
        <v>18</v>
      </c>
      <c r="T219" s="189" t="inlineStr">
        <is>
          <t>C</t>
        </is>
      </c>
      <c r="U219" s="183" t="inlineStr">
        <is>
          <t>Regional general medical equipment dealer with hospital and clinic accounts; candidate sub dealer under a national MAH partner.</t>
        </is>
      </c>
      <c r="V219" s="183" t="inlineStr">
        <is>
          <t>Introduce CHISON as a future line through a national MAH partner; ask about their hospital and clinic coverage, service engineers and openness to non Japanese brands.</t>
        </is>
      </c>
      <c r="W219" s="183" t="inlineStr">
        <is>
          <t>N (not identified)</t>
        </is>
      </c>
      <c r="X219" s="186" t="inlineStr">
        <is>
          <t>https://baseconnect.in/companies/prefecture/88d796cc-214f-4ebf-b294-ebcaa486f8a2/category/b2358a1c-c4c6-46f4-a0b1-dee3a1b30a0b</t>
        </is>
      </c>
      <c r="Y219" s="183" t="inlineStr">
        <is>
          <t>SonoEye P3 plus SonoAir 30 for GP and clinic accounts</t>
        </is>
      </c>
      <c r="Z219" s="183" t="inlineStr">
        <is>
          <t>2, 2, 3, 3, 3, 2, 3</t>
        </is>
      </c>
      <c r="AA219" s="183" t="inlineStr">
        <is>
          <t>Not found</t>
        </is>
      </c>
      <c r="AB219" s="183" t="inlineStr">
        <is>
          <t>Directory or search listing; not opened (direct site access blocked)</t>
        </is>
      </c>
      <c r="AC219" s="183" t="inlineStr">
        <is>
          <t>No expired licence or ended distribution agreement found</t>
        </is>
      </c>
      <c r="AD219" s="183" t="inlineStr">
        <is>
          <t>Not started</t>
        </is>
      </c>
      <c r="AE219" s="183" t="inlineStr"/>
      <c r="AF219" s="183" t="inlineStr"/>
      <c r="AG219" s="183" t="inlineStr">
        <is>
          <t>No email published and no verified website found</t>
        </is>
      </c>
    </row>
    <row r="220">
      <c r="A220" s="183" t="n">
        <v>216</v>
      </c>
      <c r="B220" s="183" t="inlineStr">
        <is>
          <t>Kato Kikai Shokai</t>
        </is>
      </c>
      <c r="C220" s="183" t="inlineStr">
        <is>
          <t>加藤器械商会</t>
        </is>
      </c>
      <c r="D220" s="183" t="inlineStr">
        <is>
          <t>Not retrieved (NTA lookup blocked in this session)</t>
        </is>
      </c>
      <c r="E220" s="183" t="inlineStr">
        <is>
          <t>長崎県</t>
        </is>
      </c>
      <c r="F220" s="183" t="inlineStr">
        <is>
          <t>Kyushu and Okinawa</t>
        </is>
      </c>
      <c r="G220" s="183" t="inlineStr">
        <is>
          <t>Not confirmed (company site not opened; network policy blocked direct access)</t>
        </is>
      </c>
      <c r="H220" s="183" t="inlineStr">
        <is>
          <t>No MAH found; device sales licence (高度管理医療機器等販売業) not confirmed</t>
        </is>
      </c>
      <c r="I220" s="183" t="inlineStr">
        <is>
          <t>Not identified in published sources</t>
        </is>
      </c>
      <c r="J220" s="183" t="inlineStr">
        <is>
          <t>General medical equipment (hospitals and clinics)</t>
        </is>
      </c>
      <c r="K220" s="183" t="inlineStr">
        <is>
          <t>長崎県 (regional; branch network not confirmed)</t>
        </is>
      </c>
      <c r="L220" s="183" t="inlineStr">
        <is>
          <t>Not found</t>
        </is>
      </c>
      <c r="M220" s="183" t="inlineStr">
        <is>
          <t>Not identified</t>
        </is>
      </c>
      <c r="N220" s="183" t="inlineStr">
        <is>
          <t>Not identified</t>
        </is>
      </c>
      <c r="O220" s="183" t="inlineStr">
        <is>
          <t>Not published; use company inquiry form</t>
        </is>
      </c>
      <c r="P220" s="183" t="inlineStr">
        <is>
          <t>Not confirmed</t>
        </is>
      </c>
      <c r="Q220" s="183" t="inlineStr">
        <is>
          <t>Not identified</t>
        </is>
      </c>
      <c r="R220" s="184" t="inlineStr">
        <is>
          <t>Unverified</t>
        </is>
      </c>
      <c r="S220" s="183" t="n">
        <v>18</v>
      </c>
      <c r="T220" s="189" t="inlineStr">
        <is>
          <t>C</t>
        </is>
      </c>
      <c r="U220" s="183" t="inlineStr">
        <is>
          <t>Regional general medical equipment dealer with hospital and clinic accounts; candidate sub dealer under a national MAH partner.</t>
        </is>
      </c>
      <c r="V220" s="183" t="inlineStr">
        <is>
          <t>Introduce CHISON as a future line through a national MAH partner; ask about their hospital and clinic coverage, service engineers and openness to non Japanese brands.</t>
        </is>
      </c>
      <c r="W220" s="183" t="inlineStr">
        <is>
          <t>N (not identified)</t>
        </is>
      </c>
      <c r="X220" s="186" t="inlineStr">
        <is>
          <t>https://baseconnect.in/companies/prefecture/88d796cc-214f-4ebf-b294-ebcaa486f8a2/category/b2358a1c-c4c6-46f4-a0b1-dee3a1b30a0b</t>
        </is>
      </c>
      <c r="Y220" s="183" t="inlineStr">
        <is>
          <t>SonoEye P3 plus SonoAir 30 for GP and clinic accounts</t>
        </is>
      </c>
      <c r="Z220" s="183" t="inlineStr">
        <is>
          <t>2, 2, 3, 3, 3, 2, 3</t>
        </is>
      </c>
      <c r="AA220" s="183" t="inlineStr">
        <is>
          <t>Not found</t>
        </is>
      </c>
      <c r="AB220" s="183" t="inlineStr">
        <is>
          <t>Directory or search listing; not opened (direct site access blocked)</t>
        </is>
      </c>
      <c r="AC220" s="183" t="inlineStr">
        <is>
          <t>No expired licence or ended distribution agreement found</t>
        </is>
      </c>
      <c r="AD220" s="183" t="inlineStr">
        <is>
          <t>Not started</t>
        </is>
      </c>
      <c r="AE220" s="183" t="inlineStr"/>
      <c r="AF220" s="183" t="inlineStr"/>
      <c r="AG220" s="183" t="inlineStr">
        <is>
          <t>No email published and no verified website found</t>
        </is>
      </c>
    </row>
    <row r="221">
      <c r="A221" s="183" t="n">
        <v>217</v>
      </c>
      <c r="B221" s="183" t="inlineStr">
        <is>
          <t>Tajima Kikai</t>
        </is>
      </c>
      <c r="C221" s="183" t="inlineStr">
        <is>
          <t>田島器械</t>
        </is>
      </c>
      <c r="D221" s="183" t="inlineStr">
        <is>
          <t>Not retrieved (NTA lookup blocked in this session)</t>
        </is>
      </c>
      <c r="E221" s="183" t="inlineStr">
        <is>
          <t>鹿児島県</t>
        </is>
      </c>
      <c r="F221" s="183" t="inlineStr">
        <is>
          <t>Kyushu and Okinawa</t>
        </is>
      </c>
      <c r="G221" s="183" t="inlineStr">
        <is>
          <t>http://tajimakikai.co.jp/</t>
        </is>
      </c>
      <c r="H221" s="183" t="inlineStr">
        <is>
          <t>No MAH found; device sales licence (高度管理医療機器等販売業) not confirmed</t>
        </is>
      </c>
      <c r="I221" s="183" t="inlineStr">
        <is>
          <t>Not identified in published sources</t>
        </is>
      </c>
      <c r="J221" s="183" t="inlineStr">
        <is>
          <t>General medical equipment (hospitals and clinics)</t>
        </is>
      </c>
      <c r="K221" s="183" t="inlineStr">
        <is>
          <t>鹿児島県 (regional; branch network not confirmed)</t>
        </is>
      </c>
      <c r="L221" s="183" t="inlineStr">
        <is>
          <t>Not found</t>
        </is>
      </c>
      <c r="M221" s="183" t="inlineStr">
        <is>
          <t>Not identified</t>
        </is>
      </c>
      <c r="N221" s="183" t="inlineStr">
        <is>
          <t>Not identified</t>
        </is>
      </c>
      <c r="O221" s="183" t="inlineStr">
        <is>
          <t>info@tajimakikai.co.jp</t>
        </is>
      </c>
      <c r="P221" s="183" t="inlineStr">
        <is>
          <t>Not confirmed</t>
        </is>
      </c>
      <c r="Q221" s="183" t="inlineStr">
        <is>
          <t>Not identified</t>
        </is>
      </c>
      <c r="R221" s="184" t="inlineStr">
        <is>
          <t>Unverified</t>
        </is>
      </c>
      <c r="S221" s="183" t="n">
        <v>18</v>
      </c>
      <c r="T221" s="189" t="inlineStr">
        <is>
          <t>C</t>
        </is>
      </c>
      <c r="U221" s="183" t="inlineStr">
        <is>
          <t>Regional general medical equipment dealer with hospital and clinic accounts; candidate sub dealer under a national MAH partner.</t>
        </is>
      </c>
      <c r="V221" s="183" t="inlineStr">
        <is>
          <t>Introduce CHISON as a future line through a national MAH partner; ask about their hospital and clinic coverage, service engineers and openness to non Japanese brands.</t>
        </is>
      </c>
      <c r="W221" s="183" t="inlineStr">
        <is>
          <t>N (not identified)</t>
        </is>
      </c>
      <c r="X221" s="186" t="inlineStr">
        <is>
          <t>https://kyuren.jp/%E4%BC%9A%E5%93%A1%E7%B4%B9%E4%BB%8B/</t>
        </is>
      </c>
      <c r="Y221" s="183" t="inlineStr">
        <is>
          <t>SonoEye P3 plus SonoAir 30 for GP and clinic accounts</t>
        </is>
      </c>
      <c r="Z221" s="183" t="inlineStr">
        <is>
          <t>2, 2, 3, 3, 3, 2, 3</t>
        </is>
      </c>
      <c r="AA221" s="183" t="inlineStr">
        <is>
          <t>Not found</t>
        </is>
      </c>
      <c r="AB221" s="183" t="inlineStr">
        <is>
          <t>Directory or search listing; not opened (direct site access blocked)</t>
        </is>
      </c>
      <c r="AC221" s="183" t="inlineStr">
        <is>
          <t>No expired licence or ended distribution agreement found</t>
        </is>
      </c>
      <c r="AD221" s="183" t="inlineStr">
        <is>
          <t>Not started</t>
        </is>
      </c>
      <c r="AE221" s="183" t="inlineStr"/>
      <c r="AF221" s="183" t="inlineStr">
        <is>
          <t>http://tajimakikai.co.jp/outline.html</t>
        </is>
      </c>
      <c r="AG221" s="183" t="inlineStr">
        <is>
          <t>Verified: published on company website</t>
        </is>
      </c>
    </row>
    <row r="222">
      <c r="A222" s="183" t="n">
        <v>218</v>
      </c>
      <c r="B222" s="183" t="inlineStr">
        <is>
          <t>Yago Iryoki</t>
        </is>
      </c>
      <c r="C222" s="183" t="inlineStr">
        <is>
          <t>八郷医療器</t>
        </is>
      </c>
      <c r="D222" s="183" t="inlineStr">
        <is>
          <t>Not retrieved (NTA lookup blocked in this session)</t>
        </is>
      </c>
      <c r="E222" s="183" t="inlineStr">
        <is>
          <t>鹿児島県</t>
        </is>
      </c>
      <c r="F222" s="183" t="inlineStr">
        <is>
          <t>Kyushu and Okinawa</t>
        </is>
      </c>
      <c r="G222" s="183" t="inlineStr">
        <is>
          <t>https://yagoplasticsurgery.com/</t>
        </is>
      </c>
      <c r="H222" s="183" t="inlineStr">
        <is>
          <t>No MAH found; device sales licence (高度管理医療機器等販売業) not confirmed</t>
        </is>
      </c>
      <c r="I222" s="183" t="inlineStr">
        <is>
          <t>Not identified in published sources</t>
        </is>
      </c>
      <c r="J222" s="183" t="inlineStr">
        <is>
          <t>General medical equipment (hospitals and clinics)</t>
        </is>
      </c>
      <c r="K222" s="183" t="inlineStr">
        <is>
          <t>鹿児島県 (regional; branch network not confirmed)</t>
        </is>
      </c>
      <c r="L222" s="183" t="inlineStr">
        <is>
          <t>Not found</t>
        </is>
      </c>
      <c r="M222" s="183" t="inlineStr">
        <is>
          <t>Not identified</t>
        </is>
      </c>
      <c r="N222" s="183" t="inlineStr">
        <is>
          <t>Not identified</t>
        </is>
      </c>
      <c r="O222" s="183" t="inlineStr">
        <is>
          <t>Not published; use company inquiry form</t>
        </is>
      </c>
      <c r="P222" s="183" t="inlineStr">
        <is>
          <t>Not confirmed</t>
        </is>
      </c>
      <c r="Q222" s="183" t="inlineStr">
        <is>
          <t>Not identified</t>
        </is>
      </c>
      <c r="R222" s="184" t="inlineStr">
        <is>
          <t>Company inquiry only</t>
        </is>
      </c>
      <c r="S222" s="183" t="n">
        <v>18</v>
      </c>
      <c r="T222" s="189" t="inlineStr">
        <is>
          <t>C</t>
        </is>
      </c>
      <c r="U222" s="183" t="inlineStr">
        <is>
          <t>Regional general medical equipment dealer with hospital and clinic accounts; candidate sub dealer under a national MAH partner.</t>
        </is>
      </c>
      <c r="V222" s="183" t="inlineStr">
        <is>
          <t>Introduce CHISON as a future line through a national MAH partner; ask about their hospital and clinic coverage, service engineers and openness to non Japanese brands.</t>
        </is>
      </c>
      <c r="W222" s="183" t="inlineStr">
        <is>
          <t>N (not identified)</t>
        </is>
      </c>
      <c r="X222" s="186" t="inlineStr">
        <is>
          <t>https://kyuren.jp/%E4%BC%9A%E5%93%A1%E7%B4%B9%E4%BB%8B/</t>
        </is>
      </c>
      <c r="Y222" s="183" t="inlineStr">
        <is>
          <t>SonoEye P3 plus SonoAir 30 for GP and clinic accounts</t>
        </is>
      </c>
      <c r="Z222" s="183" t="inlineStr">
        <is>
          <t>2, 2, 3, 3, 3, 2, 3</t>
        </is>
      </c>
      <c r="AA222" s="183" t="inlineStr">
        <is>
          <t>Not found</t>
        </is>
      </c>
      <c r="AB222" s="183" t="inlineStr">
        <is>
          <t>Recheck: no independent confirmation found; directory listing only (listed in both kyuren.jp and Baseconnect)</t>
        </is>
      </c>
      <c r="AC222" s="183" t="inlineStr">
        <is>
          <t>No expired licence or ended distribution agreement found</t>
        </is>
      </c>
      <c r="AD222" s="183" t="inlineStr">
        <is>
          <t>Not started</t>
        </is>
      </c>
      <c r="AE222" s="183" t="inlineStr"/>
      <c r="AF222" s="183" t="inlineStr"/>
      <c r="AG222" s="183" t="inlineStr">
        <is>
          <t>No email published; website has no contact page link, phone first</t>
        </is>
      </c>
    </row>
    <row r="223">
      <c r="A223" s="183" t="n">
        <v>219</v>
      </c>
      <c r="B223" s="183" t="inlineStr">
        <is>
          <t>Yokoo Mutoh</t>
        </is>
      </c>
      <c r="C223" s="183" t="inlineStr">
        <is>
          <t>横尾ムトウ</t>
        </is>
      </c>
      <c r="D223" s="183" t="inlineStr">
        <is>
          <t>Not retrieved (NTA lookup blocked in this session)</t>
        </is>
      </c>
      <c r="E223" s="183" t="inlineStr">
        <is>
          <t>鹿児島県</t>
        </is>
      </c>
      <c r="F223" s="183" t="inlineStr">
        <is>
          <t>Kyushu and Okinawa</t>
        </is>
      </c>
      <c r="G223" s="183" t="inlineStr">
        <is>
          <t>Not confirmed (company site not opened; network policy blocked direct access)</t>
        </is>
      </c>
      <c r="H223" s="183" t="inlineStr">
        <is>
          <t>No MAH found; device sales licence (高度管理医療機器等販売業) not confirmed</t>
        </is>
      </c>
      <c r="I223" s="183" t="inlineStr">
        <is>
          <t>Not identified in published sources</t>
        </is>
      </c>
      <c r="J223" s="183" t="inlineStr">
        <is>
          <t>General medical equipment (hospitals and clinics)</t>
        </is>
      </c>
      <c r="K223" s="183" t="inlineStr">
        <is>
          <t>鹿児島県 (regional; branch network not confirmed)</t>
        </is>
      </c>
      <c r="L223" s="183" t="inlineStr">
        <is>
          <t>Not found</t>
        </is>
      </c>
      <c r="M223" s="183" t="inlineStr">
        <is>
          <t>Not identified</t>
        </is>
      </c>
      <c r="N223" s="183" t="inlineStr">
        <is>
          <t>Not identified</t>
        </is>
      </c>
      <c r="O223" s="183" t="inlineStr">
        <is>
          <t>Not published; use company inquiry form</t>
        </is>
      </c>
      <c r="P223" s="183" t="inlineStr">
        <is>
          <t>Not confirmed</t>
        </is>
      </c>
      <c r="Q223" s="183" t="inlineStr">
        <is>
          <t>Not identified</t>
        </is>
      </c>
      <c r="R223" s="184" t="inlineStr">
        <is>
          <t>Unverified</t>
        </is>
      </c>
      <c r="S223" s="183" t="n">
        <v>18</v>
      </c>
      <c r="T223" s="189" t="inlineStr">
        <is>
          <t>C</t>
        </is>
      </c>
      <c r="U223" s="183" t="inlineStr">
        <is>
          <t>Regional general medical equipment dealer with hospital and clinic accounts; candidate sub dealer under a national MAH partner.</t>
        </is>
      </c>
      <c r="V223" s="183" t="inlineStr">
        <is>
          <t>Introduce CHISON as a future line through a national MAH partner; ask about their hospital and clinic coverage, service engineers and openness to non Japanese brands.</t>
        </is>
      </c>
      <c r="W223" s="183" t="inlineStr">
        <is>
          <t>N (not identified)</t>
        </is>
      </c>
      <c r="X223" s="186" t="inlineStr">
        <is>
          <t>https://kyuren.jp/%E4%BC%9A%E5%93%A1%E7%B4%B9%E4%BB%8B/</t>
        </is>
      </c>
      <c r="Y223" s="183" t="inlineStr">
        <is>
          <t>SonoEye P3 plus SonoAir 30 for GP and clinic accounts</t>
        </is>
      </c>
      <c r="Z223" s="183" t="inlineStr">
        <is>
          <t>2, 2, 3, 3, 3, 2, 3</t>
        </is>
      </c>
      <c r="AA223" s="183" t="inlineStr">
        <is>
          <t>Not found</t>
        </is>
      </c>
      <c r="AB223" s="183" t="inlineStr">
        <is>
          <t>Directory or search listing; not opened (direct site access blocked)</t>
        </is>
      </c>
      <c r="AC223" s="183" t="inlineStr">
        <is>
          <t>Holding group overlap: Mutoh group (existing row 15). Approach via Mutoh head office. No expired licence or ended distribution agreement found</t>
        </is>
      </c>
      <c r="AD223" s="183" t="inlineStr">
        <is>
          <t>Not started</t>
        </is>
      </c>
      <c r="AE223" s="183" t="inlineStr"/>
      <c r="AF223" s="183" t="inlineStr"/>
      <c r="AG223" s="183" t="inlineStr">
        <is>
          <t>No email published and no verified website found</t>
        </is>
      </c>
    </row>
    <row r="224">
      <c r="A224" s="183" t="n">
        <v>220</v>
      </c>
      <c r="B224" s="183" t="inlineStr">
        <is>
          <t>Sakura Iryo Kikai</t>
        </is>
      </c>
      <c r="C224" s="183" t="inlineStr">
        <is>
          <t>さくら医療器械</t>
        </is>
      </c>
      <c r="D224" s="183" t="inlineStr">
        <is>
          <t>Not retrieved (NTA lookup blocked in this session)</t>
        </is>
      </c>
      <c r="E224" s="183" t="inlineStr">
        <is>
          <t>鹿児島県</t>
        </is>
      </c>
      <c r="F224" s="183" t="inlineStr">
        <is>
          <t>Kyushu and Okinawa</t>
        </is>
      </c>
      <c r="G224" s="183" t="inlineStr">
        <is>
          <t>https://sakurairyo.jp/</t>
        </is>
      </c>
      <c r="H224" s="183" t="inlineStr">
        <is>
          <t>No MAH found; device sales licence (高度管理医療機器等販売業) not confirmed</t>
        </is>
      </c>
      <c r="I224" s="183" t="inlineStr">
        <is>
          <t>Not identified in published sources</t>
        </is>
      </c>
      <c r="J224" s="183" t="inlineStr">
        <is>
          <t>General medical equipment (hospitals and clinics)</t>
        </is>
      </c>
      <c r="K224" s="183" t="inlineStr">
        <is>
          <t>鹿児島県 (regional; branch network not confirmed)</t>
        </is>
      </c>
      <c r="L224" s="183" t="inlineStr">
        <is>
          <t>Not found</t>
        </is>
      </c>
      <c r="M224" s="183" t="inlineStr">
        <is>
          <t>Not identified</t>
        </is>
      </c>
      <c r="N224" s="183" t="inlineStr">
        <is>
          <t>Not identified</t>
        </is>
      </c>
      <c r="O224" s="183" t="inlineStr">
        <is>
          <t>Not published; use contact form</t>
        </is>
      </c>
      <c r="P224" s="183" t="inlineStr">
        <is>
          <t>Not confirmed</t>
        </is>
      </c>
      <c r="Q224" s="183" t="inlineStr">
        <is>
          <t>Not identified</t>
        </is>
      </c>
      <c r="R224" s="184" t="inlineStr">
        <is>
          <t>Likely</t>
        </is>
      </c>
      <c r="S224" s="183" t="n">
        <v>18</v>
      </c>
      <c r="T224" s="189" t="inlineStr">
        <is>
          <t>C</t>
        </is>
      </c>
      <c r="U224" s="183" t="inlineStr">
        <is>
          <t>Regional general medical equipment dealer with hospital and clinic accounts; candidate sub dealer under a national MAH partner.</t>
        </is>
      </c>
      <c r="V224" s="183" t="inlineStr">
        <is>
          <t>Introduce CHISON as a future line through a national MAH partner; ask about their hospital and clinic coverage, service engineers and openness to non Japanese brands.</t>
        </is>
      </c>
      <c r="W224" s="183" t="inlineStr">
        <is>
          <t>N (not identified)</t>
        </is>
      </c>
      <c r="X224" s="186" t="inlineStr">
        <is>
          <t>https://baseconnect.in/companies/prefecture/344720c8-49c6-4a45-94af-958496d86524/category/b2358a1c-c4c6-46f4-a0b1-dee3a1b30a0b</t>
        </is>
      </c>
      <c r="Y224" s="183" t="inlineStr">
        <is>
          <t>SonoEye P3 plus SonoAir 30 for GP and clinic accounts</t>
        </is>
      </c>
      <c r="Z224" s="183" t="inlineStr">
        <is>
          <t>2, 2, 3, 3, 3, 2, 3</t>
        </is>
      </c>
      <c r="AA224" s="183" t="inlineStr">
        <is>
          <t>Not found</t>
        </is>
      </c>
      <c r="AB224" s="183" t="inlineStr">
        <is>
          <t>Directory or search listing; not opened (direct site access blocked)</t>
        </is>
      </c>
      <c r="AC224" s="183" t="inlineStr">
        <is>
          <t>No expired licence or ended distribution agreement found</t>
        </is>
      </c>
      <c r="AD224" s="183" t="inlineStr">
        <is>
          <t>Not started</t>
        </is>
      </c>
      <c r="AE224" s="183" t="inlineStr"/>
      <c r="AF224" s="183" t="inlineStr">
        <is>
          <t>https://sakurairyo.jp/contact/</t>
        </is>
      </c>
      <c r="AG224" s="183" t="inlineStr">
        <is>
          <t>No email published; use the contact form (link in Email source)</t>
        </is>
      </c>
    </row>
    <row r="225">
      <c r="A225" s="183" t="n">
        <v>221</v>
      </c>
      <c r="B225" s="183" t="inlineStr">
        <is>
          <t>Sanyo Iryoki</t>
        </is>
      </c>
      <c r="C225" s="183" t="inlineStr">
        <is>
          <t>三陽医療器</t>
        </is>
      </c>
      <c r="D225" s="183" t="inlineStr">
        <is>
          <t>Not retrieved (NTA lookup blocked in this session)</t>
        </is>
      </c>
      <c r="E225" s="183" t="inlineStr">
        <is>
          <t>鹿児島県</t>
        </is>
      </c>
      <c r="F225" s="183" t="inlineStr">
        <is>
          <t>Kyushu and Okinawa</t>
        </is>
      </c>
      <c r="G225" s="183" t="inlineStr">
        <is>
          <t>Not confirmed (company site not opened; network policy blocked direct access)</t>
        </is>
      </c>
      <c r="H225" s="183" t="inlineStr">
        <is>
          <t>No MAH found; device sales licence (高度管理医療機器等販売業) not confirmed</t>
        </is>
      </c>
      <c r="I225" s="183" t="inlineStr">
        <is>
          <t>Not identified in published sources</t>
        </is>
      </c>
      <c r="J225" s="183" t="inlineStr">
        <is>
          <t>General medical equipment (hospitals and clinics)</t>
        </is>
      </c>
      <c r="K225" s="183" t="inlineStr">
        <is>
          <t>鹿児島県 (regional; branch network not confirmed)</t>
        </is>
      </c>
      <c r="L225" s="183" t="inlineStr">
        <is>
          <t>Not found</t>
        </is>
      </c>
      <c r="M225" s="183" t="inlineStr">
        <is>
          <t>Not identified</t>
        </is>
      </c>
      <c r="N225" s="183" t="inlineStr">
        <is>
          <t>Not identified</t>
        </is>
      </c>
      <c r="O225" s="183" t="inlineStr">
        <is>
          <t>Not published; use company inquiry form</t>
        </is>
      </c>
      <c r="P225" s="183" t="inlineStr">
        <is>
          <t>Not confirmed</t>
        </is>
      </c>
      <c r="Q225" s="183" t="inlineStr">
        <is>
          <t>Not identified</t>
        </is>
      </c>
      <c r="R225" s="184" t="inlineStr">
        <is>
          <t>Unverified</t>
        </is>
      </c>
      <c r="S225" s="183" t="n">
        <v>18</v>
      </c>
      <c r="T225" s="189" t="inlineStr">
        <is>
          <t>C</t>
        </is>
      </c>
      <c r="U225" s="183" t="inlineStr">
        <is>
          <t>Regional general medical equipment dealer with hospital and clinic accounts; candidate sub dealer under a national MAH partner.</t>
        </is>
      </c>
      <c r="V225" s="183" t="inlineStr">
        <is>
          <t>Introduce CHISON as a future line through a national MAH partner; ask about their hospital and clinic coverage, service engineers and openness to non Japanese brands.</t>
        </is>
      </c>
      <c r="W225" s="183" t="inlineStr">
        <is>
          <t>N (not identified)</t>
        </is>
      </c>
      <c r="X225" s="186" t="inlineStr">
        <is>
          <t>https://baseconnect.in/companies/prefecture/344720c8-49c6-4a45-94af-958496d86524/category/b2358a1c-c4c6-46f4-a0b1-dee3a1b30a0b</t>
        </is>
      </c>
      <c r="Y225" s="183" t="inlineStr">
        <is>
          <t>SonoEye P3 plus SonoAir 30 for GP and clinic accounts</t>
        </is>
      </c>
      <c r="Z225" s="183" t="inlineStr">
        <is>
          <t>2, 2, 3, 3, 3, 2, 3</t>
        </is>
      </c>
      <c r="AA225" s="183" t="inlineStr">
        <is>
          <t>Not found</t>
        </is>
      </c>
      <c r="AB225" s="183" t="inlineStr">
        <is>
          <t>Directory or search listing; not opened (direct site access blocked)</t>
        </is>
      </c>
      <c r="AC225" s="183" t="inlineStr">
        <is>
          <t>Name check: existing row 56 is 株式会社三陽 (different name); confirm not the same company. No expired licence or ended distribution agreement found</t>
        </is>
      </c>
      <c r="AD225" s="183" t="inlineStr">
        <is>
          <t>Not started</t>
        </is>
      </c>
      <c r="AE225" s="183" t="inlineStr"/>
      <c r="AF225" s="183" t="inlineStr"/>
      <c r="AG225" s="183" t="inlineStr">
        <is>
          <t>No email published and no verified website found</t>
        </is>
      </c>
    </row>
    <row r="226">
      <c r="A226" s="183" t="n">
        <v>222</v>
      </c>
      <c r="B226" s="183" t="inlineStr">
        <is>
          <t>IMS (Kagoshima)</t>
        </is>
      </c>
      <c r="C226" s="183" t="inlineStr">
        <is>
          <t>イムズ</t>
        </is>
      </c>
      <c r="D226" s="183" t="inlineStr">
        <is>
          <t>Not retrieved (NTA lookup blocked in this session)</t>
        </is>
      </c>
      <c r="E226" s="183" t="inlineStr">
        <is>
          <t>鹿児島県</t>
        </is>
      </c>
      <c r="F226" s="183" t="inlineStr">
        <is>
          <t>Kyushu and Okinawa</t>
        </is>
      </c>
      <c r="G226" s="183" t="inlineStr">
        <is>
          <t>https://imsys.co.jp/</t>
        </is>
      </c>
      <c r="H226" s="183" t="inlineStr">
        <is>
          <t>No MAH found; device sales licence (高度管理医療機器等販売業) not confirmed</t>
        </is>
      </c>
      <c r="I226" s="183" t="inlineStr">
        <is>
          <t>Not identified in published sources</t>
        </is>
      </c>
      <c r="J226" s="183" t="inlineStr">
        <is>
          <t>General medical equipment (hospitals and clinics)</t>
        </is>
      </c>
      <c r="K226" s="183" t="inlineStr">
        <is>
          <t>鹿児島県 (regional; branch network not confirmed)</t>
        </is>
      </c>
      <c r="L226" s="183" t="inlineStr">
        <is>
          <t>Not found</t>
        </is>
      </c>
      <c r="M226" s="183" t="inlineStr">
        <is>
          <t>Not identified</t>
        </is>
      </c>
      <c r="N226" s="183" t="inlineStr">
        <is>
          <t>Not identified</t>
        </is>
      </c>
      <c r="O226" s="183" t="inlineStr">
        <is>
          <t>eps-info@imsys.co.jp</t>
        </is>
      </c>
      <c r="P226" s="183" t="inlineStr">
        <is>
          <t>Not confirmed</t>
        </is>
      </c>
      <c r="Q226" s="183" t="inlineStr">
        <is>
          <t>Not identified</t>
        </is>
      </c>
      <c r="R226" s="184" t="inlineStr">
        <is>
          <t>Unverified</t>
        </is>
      </c>
      <c r="S226" s="183" t="n">
        <v>18</v>
      </c>
      <c r="T226" s="189" t="inlineStr">
        <is>
          <t>C</t>
        </is>
      </c>
      <c r="U226" s="183" t="inlineStr">
        <is>
          <t>Regional general medical equipment dealer with hospital and clinic accounts; candidate sub dealer under a national MAH partner.</t>
        </is>
      </c>
      <c r="V226" s="183" t="inlineStr">
        <is>
          <t>Introduce CHISON as a future line through a national MAH partner; ask about their hospital and clinic coverage, service engineers and openness to non Japanese brands.</t>
        </is>
      </c>
      <c r="W226" s="183" t="inlineStr">
        <is>
          <t>N (not identified)</t>
        </is>
      </c>
      <c r="X226" s="186" t="inlineStr">
        <is>
          <t>https://baseconnect.in/companies/prefecture/344720c8-49c6-4a45-94af-958496d86524/category/b2358a1c-c4c6-46f4-a0b1-dee3a1b30a0b</t>
        </is>
      </c>
      <c r="Y226" s="183" t="inlineStr">
        <is>
          <t>SonoEye P3 plus SonoAir 30 for GP and clinic accounts</t>
        </is>
      </c>
      <c r="Z226" s="183" t="inlineStr">
        <is>
          <t>2, 2, 3, 3, 3, 2, 3</t>
        </is>
      </c>
      <c r="AA226" s="183" t="inlineStr">
        <is>
          <t>Not found</t>
        </is>
      </c>
      <c r="AB226" s="183" t="inlineStr">
        <is>
          <t>Directory or search listing; not opened (direct site access blocked)</t>
        </is>
      </c>
      <c r="AC226" s="183" t="inlineStr">
        <is>
          <t>No expired licence or ended distribution agreement found</t>
        </is>
      </c>
      <c r="AD226" s="183" t="inlineStr">
        <is>
          <t>Not started</t>
        </is>
      </c>
      <c r="AE226" s="183" t="inlineStr"/>
      <c r="AF226" s="183" t="inlineStr">
        <is>
          <t>https://imsys.co.jp/</t>
        </is>
      </c>
      <c r="AG226" s="183" t="inlineStr">
        <is>
          <t>Verified: published on company website</t>
        </is>
      </c>
    </row>
    <row r="227">
      <c r="A227" s="183" t="n">
        <v>223</v>
      </c>
      <c r="B227" s="183" t="inlineStr">
        <is>
          <t>Noah International</t>
        </is>
      </c>
      <c r="C227" s="183" t="inlineStr">
        <is>
          <t>ノアインターナショナル</t>
        </is>
      </c>
      <c r="D227" s="183" t="inlineStr">
        <is>
          <t>Not retrieved (NTA lookup blocked in this session)</t>
        </is>
      </c>
      <c r="E227" s="183" t="inlineStr">
        <is>
          <t>北海道</t>
        </is>
      </c>
      <c r="F227" s="183" t="inlineStr">
        <is>
          <t>Tohoku and Hokkaido</t>
        </is>
      </c>
      <c r="G227" s="183" t="inlineStr">
        <is>
          <t>Not confirmed (company site not opened; network policy blocked direct access)</t>
        </is>
      </c>
      <c r="H227" s="183" t="inlineStr">
        <is>
          <t>No MAH found; device sales licence (高度管理医療機器等販売業) not confirmed</t>
        </is>
      </c>
      <c r="I227" s="183" t="inlineStr">
        <is>
          <t>Not identified in published sources</t>
        </is>
      </c>
      <c r="J227" s="183" t="inlineStr">
        <is>
          <t>General medical equipment (hospitals and clinics)</t>
        </is>
      </c>
      <c r="K227" s="183" t="inlineStr">
        <is>
          <t>北海道; Hokkaido</t>
        </is>
      </c>
      <c r="L227" s="183" t="inlineStr">
        <is>
          <t>Not found</t>
        </is>
      </c>
      <c r="M227" s="183" t="inlineStr">
        <is>
          <t>Not identified</t>
        </is>
      </c>
      <c r="N227" s="183" t="inlineStr">
        <is>
          <t>Not identified</t>
        </is>
      </c>
      <c r="O227" s="183" t="inlineStr">
        <is>
          <t>Not published; use company inquiry form</t>
        </is>
      </c>
      <c r="P227" s="183" t="inlineStr">
        <is>
          <t>Not confirmed</t>
        </is>
      </c>
      <c r="Q227" s="183" t="inlineStr">
        <is>
          <t>Not identified</t>
        </is>
      </c>
      <c r="R227" s="184" t="inlineStr">
        <is>
          <t>Unverified</t>
        </is>
      </c>
      <c r="S227" s="183" t="n">
        <v>18</v>
      </c>
      <c r="T227" s="189" t="inlineStr">
        <is>
          <t>C</t>
        </is>
      </c>
      <c r="U227" s="183" t="inlineStr">
        <is>
          <t>Regional general medical equipment dealer with hospital and clinic accounts; candidate sub dealer under a national MAH partner.</t>
        </is>
      </c>
      <c r="V227" s="183" t="inlineStr">
        <is>
          <t>Introduce CHISON as a future line through a national MAH partner; ask about their hospital and clinic coverage, service engineers and openness to non Japanese brands.</t>
        </is>
      </c>
      <c r="W227" s="183" t="inlineStr">
        <is>
          <t>N (not identified)</t>
        </is>
      </c>
      <c r="X227" s="186" t="inlineStr">
        <is>
          <t>https://www.jahid.or.jp/pdf/meibo2025.pdf</t>
        </is>
      </c>
      <c r="Y227" s="183" t="inlineStr">
        <is>
          <t>SonoEye P3 plus SonoAir 30 for GP and clinic accounts</t>
        </is>
      </c>
      <c r="Z227" s="183" t="inlineStr">
        <is>
          <t>2, 2, 3, 3, 3, 2, 3</t>
        </is>
      </c>
      <c r="AA227" s="183" t="inlineStr">
        <is>
          <t>Not found</t>
        </is>
      </c>
      <c r="AB227" s="183" t="inlineStr">
        <is>
          <t>Directory or search listing; not opened (direct site access blocked)</t>
        </is>
      </c>
      <c r="AC227" s="183" t="inlineStr">
        <is>
          <t>No expired licence or ended distribution agreement found</t>
        </is>
      </c>
      <c r="AD227" s="183" t="inlineStr">
        <is>
          <t>Not started</t>
        </is>
      </c>
      <c r="AE227" s="183" t="inlineStr"/>
      <c r="AF227" s="183" t="inlineStr"/>
      <c r="AG227" s="183" t="inlineStr">
        <is>
          <t>No email published and no verified website found</t>
        </is>
      </c>
    </row>
    <row r="228">
      <c r="A228" s="183" t="n">
        <v>224</v>
      </c>
      <c r="B228" s="183" t="inlineStr">
        <is>
          <t>Hokui Kikaku</t>
        </is>
      </c>
      <c r="C228" s="183" t="inlineStr">
        <is>
          <t>北医企画</t>
        </is>
      </c>
      <c r="D228" s="183" t="inlineStr">
        <is>
          <t>Not retrieved (NTA lookup blocked in this session)</t>
        </is>
      </c>
      <c r="E228" s="183" t="inlineStr">
        <is>
          <t>北海道</t>
        </is>
      </c>
      <c r="F228" s="183" t="inlineStr">
        <is>
          <t>Tohoku and Hokkaido</t>
        </is>
      </c>
      <c r="G228" s="183" t="inlineStr">
        <is>
          <t>https://www.hokui.com/</t>
        </is>
      </c>
      <c r="H228" s="183" t="inlineStr">
        <is>
          <t>No MAH found; device sales licence (高度管理医療機器等販売業) not confirmed</t>
        </is>
      </c>
      <c r="I228" s="183" t="inlineStr">
        <is>
          <t>Not identified in published sources</t>
        </is>
      </c>
      <c r="J228" s="183" t="inlineStr">
        <is>
          <t>General medical equipment (hospitals and clinics)</t>
        </is>
      </c>
      <c r="K228" s="183" t="inlineStr">
        <is>
          <t>北海道 (regional; branch network not confirmed)</t>
        </is>
      </c>
      <c r="L228" s="183" t="inlineStr">
        <is>
          <t>About 14 staff (estimate)</t>
        </is>
      </c>
      <c r="M228" s="183" t="inlineStr">
        <is>
          <t>小里学 (代表者, per SalesNow DB)</t>
        </is>
      </c>
      <c r="N228" s="183" t="inlineStr">
        <is>
          <t>Representative</t>
        </is>
      </c>
      <c r="O228" s="183" t="inlineStr">
        <is>
          <t>hokuikikaku@hokui.com</t>
        </is>
      </c>
      <c r="P228" s="183" t="inlineStr">
        <is>
          <t>Not confirmed</t>
        </is>
      </c>
      <c r="Q228" s="183" t="inlineStr">
        <is>
          <t>Not identified</t>
        </is>
      </c>
      <c r="R228" s="190" t="inlineStr">
        <is>
          <t>Likely</t>
        </is>
      </c>
      <c r="S228" s="183" t="n">
        <v>18</v>
      </c>
      <c r="T228" s="189" t="inlineStr">
        <is>
          <t>C</t>
        </is>
      </c>
      <c r="U228" s="183" t="inlineStr">
        <is>
          <t>Regional general medical equipment dealer with hospital and clinic accounts; candidate sub dealer under a national MAH partner.</t>
        </is>
      </c>
      <c r="V228" s="183" t="inlineStr">
        <is>
          <t>Introduce CHISON as a future line through a national MAH partner; ask about their hospital and clinic coverage, service engineers and openness to non Japanese brands.</t>
        </is>
      </c>
      <c r="W228" s="183" t="inlineStr">
        <is>
          <t>N (not identified)</t>
        </is>
      </c>
      <c r="X228" s="186" t="inlineStr">
        <is>
          <t>https://salesnow.jp/db/companies/jcb3frp3wfstg2f9h</t>
        </is>
      </c>
      <c r="Y228" s="183" t="inlineStr">
        <is>
          <t>SonoEye P3 plus SonoAir 30 for GP and clinic accounts</t>
        </is>
      </c>
      <c r="Z228" s="183" t="inlineStr">
        <is>
          <t>2, 2, 3, 3, 3, 2, 3</t>
        </is>
      </c>
      <c r="AA228" s="183" t="inlineStr">
        <is>
          <t>北海道札幌市西区八軒七条東5丁目1番5号</t>
        </is>
      </c>
      <c r="AB228" s="183" t="inlineStr">
        <is>
          <t>Verified in 10% recheck. Correction: Baseconnect listed Hakodate; registered address is Sapporo Nishi ku</t>
        </is>
      </c>
      <c r="AC228" s="183" t="inlineStr">
        <is>
          <t>No expired licence or ended distribution agreement found</t>
        </is>
      </c>
      <c r="AD228" s="183" t="inlineStr">
        <is>
          <t>Not started</t>
        </is>
      </c>
      <c r="AE228" s="183" t="inlineStr"/>
      <c r="AF228" s="183" t="inlineStr">
        <is>
          <t>https://www.hokui.com/contact.html</t>
        </is>
      </c>
      <c r="AG228" s="183" t="inlineStr">
        <is>
          <t>Verified: published on company website</t>
        </is>
      </c>
    </row>
    <row r="229">
      <c r="A229" s="183" t="n">
        <v>225</v>
      </c>
      <c r="B229" s="183" t="inlineStr">
        <is>
          <t>Neomedix</t>
        </is>
      </c>
      <c r="C229" s="183" t="inlineStr">
        <is>
          <t>ネオメディックス</t>
        </is>
      </c>
      <c r="D229" s="183" t="inlineStr">
        <is>
          <t>Not retrieved (NTA lookup blocked in this session)</t>
        </is>
      </c>
      <c r="E229" s="183" t="inlineStr">
        <is>
          <t>北海道</t>
        </is>
      </c>
      <c r="F229" s="183" t="inlineStr">
        <is>
          <t>Tohoku and Hokkaido</t>
        </is>
      </c>
      <c r="G229" s="183" t="inlineStr">
        <is>
          <t>http://www.neomedics.co.jp/</t>
        </is>
      </c>
      <c r="H229" s="183" t="inlineStr">
        <is>
          <t>No MAH found; device sales licence (高度管理医療機器等販売業) not confirmed</t>
        </is>
      </c>
      <c r="I229" s="183" t="inlineStr">
        <is>
          <t>Not identified in published sources</t>
        </is>
      </c>
      <c r="J229" s="183" t="inlineStr">
        <is>
          <t>General medical equipment (hospitals and clinics)</t>
        </is>
      </c>
      <c r="K229" s="183" t="inlineStr">
        <is>
          <t>北海道 (regional; branch network not confirmed)</t>
        </is>
      </c>
      <c r="L229" s="183" t="inlineStr">
        <is>
          <t>Not found</t>
        </is>
      </c>
      <c r="M229" s="183" t="inlineStr">
        <is>
          <t>Not identified</t>
        </is>
      </c>
      <c r="N229" s="183" t="inlineStr">
        <is>
          <t>Not identified</t>
        </is>
      </c>
      <c r="O229" s="183" t="inlineStr">
        <is>
          <t>Not published; use company inquiry form</t>
        </is>
      </c>
      <c r="P229" s="183" t="inlineStr">
        <is>
          <t>Not confirmed</t>
        </is>
      </c>
      <c r="Q229" s="183" t="inlineStr">
        <is>
          <t>Not identified</t>
        </is>
      </c>
      <c r="R229" s="184" t="inlineStr">
        <is>
          <t>Company inquiry only</t>
        </is>
      </c>
      <c r="S229" s="183" t="n">
        <v>18</v>
      </c>
      <c r="T229" s="189" t="inlineStr">
        <is>
          <t>C</t>
        </is>
      </c>
      <c r="U229" s="183" t="inlineStr">
        <is>
          <t>Regional general medical equipment dealer with hospital and clinic accounts; candidate sub dealer under a national MAH partner.</t>
        </is>
      </c>
      <c r="V229" s="183" t="inlineStr">
        <is>
          <t>Introduce CHISON as a future line through a national MAH partner; ask about their hospital and clinic coverage, service engineers and openness to non Japanese brands.</t>
        </is>
      </c>
      <c r="W229" s="183" t="inlineStr">
        <is>
          <t>N (not identified)</t>
        </is>
      </c>
      <c r="X229" s="186" t="inlineStr">
        <is>
          <t>https://baseconnect.in/companies/prefecture/9ebb3838-effc-47da-b634-994957a78319/keyword/89941b4e-2dd1-4848-8957-48af280a31e0</t>
        </is>
      </c>
      <c r="Y229" s="183" t="inlineStr">
        <is>
          <t>SonoEye P3 plus SonoAir 30 for GP and clinic accounts</t>
        </is>
      </c>
      <c r="Z229" s="183" t="inlineStr">
        <is>
          <t>2, 2, 3, 3, 3, 2, 3</t>
        </is>
      </c>
      <c r="AA229" s="183" t="inlineStr">
        <is>
          <t>Not found</t>
        </is>
      </c>
      <c r="AB229" s="183" t="inlineStr">
        <is>
          <t>Directory or search listing; not opened (direct site access blocked)</t>
        </is>
      </c>
      <c r="AC229" s="183" t="inlineStr">
        <is>
          <t>No expired licence or ended distribution agreement found</t>
        </is>
      </c>
      <c r="AD229" s="183" t="inlineStr">
        <is>
          <t>Not started</t>
        </is>
      </c>
      <c r="AE229" s="183" t="inlineStr"/>
      <c r="AF229" s="183" t="inlineStr"/>
      <c r="AG229" s="183" t="inlineStr">
        <is>
          <t>No email published; website has no contact page link, phone first</t>
        </is>
      </c>
    </row>
    <row r="230">
      <c r="A230" s="183" t="n">
        <v>226</v>
      </c>
      <c r="B230" s="183" t="inlineStr">
        <is>
          <t>Miyoshi Medical</t>
        </is>
      </c>
      <c r="C230" s="183" t="inlineStr">
        <is>
          <t>三好メディカル</t>
        </is>
      </c>
      <c r="D230" s="183" t="inlineStr">
        <is>
          <t>Not retrieved (NTA lookup blocked in this session)</t>
        </is>
      </c>
      <c r="E230" s="183" t="inlineStr">
        <is>
          <t>北海道</t>
        </is>
      </c>
      <c r="F230" s="183" t="inlineStr">
        <is>
          <t>Tohoku and Hokkaido</t>
        </is>
      </c>
      <c r="G230" s="183" t="inlineStr">
        <is>
          <t>http://www.miyoshi-md.co.jp/</t>
        </is>
      </c>
      <c r="H230" s="183" t="inlineStr">
        <is>
          <t>No MAH found; device sales licence (高度管理医療機器等販売業) not confirmed</t>
        </is>
      </c>
      <c r="I230" s="183" t="inlineStr">
        <is>
          <t>Not identified in published sources</t>
        </is>
      </c>
      <c r="J230" s="183" t="inlineStr">
        <is>
          <t>General medical equipment (hospitals and clinics)</t>
        </is>
      </c>
      <c r="K230" s="183" t="inlineStr">
        <is>
          <t>北海道; Hokkaido</t>
        </is>
      </c>
      <c r="L230" s="183" t="inlineStr">
        <is>
          <t>Not found</t>
        </is>
      </c>
      <c r="M230" s="183" t="inlineStr">
        <is>
          <t>Not identified</t>
        </is>
      </c>
      <c r="N230" s="183" t="inlineStr">
        <is>
          <t>Not identified</t>
        </is>
      </c>
      <c r="O230" s="183" t="inlineStr">
        <is>
          <t>Not published; use contact form</t>
        </is>
      </c>
      <c r="P230" s="183" t="inlineStr">
        <is>
          <t>Not confirmed</t>
        </is>
      </c>
      <c r="Q230" s="183" t="inlineStr">
        <is>
          <t>Not identified</t>
        </is>
      </c>
      <c r="R230" s="184" t="inlineStr">
        <is>
          <t>Likely</t>
        </is>
      </c>
      <c r="S230" s="183" t="n">
        <v>18</v>
      </c>
      <c r="T230" s="189" t="inlineStr">
        <is>
          <t>C</t>
        </is>
      </c>
      <c r="U230" s="183" t="inlineStr">
        <is>
          <t>Regional general medical equipment dealer with hospital and clinic accounts; candidate sub dealer under a national MAH partner.</t>
        </is>
      </c>
      <c r="V230" s="183" t="inlineStr">
        <is>
          <t>Introduce CHISON as a future line through a national MAH partner; ask about their hospital and clinic coverage, service engineers and openness to non Japanese brands.</t>
        </is>
      </c>
      <c r="W230" s="183" t="inlineStr">
        <is>
          <t>N (not identified)</t>
        </is>
      </c>
      <c r="X230" s="186" t="inlineStr">
        <is>
          <t>https://baseconnect.in/companies/prefecture/9ebb3838-effc-47da-b634-994957a78319/keyword/89941b4e-2dd1-4848-8957-48af280a31e0</t>
        </is>
      </c>
      <c r="Y230" s="183" t="inlineStr">
        <is>
          <t>SonoEye P3 plus SonoAir 30 for GP and clinic accounts</t>
        </is>
      </c>
      <c r="Z230" s="183" t="inlineStr">
        <is>
          <t>2, 2, 3, 3, 3, 2, 3</t>
        </is>
      </c>
      <c r="AA230" s="183" t="inlineStr">
        <is>
          <t>Not found</t>
        </is>
      </c>
      <c r="AB230" s="183" t="inlineStr">
        <is>
          <t>Directory or search listing; not opened (direct site access blocked)</t>
        </is>
      </c>
      <c r="AC230" s="183" t="inlineStr">
        <is>
          <t>No expired licence or ended distribution agreement found</t>
        </is>
      </c>
      <c r="AD230" s="183" t="inlineStr">
        <is>
          <t>Not started</t>
        </is>
      </c>
      <c r="AE230" s="183" t="inlineStr"/>
      <c r="AF230" s="183" t="inlineStr">
        <is>
          <t>http://www.miyoshi-md.co.jp/contact.html</t>
        </is>
      </c>
      <c r="AG230" s="183" t="inlineStr">
        <is>
          <t>No email published; use the contact form (link in Email source)</t>
        </is>
      </c>
    </row>
    <row r="231">
      <c r="A231" s="183" t="n">
        <v>227</v>
      </c>
      <c r="B231" s="183" t="inlineStr">
        <is>
          <t>Medical Life Line</t>
        </is>
      </c>
      <c r="C231" s="183" t="inlineStr">
        <is>
          <t>メディカル・ライフ・ライン</t>
        </is>
      </c>
      <c r="D231" s="183" t="inlineStr">
        <is>
          <t>Not retrieved (NTA lookup blocked in this session)</t>
        </is>
      </c>
      <c r="E231" s="183" t="inlineStr">
        <is>
          <t>北海道</t>
        </is>
      </c>
      <c r="F231" s="183" t="inlineStr">
        <is>
          <t>Tohoku and Hokkaido</t>
        </is>
      </c>
      <c r="G231" s="183" t="inlineStr">
        <is>
          <t>Not confirmed (company site not opened; network policy blocked direct access)</t>
        </is>
      </c>
      <c r="H231" s="183" t="inlineStr">
        <is>
          <t>No MAH found; device sales licence (高度管理医療機器等販売業) not confirmed</t>
        </is>
      </c>
      <c r="I231" s="183" t="inlineStr">
        <is>
          <t>Not identified in published sources</t>
        </is>
      </c>
      <c r="J231" s="183" t="inlineStr">
        <is>
          <t>General medical equipment (hospitals and clinics)</t>
        </is>
      </c>
      <c r="K231" s="183" t="inlineStr">
        <is>
          <t>北海道; Hokkaido</t>
        </is>
      </c>
      <c r="L231" s="183" t="inlineStr">
        <is>
          <t>Not found</t>
        </is>
      </c>
      <c r="M231" s="183" t="inlineStr">
        <is>
          <t>Not identified</t>
        </is>
      </c>
      <c r="N231" s="183" t="inlineStr">
        <is>
          <t>Not identified</t>
        </is>
      </c>
      <c r="O231" s="183" t="inlineStr">
        <is>
          <t>Not published; use company inquiry form</t>
        </is>
      </c>
      <c r="P231" s="183" t="inlineStr">
        <is>
          <t>Not confirmed</t>
        </is>
      </c>
      <c r="Q231" s="183" t="inlineStr">
        <is>
          <t>Not identified</t>
        </is>
      </c>
      <c r="R231" s="184" t="inlineStr">
        <is>
          <t>Unverified</t>
        </is>
      </c>
      <c r="S231" s="183" t="n">
        <v>18</v>
      </c>
      <c r="T231" s="189" t="inlineStr">
        <is>
          <t>C</t>
        </is>
      </c>
      <c r="U231" s="183" t="inlineStr">
        <is>
          <t>Regional general medical equipment dealer with hospital and clinic accounts; candidate sub dealer under a national MAH partner.</t>
        </is>
      </c>
      <c r="V231" s="183" t="inlineStr">
        <is>
          <t>Introduce CHISON as a future line through a national MAH partner; ask about their hospital and clinic coverage, service engineers and openness to non Japanese brands.</t>
        </is>
      </c>
      <c r="W231" s="183" t="inlineStr">
        <is>
          <t>N (not identified)</t>
        </is>
      </c>
      <c r="X231" s="186" t="inlineStr">
        <is>
          <t>https://baseconnect.in/companies/prefecture/9ebb3838-effc-47da-b634-994957a78319/keyword/89941b4e-2dd1-4848-8957-48af280a31e0</t>
        </is>
      </c>
      <c r="Y231" s="183" t="inlineStr">
        <is>
          <t>SonoEye P3 plus SonoAir 30 for GP and clinic accounts</t>
        </is>
      </c>
      <c r="Z231" s="183" t="inlineStr">
        <is>
          <t>2, 2, 3, 3, 3, 2, 3</t>
        </is>
      </c>
      <c r="AA231" s="183" t="inlineStr">
        <is>
          <t>Not found</t>
        </is>
      </c>
      <c r="AB231" s="183" t="inlineStr">
        <is>
          <t>Directory or search listing; not opened (direct site access blocked)</t>
        </is>
      </c>
      <c r="AC231" s="183" t="inlineStr">
        <is>
          <t>No expired licence or ended distribution agreement found</t>
        </is>
      </c>
      <c r="AD231" s="183" t="inlineStr">
        <is>
          <t>Not started</t>
        </is>
      </c>
      <c r="AE231" s="183" t="inlineStr"/>
      <c r="AF231" s="183" t="inlineStr"/>
      <c r="AG231" s="183" t="inlineStr">
        <is>
          <t>No email published and no verified website found</t>
        </is>
      </c>
    </row>
    <row r="232">
      <c r="A232" s="183" t="n">
        <v>228</v>
      </c>
      <c r="B232" s="183" t="inlineStr">
        <is>
          <t>Nova Medical</t>
        </is>
      </c>
      <c r="C232" s="183" t="inlineStr">
        <is>
          <t>ノバメディカル</t>
        </is>
      </c>
      <c r="D232" s="183" t="inlineStr">
        <is>
          <t>Not retrieved (NTA lookup blocked in this session)</t>
        </is>
      </c>
      <c r="E232" s="183" t="inlineStr">
        <is>
          <t>北海道</t>
        </is>
      </c>
      <c r="F232" s="183" t="inlineStr">
        <is>
          <t>Tohoku and Hokkaido</t>
        </is>
      </c>
      <c r="G232" s="183" t="inlineStr">
        <is>
          <t>https://www.novamedical.co.jp/</t>
        </is>
      </c>
      <c r="H232" s="183" t="inlineStr">
        <is>
          <t>No MAH found; device sales licence (高度管理医療機器等販売業) not confirmed</t>
        </is>
      </c>
      <c r="I232" s="183" t="inlineStr">
        <is>
          <t>Not identified in published sources</t>
        </is>
      </c>
      <c r="J232" s="183" t="inlineStr">
        <is>
          <t>General medical equipment (hospitals and clinics)</t>
        </is>
      </c>
      <c r="K232" s="183" t="inlineStr">
        <is>
          <t>北海道; Hokkaido</t>
        </is>
      </c>
      <c r="L232" s="183" t="inlineStr">
        <is>
          <t>Not found</t>
        </is>
      </c>
      <c r="M232" s="183" t="inlineStr">
        <is>
          <t>Not identified</t>
        </is>
      </c>
      <c r="N232" s="183" t="inlineStr">
        <is>
          <t>Not identified</t>
        </is>
      </c>
      <c r="O232" s="183" t="inlineStr">
        <is>
          <t>Not published; use contact form</t>
        </is>
      </c>
      <c r="P232" s="183" t="inlineStr">
        <is>
          <t>Not confirmed</t>
        </is>
      </c>
      <c r="Q232" s="183" t="inlineStr">
        <is>
          <t>Not identified</t>
        </is>
      </c>
      <c r="R232" s="184" t="inlineStr">
        <is>
          <t>Likely</t>
        </is>
      </c>
      <c r="S232" s="183" t="n">
        <v>18</v>
      </c>
      <c r="T232" s="189" t="inlineStr">
        <is>
          <t>C</t>
        </is>
      </c>
      <c r="U232" s="183" t="inlineStr">
        <is>
          <t>Regional general medical equipment dealer with hospital and clinic accounts; candidate sub dealer under a national MAH partner.</t>
        </is>
      </c>
      <c r="V232" s="183" t="inlineStr">
        <is>
          <t>Introduce CHISON as a future line through a national MAH partner; ask about their hospital and clinic coverage, service engineers and openness to non Japanese brands.</t>
        </is>
      </c>
      <c r="W232" s="183" t="inlineStr">
        <is>
          <t>N (not identified)</t>
        </is>
      </c>
      <c r="X232" s="186" t="inlineStr">
        <is>
          <t>https://baseconnect.in/companies/prefecture/9ebb3838-effc-47da-b634-994957a78319/keyword/89941b4e-2dd1-4848-8957-48af280a31e0</t>
        </is>
      </c>
      <c r="Y232" s="183" t="inlineStr">
        <is>
          <t>SonoEye P3 plus SonoAir 30 for GP and clinic accounts</t>
        </is>
      </c>
      <c r="Z232" s="183" t="inlineStr">
        <is>
          <t>2, 2, 3, 3, 3, 2, 3</t>
        </is>
      </c>
      <c r="AA232" s="183" t="inlineStr">
        <is>
          <t>Not found</t>
        </is>
      </c>
      <c r="AB232" s="183" t="inlineStr">
        <is>
          <t>Directory or search listing; not opened (direct site access blocked)</t>
        </is>
      </c>
      <c r="AC232" s="183" t="inlineStr">
        <is>
          <t>No expired licence or ended distribution agreement found</t>
        </is>
      </c>
      <c r="AD232" s="183" t="inlineStr">
        <is>
          <t>Not started</t>
        </is>
      </c>
      <c r="AE232" s="183" t="inlineStr"/>
      <c r="AF232" s="183" t="inlineStr">
        <is>
          <t>https://www.novamedical.co.jp/contact/index.html</t>
        </is>
      </c>
      <c r="AG232" s="183" t="inlineStr">
        <is>
          <t>No email published; use the contact form (link in Email source)</t>
        </is>
      </c>
    </row>
    <row r="233">
      <c r="A233" s="183" t="n">
        <v>229</v>
      </c>
      <c r="B233" s="183" t="inlineStr">
        <is>
          <t>Active Medical</t>
        </is>
      </c>
      <c r="C233" s="183" t="inlineStr">
        <is>
          <t>アクティブメディカル</t>
        </is>
      </c>
      <c r="D233" s="183" t="inlineStr">
        <is>
          <t>Not retrieved (NTA lookup blocked in this session)</t>
        </is>
      </c>
      <c r="E233" s="183" t="inlineStr">
        <is>
          <t>北海道</t>
        </is>
      </c>
      <c r="F233" s="183" t="inlineStr">
        <is>
          <t>Tohoku and Hokkaido</t>
        </is>
      </c>
      <c r="G233" s="183" t="inlineStr">
        <is>
          <t>https://www.alvaus.co.jp/</t>
        </is>
      </c>
      <c r="H233" s="183" t="inlineStr">
        <is>
          <t>No MAH found; device sales licence (高度管理医療機器等販売業) not confirmed</t>
        </is>
      </c>
      <c r="I233" s="183" t="inlineStr">
        <is>
          <t>Not identified in published sources</t>
        </is>
      </c>
      <c r="J233" s="183" t="inlineStr">
        <is>
          <t>General medical equipment (hospitals and clinics)</t>
        </is>
      </c>
      <c r="K233" s="183" t="inlineStr">
        <is>
          <t>北海道; Hokkaido</t>
        </is>
      </c>
      <c r="L233" s="183" t="inlineStr">
        <is>
          <t>Not found</t>
        </is>
      </c>
      <c r="M233" s="183" t="inlineStr">
        <is>
          <t>Not identified</t>
        </is>
      </c>
      <c r="N233" s="183" t="inlineStr">
        <is>
          <t>Not identified</t>
        </is>
      </c>
      <c r="O233" s="183" t="inlineStr">
        <is>
          <t>akihiro@alvaus.co.jp</t>
        </is>
      </c>
      <c r="P233" s="183" t="inlineStr">
        <is>
          <t>Not confirmed</t>
        </is>
      </c>
      <c r="Q233" s="183" t="inlineStr">
        <is>
          <t>Not identified</t>
        </is>
      </c>
      <c r="R233" s="184" t="inlineStr">
        <is>
          <t>Unverified</t>
        </is>
      </c>
      <c r="S233" s="183" t="n">
        <v>18</v>
      </c>
      <c r="T233" s="189" t="inlineStr">
        <is>
          <t>C</t>
        </is>
      </c>
      <c r="U233" s="183" t="inlineStr">
        <is>
          <t>Regional general medical equipment dealer with hospital and clinic accounts; candidate sub dealer under a national MAH partner.</t>
        </is>
      </c>
      <c r="V233" s="183" t="inlineStr">
        <is>
          <t>Introduce CHISON as a future line through a national MAH partner; ask about their hospital and clinic coverage, service engineers and openness to non Japanese brands.</t>
        </is>
      </c>
      <c r="W233" s="183" t="inlineStr">
        <is>
          <t>N (not identified)</t>
        </is>
      </c>
      <c r="X233" s="186" t="inlineStr">
        <is>
          <t>https://baseconnect.in/companies/prefecture/9ebb3838-effc-47da-b634-994957a78319/keyword/89941b4e-2dd1-4848-8957-48af280a31e0</t>
        </is>
      </c>
      <c r="Y233" s="183" t="inlineStr">
        <is>
          <t>SonoEye P3 plus SonoAir 30 for GP and clinic accounts</t>
        </is>
      </c>
      <c r="Z233" s="183" t="inlineStr">
        <is>
          <t>2, 2, 3, 3, 3, 2, 3</t>
        </is>
      </c>
      <c r="AA233" s="183" t="inlineStr">
        <is>
          <t>Not found</t>
        </is>
      </c>
      <c r="AB233" s="183" t="inlineStr">
        <is>
          <t>Directory or search listing; not opened (direct site access blocked)</t>
        </is>
      </c>
      <c r="AC233" s="183" t="inlineStr">
        <is>
          <t>No expired licence or ended distribution agreement found</t>
        </is>
      </c>
      <c r="AD233" s="183" t="inlineStr">
        <is>
          <t>Not started</t>
        </is>
      </c>
      <c r="AE233" s="183" t="inlineStr">
        <is>
          <t>al_recruit@alvaus.co.jp</t>
        </is>
      </c>
      <c r="AF233" s="183" t="inlineStr">
        <is>
          <t>https://en-ambi.com/agency/a-5985/</t>
        </is>
      </c>
      <c r="AG233" s="183" t="inlineStr">
        <is>
          <t>Likely: indexed on company domain</t>
        </is>
      </c>
    </row>
    <row r="234">
      <c r="A234" s="183" t="n">
        <v>230</v>
      </c>
      <c r="B234" s="183" t="inlineStr">
        <is>
          <t>IMC (Hokkaido)</t>
        </is>
      </c>
      <c r="C234" s="183" t="inlineStr">
        <is>
          <t>IMC</t>
        </is>
      </c>
      <c r="D234" s="183" t="inlineStr">
        <is>
          <t>Not retrieved (NTA lookup blocked in this session)</t>
        </is>
      </c>
      <c r="E234" s="183" t="inlineStr">
        <is>
          <t>北海道</t>
        </is>
      </c>
      <c r="F234" s="183" t="inlineStr">
        <is>
          <t>Tohoku and Hokkaido</t>
        </is>
      </c>
      <c r="G234" s="183" t="inlineStr">
        <is>
          <t>https://www.jmuc.co.jp/</t>
        </is>
      </c>
      <c r="H234" s="183" t="inlineStr">
        <is>
          <t>No MAH found; device sales licence (高度管理医療機器等販売業) not confirmed</t>
        </is>
      </c>
      <c r="I234" s="183" t="inlineStr">
        <is>
          <t>Not identified in published sources</t>
        </is>
      </c>
      <c r="J234" s="183" t="inlineStr">
        <is>
          <t>General medical equipment (hospitals and clinics)</t>
        </is>
      </c>
      <c r="K234" s="183" t="inlineStr">
        <is>
          <t>北海道; Hokkaido</t>
        </is>
      </c>
      <c r="L234" s="183" t="inlineStr">
        <is>
          <t>Not found</t>
        </is>
      </c>
      <c r="M234" s="183" t="inlineStr">
        <is>
          <t>Not identified</t>
        </is>
      </c>
      <c r="N234" s="183" t="inlineStr">
        <is>
          <t>Not identified</t>
        </is>
      </c>
      <c r="O234" s="183" t="inlineStr">
        <is>
          <t>sales@imc.jmuc.co.jp</t>
        </is>
      </c>
      <c r="P234" s="183" t="inlineStr">
        <is>
          <t>Not confirmed</t>
        </is>
      </c>
      <c r="Q234" s="183" t="inlineStr">
        <is>
          <t>Not identified</t>
        </is>
      </c>
      <c r="R234" s="184" t="inlineStr">
        <is>
          <t>Unverified</t>
        </is>
      </c>
      <c r="S234" s="183" t="n">
        <v>18</v>
      </c>
      <c r="T234" s="189" t="inlineStr">
        <is>
          <t>C</t>
        </is>
      </c>
      <c r="U234" s="183" t="inlineStr">
        <is>
          <t>Regional general medical equipment dealer with hospital and clinic accounts; candidate sub dealer under a national MAH partner.</t>
        </is>
      </c>
      <c r="V234" s="183" t="inlineStr">
        <is>
          <t>Introduce CHISON as a future line through a national MAH partner; ask about their hospital and clinic coverage, service engineers and openness to non Japanese brands.</t>
        </is>
      </c>
      <c r="W234" s="183" t="inlineStr">
        <is>
          <t>N (not identified)</t>
        </is>
      </c>
      <c r="X234" s="186" t="inlineStr">
        <is>
          <t>https://baseconnect.in/companies/prefecture/9ebb3838-effc-47da-b634-994957a78319/keyword/89941b4e-2dd1-4848-8957-48af280a31e0</t>
        </is>
      </c>
      <c r="Y234" s="183" t="inlineStr">
        <is>
          <t>SonoEye P3 plus SonoAir 30 for GP and clinic accounts</t>
        </is>
      </c>
      <c r="Z234" s="183" t="inlineStr">
        <is>
          <t>2, 2, 3, 3, 3, 2, 3</t>
        </is>
      </c>
      <c r="AA234" s="183" t="inlineStr">
        <is>
          <t>Not found</t>
        </is>
      </c>
      <c r="AB234" s="183" t="inlineStr">
        <is>
          <t>Directory or search listing; not opened (direct site access blocked)</t>
        </is>
      </c>
      <c r="AC234" s="183" t="inlineStr">
        <is>
          <t>No expired licence or ended distribution agreement found</t>
        </is>
      </c>
      <c r="AD234" s="183" t="inlineStr">
        <is>
          <t>Not started</t>
        </is>
      </c>
      <c r="AE234" s="183" t="inlineStr">
        <is>
          <t>lifeboat-insp@imc.jmuc.co.jp, dm_sales@imc.jmuc.co.jp, shimizu@imc.jmuc.co.jp, msc_sales@imc.jmuc.co.jp, eq_sales@imc.jmuc.co.jp</t>
        </is>
      </c>
      <c r="AF234" s="183" t="inlineStr">
        <is>
          <t>https://www.asry.net/International%20Agents/</t>
        </is>
      </c>
      <c r="AG234" s="183" t="inlineStr">
        <is>
          <t>Likely: indexed on company domain</t>
        </is>
      </c>
    </row>
    <row r="235">
      <c r="A235" s="183" t="n">
        <v>231</v>
      </c>
      <c r="B235" s="183" t="inlineStr">
        <is>
          <t>Mac (Hokkaido)</t>
        </is>
      </c>
      <c r="C235" s="183" t="inlineStr">
        <is>
          <t>マック</t>
        </is>
      </c>
      <c r="D235" s="183" t="inlineStr">
        <is>
          <t>Not retrieved (NTA lookup blocked in this session)</t>
        </is>
      </c>
      <c r="E235" s="183" t="inlineStr">
        <is>
          <t>北海道</t>
        </is>
      </c>
      <c r="F235" s="183" t="inlineStr">
        <is>
          <t>Tohoku and Hokkaido</t>
        </is>
      </c>
      <c r="G235" s="183" t="inlineStr">
        <is>
          <t>https://www.mac-inc.co.jp/</t>
        </is>
      </c>
      <c r="H235" s="183" t="inlineStr">
        <is>
          <t>No MAH found; device sales licence (高度管理医療機器等販売業) not confirmed</t>
        </is>
      </c>
      <c r="I235" s="183" t="inlineStr">
        <is>
          <t>Not identified in published sources</t>
        </is>
      </c>
      <c r="J235" s="183" t="inlineStr">
        <is>
          <t>General medical equipment (hospitals and clinics)</t>
        </is>
      </c>
      <c r="K235" s="183" t="inlineStr">
        <is>
          <t>北海道; Hokkaido</t>
        </is>
      </c>
      <c r="L235" s="183" t="inlineStr">
        <is>
          <t>Not found</t>
        </is>
      </c>
      <c r="M235" s="183" t="inlineStr">
        <is>
          <t>Not identified</t>
        </is>
      </c>
      <c r="N235" s="183" t="inlineStr">
        <is>
          <t>Not identified</t>
        </is>
      </c>
      <c r="O235" s="183" t="inlineStr">
        <is>
          <t>Not published; use contact form</t>
        </is>
      </c>
      <c r="P235" s="183" t="inlineStr">
        <is>
          <t>Not confirmed</t>
        </is>
      </c>
      <c r="Q235" s="183" t="inlineStr">
        <is>
          <t>Not identified</t>
        </is>
      </c>
      <c r="R235" s="184" t="inlineStr">
        <is>
          <t>Likely</t>
        </is>
      </c>
      <c r="S235" s="183" t="n">
        <v>18</v>
      </c>
      <c r="T235" s="189" t="inlineStr">
        <is>
          <t>C</t>
        </is>
      </c>
      <c r="U235" s="183" t="inlineStr">
        <is>
          <t>Regional general medical equipment dealer with hospital and clinic accounts; candidate sub dealer under a national MAH partner.</t>
        </is>
      </c>
      <c r="V235" s="183" t="inlineStr">
        <is>
          <t>Introduce CHISON as a future line through a national MAH partner; ask about their hospital and clinic coverage, service engineers and openness to non Japanese brands.</t>
        </is>
      </c>
      <c r="W235" s="183" t="inlineStr">
        <is>
          <t>N (not identified)</t>
        </is>
      </c>
      <c r="X235" s="186" t="inlineStr">
        <is>
          <t>https://baseconnect.in/companies/prefecture/9ebb3838-effc-47da-b634-994957a78319/keyword/89941b4e-2dd1-4848-8957-48af280a31e0</t>
        </is>
      </c>
      <c r="Y235" s="183" t="inlineStr">
        <is>
          <t>SonoEye P3 plus SonoAir 30 for GP and clinic accounts</t>
        </is>
      </c>
      <c r="Z235" s="183" t="inlineStr">
        <is>
          <t>2, 2, 3, 3, 3, 2, 3</t>
        </is>
      </c>
      <c r="AA235" s="183" t="inlineStr">
        <is>
          <t>Not found</t>
        </is>
      </c>
      <c r="AB235" s="183" t="inlineStr">
        <is>
          <t>Directory or search listing; not opened (direct site access blocked)</t>
        </is>
      </c>
      <c r="AC235" s="183" t="inlineStr">
        <is>
          <t>No expired licence or ended distribution agreement found</t>
        </is>
      </c>
      <c r="AD235" s="183" t="inlineStr">
        <is>
          <t>Not started</t>
        </is>
      </c>
      <c r="AE235" s="183" t="inlineStr"/>
      <c r="AF235" s="183" t="inlineStr">
        <is>
          <t>https://www.mac-inc.co.jp/contact/</t>
        </is>
      </c>
      <c r="AG235" s="183" t="inlineStr">
        <is>
          <t>No email published; use the contact form (link in Email source)</t>
        </is>
      </c>
    </row>
    <row r="236">
      <c r="A236" s="183" t="n">
        <v>232</v>
      </c>
      <c r="B236" s="183" t="inlineStr">
        <is>
          <t>Northerly Medical</t>
        </is>
      </c>
      <c r="C236" s="183" t="inlineStr">
        <is>
          <t>ノーザリーメディカル</t>
        </is>
      </c>
      <c r="D236" s="183" t="inlineStr">
        <is>
          <t>Not retrieved (NTA lookup blocked in this session)</t>
        </is>
      </c>
      <c r="E236" s="183" t="inlineStr">
        <is>
          <t>北海道</t>
        </is>
      </c>
      <c r="F236" s="183" t="inlineStr">
        <is>
          <t>Tohoku and Hokkaido</t>
        </is>
      </c>
      <c r="G236" s="183" t="inlineStr">
        <is>
          <t>https://northerlymed.com/</t>
        </is>
      </c>
      <c r="H236" s="183" t="inlineStr">
        <is>
          <t>No MAH found; device sales licence (高度管理医療機器等販売業) not confirmed</t>
        </is>
      </c>
      <c r="I236" s="183" t="inlineStr">
        <is>
          <t>Not identified in published sources</t>
        </is>
      </c>
      <c r="J236" s="183" t="inlineStr">
        <is>
          <t>General medical equipment (hospitals and clinics)</t>
        </is>
      </c>
      <c r="K236" s="183" t="inlineStr">
        <is>
          <t>北海道; Hokkaido</t>
        </is>
      </c>
      <c r="L236" s="183" t="inlineStr">
        <is>
          <t>Not found</t>
        </is>
      </c>
      <c r="M236" s="183" t="inlineStr">
        <is>
          <t>Not identified</t>
        </is>
      </c>
      <c r="N236" s="183" t="inlineStr">
        <is>
          <t>Not identified</t>
        </is>
      </c>
      <c r="O236" s="183" t="inlineStr">
        <is>
          <t>info@northerlymed.com</t>
        </is>
      </c>
      <c r="P236" s="183" t="inlineStr">
        <is>
          <t>Not confirmed</t>
        </is>
      </c>
      <c r="Q236" s="183" t="inlineStr">
        <is>
          <t>Not identified</t>
        </is>
      </c>
      <c r="R236" s="184" t="inlineStr">
        <is>
          <t>Unverified</t>
        </is>
      </c>
      <c r="S236" s="183" t="n">
        <v>18</v>
      </c>
      <c r="T236" s="189" t="inlineStr">
        <is>
          <t>C</t>
        </is>
      </c>
      <c r="U236" s="183" t="inlineStr">
        <is>
          <t>Regional general medical equipment dealer with hospital and clinic accounts; candidate sub dealer under a national MAH partner.</t>
        </is>
      </c>
      <c r="V236" s="183" t="inlineStr">
        <is>
          <t>Introduce CHISON as a future line through a national MAH partner; ask about their hospital and clinic coverage, service engineers and openness to non Japanese brands.</t>
        </is>
      </c>
      <c r="W236" s="183" t="inlineStr">
        <is>
          <t>N (not identified)</t>
        </is>
      </c>
      <c r="X236" s="186" t="inlineStr">
        <is>
          <t>https://baseconnect.in/companies/prefecture/9ebb3838-effc-47da-b634-994957a78319/keyword/89941b4e-2dd1-4848-8957-48af280a31e0</t>
        </is>
      </c>
      <c r="Y236" s="183" t="inlineStr">
        <is>
          <t>SonoEye P3 plus SonoAir 30 for GP and clinic accounts</t>
        </is>
      </c>
      <c r="Z236" s="183" t="inlineStr">
        <is>
          <t>2, 2, 3, 3, 3, 2, 3</t>
        </is>
      </c>
      <c r="AA236" s="183" t="inlineStr">
        <is>
          <t>Not found</t>
        </is>
      </c>
      <c r="AB236" s="183" t="inlineStr">
        <is>
          <t>Directory or search listing; not opened (direct site access blocked)</t>
        </is>
      </c>
      <c r="AC236" s="183" t="inlineStr">
        <is>
          <t>No expired licence or ended distribution agreement found</t>
        </is>
      </c>
      <c r="AD236" s="183" t="inlineStr">
        <is>
          <t>Not started</t>
        </is>
      </c>
      <c r="AE236" s="183" t="inlineStr">
        <is>
          <t>kumagai@northerlymed.com, kataoka@northerlymed.com</t>
        </is>
      </c>
      <c r="AF236" s="183" t="inlineStr">
        <is>
          <t>https://www.youtube.com/watch?v=L4_8iQwS810</t>
        </is>
      </c>
      <c r="AG236" s="183" t="inlineStr">
        <is>
          <t>Likely: indexed on company domain</t>
        </is>
      </c>
    </row>
    <row r="237">
      <c r="A237" s="183" t="n">
        <v>233</v>
      </c>
      <c r="B237" s="183" t="inlineStr">
        <is>
          <t>Glover</t>
        </is>
      </c>
      <c r="C237" s="183" t="inlineStr">
        <is>
          <t>グローバー</t>
        </is>
      </c>
      <c r="D237" s="183" t="inlineStr">
        <is>
          <t>Not retrieved (NTA lookup blocked in this session)</t>
        </is>
      </c>
      <c r="E237" s="183" t="inlineStr">
        <is>
          <t>宮城県</t>
        </is>
      </c>
      <c r="F237" s="183" t="inlineStr">
        <is>
          <t>Tohoku and Hokkaido</t>
        </is>
      </c>
      <c r="G237" s="183" t="inlineStr">
        <is>
          <t>https://growber.co.jp/</t>
        </is>
      </c>
      <c r="H237" s="183" t="inlineStr">
        <is>
          <t>No MAH found; device sales licence (高度管理医療機器等販売業) not confirmed</t>
        </is>
      </c>
      <c r="I237" s="183" t="inlineStr">
        <is>
          <t>Not identified in published sources</t>
        </is>
      </c>
      <c r="J237" s="183" t="inlineStr">
        <is>
          <t>General medical equipment (hospitals and clinics)</t>
        </is>
      </c>
      <c r="K237" s="183" t="inlineStr">
        <is>
          <t>宮城県 (regional; branch network not confirmed)</t>
        </is>
      </c>
      <c r="L237" s="183" t="inlineStr">
        <is>
          <t>Not found</t>
        </is>
      </c>
      <c r="M237" s="183" t="inlineStr">
        <is>
          <t>Not identified</t>
        </is>
      </c>
      <c r="N237" s="183" t="inlineStr">
        <is>
          <t>Not identified</t>
        </is>
      </c>
      <c r="O237" s="183" t="inlineStr">
        <is>
          <t>info@growber.co.jp</t>
        </is>
      </c>
      <c r="P237" s="183" t="inlineStr">
        <is>
          <t>Not confirmed</t>
        </is>
      </c>
      <c r="Q237" s="183" t="inlineStr">
        <is>
          <t>Not identified</t>
        </is>
      </c>
      <c r="R237" s="184" t="inlineStr">
        <is>
          <t>Unverified</t>
        </is>
      </c>
      <c r="S237" s="183" t="n">
        <v>18</v>
      </c>
      <c r="T237" s="189" t="inlineStr">
        <is>
          <t>C</t>
        </is>
      </c>
      <c r="U237" s="183" t="inlineStr">
        <is>
          <t>Regional general medical equipment dealer with hospital and clinic accounts; candidate sub dealer under a national MAH partner.</t>
        </is>
      </c>
      <c r="V237" s="183" t="inlineStr">
        <is>
          <t>Introduce CHISON as a future line through a national MAH partner; ask about their hospital and clinic coverage, service engineers and openness to non Japanese brands.</t>
        </is>
      </c>
      <c r="W237" s="183" t="inlineStr">
        <is>
          <t>N (not identified)</t>
        </is>
      </c>
      <c r="X237" s="186" t="inlineStr">
        <is>
          <t>https://baseconnect.in/companies/prefecture/3eff90d1-0bad-4fac-bce6-da9b939d7407/keyword/89941b4e-2dd1-4848-8957-48af280a31e0</t>
        </is>
      </c>
      <c r="Y237" s="183" t="inlineStr">
        <is>
          <t>SonoEye P3 plus SonoAir 30 for GP and clinic accounts</t>
        </is>
      </c>
      <c r="Z237" s="183" t="inlineStr">
        <is>
          <t>2, 2, 3, 3, 3, 2, 3</t>
        </is>
      </c>
      <c r="AA237" s="183" t="inlineStr">
        <is>
          <t>Not found</t>
        </is>
      </c>
      <c r="AB237" s="183" t="inlineStr">
        <is>
          <t>Directory or search listing; not opened (direct site access blocked)</t>
        </is>
      </c>
      <c r="AC237" s="183" t="inlineStr">
        <is>
          <t>No expired licence or ended distribution agreement found</t>
        </is>
      </c>
      <c r="AD237" s="183" t="inlineStr">
        <is>
          <t>Not started</t>
        </is>
      </c>
      <c r="AE237" s="183" t="inlineStr"/>
      <c r="AF237" s="183" t="inlineStr">
        <is>
          <t>https://growber.co.jp/company-info/</t>
        </is>
      </c>
      <c r="AG237" s="183" t="inlineStr">
        <is>
          <t>Verified: published on company website</t>
        </is>
      </c>
    </row>
    <row r="238">
      <c r="A238" s="183" t="n">
        <v>234</v>
      </c>
      <c r="B238" s="183" t="inlineStr">
        <is>
          <t>Aoki Kikaiten</t>
        </is>
      </c>
      <c r="C238" s="183" t="inlineStr">
        <is>
          <t>青木器械店</t>
        </is>
      </c>
      <c r="D238" s="183" t="inlineStr">
        <is>
          <t>Not retrieved (NTA lookup blocked in this session)</t>
        </is>
      </c>
      <c r="E238" s="183" t="inlineStr">
        <is>
          <t>宮城県</t>
        </is>
      </c>
      <c r="F238" s="183" t="inlineStr">
        <is>
          <t>Tohoku and Hokkaido</t>
        </is>
      </c>
      <c r="G238" s="183" t="inlineStr">
        <is>
          <t>http://www.aoki-med.co.jp/</t>
        </is>
      </c>
      <c r="H238" s="183" t="inlineStr">
        <is>
          <t>No MAH found; device sales licence (高度管理医療機器等販売業) not confirmed</t>
        </is>
      </c>
      <c r="I238" s="183" t="inlineStr">
        <is>
          <t>Not identified in published sources</t>
        </is>
      </c>
      <c r="J238" s="183" t="inlineStr">
        <is>
          <t>General medical equipment (hospitals and clinics)</t>
        </is>
      </c>
      <c r="K238" s="183" t="inlineStr">
        <is>
          <t>宮城県 (regional; branch network not confirmed)</t>
        </is>
      </c>
      <c r="L238" s="183" t="inlineStr">
        <is>
          <t>Not found</t>
        </is>
      </c>
      <c r="M238" s="183" t="inlineStr">
        <is>
          <t>Not identified</t>
        </is>
      </c>
      <c r="N238" s="183" t="inlineStr">
        <is>
          <t>Not identified</t>
        </is>
      </c>
      <c r="O238" s="183" t="inlineStr">
        <is>
          <t>honsha@aoki-med.co.jp</t>
        </is>
      </c>
      <c r="P238" s="183" t="inlineStr">
        <is>
          <t>Not confirmed</t>
        </is>
      </c>
      <c r="Q238" s="183" t="inlineStr">
        <is>
          <t>Not identified</t>
        </is>
      </c>
      <c r="R238" s="184" t="inlineStr">
        <is>
          <t>Unverified</t>
        </is>
      </c>
      <c r="S238" s="183" t="n">
        <v>18</v>
      </c>
      <c r="T238" s="189" t="inlineStr">
        <is>
          <t>C</t>
        </is>
      </c>
      <c r="U238" s="183" t="inlineStr">
        <is>
          <t>Regional general medical equipment dealer with hospital and clinic accounts; candidate sub dealer under a national MAH partner.</t>
        </is>
      </c>
      <c r="V238" s="183" t="inlineStr">
        <is>
          <t>Introduce CHISON as a future line through a national MAH partner; ask about their hospital and clinic coverage, service engineers and openness to non Japanese brands.</t>
        </is>
      </c>
      <c r="W238" s="183" t="inlineStr">
        <is>
          <t>N (not identified)</t>
        </is>
      </c>
      <c r="X238" s="186" t="inlineStr">
        <is>
          <t>https://baseconnect.in/companies/prefecture/3eff90d1-0bad-4fac-bce6-da9b939d7407/keyword/89941b4e-2dd1-4848-8957-48af280a31e0</t>
        </is>
      </c>
      <c r="Y238" s="183" t="inlineStr">
        <is>
          <t>SonoEye P3 plus SonoAir 30 for GP and clinic accounts</t>
        </is>
      </c>
      <c r="Z238" s="183" t="inlineStr">
        <is>
          <t>2, 2, 3, 3, 3, 2, 3</t>
        </is>
      </c>
      <c r="AA238" s="183" t="inlineStr">
        <is>
          <t>Not found</t>
        </is>
      </c>
      <c r="AB238" s="183" t="inlineStr">
        <is>
          <t>Recheck: no independent confirmation found; directory listing only</t>
        </is>
      </c>
      <c r="AC238" s="183" t="inlineStr">
        <is>
          <t>No expired licence or ended distribution agreement found</t>
        </is>
      </c>
      <c r="AD238" s="183" t="inlineStr">
        <is>
          <t>Not started</t>
        </is>
      </c>
      <c r="AE238" s="183" t="inlineStr"/>
      <c r="AF238" s="183" t="inlineStr">
        <is>
          <t>http://www.aoki-med.co.jp/toiawase.html</t>
        </is>
      </c>
      <c r="AG238" s="183" t="inlineStr">
        <is>
          <t>Verified: published on company website</t>
        </is>
      </c>
    </row>
    <row r="239">
      <c r="A239" s="183" t="n">
        <v>235</v>
      </c>
      <c r="B239" s="183" t="inlineStr">
        <is>
          <t>San ei (Miyagi)</t>
        </is>
      </c>
      <c r="C239" s="183" t="inlineStr">
        <is>
          <t>サンエイ</t>
        </is>
      </c>
      <c r="D239" s="183" t="inlineStr">
        <is>
          <t>Not retrieved (NTA lookup blocked in this session)</t>
        </is>
      </c>
      <c r="E239" s="183" t="inlineStr">
        <is>
          <t>宮城県</t>
        </is>
      </c>
      <c r="F239" s="183" t="inlineStr">
        <is>
          <t>Tohoku and Hokkaido</t>
        </is>
      </c>
      <c r="G239" s="183" t="inlineStr">
        <is>
          <t>https://www.san-ei-kk.co.jp/</t>
        </is>
      </c>
      <c r="H239" s="183" t="inlineStr">
        <is>
          <t>No MAH found; device sales licence (高度管理医療機器等販売業) not confirmed</t>
        </is>
      </c>
      <c r="I239" s="183" t="inlineStr">
        <is>
          <t>Not identified in published sources</t>
        </is>
      </c>
      <c r="J239" s="183" t="inlineStr">
        <is>
          <t>General medical equipment (hospitals and clinics)</t>
        </is>
      </c>
      <c r="K239" s="183" t="inlineStr">
        <is>
          <t>宮城県 (regional; branch network not confirmed)</t>
        </is>
      </c>
      <c r="L239" s="183" t="inlineStr">
        <is>
          <t>Not found</t>
        </is>
      </c>
      <c r="M239" s="183" t="inlineStr">
        <is>
          <t>Not identified</t>
        </is>
      </c>
      <c r="N239" s="183" t="inlineStr">
        <is>
          <t>Not identified</t>
        </is>
      </c>
      <c r="O239" s="183" t="inlineStr">
        <is>
          <t>yoshikazu_yonehana@san-ei-kk.co.jp</t>
        </is>
      </c>
      <c r="P239" s="183" t="inlineStr">
        <is>
          <t>Not confirmed</t>
        </is>
      </c>
      <c r="Q239" s="183" t="inlineStr">
        <is>
          <t>Not identified</t>
        </is>
      </c>
      <c r="R239" s="184" t="inlineStr">
        <is>
          <t>Unverified</t>
        </is>
      </c>
      <c r="S239" s="183" t="n">
        <v>18</v>
      </c>
      <c r="T239" s="189" t="inlineStr">
        <is>
          <t>C</t>
        </is>
      </c>
      <c r="U239" s="183" t="inlineStr">
        <is>
          <t>Regional general medical equipment dealer with hospital and clinic accounts; candidate sub dealer under a national MAH partner.</t>
        </is>
      </c>
      <c r="V239" s="183" t="inlineStr">
        <is>
          <t>Introduce CHISON as a future line through a national MAH partner; ask about their hospital and clinic coverage, service engineers and openness to non Japanese brands.</t>
        </is>
      </c>
      <c r="W239" s="183" t="inlineStr">
        <is>
          <t>N (not identified)</t>
        </is>
      </c>
      <c r="X239" s="186" t="inlineStr">
        <is>
          <t>https://baseconnect.in/companies/prefecture/3eff90d1-0bad-4fac-bce6-da9b939d7407/keyword/89941b4e-2dd1-4848-8957-48af280a31e0</t>
        </is>
      </c>
      <c r="Y239" s="183" t="inlineStr">
        <is>
          <t>SonoEye P3 plus SonoAir 30 for GP and clinic accounts</t>
        </is>
      </c>
      <c r="Z239" s="183" t="inlineStr">
        <is>
          <t>2, 2, 3, 3, 3, 2, 3</t>
        </is>
      </c>
      <c r="AA239" s="183" t="inlineStr">
        <is>
          <t>Not found</t>
        </is>
      </c>
      <c r="AB239" s="183" t="inlineStr">
        <is>
          <t>Directory or search listing; not opened (direct site access blocked)</t>
        </is>
      </c>
      <c r="AC239" s="183" t="inlineStr">
        <is>
          <t>No expired licence or ended distribution agreement found</t>
        </is>
      </c>
      <c r="AD239" s="183" t="inlineStr">
        <is>
          <t>Not started</t>
        </is>
      </c>
      <c r="AE239" s="183" t="inlineStr"/>
      <c r="AF239" s="183" t="inlineStr">
        <is>
          <t>https://kigyouomiai.com/archives/introduction/9607</t>
        </is>
      </c>
      <c r="AG239" s="183" t="inlineStr">
        <is>
          <t>Likely: indexed on company domain</t>
        </is>
      </c>
    </row>
    <row r="240">
      <c r="A240" s="183" t="n">
        <v>236</v>
      </c>
      <c r="B240" s="183" t="inlineStr">
        <is>
          <t>Medical Marucho</t>
        </is>
      </c>
      <c r="C240" s="183" t="inlineStr">
        <is>
          <t>メディカル丸丁</t>
        </is>
      </c>
      <c r="D240" s="183" t="inlineStr">
        <is>
          <t>Not retrieved (NTA lookup blocked in this session)</t>
        </is>
      </c>
      <c r="E240" s="183" t="inlineStr">
        <is>
          <t>宮城県</t>
        </is>
      </c>
      <c r="F240" s="183" t="inlineStr">
        <is>
          <t>Tohoku and Hokkaido</t>
        </is>
      </c>
      <c r="G240" s="183" t="inlineStr">
        <is>
          <t>Not confirmed (company site not opened; network policy blocked direct access)</t>
        </is>
      </c>
      <c r="H240" s="183" t="inlineStr">
        <is>
          <t>No MAH found; device sales licence (高度管理医療機器等販売業) not confirmed</t>
        </is>
      </c>
      <c r="I240" s="183" t="inlineStr">
        <is>
          <t>Not identified in published sources</t>
        </is>
      </c>
      <c r="J240" s="183" t="inlineStr">
        <is>
          <t>General medical equipment (hospitals and clinics)</t>
        </is>
      </c>
      <c r="K240" s="183" t="inlineStr">
        <is>
          <t>宮城県 (regional; branch network not confirmed)</t>
        </is>
      </c>
      <c r="L240" s="183" t="inlineStr">
        <is>
          <t>Not found</t>
        </is>
      </c>
      <c r="M240" s="183" t="inlineStr">
        <is>
          <t>Not identified</t>
        </is>
      </c>
      <c r="N240" s="183" t="inlineStr">
        <is>
          <t>Not identified</t>
        </is>
      </c>
      <c r="O240" s="183" t="inlineStr">
        <is>
          <t>Not published; use company inquiry form</t>
        </is>
      </c>
      <c r="P240" s="183" t="inlineStr">
        <is>
          <t>Not confirmed</t>
        </is>
      </c>
      <c r="Q240" s="183" t="inlineStr">
        <is>
          <t>Not identified</t>
        </is>
      </c>
      <c r="R240" s="184" t="inlineStr">
        <is>
          <t>Unverified</t>
        </is>
      </c>
      <c r="S240" s="183" t="n">
        <v>18</v>
      </c>
      <c r="T240" s="189" t="inlineStr">
        <is>
          <t>C</t>
        </is>
      </c>
      <c r="U240" s="183" t="inlineStr">
        <is>
          <t>Regional general medical equipment dealer with hospital and clinic accounts; candidate sub dealer under a national MAH partner.</t>
        </is>
      </c>
      <c r="V240" s="183" t="inlineStr">
        <is>
          <t>Introduce CHISON as a future line through a national MAH partner; ask about their hospital and clinic coverage, service engineers and openness to non Japanese brands.</t>
        </is>
      </c>
      <c r="W240" s="183" t="inlineStr">
        <is>
          <t>N (not identified)</t>
        </is>
      </c>
      <c r="X240" s="186" t="inlineStr">
        <is>
          <t>https://baseconnect.in/companies/prefecture/3eff90d1-0bad-4fac-bce6-da9b939d7407/keyword/89941b4e-2dd1-4848-8957-48af280a31e0</t>
        </is>
      </c>
      <c r="Y240" s="183" t="inlineStr">
        <is>
          <t>SonoEye P3 plus SonoAir 30 for GP and clinic accounts</t>
        </is>
      </c>
      <c r="Z240" s="183" t="inlineStr">
        <is>
          <t>2, 2, 3, 3, 3, 2, 3</t>
        </is>
      </c>
      <c r="AA240" s="183" t="inlineStr">
        <is>
          <t>Not found</t>
        </is>
      </c>
      <c r="AB240" s="183" t="inlineStr">
        <is>
          <t>Directory or search listing; not opened (direct site access blocked)</t>
        </is>
      </c>
      <c r="AC240" s="183" t="inlineStr">
        <is>
          <t>No expired licence or ended distribution agreement found</t>
        </is>
      </c>
      <c r="AD240" s="183" t="inlineStr">
        <is>
          <t>Not started</t>
        </is>
      </c>
      <c r="AE240" s="183" t="inlineStr"/>
      <c r="AF240" s="183" t="inlineStr"/>
      <c r="AG240" s="183" t="inlineStr">
        <is>
          <t>No email published and no verified website found</t>
        </is>
      </c>
    </row>
    <row r="241">
      <c r="A241" s="183" t="n">
        <v>237</v>
      </c>
      <c r="B241" s="183" t="inlineStr">
        <is>
          <t>Okazaki Iryo</t>
        </is>
      </c>
      <c r="C241" s="183" t="inlineStr">
        <is>
          <t>岡崎医療</t>
        </is>
      </c>
      <c r="D241" s="183" t="inlineStr">
        <is>
          <t>Not retrieved (NTA lookup blocked in this session)</t>
        </is>
      </c>
      <c r="E241" s="183" t="inlineStr">
        <is>
          <t>山形県</t>
        </is>
      </c>
      <c r="F241" s="183" t="inlineStr">
        <is>
          <t>Tohoku and Hokkaido</t>
        </is>
      </c>
      <c r="G241" s="183" t="inlineStr">
        <is>
          <t>https://www.okazaki-iryo.jp/</t>
        </is>
      </c>
      <c r="H241" s="183" t="inlineStr">
        <is>
          <t>No MAH found; device sales licence (高度管理医療機器等販売業) not confirmed</t>
        </is>
      </c>
      <c r="I241" s="183" t="inlineStr">
        <is>
          <t>Not identified in published sources</t>
        </is>
      </c>
      <c r="J241" s="183" t="inlineStr">
        <is>
          <t>General medical equipment (hospitals and clinics)</t>
        </is>
      </c>
      <c r="K241" s="183" t="inlineStr">
        <is>
          <t>山形県 (regional; branch network not confirmed)</t>
        </is>
      </c>
      <c r="L241" s="183" t="inlineStr">
        <is>
          <t>Not found</t>
        </is>
      </c>
      <c r="M241" s="183" t="inlineStr">
        <is>
          <t>Not identified</t>
        </is>
      </c>
      <c r="N241" s="183" t="inlineStr">
        <is>
          <t>Not identified</t>
        </is>
      </c>
      <c r="O241" s="183" t="inlineStr">
        <is>
          <t>Not published; use contact form</t>
        </is>
      </c>
      <c r="P241" s="183" t="inlineStr">
        <is>
          <t>Not confirmed</t>
        </is>
      </c>
      <c r="Q241" s="183" t="inlineStr">
        <is>
          <t>Not identified</t>
        </is>
      </c>
      <c r="R241" s="184" t="inlineStr">
        <is>
          <t>Likely</t>
        </is>
      </c>
      <c r="S241" s="183" t="n">
        <v>18</v>
      </c>
      <c r="T241" s="189" t="inlineStr">
        <is>
          <t>C</t>
        </is>
      </c>
      <c r="U241" s="183" t="inlineStr">
        <is>
          <t>Regional general medical equipment dealer with hospital and clinic accounts; candidate sub dealer under a national MAH partner.</t>
        </is>
      </c>
      <c r="V241" s="183" t="inlineStr">
        <is>
          <t>Introduce CHISON as a future line through a national MAH partner; ask about their hospital and clinic coverage, service engineers and openness to non Japanese brands.</t>
        </is>
      </c>
      <c r="W241" s="183" t="inlineStr">
        <is>
          <t>N (not identified)</t>
        </is>
      </c>
      <c r="X241" s="186" t="inlineStr">
        <is>
          <t>https://baseconnect.in/companies/prefecture/72122f8e-2e11-4641-9216-d1abc796b0cd/category/b2358a1c-c4c6-46f4-a0b1-dee3a1b30a0b</t>
        </is>
      </c>
      <c r="Y241" s="183" t="inlineStr">
        <is>
          <t>SonoEye P3 plus SonoAir 30 for GP and clinic accounts</t>
        </is>
      </c>
      <c r="Z241" s="183" t="inlineStr">
        <is>
          <t>2, 2, 3, 3, 3, 2, 3</t>
        </is>
      </c>
      <c r="AA241" s="183" t="inlineStr">
        <is>
          <t>Not found</t>
        </is>
      </c>
      <c r="AB241" s="183" t="inlineStr">
        <is>
          <t>Directory or search listing; not opened (direct site access blocked)</t>
        </is>
      </c>
      <c r="AC241" s="183" t="inlineStr">
        <is>
          <t>No expired licence or ended distribution agreement found</t>
        </is>
      </c>
      <c r="AD241" s="183" t="inlineStr">
        <is>
          <t>Not started</t>
        </is>
      </c>
      <c r="AE241" s="183" t="inlineStr"/>
      <c r="AF241" s="183" t="inlineStr">
        <is>
          <t>https://www.okazaki-iryo.jp/contact/</t>
        </is>
      </c>
      <c r="AG241" s="183" t="inlineStr">
        <is>
          <t>No email published; use the contact form (link in Email source)</t>
        </is>
      </c>
    </row>
    <row r="242">
      <c r="A242" s="183" t="n">
        <v>238</v>
      </c>
      <c r="B242" s="183" t="inlineStr">
        <is>
          <t>O Link</t>
        </is>
      </c>
      <c r="C242" s="183" t="inlineStr">
        <is>
          <t>オーリンク</t>
        </is>
      </c>
      <c r="D242" s="183" t="inlineStr">
        <is>
          <t>Not retrieved (NTA lookup blocked in this session)</t>
        </is>
      </c>
      <c r="E242" s="183" t="inlineStr">
        <is>
          <t>山形県</t>
        </is>
      </c>
      <c r="F242" s="183" t="inlineStr">
        <is>
          <t>Tohoku and Hokkaido</t>
        </is>
      </c>
      <c r="G242" s="183" t="inlineStr">
        <is>
          <t>https://www.o-link.jp/</t>
        </is>
      </c>
      <c r="H242" s="183" t="inlineStr">
        <is>
          <t>No MAH found; device sales licence (高度管理医療機器等販売業) not confirmed</t>
        </is>
      </c>
      <c r="I242" s="183" t="inlineStr">
        <is>
          <t>Not identified in published sources</t>
        </is>
      </c>
      <c r="J242" s="183" t="inlineStr">
        <is>
          <t>General medical equipment (hospitals and clinics)</t>
        </is>
      </c>
      <c r="K242" s="183" t="inlineStr">
        <is>
          <t>山形県 (regional; branch network not confirmed)</t>
        </is>
      </c>
      <c r="L242" s="183" t="inlineStr">
        <is>
          <t>Not found</t>
        </is>
      </c>
      <c r="M242" s="183" t="inlineStr">
        <is>
          <t>Not identified</t>
        </is>
      </c>
      <c r="N242" s="183" t="inlineStr">
        <is>
          <t>Not identified</t>
        </is>
      </c>
      <c r="O242" s="183" t="inlineStr">
        <is>
          <t>Not published; use contact form</t>
        </is>
      </c>
      <c r="P242" s="183" t="inlineStr">
        <is>
          <t>Not confirmed</t>
        </is>
      </c>
      <c r="Q242" s="183" t="inlineStr">
        <is>
          <t>Not identified</t>
        </is>
      </c>
      <c r="R242" s="184" t="inlineStr">
        <is>
          <t>Likely</t>
        </is>
      </c>
      <c r="S242" s="183" t="n">
        <v>18</v>
      </c>
      <c r="T242" s="189" t="inlineStr">
        <is>
          <t>C</t>
        </is>
      </c>
      <c r="U242" s="183" t="inlineStr">
        <is>
          <t>Regional general medical equipment dealer with hospital and clinic accounts; candidate sub dealer under a national MAH partner.</t>
        </is>
      </c>
      <c r="V242" s="183" t="inlineStr">
        <is>
          <t>Introduce CHISON as a future line through a national MAH partner; ask about their hospital and clinic coverage, service engineers and openness to non Japanese brands.</t>
        </is>
      </c>
      <c r="W242" s="183" t="inlineStr">
        <is>
          <t>N (not identified)</t>
        </is>
      </c>
      <c r="X242" s="186" t="inlineStr">
        <is>
          <t>https://baseconnect.in/companies/prefecture/72122f8e-2e11-4641-9216-d1abc796b0cd/category/b2358a1c-c4c6-46f4-a0b1-dee3a1b30a0b</t>
        </is>
      </c>
      <c r="Y242" s="183" t="inlineStr">
        <is>
          <t>SonoEye P3 plus SonoAir 30 for GP and clinic accounts</t>
        </is>
      </c>
      <c r="Z242" s="183" t="inlineStr">
        <is>
          <t>2, 2, 3, 3, 3, 2, 3</t>
        </is>
      </c>
      <c r="AA242" s="183" t="inlineStr">
        <is>
          <t>Not found</t>
        </is>
      </c>
      <c r="AB242" s="183" t="inlineStr">
        <is>
          <t>Directory or search listing; not opened (direct site access blocked)</t>
        </is>
      </c>
      <c r="AC242" s="183" t="inlineStr">
        <is>
          <t>No expired licence or ended distribution agreement found</t>
        </is>
      </c>
      <c r="AD242" s="183" t="inlineStr">
        <is>
          <t>Not started</t>
        </is>
      </c>
      <c r="AE242" s="183" t="inlineStr"/>
      <c r="AF242" s="183" t="inlineStr">
        <is>
          <t>https://www.o-link.jp/contact/</t>
        </is>
      </c>
      <c r="AG242" s="183" t="inlineStr">
        <is>
          <t>No email published; use the contact form (link in Email source)</t>
        </is>
      </c>
    </row>
    <row r="243">
      <c r="A243" s="183" t="n">
        <v>239</v>
      </c>
      <c r="B243" s="183" t="inlineStr">
        <is>
          <t>Talk (Yamagata)</t>
        </is>
      </c>
      <c r="C243" s="183" t="inlineStr">
        <is>
          <t>トーク</t>
        </is>
      </c>
      <c r="D243" s="183" t="inlineStr">
        <is>
          <t>Not retrieved (NTA lookup blocked in this session)</t>
        </is>
      </c>
      <c r="E243" s="183" t="inlineStr">
        <is>
          <t>山形県</t>
        </is>
      </c>
      <c r="F243" s="183" t="inlineStr">
        <is>
          <t>Tohoku and Hokkaido</t>
        </is>
      </c>
      <c r="G243" s="183" t="inlineStr">
        <is>
          <t>https://to-ku.jp/</t>
        </is>
      </c>
      <c r="H243" s="183" t="inlineStr">
        <is>
          <t>No MAH found; device sales licence (高度管理医療機器等販売業) not confirmed</t>
        </is>
      </c>
      <c r="I243" s="183" t="inlineStr">
        <is>
          <t>Not identified in published sources</t>
        </is>
      </c>
      <c r="J243" s="183" t="inlineStr">
        <is>
          <t>General medical equipment (hospitals and clinics)</t>
        </is>
      </c>
      <c r="K243" s="183" t="inlineStr">
        <is>
          <t>山形県 (regional; branch network not confirmed)</t>
        </is>
      </c>
      <c r="L243" s="183" t="inlineStr">
        <is>
          <t>Not found</t>
        </is>
      </c>
      <c r="M243" s="183" t="inlineStr">
        <is>
          <t>Not identified</t>
        </is>
      </c>
      <c r="N243" s="183" t="inlineStr">
        <is>
          <t>Not identified</t>
        </is>
      </c>
      <c r="O243" s="183" t="inlineStr">
        <is>
          <t>d-tokutake@to-ku.jp</t>
        </is>
      </c>
      <c r="P243" s="183" t="inlineStr">
        <is>
          <t>Not confirmed</t>
        </is>
      </c>
      <c r="Q243" s="183" t="inlineStr">
        <is>
          <t>Not identified</t>
        </is>
      </c>
      <c r="R243" s="184" t="inlineStr">
        <is>
          <t>Unverified</t>
        </is>
      </c>
      <c r="S243" s="183" t="n">
        <v>18</v>
      </c>
      <c r="T243" s="189" t="inlineStr">
        <is>
          <t>C</t>
        </is>
      </c>
      <c r="U243" s="183" t="inlineStr">
        <is>
          <t>Regional general medical equipment dealer with hospital and clinic accounts; candidate sub dealer under a national MAH partner.</t>
        </is>
      </c>
      <c r="V243" s="183" t="inlineStr">
        <is>
          <t>Introduce CHISON as a future line through a national MAH partner; ask about their hospital and clinic coverage, service engineers and openness to non Japanese brands.</t>
        </is>
      </c>
      <c r="W243" s="183" t="inlineStr">
        <is>
          <t>N (not identified)</t>
        </is>
      </c>
      <c r="X243" s="186" t="inlineStr">
        <is>
          <t>https://baseconnect.in/companies/prefecture/72122f8e-2e11-4641-9216-d1abc796b0cd/category/b2358a1c-c4c6-46f4-a0b1-dee3a1b30a0b</t>
        </is>
      </c>
      <c r="Y243" s="183" t="inlineStr">
        <is>
          <t>SonoEye P3 plus SonoAir 30 for GP and clinic accounts</t>
        </is>
      </c>
      <c r="Z243" s="183" t="inlineStr">
        <is>
          <t>2, 2, 3, 3, 3, 2, 3</t>
        </is>
      </c>
      <c r="AA243" s="183" t="inlineStr">
        <is>
          <t>Not found</t>
        </is>
      </c>
      <c r="AB243" s="183" t="inlineStr">
        <is>
          <t>Recheck: no independent confirmation found; directory listing only</t>
        </is>
      </c>
      <c r="AC243" s="183" t="inlineStr">
        <is>
          <t>No expired licence or ended distribution agreement found</t>
        </is>
      </c>
      <c r="AD243" s="183" t="inlineStr">
        <is>
          <t>Not started</t>
        </is>
      </c>
      <c r="AE243" s="183" t="inlineStr"/>
      <c r="AF243" s="183" t="inlineStr">
        <is>
          <t>https://to-ku.jp/information/recruit.html</t>
        </is>
      </c>
      <c r="AG243" s="183" t="inlineStr">
        <is>
          <t>Verified: published on company website</t>
        </is>
      </c>
    </row>
    <row r="244">
      <c r="A244" s="183" t="n">
        <v>240</v>
      </c>
      <c r="B244" s="183" t="inlineStr">
        <is>
          <t>Akita Ika Kikaiten</t>
        </is>
      </c>
      <c r="C244" s="183" t="inlineStr">
        <is>
          <t>秋田医科器械店</t>
        </is>
      </c>
      <c r="D244" s="183" t="inlineStr">
        <is>
          <t>Not retrieved (NTA lookup blocked in this session)</t>
        </is>
      </c>
      <c r="E244" s="183" t="inlineStr">
        <is>
          <t>秋田県</t>
        </is>
      </c>
      <c r="F244" s="183" t="inlineStr">
        <is>
          <t>Tohoku and Hokkaido</t>
        </is>
      </c>
      <c r="G244" s="183" t="inlineStr">
        <is>
          <t>http://www.akitaika.co.jp/</t>
        </is>
      </c>
      <c r="H244" s="183" t="inlineStr">
        <is>
          <t>No MAH found; device sales licence (高度管理医療機器等販売業) not confirmed</t>
        </is>
      </c>
      <c r="I244" s="183" t="inlineStr">
        <is>
          <t>Not identified in published sources</t>
        </is>
      </c>
      <c r="J244" s="183" t="inlineStr">
        <is>
          <t>General medical equipment (hospitals and clinics)</t>
        </is>
      </c>
      <c r="K244" s="183" t="inlineStr">
        <is>
          <t>秋田県 (regional; branch network not confirmed)</t>
        </is>
      </c>
      <c r="L244" s="183" t="inlineStr">
        <is>
          <t>Not found</t>
        </is>
      </c>
      <c r="M244" s="183" t="inlineStr">
        <is>
          <t>Not identified</t>
        </is>
      </c>
      <c r="N244" s="183" t="inlineStr">
        <is>
          <t>Not identified</t>
        </is>
      </c>
      <c r="O244" s="183" t="inlineStr">
        <is>
          <t>saga@akitaika.co.jp</t>
        </is>
      </c>
      <c r="P244" s="183" t="inlineStr">
        <is>
          <t>Not confirmed</t>
        </is>
      </c>
      <c r="Q244" s="183" t="inlineStr">
        <is>
          <t>Not identified</t>
        </is>
      </c>
      <c r="R244" s="184" t="inlineStr">
        <is>
          <t>Unverified</t>
        </is>
      </c>
      <c r="S244" s="183" t="n">
        <v>18</v>
      </c>
      <c r="T244" s="189" t="inlineStr">
        <is>
          <t>C</t>
        </is>
      </c>
      <c r="U244" s="183" t="inlineStr">
        <is>
          <t>Regional general medical equipment dealer with hospital and clinic accounts; candidate sub dealer under a national MAH partner.</t>
        </is>
      </c>
      <c r="V244" s="183" t="inlineStr">
        <is>
          <t>Introduce CHISON as a future line through a national MAH partner; ask about their hospital and clinic coverage, service engineers and openness to non Japanese brands.</t>
        </is>
      </c>
      <c r="W244" s="183" t="inlineStr">
        <is>
          <t>N (not identified)</t>
        </is>
      </c>
      <c r="X244" s="186" t="inlineStr">
        <is>
          <t>https://baseconnect.in/companies/prefecture/3ef7ac2a-ecbb-4477-acd1-e7d443e6b591/category/b2358a1c-c4c6-46f4-a0b1-dee3a1b30a0b</t>
        </is>
      </c>
      <c r="Y244" s="183" t="inlineStr">
        <is>
          <t>SonoEye P3 plus SonoAir 30 for GP and clinic accounts</t>
        </is>
      </c>
      <c r="Z244" s="183" t="inlineStr">
        <is>
          <t>2, 2, 3, 3, 3, 2, 3</t>
        </is>
      </c>
      <c r="AA244" s="183" t="inlineStr">
        <is>
          <t>Not found</t>
        </is>
      </c>
      <c r="AB244" s="183" t="inlineStr">
        <is>
          <t>Directory or search listing; not opened (direct site access blocked)</t>
        </is>
      </c>
      <c r="AC244" s="183" t="inlineStr">
        <is>
          <t>No expired licence or ended distribution agreement found</t>
        </is>
      </c>
      <c r="AD244" s="183" t="inlineStr">
        <is>
          <t>Not started</t>
        </is>
      </c>
      <c r="AE244" s="183" t="inlineStr"/>
      <c r="AF244" s="183" t="inlineStr">
        <is>
          <t>https://www.hellowork.mhlw.go.jp/kensaku/GECA110010.do?screenId=GECA110010&amp;action=dispDetailBtn&amp;kJNo=0501016427861&amp;kJKbn=1&amp;jGSHNo=WH7GFup99%2B%2BDyrzzFTyqqA%3D%3D&amp;fullPart=1&amp;iNFTeikyoRiyoDtiID=&amp;kSNo=&amp;newArrived=1&amp;tatZngy=&amp;shogaiKbn=0</t>
        </is>
      </c>
      <c r="AG244" s="183" t="inlineStr">
        <is>
          <t>Likely: indexed on company domain</t>
        </is>
      </c>
    </row>
    <row r="245">
      <c r="A245" s="183" t="n">
        <v>241</v>
      </c>
      <c r="B245" s="183" t="inlineStr">
        <is>
          <t>Akita Meisei Medical</t>
        </is>
      </c>
      <c r="C245" s="183" t="inlineStr">
        <is>
          <t>秋田明成メディカル</t>
        </is>
      </c>
      <c r="D245" s="183" t="inlineStr">
        <is>
          <t>Not retrieved (NTA lookup blocked in this session)</t>
        </is>
      </c>
      <c r="E245" s="183" t="inlineStr">
        <is>
          <t>秋田県</t>
        </is>
      </c>
      <c r="F245" s="183" t="inlineStr">
        <is>
          <t>Tohoku and Hokkaido</t>
        </is>
      </c>
      <c r="G245" s="183" t="inlineStr">
        <is>
          <t>https://www.akitameisei-medical.co.jp/</t>
        </is>
      </c>
      <c r="H245" s="183" t="inlineStr">
        <is>
          <t>No MAH found; device sales licence (高度管理医療機器等販売業) not confirmed</t>
        </is>
      </c>
      <c r="I245" s="183" t="inlineStr">
        <is>
          <t>Not identified in published sources</t>
        </is>
      </c>
      <c r="J245" s="183" t="inlineStr">
        <is>
          <t>General medical equipment (hospitals and clinics)</t>
        </is>
      </c>
      <c r="K245" s="183" t="inlineStr">
        <is>
          <t>秋田県 (regional; branch network not confirmed)</t>
        </is>
      </c>
      <c r="L245" s="183" t="inlineStr">
        <is>
          <t>Not found</t>
        </is>
      </c>
      <c r="M245" s="183" t="inlineStr">
        <is>
          <t>Not identified</t>
        </is>
      </c>
      <c r="N245" s="183" t="inlineStr">
        <is>
          <t>Not identified</t>
        </is>
      </c>
      <c r="O245" s="183" t="inlineStr">
        <is>
          <t>info@akitameisei-medical.co.jp</t>
        </is>
      </c>
      <c r="P245" s="183" t="inlineStr">
        <is>
          <t>Not confirmed</t>
        </is>
      </c>
      <c r="Q245" s="183" t="inlineStr">
        <is>
          <t>Not identified</t>
        </is>
      </c>
      <c r="R245" s="184" t="inlineStr">
        <is>
          <t>Unverified</t>
        </is>
      </c>
      <c r="S245" s="183" t="n">
        <v>18</v>
      </c>
      <c r="T245" s="189" t="inlineStr">
        <is>
          <t>C</t>
        </is>
      </c>
      <c r="U245" s="183" t="inlineStr">
        <is>
          <t>Regional general medical equipment dealer with hospital and clinic accounts; candidate sub dealer under a national MAH partner.</t>
        </is>
      </c>
      <c r="V245" s="183" t="inlineStr">
        <is>
          <t>Introduce CHISON as a future line through a national MAH partner; ask about their hospital and clinic coverage, service engineers and openness to non Japanese brands.</t>
        </is>
      </c>
      <c r="W245" s="183" t="inlineStr">
        <is>
          <t>N (not identified)</t>
        </is>
      </c>
      <c r="X245" s="186" t="inlineStr">
        <is>
          <t>https://baseconnect.in/companies/prefecture/3ef7ac2a-ecbb-4477-acd1-e7d443e6b591/category/b2358a1c-c4c6-46f4-a0b1-dee3a1b30a0b</t>
        </is>
      </c>
      <c r="Y245" s="183" t="inlineStr">
        <is>
          <t>SonoEye P3 plus SonoAir 30 for GP and clinic accounts</t>
        </is>
      </c>
      <c r="Z245" s="183" t="inlineStr">
        <is>
          <t>2, 2, 3, 3, 3, 2, 3</t>
        </is>
      </c>
      <c r="AA245" s="183" t="inlineStr">
        <is>
          <t>Not found</t>
        </is>
      </c>
      <c r="AB245" s="183" t="inlineStr">
        <is>
          <t>Directory or search listing; not opened (direct site access blocked)</t>
        </is>
      </c>
      <c r="AC245" s="183" t="inlineStr">
        <is>
          <t>No expired licence or ended distribution agreement found</t>
        </is>
      </c>
      <c r="AD245" s="183" t="inlineStr">
        <is>
          <t>Not started</t>
        </is>
      </c>
      <c r="AE245" s="183" t="inlineStr"/>
      <c r="AF245" s="183" t="inlineStr">
        <is>
          <t>https://www.akitameisei-medical.co.jp/contact.html</t>
        </is>
      </c>
      <c r="AG245" s="183" t="inlineStr">
        <is>
          <t>Verified: published on company website</t>
        </is>
      </c>
    </row>
    <row r="246">
      <c r="A246" s="183" t="n">
        <v>242</v>
      </c>
      <c r="B246" s="183" t="inlineStr">
        <is>
          <t>U Medical</t>
        </is>
      </c>
      <c r="C246" s="183" t="inlineStr">
        <is>
          <t>ユー・メディカル</t>
        </is>
      </c>
      <c r="D246" s="183" t="inlineStr">
        <is>
          <t>Not retrieved (NTA lookup blocked in this session)</t>
        </is>
      </c>
      <c r="E246" s="183" t="inlineStr">
        <is>
          <t>秋田県</t>
        </is>
      </c>
      <c r="F246" s="183" t="inlineStr">
        <is>
          <t>Tohoku and Hokkaido</t>
        </is>
      </c>
      <c r="G246" s="183" t="inlineStr">
        <is>
          <t>Not confirmed (company site not opened; network policy blocked direct access)</t>
        </is>
      </c>
      <c r="H246" s="183" t="inlineStr">
        <is>
          <t>No MAH found; device sales licence (高度管理医療機器等販売業) not confirmed</t>
        </is>
      </c>
      <c r="I246" s="183" t="inlineStr">
        <is>
          <t>Not identified in published sources</t>
        </is>
      </c>
      <c r="J246" s="183" t="inlineStr">
        <is>
          <t>General medical equipment (hospitals and clinics)</t>
        </is>
      </c>
      <c r="K246" s="183" t="inlineStr">
        <is>
          <t>秋田県 (regional; branch network not confirmed)</t>
        </is>
      </c>
      <c r="L246" s="183" t="inlineStr">
        <is>
          <t>Not found</t>
        </is>
      </c>
      <c r="M246" s="183" t="inlineStr">
        <is>
          <t>Not identified</t>
        </is>
      </c>
      <c r="N246" s="183" t="inlineStr">
        <is>
          <t>Not identified</t>
        </is>
      </c>
      <c r="O246" s="183" t="inlineStr">
        <is>
          <t>Not published; use company inquiry form</t>
        </is>
      </c>
      <c r="P246" s="183" t="inlineStr">
        <is>
          <t>Not confirmed</t>
        </is>
      </c>
      <c r="Q246" s="183" t="inlineStr">
        <is>
          <t>Not identified</t>
        </is>
      </c>
      <c r="R246" s="184" t="inlineStr">
        <is>
          <t>Unverified</t>
        </is>
      </c>
      <c r="S246" s="183" t="n">
        <v>18</v>
      </c>
      <c r="T246" s="189" t="inlineStr">
        <is>
          <t>C</t>
        </is>
      </c>
      <c r="U246" s="183" t="inlineStr">
        <is>
          <t>Regional general medical equipment dealer with hospital and clinic accounts; candidate sub dealer under a national MAH partner.</t>
        </is>
      </c>
      <c r="V246" s="183" t="inlineStr">
        <is>
          <t>Introduce CHISON as a future line through a national MAH partner; ask about their hospital and clinic coverage, service engineers and openness to non Japanese brands.</t>
        </is>
      </c>
      <c r="W246" s="183" t="inlineStr">
        <is>
          <t>N (not identified)</t>
        </is>
      </c>
      <c r="X246" s="186" t="inlineStr">
        <is>
          <t>https://baseconnect.in/companies/prefecture/3ef7ac2a-ecbb-4477-acd1-e7d443e6b591/category/b2358a1c-c4c6-46f4-a0b1-dee3a1b30a0b</t>
        </is>
      </c>
      <c r="Y246" s="183" t="inlineStr">
        <is>
          <t>SonoEye P3 plus SonoAir 30 for GP and clinic accounts</t>
        </is>
      </c>
      <c r="Z246" s="183" t="inlineStr">
        <is>
          <t>2, 2, 3, 3, 3, 2, 3</t>
        </is>
      </c>
      <c r="AA246" s="183" t="inlineStr">
        <is>
          <t>Not found</t>
        </is>
      </c>
      <c r="AB246" s="183" t="inlineStr">
        <is>
          <t>Recheck: no independent confirmation found; directory listing only</t>
        </is>
      </c>
      <c r="AC246" s="183" t="inlineStr">
        <is>
          <t>No expired licence or ended distribution agreement found</t>
        </is>
      </c>
      <c r="AD246" s="183" t="inlineStr">
        <is>
          <t>Not started</t>
        </is>
      </c>
      <c r="AE246" s="183" t="inlineStr"/>
      <c r="AF246" s="183" t="inlineStr"/>
      <c r="AG246" s="183" t="inlineStr">
        <is>
          <t>No email published and no verified website found</t>
        </is>
      </c>
    </row>
    <row r="247">
      <c r="A247" s="183" t="n">
        <v>243</v>
      </c>
      <c r="B247" s="183" t="inlineStr">
        <is>
          <t>Medical Produce</t>
        </is>
      </c>
      <c r="C247" s="183" t="inlineStr">
        <is>
          <t>メディカルプロデュース</t>
        </is>
      </c>
      <c r="D247" s="183" t="inlineStr">
        <is>
          <t>Not retrieved (NTA lookup blocked in this session)</t>
        </is>
      </c>
      <c r="E247" s="183" t="inlineStr">
        <is>
          <t>秋田県</t>
        </is>
      </c>
      <c r="F247" s="183" t="inlineStr">
        <is>
          <t>Tohoku and Hokkaido</t>
        </is>
      </c>
      <c r="G247" s="183" t="inlineStr">
        <is>
          <t>https://m-pro-dr.com/</t>
        </is>
      </c>
      <c r="H247" s="183" t="inlineStr">
        <is>
          <t>No MAH found; device sales licence (高度管理医療機器等販売業) not confirmed</t>
        </is>
      </c>
      <c r="I247" s="183" t="inlineStr">
        <is>
          <t>Not identified in published sources</t>
        </is>
      </c>
      <c r="J247" s="183" t="inlineStr">
        <is>
          <t>General medical equipment (hospitals and clinics)</t>
        </is>
      </c>
      <c r="K247" s="183" t="inlineStr">
        <is>
          <t>秋田県 (regional; branch network not confirmed)</t>
        </is>
      </c>
      <c r="L247" s="183" t="inlineStr">
        <is>
          <t>Not found</t>
        </is>
      </c>
      <c r="M247" s="183" t="inlineStr">
        <is>
          <t>Not identified</t>
        </is>
      </c>
      <c r="N247" s="183" t="inlineStr">
        <is>
          <t>Not identified</t>
        </is>
      </c>
      <c r="O247" s="183" t="inlineStr">
        <is>
          <t>info@m-pro-dr.com</t>
        </is>
      </c>
      <c r="P247" s="183" t="inlineStr">
        <is>
          <t>Not confirmed</t>
        </is>
      </c>
      <c r="Q247" s="183" t="inlineStr">
        <is>
          <t>Not identified</t>
        </is>
      </c>
      <c r="R247" s="184" t="inlineStr">
        <is>
          <t>Unverified</t>
        </is>
      </c>
      <c r="S247" s="183" t="n">
        <v>18</v>
      </c>
      <c r="T247" s="189" t="inlineStr">
        <is>
          <t>C</t>
        </is>
      </c>
      <c r="U247" s="183" t="inlineStr">
        <is>
          <t>Regional general medical equipment dealer with hospital and clinic accounts; candidate sub dealer under a national MAH partner.</t>
        </is>
      </c>
      <c r="V247" s="183" t="inlineStr">
        <is>
          <t>Introduce CHISON as a future line through a national MAH partner; ask about their hospital and clinic coverage, service engineers and openness to non Japanese brands.</t>
        </is>
      </c>
      <c r="W247" s="183" t="inlineStr">
        <is>
          <t>N (not identified)</t>
        </is>
      </c>
      <c r="X247" s="186" t="inlineStr">
        <is>
          <t>https://baseconnect.in/companies/prefecture/3ef7ac2a-ecbb-4477-acd1-e7d443e6b591/category/b2358a1c-c4c6-46f4-a0b1-dee3a1b30a0b</t>
        </is>
      </c>
      <c r="Y247" s="183" t="inlineStr">
        <is>
          <t>SonoEye P3 plus SonoAir 30 for GP and clinic accounts</t>
        </is>
      </c>
      <c r="Z247" s="183" t="inlineStr">
        <is>
          <t>2, 2, 3, 3, 3, 2, 3</t>
        </is>
      </c>
      <c r="AA247" s="183" t="inlineStr">
        <is>
          <t>Not found</t>
        </is>
      </c>
      <c r="AB247" s="183" t="inlineStr">
        <is>
          <t>Directory or search listing; not opened (direct site access blocked)</t>
        </is>
      </c>
      <c r="AC247" s="183" t="inlineStr">
        <is>
          <t>No expired licence or ended distribution agreement found</t>
        </is>
      </c>
      <c r="AD247" s="183" t="inlineStr">
        <is>
          <t>Not started</t>
        </is>
      </c>
      <c r="AE247" s="183" t="inlineStr"/>
      <c r="AF247" s="183" t="inlineStr">
        <is>
          <t>https://m-pro-dr.com/</t>
        </is>
      </c>
      <c r="AG247" s="183" t="inlineStr">
        <is>
          <t>Verified: published on company website</t>
        </is>
      </c>
    </row>
    <row r="248">
      <c r="A248" s="183" t="n">
        <v>244</v>
      </c>
      <c r="B248" s="183" t="inlineStr">
        <is>
          <t>Kaii Ika Kikai</t>
        </is>
      </c>
      <c r="C248" s="183" t="inlineStr">
        <is>
          <t>海井医科器械</t>
        </is>
      </c>
      <c r="D248" s="183" t="inlineStr">
        <is>
          <t>Not retrieved (NTA lookup blocked in this session)</t>
        </is>
      </c>
      <c r="E248" s="183" t="inlineStr">
        <is>
          <t>山口県</t>
        </is>
      </c>
      <c r="F248" s="183" t="inlineStr">
        <is>
          <t>Chugoku and Shikoku</t>
        </is>
      </c>
      <c r="G248" s="183" t="inlineStr">
        <is>
          <t>https://umii.co.jp/</t>
        </is>
      </c>
      <c r="H248" s="183" t="inlineStr">
        <is>
          <t>No MAH found; device sales licence (高度管理医療機器等販売業) not confirmed</t>
        </is>
      </c>
      <c r="I248" s="183" t="inlineStr">
        <is>
          <t>Not identified in published sources</t>
        </is>
      </c>
      <c r="J248" s="183" t="inlineStr">
        <is>
          <t>General medical equipment (hospitals and clinics)</t>
        </is>
      </c>
      <c r="K248" s="183" t="inlineStr">
        <is>
          <t>山口県 (regional; branch network not confirmed)</t>
        </is>
      </c>
      <c r="L248" s="183" t="inlineStr">
        <is>
          <t>Not found</t>
        </is>
      </c>
      <c r="M248" s="183" t="inlineStr">
        <is>
          <t>Not identified</t>
        </is>
      </c>
      <c r="N248" s="183" t="inlineStr">
        <is>
          <t>Not identified</t>
        </is>
      </c>
      <c r="O248" s="183" t="inlineStr">
        <is>
          <t>shinmachi@umii.co.jp</t>
        </is>
      </c>
      <c r="P248" s="183" t="inlineStr">
        <is>
          <t>Not confirmed</t>
        </is>
      </c>
      <c r="Q248" s="183" t="inlineStr">
        <is>
          <t>Not identified</t>
        </is>
      </c>
      <c r="R248" s="184" t="inlineStr">
        <is>
          <t>Unverified</t>
        </is>
      </c>
      <c r="S248" s="183" t="n">
        <v>18</v>
      </c>
      <c r="T248" s="189" t="inlineStr">
        <is>
          <t>C</t>
        </is>
      </c>
      <c r="U248" s="183" t="inlineStr">
        <is>
          <t>Regional general medical equipment dealer with hospital and clinic accounts; candidate sub dealer under a national MAH partner.</t>
        </is>
      </c>
      <c r="V248" s="183" t="inlineStr">
        <is>
          <t>Introduce CHISON as a future line through a national MAH partner; ask about their hospital and clinic coverage, service engineers and openness to non Japanese brands.</t>
        </is>
      </c>
      <c r="W248" s="183" t="inlineStr">
        <is>
          <t>N (not identified)</t>
        </is>
      </c>
      <c r="X248" s="186" t="inlineStr">
        <is>
          <t>https://baseconnect.in/companies/prefecture/a89155ac-9626-450f-9011-00a5b6529965/category/b2358a1c-c4c6-46f4-a0b1-dee3a1b30a0b</t>
        </is>
      </c>
      <c r="Y248" s="183" t="inlineStr">
        <is>
          <t>SonoEye P3 plus SonoAir 30 for GP and clinic accounts</t>
        </is>
      </c>
      <c r="Z248" s="183" t="inlineStr">
        <is>
          <t>2, 2, 3, 3, 3, 2, 3</t>
        </is>
      </c>
      <c r="AA248" s="183" t="inlineStr">
        <is>
          <t>Not found</t>
        </is>
      </c>
      <c r="AB248" s="183" t="inlineStr">
        <is>
          <t>Directory or search listing; not opened (direct site access blocked)</t>
        </is>
      </c>
      <c r="AC248" s="183" t="inlineStr">
        <is>
          <t>No expired licence or ended distribution agreement found</t>
        </is>
      </c>
      <c r="AD248" s="183" t="inlineStr">
        <is>
          <t>Not started</t>
        </is>
      </c>
      <c r="AE248" s="183" t="inlineStr">
        <is>
          <t>yamasaki@umii.co.jp</t>
        </is>
      </c>
      <c r="AF248" s="183" t="inlineStr">
        <is>
          <t>https://www.iryou.teikyouseido.mhlw.go.jp/znk-web/juminkanja/S2430/initialize?kikanCd=7347342183&amp;kikanKbn=5&amp;prefCd=34</t>
        </is>
      </c>
      <c r="AG248" s="183" t="inlineStr">
        <is>
          <t>Likely: indexed on company domain</t>
        </is>
      </c>
    </row>
    <row r="249">
      <c r="A249" s="183" t="n">
        <v>245</v>
      </c>
      <c r="B249" s="183" t="inlineStr">
        <is>
          <t>AMS (Ube)</t>
        </is>
      </c>
      <c r="C249" s="183" t="inlineStr">
        <is>
          <t>エー・エム・エス</t>
        </is>
      </c>
      <c r="D249" s="183" t="inlineStr">
        <is>
          <t>Not retrieved (NTA lookup blocked in this session)</t>
        </is>
      </c>
      <c r="E249" s="183" t="inlineStr">
        <is>
          <t>山口県</t>
        </is>
      </c>
      <c r="F249" s="183" t="inlineStr">
        <is>
          <t>Chugoku and Shikoku</t>
        </is>
      </c>
      <c r="G249" s="183" t="inlineStr">
        <is>
          <t>https://ams-jp.net/</t>
        </is>
      </c>
      <c r="H249" s="183" t="inlineStr">
        <is>
          <t>No MAH found; device sales licence (高度管理医療機器等販売業) not confirmed</t>
        </is>
      </c>
      <c r="I249" s="183" t="inlineStr">
        <is>
          <t>Not identified in published sources</t>
        </is>
      </c>
      <c r="J249" s="183" t="inlineStr">
        <is>
          <t>General medical equipment (hospitals and clinics)</t>
        </is>
      </c>
      <c r="K249" s="183" t="inlineStr">
        <is>
          <t>山口県 (regional; branch network not confirmed)</t>
        </is>
      </c>
      <c r="L249" s="183" t="inlineStr">
        <is>
          <t>Not found</t>
        </is>
      </c>
      <c r="M249" s="183" t="inlineStr">
        <is>
          <t>Not identified</t>
        </is>
      </c>
      <c r="N249" s="183" t="inlineStr">
        <is>
          <t>Not identified</t>
        </is>
      </c>
      <c r="O249" s="183" t="inlineStr">
        <is>
          <t>sumiya@ams-jp.net</t>
        </is>
      </c>
      <c r="P249" s="183" t="inlineStr">
        <is>
          <t>Not confirmed</t>
        </is>
      </c>
      <c r="Q249" s="183" t="inlineStr">
        <is>
          <t>Not identified</t>
        </is>
      </c>
      <c r="R249" s="184" t="inlineStr">
        <is>
          <t>Unverified</t>
        </is>
      </c>
      <c r="S249" s="183" t="n">
        <v>18</v>
      </c>
      <c r="T249" s="189" t="inlineStr">
        <is>
          <t>C</t>
        </is>
      </c>
      <c r="U249" s="183" t="inlineStr">
        <is>
          <t>Regional general medical equipment dealer with hospital and clinic accounts; candidate sub dealer under a national MAH partner.</t>
        </is>
      </c>
      <c r="V249" s="183" t="inlineStr">
        <is>
          <t>Introduce CHISON as a future line through a national MAH partner; ask about their hospital and clinic coverage, service engineers and openness to non Japanese brands.</t>
        </is>
      </c>
      <c r="W249" s="183" t="inlineStr">
        <is>
          <t>N (not identified)</t>
        </is>
      </c>
      <c r="X249" s="186" t="inlineStr">
        <is>
          <t>https://baseconnect.in/companies/prefecture/a89155ac-9626-450f-9011-00a5b6529965/category/b2358a1c-c4c6-46f4-a0b1-dee3a1b30a0b</t>
        </is>
      </c>
      <c r="Y249" s="183" t="inlineStr">
        <is>
          <t>SonoEye P3 plus SonoAir 30 for GP and clinic accounts</t>
        </is>
      </c>
      <c r="Z249" s="183" t="inlineStr">
        <is>
          <t>2, 2, 3, 3, 3, 2, 3</t>
        </is>
      </c>
      <c r="AA249" s="183" t="inlineStr">
        <is>
          <t>Not found</t>
        </is>
      </c>
      <c r="AB249" s="183" t="inlineStr">
        <is>
          <t>Directory or search listing; not opened (direct site access blocked)</t>
        </is>
      </c>
      <c r="AC249" s="183" t="inlineStr">
        <is>
          <t>No expired licence or ended distribution agreement found</t>
        </is>
      </c>
      <c r="AD249" s="183" t="inlineStr">
        <is>
          <t>Not started</t>
        </is>
      </c>
      <c r="AE249" s="183" t="inlineStr"/>
      <c r="AF249" s="183" t="inlineStr">
        <is>
          <t>https://www.city.kobe.lg.jp/a89323/063236965397.html</t>
        </is>
      </c>
      <c r="AG249" s="183" t="inlineStr">
        <is>
          <t>Likely: indexed on company domain</t>
        </is>
      </c>
    </row>
    <row r="250">
      <c r="A250" s="183" t="n">
        <v>246</v>
      </c>
      <c r="B250" s="183" t="inlineStr">
        <is>
          <t>Soyo Shoji</t>
        </is>
      </c>
      <c r="C250" s="183" t="inlineStr">
        <is>
          <t>桑陽商事</t>
        </is>
      </c>
      <c r="D250" s="183" t="inlineStr">
        <is>
          <t>Not retrieved (NTA lookup blocked in this session)</t>
        </is>
      </c>
      <c r="E250" s="183" t="inlineStr">
        <is>
          <t>山口県</t>
        </is>
      </c>
      <c r="F250" s="183" t="inlineStr">
        <is>
          <t>Chugoku and Shikoku</t>
        </is>
      </c>
      <c r="G250" s="183" t="inlineStr">
        <is>
          <t>Not confirmed (company site not opened; network policy blocked direct access)</t>
        </is>
      </c>
      <c r="H250" s="183" t="inlineStr">
        <is>
          <t>No MAH found; device sales licence (高度管理医療機器等販売業) not confirmed</t>
        </is>
      </c>
      <c r="I250" s="183" t="inlineStr">
        <is>
          <t>Not identified in published sources</t>
        </is>
      </c>
      <c r="J250" s="183" t="inlineStr">
        <is>
          <t>General medical equipment (hospitals and clinics)</t>
        </is>
      </c>
      <c r="K250" s="183" t="inlineStr">
        <is>
          <t>山口県 (regional; branch network not confirmed)</t>
        </is>
      </c>
      <c r="L250" s="183" t="inlineStr">
        <is>
          <t>Not found</t>
        </is>
      </c>
      <c r="M250" s="183" t="inlineStr">
        <is>
          <t>Not identified</t>
        </is>
      </c>
      <c r="N250" s="183" t="inlineStr">
        <is>
          <t>Not identified</t>
        </is>
      </c>
      <c r="O250" s="183" t="inlineStr">
        <is>
          <t>Not published; use company inquiry form</t>
        </is>
      </c>
      <c r="P250" s="183" t="inlineStr">
        <is>
          <t>Not confirmed</t>
        </is>
      </c>
      <c r="Q250" s="183" t="inlineStr">
        <is>
          <t>Not identified</t>
        </is>
      </c>
      <c r="R250" s="184" t="inlineStr">
        <is>
          <t>Unverified</t>
        </is>
      </c>
      <c r="S250" s="183" t="n">
        <v>18</v>
      </c>
      <c r="T250" s="189" t="inlineStr">
        <is>
          <t>C</t>
        </is>
      </c>
      <c r="U250" s="183" t="inlineStr">
        <is>
          <t>Regional general medical equipment dealer with hospital and clinic accounts; candidate sub dealer under a national MAH partner.</t>
        </is>
      </c>
      <c r="V250" s="183" t="inlineStr">
        <is>
          <t>Introduce CHISON as a future line through a national MAH partner; ask about their hospital and clinic coverage, service engineers and openness to non Japanese brands.</t>
        </is>
      </c>
      <c r="W250" s="183" t="inlineStr">
        <is>
          <t>N (not identified)</t>
        </is>
      </c>
      <c r="X250" s="186" t="inlineStr">
        <is>
          <t>https://baseconnect.in/companies/prefecture/a89155ac-9626-450f-9011-00a5b6529965/category/b2358a1c-c4c6-46f4-a0b1-dee3a1b30a0b</t>
        </is>
      </c>
      <c r="Y250" s="183" t="inlineStr">
        <is>
          <t>SonoEye P3 plus SonoAir 30 for GP and clinic accounts</t>
        </is>
      </c>
      <c r="Z250" s="183" t="inlineStr">
        <is>
          <t>2, 2, 3, 3, 3, 2, 3</t>
        </is>
      </c>
      <c r="AA250" s="183" t="inlineStr">
        <is>
          <t>Not found</t>
        </is>
      </c>
      <c r="AB250" s="183" t="inlineStr">
        <is>
          <t>Directory or search listing; not opened (direct site access blocked)</t>
        </is>
      </c>
      <c r="AC250" s="183" t="inlineStr">
        <is>
          <t>No expired licence or ended distribution agreement found</t>
        </is>
      </c>
      <c r="AD250" s="183" t="inlineStr">
        <is>
          <t>Not started</t>
        </is>
      </c>
      <c r="AE250" s="183" t="inlineStr"/>
      <c r="AF250" s="183" t="inlineStr"/>
      <c r="AG250" s="183" t="inlineStr">
        <is>
          <t>No email published and no verified website found</t>
        </is>
      </c>
    </row>
    <row r="251">
      <c r="A251" s="183" t="n">
        <v>247</v>
      </c>
      <c r="B251" s="183" t="inlineStr">
        <is>
          <t>Tsuboi Iryoki</t>
        </is>
      </c>
      <c r="C251" s="183" t="inlineStr">
        <is>
          <t>坪井医療器</t>
        </is>
      </c>
      <c r="D251" s="183" t="inlineStr">
        <is>
          <t>Not retrieved (NTA lookup blocked in this session)</t>
        </is>
      </c>
      <c r="E251" s="183" t="inlineStr">
        <is>
          <t>岡山県</t>
        </is>
      </c>
      <c r="F251" s="183" t="inlineStr">
        <is>
          <t>Chugoku and Shikoku</t>
        </is>
      </c>
      <c r="G251" s="183" t="inlineStr">
        <is>
          <t>Not confirmed (company site not opened; network policy blocked direct access)</t>
        </is>
      </c>
      <c r="H251" s="183" t="inlineStr">
        <is>
          <t>No MAH found; device sales licence (高度管理医療機器等販売業) not confirmed</t>
        </is>
      </c>
      <c r="I251" s="183" t="inlineStr">
        <is>
          <t>Not identified in published sources</t>
        </is>
      </c>
      <c r="J251" s="183" t="inlineStr">
        <is>
          <t>General medical equipment (hospitals and clinics)</t>
        </is>
      </c>
      <c r="K251" s="183" t="inlineStr">
        <is>
          <t>岡山県 (regional; branch network not confirmed)</t>
        </is>
      </c>
      <c r="L251" s="183" t="inlineStr">
        <is>
          <t>Not found</t>
        </is>
      </c>
      <c r="M251" s="183" t="inlineStr">
        <is>
          <t>Not identified</t>
        </is>
      </c>
      <c r="N251" s="183" t="inlineStr">
        <is>
          <t>Not identified</t>
        </is>
      </c>
      <c r="O251" s="183" t="inlineStr">
        <is>
          <t>Not published; use company inquiry form</t>
        </is>
      </c>
      <c r="P251" s="183" t="inlineStr">
        <is>
          <t>Not confirmed</t>
        </is>
      </c>
      <c r="Q251" s="183" t="inlineStr">
        <is>
          <t>Not identified</t>
        </is>
      </c>
      <c r="R251" s="184" t="inlineStr">
        <is>
          <t>Unverified</t>
        </is>
      </c>
      <c r="S251" s="183" t="n">
        <v>18</v>
      </c>
      <c r="T251" s="189" t="inlineStr">
        <is>
          <t>C</t>
        </is>
      </c>
      <c r="U251" s="183" t="inlineStr">
        <is>
          <t>Regional general medical equipment dealer with hospital and clinic accounts; candidate sub dealer under a national MAH partner.</t>
        </is>
      </c>
      <c r="V251" s="183" t="inlineStr">
        <is>
          <t>Introduce CHISON as a future line through a national MAH partner; ask about their hospital and clinic coverage, service engineers and openness to non Japanese brands.</t>
        </is>
      </c>
      <c r="W251" s="183" t="inlineStr">
        <is>
          <t>N (not identified)</t>
        </is>
      </c>
      <c r="X251" s="186" t="inlineStr">
        <is>
          <t>https://baseconnect.in/companies/prefecture/cd00efe9-63bc-49a2-846e-3cfd4bca7207/keyword/89941b4e-2dd1-4848-8957-48af280a31e0</t>
        </is>
      </c>
      <c r="Y251" s="183" t="inlineStr">
        <is>
          <t>SonoEye P3 plus SonoAir 30 for GP and clinic accounts</t>
        </is>
      </c>
      <c r="Z251" s="183" t="inlineStr">
        <is>
          <t>2, 2, 3, 3, 3, 2, 3</t>
        </is>
      </c>
      <c r="AA251" s="183" t="inlineStr">
        <is>
          <t>Not found</t>
        </is>
      </c>
      <c r="AB251" s="183" t="inlineStr">
        <is>
          <t>Directory or search listing; not opened (direct site access blocked)</t>
        </is>
      </c>
      <c r="AC251" s="183" t="inlineStr">
        <is>
          <t>No expired licence or ended distribution agreement found</t>
        </is>
      </c>
      <c r="AD251" s="183" t="inlineStr">
        <is>
          <t>Not started</t>
        </is>
      </c>
      <c r="AE251" s="183" t="inlineStr"/>
      <c r="AF251" s="183" t="inlineStr"/>
      <c r="AG251" s="183" t="inlineStr">
        <is>
          <t>No email published and no verified website found</t>
        </is>
      </c>
    </row>
    <row r="252">
      <c r="A252" s="183" t="n">
        <v>248</v>
      </c>
      <c r="B252" s="183" t="inlineStr">
        <is>
          <t>Kawakami Ika Kikai</t>
        </is>
      </c>
      <c r="C252" s="183" t="inlineStr">
        <is>
          <t>川上医科器械</t>
        </is>
      </c>
      <c r="D252" s="183" t="inlineStr">
        <is>
          <t>Not retrieved (NTA lookup blocked in this session)</t>
        </is>
      </c>
      <c r="E252" s="183" t="inlineStr">
        <is>
          <t>島根県</t>
        </is>
      </c>
      <c r="F252" s="183" t="inlineStr">
        <is>
          <t>Chugoku and Shikoku</t>
        </is>
      </c>
      <c r="G252" s="183" t="inlineStr">
        <is>
          <t>Not confirmed (company site not opened; network policy blocked direct access)</t>
        </is>
      </c>
      <c r="H252" s="183" t="inlineStr">
        <is>
          <t>No MAH found; device sales licence (高度管理医療機器等販売業) not confirmed</t>
        </is>
      </c>
      <c r="I252" s="183" t="inlineStr">
        <is>
          <t>Not identified in published sources</t>
        </is>
      </c>
      <c r="J252" s="183" t="inlineStr">
        <is>
          <t>General medical equipment (hospitals and clinics)</t>
        </is>
      </c>
      <c r="K252" s="183" t="inlineStr">
        <is>
          <t>島根県 (regional; branch network not confirmed)</t>
        </is>
      </c>
      <c r="L252" s="183" t="inlineStr">
        <is>
          <t>Not found</t>
        </is>
      </c>
      <c r="M252" s="183" t="inlineStr">
        <is>
          <t>Not identified</t>
        </is>
      </c>
      <c r="N252" s="183" t="inlineStr">
        <is>
          <t>Not identified</t>
        </is>
      </c>
      <c r="O252" s="183" t="inlineStr">
        <is>
          <t>Not published; use company inquiry form</t>
        </is>
      </c>
      <c r="P252" s="183" t="inlineStr">
        <is>
          <t>Not confirmed</t>
        </is>
      </c>
      <c r="Q252" s="183" t="inlineStr">
        <is>
          <t>Not identified</t>
        </is>
      </c>
      <c r="R252" s="184" t="inlineStr">
        <is>
          <t>Unverified</t>
        </is>
      </c>
      <c r="S252" s="183" t="n">
        <v>18</v>
      </c>
      <c r="T252" s="189" t="inlineStr">
        <is>
          <t>C</t>
        </is>
      </c>
      <c r="U252" s="183" t="inlineStr">
        <is>
          <t>Regional general medical equipment dealer with hospital and clinic accounts; candidate sub dealer under a national MAH partner.</t>
        </is>
      </c>
      <c r="V252" s="183" t="inlineStr">
        <is>
          <t>Introduce CHISON as a future line through a national MAH partner; ask about their hospital and clinic coverage, service engineers and openness to non Japanese brands.</t>
        </is>
      </c>
      <c r="W252" s="183" t="inlineStr">
        <is>
          <t>N (not identified)</t>
        </is>
      </c>
      <c r="X252" s="186" t="inlineStr">
        <is>
          <t>https://baseconnect.in/companies/prefecture/2466a71e-a675-4184-bf2b-a9d3122e4400/category/b2358a1c-c4c6-46f4-a0b1-dee3a1b30a0b</t>
        </is>
      </c>
      <c r="Y252" s="183" t="inlineStr">
        <is>
          <t>SonoEye P3 plus SonoAir 30 for GP and clinic accounts</t>
        </is>
      </c>
      <c r="Z252" s="183" t="inlineStr">
        <is>
          <t>2, 2, 3, 3, 3, 2, 3</t>
        </is>
      </c>
      <c r="AA252" s="183" t="inlineStr">
        <is>
          <t>Not found</t>
        </is>
      </c>
      <c r="AB252" s="183" t="inlineStr">
        <is>
          <t>Directory or search listing; not opened (direct site access blocked)</t>
        </is>
      </c>
      <c r="AC252" s="183" t="inlineStr">
        <is>
          <t>No expired licence or ended distribution agreement found</t>
        </is>
      </c>
      <c r="AD252" s="183" t="inlineStr">
        <is>
          <t>Not started</t>
        </is>
      </c>
      <c r="AE252" s="183" t="inlineStr"/>
      <c r="AF252" s="183" t="inlineStr"/>
      <c r="AG252" s="183" t="inlineStr">
        <is>
          <t>No email published and no verified website found</t>
        </is>
      </c>
    </row>
    <row r="253">
      <c r="A253" s="183" t="n">
        <v>249</v>
      </c>
      <c r="B253" s="183" t="inlineStr">
        <is>
          <t>Kono Ika Kikai</t>
        </is>
      </c>
      <c r="C253" s="183" t="inlineStr">
        <is>
          <t>河野医科器械</t>
        </is>
      </c>
      <c r="D253" s="183" t="inlineStr">
        <is>
          <t>Not retrieved (NTA lookup blocked in this session)</t>
        </is>
      </c>
      <c r="E253" s="183" t="inlineStr">
        <is>
          <t>徳島県</t>
        </is>
      </c>
      <c r="F253" s="183" t="inlineStr">
        <is>
          <t>Chugoku and Shikoku</t>
        </is>
      </c>
      <c r="G253" s="183" t="inlineStr">
        <is>
          <t>https://www.kohno-ika.com/</t>
        </is>
      </c>
      <c r="H253" s="183" t="inlineStr">
        <is>
          <t>No MAH found; device sales licence (高度管理医療機器等販売業) not confirmed</t>
        </is>
      </c>
      <c r="I253" s="183" t="inlineStr">
        <is>
          <t>Not identified in published sources</t>
        </is>
      </c>
      <c r="J253" s="183" t="inlineStr">
        <is>
          <t>General medical equipment (hospitals and clinics)</t>
        </is>
      </c>
      <c r="K253" s="183" t="inlineStr">
        <is>
          <t>徳島県 (regional; branch network not confirmed)</t>
        </is>
      </c>
      <c r="L253" s="183" t="inlineStr">
        <is>
          <t>Not found</t>
        </is>
      </c>
      <c r="M253" s="183" t="inlineStr">
        <is>
          <t>Not identified</t>
        </is>
      </c>
      <c r="N253" s="183" t="inlineStr">
        <is>
          <t>Not identified</t>
        </is>
      </c>
      <c r="O253" s="183" t="inlineStr">
        <is>
          <t>kohno-ika@kohno-ika.com</t>
        </is>
      </c>
      <c r="P253" s="183" t="inlineStr">
        <is>
          <t>Not confirmed</t>
        </is>
      </c>
      <c r="Q253" s="183" t="inlineStr">
        <is>
          <t>Not identified</t>
        </is>
      </c>
      <c r="R253" s="184" t="inlineStr">
        <is>
          <t>Unverified</t>
        </is>
      </c>
      <c r="S253" s="183" t="n">
        <v>18</v>
      </c>
      <c r="T253" s="189" t="inlineStr">
        <is>
          <t>C</t>
        </is>
      </c>
      <c r="U253" s="183" t="inlineStr">
        <is>
          <t>Regional general medical equipment dealer with hospital and clinic accounts; candidate sub dealer under a national MAH partner.</t>
        </is>
      </c>
      <c r="V253" s="183" t="inlineStr">
        <is>
          <t>Introduce CHISON as a future line through a national MAH partner; ask about their hospital and clinic coverage, service engineers and openness to non Japanese brands.</t>
        </is>
      </c>
      <c r="W253" s="183" t="inlineStr">
        <is>
          <t>N (not identified)</t>
        </is>
      </c>
      <c r="X253" s="186" t="inlineStr">
        <is>
          <t>https://baseconnect.in/companies/prefecture/22e3a90e-e956-4cce-bd1b-bdc8b44fc75f/category/b2358a1c-c4c6-46f4-a0b1-dee3a1b30a0b</t>
        </is>
      </c>
      <c r="Y253" s="183" t="inlineStr">
        <is>
          <t>SonoEye P3 plus SonoAir 30 for GP and clinic accounts</t>
        </is>
      </c>
      <c r="Z253" s="183" t="inlineStr">
        <is>
          <t>2, 2, 3, 3, 3, 2, 3</t>
        </is>
      </c>
      <c r="AA253" s="183" t="inlineStr">
        <is>
          <t>Not found</t>
        </is>
      </c>
      <c r="AB253" s="183" t="inlineStr">
        <is>
          <t>Directory or search listing; not opened (direct site access blocked)</t>
        </is>
      </c>
      <c r="AC253" s="183" t="inlineStr">
        <is>
          <t>No expired licence or ended distribution agreement found</t>
        </is>
      </c>
      <c r="AD253" s="183" t="inlineStr">
        <is>
          <t>Not started</t>
        </is>
      </c>
      <c r="AE253" s="183" t="inlineStr"/>
      <c r="AF253" s="183" t="inlineStr">
        <is>
          <t>https://www.kohno-ika.com/company/</t>
        </is>
      </c>
      <c r="AG253" s="183" t="inlineStr">
        <is>
          <t>Verified: published on company website</t>
        </is>
      </c>
    </row>
    <row r="254">
      <c r="A254" s="183" t="n">
        <v>250</v>
      </c>
      <c r="B254" s="183" t="inlineStr">
        <is>
          <t>Sanwa Ika Kikai</t>
        </is>
      </c>
      <c r="C254" s="183" t="inlineStr">
        <is>
          <t>三和医科器械</t>
        </is>
      </c>
      <c r="D254" s="183" t="inlineStr">
        <is>
          <t>Not retrieved (NTA lookup blocked in this session)</t>
        </is>
      </c>
      <c r="E254" s="183" t="inlineStr">
        <is>
          <t>愛媛県</t>
        </is>
      </c>
      <c r="F254" s="183" t="inlineStr">
        <is>
          <t>Chugoku and Shikoku</t>
        </is>
      </c>
      <c r="G254" s="183" t="inlineStr">
        <is>
          <t>https://sanwa-mi.com/</t>
        </is>
      </c>
      <c r="H254" s="183" t="inlineStr">
        <is>
          <t>No MAH found; device sales licence (高度管理医療機器等販売業) not confirmed</t>
        </is>
      </c>
      <c r="I254" s="183" t="inlineStr">
        <is>
          <t>Not identified in published sources</t>
        </is>
      </c>
      <c r="J254" s="183" t="inlineStr">
        <is>
          <t>General medical equipment (hospitals and clinics)</t>
        </is>
      </c>
      <c r="K254" s="183" t="inlineStr">
        <is>
          <t>愛媛県 (regional; branch network not confirmed)</t>
        </is>
      </c>
      <c r="L254" s="183" t="inlineStr">
        <is>
          <t>Not found</t>
        </is>
      </c>
      <c r="M254" s="183" t="inlineStr">
        <is>
          <t>Not identified</t>
        </is>
      </c>
      <c r="N254" s="183" t="inlineStr">
        <is>
          <t>Not identified</t>
        </is>
      </c>
      <c r="O254" s="183" t="inlineStr">
        <is>
          <t>info@sanwa-mi.com</t>
        </is>
      </c>
      <c r="P254" s="183" t="inlineStr">
        <is>
          <t>Not confirmed</t>
        </is>
      </c>
      <c r="Q254" s="183" t="inlineStr">
        <is>
          <t>Not identified</t>
        </is>
      </c>
      <c r="R254" s="184" t="inlineStr">
        <is>
          <t>Unverified</t>
        </is>
      </c>
      <c r="S254" s="183" t="n">
        <v>18</v>
      </c>
      <c r="T254" s="189" t="inlineStr">
        <is>
          <t>C</t>
        </is>
      </c>
      <c r="U254" s="183" t="inlineStr">
        <is>
          <t>Regional general medical equipment dealer with hospital and clinic accounts; candidate sub dealer under a national MAH partner.</t>
        </is>
      </c>
      <c r="V254" s="183" t="inlineStr">
        <is>
          <t>Introduce CHISON as a future line through a national MAH partner; ask about their hospital and clinic coverage, service engineers and openness to non Japanese brands.</t>
        </is>
      </c>
      <c r="W254" s="183" t="inlineStr">
        <is>
          <t>N (not identified)</t>
        </is>
      </c>
      <c r="X254" s="186" t="inlineStr">
        <is>
          <t>https://compalyze.co.jp/company/6500001015536 (reconfirm page)</t>
        </is>
      </c>
      <c r="Y254" s="183" t="inlineStr">
        <is>
          <t>SonoEye P3 plus SonoAir 30 for GP and clinic accounts</t>
        </is>
      </c>
      <c r="Z254" s="183" t="inlineStr">
        <is>
          <t>2, 2, 3, 3, 3, 2, 3</t>
        </is>
      </c>
      <c r="AA254" s="183" t="inlineStr">
        <is>
          <t>Not found</t>
        </is>
      </c>
      <c r="AB254" s="183" t="inlineStr">
        <is>
          <t>Directory or search listing; not opened (direct site access blocked)</t>
        </is>
      </c>
      <c r="AC254" s="183" t="inlineStr">
        <is>
          <t>No expired licence or ended distribution agreement found</t>
        </is>
      </c>
      <c r="AD254" s="183" t="inlineStr">
        <is>
          <t>Not started</t>
        </is>
      </c>
      <c r="AE254" s="183" t="inlineStr"/>
      <c r="AF254" s="183" t="inlineStr">
        <is>
          <t>https://www.facebook.com/sanwaikakikai/?locale=zh_CN</t>
        </is>
      </c>
      <c r="AG254" s="183" t="inlineStr">
        <is>
          <t>Likely: indexed on company domain</t>
        </is>
      </c>
    </row>
    <row r="255">
      <c r="A255" s="183" t="n">
        <v>251</v>
      </c>
      <c r="B255" s="183" t="inlineStr">
        <is>
          <t>Tokui Ika Kikaiten</t>
        </is>
      </c>
      <c r="C255" s="183" t="inlineStr">
        <is>
          <t>トクイ医科器械店</t>
        </is>
      </c>
      <c r="D255" s="183" t="inlineStr">
        <is>
          <t>Not retrieved (NTA lookup blocked in this session)</t>
        </is>
      </c>
      <c r="E255" s="183" t="inlineStr">
        <is>
          <t>愛媛県</t>
        </is>
      </c>
      <c r="F255" s="183" t="inlineStr">
        <is>
          <t>Chugoku and Shikoku</t>
        </is>
      </c>
      <c r="G255" s="183" t="inlineStr">
        <is>
          <t>Not confirmed (company site not opened; network policy blocked direct access)</t>
        </is>
      </c>
      <c r="H255" s="183" t="inlineStr">
        <is>
          <t>No MAH found; device sales licence (高度管理医療機器等販売業) not confirmed</t>
        </is>
      </c>
      <c r="I255" s="183" t="inlineStr">
        <is>
          <t>Not identified in published sources</t>
        </is>
      </c>
      <c r="J255" s="183" t="inlineStr">
        <is>
          <t>Surgery and OR</t>
        </is>
      </c>
      <c r="K255" s="183" t="inlineStr">
        <is>
          <t>愛媛県 (regional; branch network not confirmed)</t>
        </is>
      </c>
      <c r="L255" s="183" t="inlineStr">
        <is>
          <t>Not found</t>
        </is>
      </c>
      <c r="M255" s="183" t="inlineStr">
        <is>
          <t>Not identified</t>
        </is>
      </c>
      <c r="N255" s="183" t="inlineStr">
        <is>
          <t>Not identified</t>
        </is>
      </c>
      <c r="O255" s="183" t="inlineStr">
        <is>
          <t>Not published; use company inquiry form</t>
        </is>
      </c>
      <c r="P255" s="183" t="inlineStr">
        <is>
          <t>Not confirmed</t>
        </is>
      </c>
      <c r="Q255" s="183" t="inlineStr">
        <is>
          <t>Not identified</t>
        </is>
      </c>
      <c r="R255" s="184" t="inlineStr">
        <is>
          <t>Unverified</t>
        </is>
      </c>
      <c r="S255" s="183" t="n">
        <v>18</v>
      </c>
      <c r="T255" s="189" t="inlineStr">
        <is>
          <t>C</t>
        </is>
      </c>
      <c r="U255" s="183" t="inlineStr">
        <is>
          <t>Adjacent hospital department line (no ultrasound found), which is the best recruit profile for a point of care line.</t>
        </is>
      </c>
      <c r="V255" s="183" t="inlineStr">
        <is>
          <t>Introduce CHISON as a future line through a national MAH partner; ask about their hospital and clinic coverage, service engineers and openness to non Japanese brands.</t>
        </is>
      </c>
      <c r="W255" s="183" t="inlineStr">
        <is>
          <t>N (not identified)</t>
        </is>
      </c>
      <c r="X255" s="186" t="inlineStr">
        <is>
          <t>https://baseconnect.in/companies/prefecture/18e4d2f6-9b16-4488-931c-17ced3101b74/keyword/2eca165e-bd4a-4e2e-bc44-397492071b92</t>
        </is>
      </c>
      <c r="Y255" s="183" t="inlineStr">
        <is>
          <t>SonoTouch plus SonoEye P3 (nerve block, vascular access, peri operative)</t>
        </is>
      </c>
      <c r="Z255" s="183" t="inlineStr">
        <is>
          <t>2, 2, 3, 3, 3, 2, 3</t>
        </is>
      </c>
      <c r="AA255" s="183" t="inlineStr">
        <is>
          <t>Not found</t>
        </is>
      </c>
      <c r="AB255" s="183" t="inlineStr">
        <is>
          <t>Directory or search listing; not opened (direct site access blocked)</t>
        </is>
      </c>
      <c r="AC255" s="183" t="inlineStr">
        <is>
          <t>No expired licence or ended distribution agreement found</t>
        </is>
      </c>
      <c r="AD255" s="183" t="inlineStr">
        <is>
          <t>Not started</t>
        </is>
      </c>
      <c r="AE255" s="183" t="inlineStr"/>
      <c r="AF255" s="183" t="inlineStr"/>
      <c r="AG255" s="183" t="inlineStr">
        <is>
          <t>No email published and no verified website found</t>
        </is>
      </c>
    </row>
    <row r="256">
      <c r="A256" s="183" t="n">
        <v>252</v>
      </c>
      <c r="B256" s="183" t="inlineStr">
        <is>
          <t>Oji Ika Kikai</t>
        </is>
      </c>
      <c r="C256" s="183" t="inlineStr">
        <is>
          <t>尾路医科器械</t>
        </is>
      </c>
      <c r="D256" s="183" t="inlineStr">
        <is>
          <t>Not retrieved (NTA lookup blocked in this session)</t>
        </is>
      </c>
      <c r="E256" s="183" t="inlineStr">
        <is>
          <t>香川県</t>
        </is>
      </c>
      <c r="F256" s="183" t="inlineStr">
        <is>
          <t>Chugoku and Shikoku</t>
        </is>
      </c>
      <c r="G256" s="183" t="inlineStr">
        <is>
          <t>https://onomichi-ika.com/</t>
        </is>
      </c>
      <c r="H256" s="183" t="inlineStr">
        <is>
          <t>No MAH found; device sales licence (高度管理医療機器等販売業) not confirmed</t>
        </is>
      </c>
      <c r="I256" s="183" t="inlineStr">
        <is>
          <t>Not identified in published sources</t>
        </is>
      </c>
      <c r="J256" s="183" t="inlineStr">
        <is>
          <t>General medical equipment (hospitals and clinics)</t>
        </is>
      </c>
      <c r="K256" s="183" t="inlineStr">
        <is>
          <t>香川県 (regional; branch network not confirmed)</t>
        </is>
      </c>
      <c r="L256" s="183" t="inlineStr">
        <is>
          <t>Not found</t>
        </is>
      </c>
      <c r="M256" s="183" t="inlineStr">
        <is>
          <t>Not identified</t>
        </is>
      </c>
      <c r="N256" s="183" t="inlineStr">
        <is>
          <t>Not identified</t>
        </is>
      </c>
      <c r="O256" s="183" t="inlineStr">
        <is>
          <t>Not published; use contact form</t>
        </is>
      </c>
      <c r="P256" s="183" t="inlineStr">
        <is>
          <t>Not confirmed</t>
        </is>
      </c>
      <c r="Q256" s="183" t="inlineStr">
        <is>
          <t>Not identified</t>
        </is>
      </c>
      <c r="R256" s="184" t="inlineStr">
        <is>
          <t>Likely</t>
        </is>
      </c>
      <c r="S256" s="183" t="n">
        <v>18</v>
      </c>
      <c r="T256" s="189" t="inlineStr">
        <is>
          <t>C</t>
        </is>
      </c>
      <c r="U256" s="183" t="inlineStr">
        <is>
          <t>Regional general medical equipment dealer with hospital and clinic accounts; candidate sub dealer under a national MAH partner.</t>
        </is>
      </c>
      <c r="V256" s="183" t="inlineStr">
        <is>
          <t>Introduce CHISON as a future line through a national MAH partner; ask about their hospital and clinic coverage, service engineers and openness to non Japanese brands.</t>
        </is>
      </c>
      <c r="W256" s="183" t="inlineStr">
        <is>
          <t>N (not identified)</t>
        </is>
      </c>
      <c r="X256" s="186" t="inlineStr">
        <is>
          <t>https://baseconnect.in/companies/prefecture/de8c9062-e2c4-4731-9214-c2e07deaabfb/keyword/89941b4e-2dd1-4848-8957-48af280a31e0</t>
        </is>
      </c>
      <c r="Y256" s="183" t="inlineStr">
        <is>
          <t>SonoEye P3 plus SonoAir 30 for GP and clinic accounts</t>
        </is>
      </c>
      <c r="Z256" s="183" t="inlineStr">
        <is>
          <t>2, 2, 3, 3, 3, 2, 3</t>
        </is>
      </c>
      <c r="AA256" s="183" t="inlineStr">
        <is>
          <t>Not found</t>
        </is>
      </c>
      <c r="AB256" s="183" t="inlineStr">
        <is>
          <t>Directory or search listing; not opened (direct site access blocked)</t>
        </is>
      </c>
      <c r="AC256" s="183" t="inlineStr">
        <is>
          <t>No expired licence or ended distribution agreement found</t>
        </is>
      </c>
      <c r="AD256" s="183" t="inlineStr">
        <is>
          <t>Not started</t>
        </is>
      </c>
      <c r="AE256" s="183" t="inlineStr"/>
      <c r="AF256" s="183" t="inlineStr">
        <is>
          <t>https://onomichi-ika.com/contact/</t>
        </is>
      </c>
      <c r="AG256" s="183" t="inlineStr">
        <is>
          <t>No email published; use the contact form (link in Email source)</t>
        </is>
      </c>
    </row>
    <row r="257">
      <c r="A257" s="183" t="n">
        <v>253</v>
      </c>
      <c r="B257" s="183" t="inlineStr">
        <is>
          <t>Tottori Iryoki</t>
        </is>
      </c>
      <c r="C257" s="183" t="inlineStr">
        <is>
          <t>鳥取医療器</t>
        </is>
      </c>
      <c r="D257" s="183" t="inlineStr">
        <is>
          <t>Not retrieved (NTA lookup blocked in this session)</t>
        </is>
      </c>
      <c r="E257" s="183" t="inlineStr">
        <is>
          <t>鳥取県</t>
        </is>
      </c>
      <c r="F257" s="183" t="inlineStr">
        <is>
          <t>Chugoku and Shikoku</t>
        </is>
      </c>
      <c r="G257" s="183" t="inlineStr">
        <is>
          <t>https://t-iryoki.co.jp/</t>
        </is>
      </c>
      <c r="H257" s="183" t="inlineStr">
        <is>
          <t>No MAH found; device sales licence (高度管理医療機器等販売業) not confirmed</t>
        </is>
      </c>
      <c r="I257" s="183" t="inlineStr">
        <is>
          <t>Not identified in published sources</t>
        </is>
      </c>
      <c r="J257" s="183" t="inlineStr">
        <is>
          <t>General medical equipment (hospitals and clinics)</t>
        </is>
      </c>
      <c r="K257" s="183" t="inlineStr">
        <is>
          <t>鳥取県 (regional; branch network not confirmed)</t>
        </is>
      </c>
      <c r="L257" s="183" t="inlineStr">
        <is>
          <t>Not found</t>
        </is>
      </c>
      <c r="M257" s="183" t="inlineStr">
        <is>
          <t>Not identified</t>
        </is>
      </c>
      <c r="N257" s="183" t="inlineStr">
        <is>
          <t>Not identified</t>
        </is>
      </c>
      <c r="O257" s="183" t="inlineStr">
        <is>
          <t>welfare@t-iryoki.co.jp</t>
        </is>
      </c>
      <c r="P257" s="183" t="inlineStr">
        <is>
          <t>Not confirmed</t>
        </is>
      </c>
      <c r="Q257" s="183" t="inlineStr">
        <is>
          <t>Not identified</t>
        </is>
      </c>
      <c r="R257" s="184" t="inlineStr">
        <is>
          <t>Unverified</t>
        </is>
      </c>
      <c r="S257" s="183" t="n">
        <v>18</v>
      </c>
      <c r="T257" s="189" t="inlineStr">
        <is>
          <t>C</t>
        </is>
      </c>
      <c r="U257" s="183" t="inlineStr">
        <is>
          <t>Regional general medical equipment dealer with hospital and clinic accounts; candidate sub dealer under a national MAH partner.</t>
        </is>
      </c>
      <c r="V257" s="183" t="inlineStr">
        <is>
          <t>Introduce CHISON as a future line through a national MAH partner; ask about their hospital and clinic coverage, service engineers and openness to non Japanese brands.</t>
        </is>
      </c>
      <c r="W257" s="183" t="inlineStr">
        <is>
          <t>N (not identified)</t>
        </is>
      </c>
      <c r="X257" s="186" t="inlineStr">
        <is>
          <t>https://baseconnect.in/companies/prefecture/ed058ccb-0ba4-4479-9732-51a97cc73b5d/category/b2358a1c-c4c6-46f4-a0b1-dee3a1b30a0b</t>
        </is>
      </c>
      <c r="Y257" s="183" t="inlineStr">
        <is>
          <t>SonoEye P3 plus SonoAir 30 for GP and clinic accounts</t>
        </is>
      </c>
      <c r="Z257" s="183" t="inlineStr">
        <is>
          <t>2, 2, 3, 3, 3, 2, 3</t>
        </is>
      </c>
      <c r="AA257" s="183" t="inlineStr">
        <is>
          <t>Not found</t>
        </is>
      </c>
      <c r="AB257" s="183" t="inlineStr">
        <is>
          <t>Directory or search listing; not opened (direct site access blocked)</t>
        </is>
      </c>
      <c r="AC257" s="183" t="inlineStr">
        <is>
          <t>No expired licence or ended distribution agreement found</t>
        </is>
      </c>
      <c r="AD257" s="183" t="inlineStr">
        <is>
          <t>Not started</t>
        </is>
      </c>
      <c r="AE257" s="183" t="inlineStr"/>
      <c r="AF257" s="183" t="inlineStr">
        <is>
          <t>https://www.tottori-iryoki.com/</t>
        </is>
      </c>
      <c r="AG257" s="183" t="inlineStr">
        <is>
          <t>Likely: indexed on company domain</t>
        </is>
      </c>
    </row>
    <row r="258">
      <c r="A258" s="183" t="n">
        <v>254</v>
      </c>
      <c r="B258" s="183" t="inlineStr">
        <is>
          <t>Verda</t>
        </is>
      </c>
      <c r="C258" s="183" t="inlineStr">
        <is>
          <t>ベルダ</t>
        </is>
      </c>
      <c r="D258" s="183" t="inlineStr">
        <is>
          <t>Not retrieved (NTA lookup blocked in this session)</t>
        </is>
      </c>
      <c r="E258" s="183" t="inlineStr">
        <is>
          <t>千葉県</t>
        </is>
      </c>
      <c r="F258" s="183" t="inlineStr">
        <is>
          <t>Kanto</t>
        </is>
      </c>
      <c r="G258" s="183" t="inlineStr">
        <is>
          <t>http://verdad-co.jp/</t>
        </is>
      </c>
      <c r="H258" s="183" t="inlineStr">
        <is>
          <t>No MAH found; device sales licence (高度管理医療機器等販売業) not confirmed</t>
        </is>
      </c>
      <c r="I258" s="183" t="inlineStr">
        <is>
          <t>Not identified in published sources</t>
        </is>
      </c>
      <c r="J258" s="183" t="inlineStr">
        <is>
          <t>Dialysis</t>
        </is>
      </c>
      <c r="K258" s="183" t="inlineStr">
        <is>
          <t>千葉県 (regional; branch network not confirmed)</t>
        </is>
      </c>
      <c r="L258" s="183" t="inlineStr">
        <is>
          <t>Not found</t>
        </is>
      </c>
      <c r="M258" s="183" t="inlineStr">
        <is>
          <t>Not identified</t>
        </is>
      </c>
      <c r="N258" s="183" t="inlineStr">
        <is>
          <t>Not identified</t>
        </is>
      </c>
      <c r="O258" s="183" t="inlineStr">
        <is>
          <t>Not published; use contact form</t>
        </is>
      </c>
      <c r="P258" s="183" t="inlineStr">
        <is>
          <t>Not confirmed</t>
        </is>
      </c>
      <c r="Q258" s="183" t="inlineStr">
        <is>
          <t>Not identified</t>
        </is>
      </c>
      <c r="R258" s="184" t="inlineStr">
        <is>
          <t>Likely</t>
        </is>
      </c>
      <c r="S258" s="183" t="n">
        <v>17</v>
      </c>
      <c r="T258" s="189" t="inlineStr">
        <is>
          <t>C</t>
        </is>
      </c>
      <c r="U258" s="183" t="inlineStr">
        <is>
          <t>Regional general medical equipment dealer with hospital and clinic accounts; candidate sub dealer under a national MAH partner.</t>
        </is>
      </c>
      <c r="V258" s="183" t="inlineStr">
        <is>
          <t>Introduce CHISON as a future line through a national MAH partner; ask about their hospital and clinic coverage, service engineers and openness to non Japanese brands.</t>
        </is>
      </c>
      <c r="W258" s="183" t="inlineStr">
        <is>
          <t>N (not identified)</t>
        </is>
      </c>
      <c r="X258" s="186" t="inlineStr">
        <is>
          <t>https://baseconnect.in/companies/prefecture/3420045f-8609-4232-9407-75407ae4e6e8/category/b2358a1c-c4c6-46f4-a0b1-dee3a1b30a0b</t>
        </is>
      </c>
      <c r="Y258" s="183" t="inlineStr">
        <is>
          <t>SonoEye P3 for AV fistula and vascular access checks</t>
        </is>
      </c>
      <c r="Z258" s="183" t="inlineStr">
        <is>
          <t>2, 2, 3, 2, 3, 2, 3</t>
        </is>
      </c>
      <c r="AA258" s="183" t="inlineStr">
        <is>
          <t>Not found</t>
        </is>
      </c>
      <c r="AB258" s="183" t="inlineStr">
        <is>
          <t>Directory or search listing; not opened (direct site access blocked)</t>
        </is>
      </c>
      <c r="AC258" s="183" t="inlineStr">
        <is>
          <t>No expired licence or ended distribution agreement found</t>
        </is>
      </c>
      <c r="AD258" s="183" t="inlineStr">
        <is>
          <t>Not started</t>
        </is>
      </c>
      <c r="AE258" s="183" t="inlineStr"/>
      <c r="AF258" s="183" t="inlineStr">
        <is>
          <t>http://verdad-co.jp/contact/</t>
        </is>
      </c>
      <c r="AG258" s="183" t="inlineStr">
        <is>
          <t>No email published; use the contact form (link in Email source)</t>
        </is>
      </c>
    </row>
    <row r="259">
      <c r="A259" s="183" t="n">
        <v>255</v>
      </c>
      <c r="B259" s="183" t="inlineStr">
        <is>
          <t>Yutaka Shoji</t>
        </is>
      </c>
      <c r="C259" s="183" t="inlineStr">
        <is>
          <t>ユタカ商事</t>
        </is>
      </c>
      <c r="D259" s="183" t="inlineStr">
        <is>
          <t>Not retrieved (NTA lookup blocked in this session)</t>
        </is>
      </c>
      <c r="E259" s="183" t="inlineStr">
        <is>
          <t>千葉県</t>
        </is>
      </c>
      <c r="F259" s="183" t="inlineStr">
        <is>
          <t>Kanto</t>
        </is>
      </c>
      <c r="G259" s="183" t="inlineStr">
        <is>
          <t>https://www.yutakamed.co.jp/</t>
        </is>
      </c>
      <c r="H259" s="183" t="inlineStr">
        <is>
          <t>No MAH found; device sales licence (高度管理医療機器等販売業) not confirmed</t>
        </is>
      </c>
      <c r="I259" s="183" t="inlineStr">
        <is>
          <t>Not identified in published sources</t>
        </is>
      </c>
      <c r="J259" s="183" t="inlineStr">
        <is>
          <t>Orthopaedics and rehab</t>
        </is>
      </c>
      <c r="K259" s="183" t="inlineStr">
        <is>
          <t>千葉県 (regional; branch network not confirmed)</t>
        </is>
      </c>
      <c r="L259" s="183" t="inlineStr">
        <is>
          <t>Not found</t>
        </is>
      </c>
      <c r="M259" s="183" t="inlineStr">
        <is>
          <t>Not identified</t>
        </is>
      </c>
      <c r="N259" s="183" t="inlineStr">
        <is>
          <t>Not identified</t>
        </is>
      </c>
      <c r="O259" s="183" t="inlineStr">
        <is>
          <t>Not published; use contact form</t>
        </is>
      </c>
      <c r="P259" s="183" t="inlineStr">
        <is>
          <t>Not confirmed</t>
        </is>
      </c>
      <c r="Q259" s="183" t="inlineStr">
        <is>
          <t>Not identified</t>
        </is>
      </c>
      <c r="R259" s="184" t="inlineStr">
        <is>
          <t>Likely</t>
        </is>
      </c>
      <c r="S259" s="183" t="n">
        <v>17</v>
      </c>
      <c r="T259" s="189" t="inlineStr">
        <is>
          <t>C</t>
        </is>
      </c>
      <c r="U259" s="183" t="inlineStr">
        <is>
          <t>Regional general medical equipment dealer with hospital and clinic accounts; candidate sub dealer under a national MAH partner.</t>
        </is>
      </c>
      <c r="V259" s="183" t="inlineStr">
        <is>
          <t>Introduce CHISON as a future line through a national MAH partner; ask about their hospital and clinic coverage, service engineers and openness to non Japanese brands.</t>
        </is>
      </c>
      <c r="W259" s="183" t="inlineStr">
        <is>
          <t>N (not identified)</t>
        </is>
      </c>
      <c r="X259" s="186" t="inlineStr">
        <is>
          <t>https://baseconnect.in/companies/prefecture/3420045f-8609-4232-9407-75407ae4e6e8/category/b2358a1c-c4c6-46f4-a0b1-dee3a1b30a0b</t>
        </is>
      </c>
      <c r="Y259" s="183" t="inlineStr">
        <is>
          <t>SonoEye P5 high frequency linear for MSK and sports medicine</t>
        </is>
      </c>
      <c r="Z259" s="183" t="inlineStr">
        <is>
          <t>2, 2, 3, 2, 3, 2, 3</t>
        </is>
      </c>
      <c r="AA259" s="183" t="inlineStr">
        <is>
          <t>Not found</t>
        </is>
      </c>
      <c r="AB259" s="183" t="inlineStr">
        <is>
          <t>Directory or search listing; not opened (direct site access blocked)</t>
        </is>
      </c>
      <c r="AC259" s="183" t="inlineStr">
        <is>
          <t>No expired licence or ended distribution agreement found</t>
        </is>
      </c>
      <c r="AD259" s="183" t="inlineStr">
        <is>
          <t>Not started</t>
        </is>
      </c>
      <c r="AE259" s="183" t="inlineStr"/>
      <c r="AF259" s="183" t="inlineStr">
        <is>
          <t>https://www.yutakamed.co.jp/contact</t>
        </is>
      </c>
      <c r="AG259" s="183" t="inlineStr">
        <is>
          <t>No email published; use the contact form (link in Email source)</t>
        </is>
      </c>
    </row>
    <row r="260">
      <c r="A260" s="183" t="n">
        <v>256</v>
      </c>
      <c r="B260" s="183" t="inlineStr">
        <is>
          <t>Shiga Kikai</t>
        </is>
      </c>
      <c r="C260" s="183" t="inlineStr">
        <is>
          <t>志賀器械</t>
        </is>
      </c>
      <c r="D260" s="183" t="inlineStr">
        <is>
          <t>Not retrieved (NTA lookup blocked in this session)</t>
        </is>
      </c>
      <c r="E260" s="183" t="inlineStr">
        <is>
          <t>千葉県</t>
        </is>
      </c>
      <c r="F260" s="183" t="inlineStr">
        <is>
          <t>Kanto</t>
        </is>
      </c>
      <c r="G260" s="183" t="inlineStr">
        <is>
          <t>Not confirmed (company site not opened; network policy blocked direct access)</t>
        </is>
      </c>
      <c r="H260" s="183" t="inlineStr">
        <is>
          <t>No MAH found; device sales licence (高度管理医療機器等販売業) not confirmed</t>
        </is>
      </c>
      <c r="I260" s="183" t="inlineStr">
        <is>
          <t>Not identified in published sources</t>
        </is>
      </c>
      <c r="J260" s="183" t="inlineStr">
        <is>
          <t>General medical equipment (hospitals and clinics)</t>
        </is>
      </c>
      <c r="K260" s="183" t="inlineStr">
        <is>
          <t>千葉県 (regional; branch network not confirmed)</t>
        </is>
      </c>
      <c r="L260" s="183" t="inlineStr">
        <is>
          <t>Not found</t>
        </is>
      </c>
      <c r="M260" s="183" t="inlineStr">
        <is>
          <t>Not identified</t>
        </is>
      </c>
      <c r="N260" s="183" t="inlineStr">
        <is>
          <t>Not identified</t>
        </is>
      </c>
      <c r="O260" s="183" t="inlineStr">
        <is>
          <t>Not published; use company inquiry form</t>
        </is>
      </c>
      <c r="P260" s="183" t="inlineStr">
        <is>
          <t>Not confirmed</t>
        </is>
      </c>
      <c r="Q260" s="183" t="inlineStr">
        <is>
          <t>Not identified</t>
        </is>
      </c>
      <c r="R260" s="184" t="inlineStr">
        <is>
          <t>Unverified</t>
        </is>
      </c>
      <c r="S260" s="183" t="n">
        <v>17</v>
      </c>
      <c r="T260" s="189" t="inlineStr">
        <is>
          <t>C</t>
        </is>
      </c>
      <c r="U260" s="183" t="inlineStr">
        <is>
          <t>Regional general medical equipment dealer with hospital and clinic accounts; candidate sub dealer under a national MAH partner.</t>
        </is>
      </c>
      <c r="V260" s="183" t="inlineStr">
        <is>
          <t>Introduce CHISON as a future line through a national MAH partner; ask about their hospital and clinic coverage, service engineers and openness to non Japanese brands.</t>
        </is>
      </c>
      <c r="W260" s="183" t="inlineStr">
        <is>
          <t>N (not identified)</t>
        </is>
      </c>
      <c r="X260" s="186" t="inlineStr">
        <is>
          <t>https://baseconnect.in/companies/prefecture/3420045f-8609-4232-9407-75407ae4e6e8/category/b2358a1c-c4c6-46f4-a0b1-dee3a1b30a0b</t>
        </is>
      </c>
      <c r="Y260" s="183" t="inlineStr">
        <is>
          <t>SonoEye P3 plus SonoAir 30 for GP and clinic accounts</t>
        </is>
      </c>
      <c r="Z260" s="183" t="inlineStr">
        <is>
          <t>2, 2, 3, 2, 3, 2, 3</t>
        </is>
      </c>
      <c r="AA260" s="183" t="inlineStr">
        <is>
          <t>Not found</t>
        </is>
      </c>
      <c r="AB260" s="183" t="inlineStr">
        <is>
          <t>Recheck: no independent confirmation found; directory listing only</t>
        </is>
      </c>
      <c r="AC260" s="183" t="inlineStr">
        <is>
          <t>No expired licence or ended distribution agreement found</t>
        </is>
      </c>
      <c r="AD260" s="183" t="inlineStr">
        <is>
          <t>Not started</t>
        </is>
      </c>
      <c r="AE260" s="183" t="inlineStr"/>
      <c r="AF260" s="183" t="inlineStr"/>
      <c r="AG260" s="183" t="inlineStr">
        <is>
          <t>No email published and no verified website found</t>
        </is>
      </c>
    </row>
    <row r="261">
      <c r="A261" s="183" t="n">
        <v>257</v>
      </c>
      <c r="B261" s="183" t="inlineStr">
        <is>
          <t>Iwabuchi Yakuhin</t>
        </is>
      </c>
      <c r="C261" s="183" t="inlineStr">
        <is>
          <t>岩渕薬品</t>
        </is>
      </c>
      <c r="D261" s="183" t="inlineStr">
        <is>
          <t>Not retrieved (NTA lookup blocked in this session)</t>
        </is>
      </c>
      <c r="E261" s="183" t="inlineStr">
        <is>
          <t>千葉県</t>
        </is>
      </c>
      <c r="F261" s="183" t="inlineStr">
        <is>
          <t>Kanto</t>
        </is>
      </c>
      <c r="G261" s="183" t="inlineStr">
        <is>
          <t>https://www.iwabuchi-net.co.jp/</t>
        </is>
      </c>
      <c r="H261" s="183" t="inlineStr">
        <is>
          <t>No MAH found; device sales licence (高度管理医療機器等販売業) not confirmed</t>
        </is>
      </c>
      <c r="I261" s="183" t="inlineStr">
        <is>
          <t>Not identified in published sources</t>
        </is>
      </c>
      <c r="J261" s="183" t="inlineStr">
        <is>
          <t>Pharma distribution</t>
        </is>
      </c>
      <c r="K261" s="183" t="inlineStr">
        <is>
          <t>千葉県 (regional; branch network not confirmed)</t>
        </is>
      </c>
      <c r="L261" s="183" t="inlineStr">
        <is>
          <t>Not found</t>
        </is>
      </c>
      <c r="M261" s="183" t="inlineStr">
        <is>
          <t>Not identified</t>
        </is>
      </c>
      <c r="N261" s="183" t="inlineStr">
        <is>
          <t>Not identified</t>
        </is>
      </c>
      <c r="O261" s="183" t="inlineStr">
        <is>
          <t>soukei@iwabuchi-net.co.jp</t>
        </is>
      </c>
      <c r="P261" s="183" t="inlineStr">
        <is>
          <t>Not confirmed</t>
        </is>
      </c>
      <c r="Q261" s="183" t="inlineStr">
        <is>
          <t>Not identified</t>
        </is>
      </c>
      <c r="R261" s="184" t="inlineStr">
        <is>
          <t>Unverified</t>
        </is>
      </c>
      <c r="S261" s="183" t="n">
        <v>17</v>
      </c>
      <c r="T261" s="189" t="inlineStr">
        <is>
          <t>C</t>
        </is>
      </c>
      <c r="U261" s="183" t="inlineStr">
        <is>
          <t>Regional general medical equipment dealer with hospital and clinic accounts; candidate sub dealer under a national MAH partner.</t>
        </is>
      </c>
      <c r="V261" s="183" t="inlineStr">
        <is>
          <t>Introduce CHISON as a future line through a national MAH partner; ask about their hospital and clinic coverage, service engineers and openness to non Japanese brands.</t>
        </is>
      </c>
      <c r="W261" s="183" t="inlineStr">
        <is>
          <t>N (not identified)</t>
        </is>
      </c>
      <c r="X261" s="186" t="inlineStr">
        <is>
          <t>https://baseconnect.in/companies/prefecture/3420045f-8609-4232-9407-75407ae4e6e8/category/b2358a1c-c4c6-46f4-a0b1-dee3a1b30a0b</t>
        </is>
      </c>
      <c r="Y261" s="183" t="inlineStr">
        <is>
          <t>SonoEye P3 plus SonoAir 30 for GP and clinic accounts</t>
        </is>
      </c>
      <c r="Z261" s="183" t="inlineStr">
        <is>
          <t>2, 2, 3, 2, 3, 2, 3</t>
        </is>
      </c>
      <c r="AA261" s="183" t="inlineStr">
        <is>
          <t>Not found</t>
        </is>
      </c>
      <c r="AB261" s="183" t="inlineStr">
        <is>
          <t>Directory or search listing; not opened (direct site access blocked)</t>
        </is>
      </c>
      <c r="AC261" s="183" t="inlineStr">
        <is>
          <t>No expired licence or ended distribution agreement found</t>
        </is>
      </c>
      <c r="AD261" s="183" t="inlineStr">
        <is>
          <t>Not started</t>
        </is>
      </c>
      <c r="AE261" s="183" t="inlineStr">
        <is>
          <t>sasaki-s@iwabuchi-net.co.jp, kyujin@iwabuchi-net.co.jp</t>
        </is>
      </c>
      <c r="AF261" s="183" t="inlineStr">
        <is>
          <t>http://www.iwabuchi-net.co.jp/recruit/recruit/</t>
        </is>
      </c>
      <c r="AG261" s="183" t="inlineStr">
        <is>
          <t>Likely: indexed on company domain</t>
        </is>
      </c>
    </row>
    <row r="262">
      <c r="A262" s="183" t="n">
        <v>258</v>
      </c>
      <c r="B262" s="183" t="inlineStr">
        <is>
          <t>Yoshida Iryo Kikai</t>
        </is>
      </c>
      <c r="C262" s="183" t="inlineStr">
        <is>
          <t>吉田医療器械</t>
        </is>
      </c>
      <c r="D262" s="183" t="inlineStr">
        <is>
          <t>Not retrieved (NTA lookup blocked in this session)</t>
        </is>
      </c>
      <c r="E262" s="183" t="inlineStr">
        <is>
          <t>千葉県</t>
        </is>
      </c>
      <c r="F262" s="183" t="inlineStr">
        <is>
          <t>Kanto</t>
        </is>
      </c>
      <c r="G262" s="183" t="inlineStr">
        <is>
          <t>Not confirmed (company site not opened; network policy blocked direct access)</t>
        </is>
      </c>
      <c r="H262" s="183" t="inlineStr">
        <is>
          <t>No MAH found; device sales licence (高度管理医療機器等販売業) not confirmed</t>
        </is>
      </c>
      <c r="I262" s="183" t="inlineStr">
        <is>
          <t>Not identified in published sources</t>
        </is>
      </c>
      <c r="J262" s="183" t="inlineStr">
        <is>
          <t>General medical equipment (hospitals and clinics)</t>
        </is>
      </c>
      <c r="K262" s="183" t="inlineStr">
        <is>
          <t>千葉県 (regional; branch network not confirmed)</t>
        </is>
      </c>
      <c r="L262" s="183" t="inlineStr">
        <is>
          <t>Not found</t>
        </is>
      </c>
      <c r="M262" s="183" t="inlineStr">
        <is>
          <t>Not identified</t>
        </is>
      </c>
      <c r="N262" s="183" t="inlineStr">
        <is>
          <t>Not identified</t>
        </is>
      </c>
      <c r="O262" s="183" t="inlineStr">
        <is>
          <t>Not published; use company inquiry form</t>
        </is>
      </c>
      <c r="P262" s="183" t="inlineStr">
        <is>
          <t>Not confirmed</t>
        </is>
      </c>
      <c r="Q262" s="183" t="inlineStr">
        <is>
          <t>Not identified</t>
        </is>
      </c>
      <c r="R262" s="184" t="inlineStr">
        <is>
          <t>Unverified</t>
        </is>
      </c>
      <c r="S262" s="183" t="n">
        <v>17</v>
      </c>
      <c r="T262" s="189" t="inlineStr">
        <is>
          <t>C</t>
        </is>
      </c>
      <c r="U262" s="183" t="inlineStr">
        <is>
          <t>Regional general medical equipment dealer with hospital and clinic accounts; candidate sub dealer under a national MAH partner.</t>
        </is>
      </c>
      <c r="V262" s="183" t="inlineStr">
        <is>
          <t>Introduce CHISON as a future line through a national MAH partner; ask about their hospital and clinic coverage, service engineers and openness to non Japanese brands.</t>
        </is>
      </c>
      <c r="W262" s="183" t="inlineStr">
        <is>
          <t>N (not identified)</t>
        </is>
      </c>
      <c r="X262" s="186" t="inlineStr">
        <is>
          <t>https://baseconnect.in/companies/prefecture/3420045f-8609-4232-9407-75407ae4e6e8/keyword/89941b4e-2dd1-4848-8957-48af280a31e0</t>
        </is>
      </c>
      <c r="Y262" s="183" t="inlineStr">
        <is>
          <t>SonoEye P3 plus SonoAir 30 for GP and clinic accounts</t>
        </is>
      </c>
      <c r="Z262" s="183" t="inlineStr">
        <is>
          <t>2, 2, 3, 3, 2, 2, 3</t>
        </is>
      </c>
      <c r="AA262" s="183" t="inlineStr">
        <is>
          <t>Not found</t>
        </is>
      </c>
      <c r="AB262" s="183" t="inlineStr">
        <is>
          <t>Directory or search listing; not opened (direct site access blocked)</t>
        </is>
      </c>
      <c r="AC262" s="183" t="inlineStr">
        <is>
          <t>No expired licence or ended distribution agreement found</t>
        </is>
      </c>
      <c r="AD262" s="183" t="inlineStr">
        <is>
          <t>Not started</t>
        </is>
      </c>
      <c r="AE262" s="183" t="inlineStr"/>
      <c r="AF262" s="183" t="inlineStr"/>
      <c r="AG262" s="183" t="inlineStr">
        <is>
          <t>No email published and no verified website found</t>
        </is>
      </c>
    </row>
    <row r="263">
      <c r="A263" s="183" t="n">
        <v>259</v>
      </c>
      <c r="B263" s="183" t="inlineStr">
        <is>
          <t>MMC Center</t>
        </is>
      </c>
      <c r="C263" s="183" t="inlineStr">
        <is>
          <t>エムエムシーセンター</t>
        </is>
      </c>
      <c r="D263" s="183" t="inlineStr">
        <is>
          <t>Not retrieved (NTA lookup blocked in this session)</t>
        </is>
      </c>
      <c r="E263" s="183" t="inlineStr">
        <is>
          <t>千葉県</t>
        </is>
      </c>
      <c r="F263" s="183" t="inlineStr">
        <is>
          <t>Kanto</t>
        </is>
      </c>
      <c r="G263" s="183" t="inlineStr">
        <is>
          <t>Not confirmed (company site not opened; network policy blocked direct access)</t>
        </is>
      </c>
      <c r="H263" s="183" t="inlineStr">
        <is>
          <t>No MAH found; device sales licence (高度管理医療機器等販売業) not confirmed</t>
        </is>
      </c>
      <c r="I263" s="183" t="inlineStr">
        <is>
          <t>Not identified in published sources</t>
        </is>
      </c>
      <c r="J263" s="183" t="inlineStr">
        <is>
          <t>Emergency and disaster</t>
        </is>
      </c>
      <c r="K263" s="183" t="inlineStr">
        <is>
          <t>千葉県 (regional; branch network not confirmed)</t>
        </is>
      </c>
      <c r="L263" s="183" t="inlineStr">
        <is>
          <t>Not found</t>
        </is>
      </c>
      <c r="M263" s="183" t="inlineStr">
        <is>
          <t>Not identified</t>
        </is>
      </c>
      <c r="N263" s="183" t="inlineStr">
        <is>
          <t>Not identified</t>
        </is>
      </c>
      <c r="O263" s="183" t="inlineStr">
        <is>
          <t>Not published; use company inquiry form</t>
        </is>
      </c>
      <c r="P263" s="183" t="inlineStr">
        <is>
          <t>Not confirmed</t>
        </is>
      </c>
      <c r="Q263" s="183" t="inlineStr">
        <is>
          <t>Not identified</t>
        </is>
      </c>
      <c r="R263" s="184" t="inlineStr">
        <is>
          <t>Unverified</t>
        </is>
      </c>
      <c r="S263" s="183" t="n">
        <v>17</v>
      </c>
      <c r="T263" s="189" t="inlineStr">
        <is>
          <t>C</t>
        </is>
      </c>
      <c r="U263" s="183" t="inlineStr">
        <is>
          <t>Regional general medical equipment dealer with hospital and clinic accounts; candidate sub dealer under a national MAH partner.</t>
        </is>
      </c>
      <c r="V263" s="183" t="inlineStr">
        <is>
          <t>Introduce CHISON as a future line through a national MAH partner; ask about their hospital and clinic coverage, service engineers and openness to non Japanese brands.</t>
        </is>
      </c>
      <c r="W263" s="183" t="inlineStr">
        <is>
          <t>N (not identified)</t>
        </is>
      </c>
      <c r="X263" s="186" t="inlineStr">
        <is>
          <t>https://baseconnect.in/companies/prefecture/3420045f-8609-4232-9407-75407ae4e6e8/keyword/89941b4e-2dd1-4848-8957-48af280a31e0</t>
        </is>
      </c>
      <c r="Y263" s="183" t="inlineStr">
        <is>
          <t>SonoEye P3 for FAST, lung and vascular access (POCUS)</t>
        </is>
      </c>
      <c r="Z263" s="183" t="inlineStr">
        <is>
          <t>2, 2, 3, 2, 3, 2, 3</t>
        </is>
      </c>
      <c r="AA263" s="183" t="inlineStr">
        <is>
          <t>Not found</t>
        </is>
      </c>
      <c r="AB263" s="183" t="inlineStr">
        <is>
          <t>Directory or search listing; not opened (direct site access blocked)</t>
        </is>
      </c>
      <c r="AC263" s="183" t="inlineStr">
        <is>
          <t>No expired licence or ended distribution agreement found</t>
        </is>
      </c>
      <c r="AD263" s="183" t="inlineStr">
        <is>
          <t>Not started</t>
        </is>
      </c>
      <c r="AE263" s="183" t="inlineStr"/>
      <c r="AF263" s="183" t="inlineStr"/>
      <c r="AG263" s="183" t="inlineStr">
        <is>
          <t>No email published and no verified website found</t>
        </is>
      </c>
    </row>
    <row r="264">
      <c r="A264" s="183" t="n">
        <v>260</v>
      </c>
      <c r="B264" s="183" t="inlineStr">
        <is>
          <t>4S Medical</t>
        </is>
      </c>
      <c r="C264" s="183" t="inlineStr">
        <is>
          <t>フォーエスメディカル</t>
        </is>
      </c>
      <c r="D264" s="183" t="inlineStr">
        <is>
          <t>Not retrieved (NTA lookup blocked in this session)</t>
        </is>
      </c>
      <c r="E264" s="183" t="inlineStr">
        <is>
          <t>千葉県</t>
        </is>
      </c>
      <c r="F264" s="183" t="inlineStr">
        <is>
          <t>Kanto</t>
        </is>
      </c>
      <c r="G264" s="183" t="inlineStr">
        <is>
          <t>https://www.4sm.co.jp/</t>
        </is>
      </c>
      <c r="H264" s="183" t="inlineStr">
        <is>
          <t>No MAH found; device sales licence (高度管理医療機器等販売業) not confirmed</t>
        </is>
      </c>
      <c r="I264" s="183" t="inlineStr">
        <is>
          <t>Not identified in published sources</t>
        </is>
      </c>
      <c r="J264" s="183" t="inlineStr">
        <is>
          <t>Emergency and disaster, Orthopaedics and rehab</t>
        </is>
      </c>
      <c r="K264" s="183" t="inlineStr">
        <is>
          <t>千葉県 (regional; branch network not confirmed)</t>
        </is>
      </c>
      <c r="L264" s="183" t="inlineStr">
        <is>
          <t>Not found</t>
        </is>
      </c>
      <c r="M264" s="183" t="inlineStr">
        <is>
          <t>Not identified</t>
        </is>
      </c>
      <c r="N264" s="183" t="inlineStr">
        <is>
          <t>Not identified</t>
        </is>
      </c>
      <c r="O264" s="183" t="inlineStr">
        <is>
          <t>Not published; use company inquiry form</t>
        </is>
      </c>
      <c r="P264" s="183" t="inlineStr">
        <is>
          <t>Not confirmed</t>
        </is>
      </c>
      <c r="Q264" s="183" t="inlineStr">
        <is>
          <t>Not identified</t>
        </is>
      </c>
      <c r="R264" s="184" t="inlineStr">
        <is>
          <t>Company inquiry only</t>
        </is>
      </c>
      <c r="S264" s="183" t="n">
        <v>17</v>
      </c>
      <c r="T264" s="189" t="inlineStr">
        <is>
          <t>C</t>
        </is>
      </c>
      <c r="U264" s="183" t="inlineStr">
        <is>
          <t>Regional general medical equipment dealer with hospital and clinic accounts; candidate sub dealer under a national MAH partner.</t>
        </is>
      </c>
      <c r="V264" s="183" t="inlineStr">
        <is>
          <t>Introduce CHISON as a future line through a national MAH partner; ask about their hospital and clinic coverage, service engineers and openness to non Japanese brands.</t>
        </is>
      </c>
      <c r="W264" s="183" t="inlineStr">
        <is>
          <t>N (not identified)</t>
        </is>
      </c>
      <c r="X264" s="186" t="inlineStr">
        <is>
          <t>https://baseconnect.in/companies/prefecture/3420045f-8609-4232-9407-75407ae4e6e8/keyword/89941b4e-2dd1-4848-8957-48af280a31e0</t>
        </is>
      </c>
      <c r="Y264" s="183" t="inlineStr">
        <is>
          <t>SonoEye P3 for FAST, lung and vascular access (POCUS)</t>
        </is>
      </c>
      <c r="Z264" s="183" t="inlineStr">
        <is>
          <t>2, 2, 3, 2, 3, 2, 3</t>
        </is>
      </c>
      <c r="AA264" s="183" t="inlineStr">
        <is>
          <t>Not found</t>
        </is>
      </c>
      <c r="AB264" s="183" t="inlineStr">
        <is>
          <t>Directory or search listing; not opened (direct site access blocked)</t>
        </is>
      </c>
      <c r="AC264" s="183" t="inlineStr">
        <is>
          <t>No expired licence or ended distribution agreement found</t>
        </is>
      </c>
      <c r="AD264" s="183" t="inlineStr">
        <is>
          <t>Not started</t>
        </is>
      </c>
      <c r="AE264" s="183" t="inlineStr"/>
      <c r="AF264" s="183" t="inlineStr"/>
      <c r="AG264" s="183" t="inlineStr">
        <is>
          <t>No email published; website has no contact page link, phone first</t>
        </is>
      </c>
    </row>
    <row r="265">
      <c r="A265" s="183" t="n">
        <v>261</v>
      </c>
      <c r="B265" s="183" t="inlineStr">
        <is>
          <t>Arkpal</t>
        </is>
      </c>
      <c r="C265" s="183" t="inlineStr">
        <is>
          <t>アークパル</t>
        </is>
      </c>
      <c r="D265" s="183" t="inlineStr">
        <is>
          <t>Not retrieved (NTA lookup blocked in this session)</t>
        </is>
      </c>
      <c r="E265" s="183" t="inlineStr">
        <is>
          <t>千葉県</t>
        </is>
      </c>
      <c r="F265" s="183" t="inlineStr">
        <is>
          <t>Kanto</t>
        </is>
      </c>
      <c r="G265" s="183" t="inlineStr">
        <is>
          <t>http://arcpal.com/</t>
        </is>
      </c>
      <c r="H265" s="183" t="inlineStr">
        <is>
          <t>No MAH found; device sales licence (高度管理医療機器等販売業) not confirmed</t>
        </is>
      </c>
      <c r="I265" s="183" t="inlineStr">
        <is>
          <t>Not identified in published sources</t>
        </is>
      </c>
      <c r="J265" s="183" t="inlineStr">
        <is>
          <t>Dialysis</t>
        </is>
      </c>
      <c r="K265" s="183" t="inlineStr">
        <is>
          <t>千葉県 (regional; branch network not confirmed)</t>
        </is>
      </c>
      <c r="L265" s="183" t="inlineStr">
        <is>
          <t>Not found</t>
        </is>
      </c>
      <c r="M265" s="183" t="inlineStr">
        <is>
          <t>Not identified</t>
        </is>
      </c>
      <c r="N265" s="183" t="inlineStr">
        <is>
          <t>Not identified</t>
        </is>
      </c>
      <c r="O265" s="183" t="inlineStr">
        <is>
          <t>Not published; use contact form</t>
        </is>
      </c>
      <c r="P265" s="183" t="inlineStr">
        <is>
          <t>Not confirmed</t>
        </is>
      </c>
      <c r="Q265" s="183" t="inlineStr">
        <is>
          <t>Not identified</t>
        </is>
      </c>
      <c r="R265" s="184" t="inlineStr">
        <is>
          <t>Likely</t>
        </is>
      </c>
      <c r="S265" s="183" t="n">
        <v>17</v>
      </c>
      <c r="T265" s="189" t="inlineStr">
        <is>
          <t>C</t>
        </is>
      </c>
      <c r="U265" s="183" t="inlineStr">
        <is>
          <t>Regional general medical equipment dealer with hospital and clinic accounts; candidate sub dealer under a national MAH partner.</t>
        </is>
      </c>
      <c r="V265" s="183" t="inlineStr">
        <is>
          <t>Introduce CHISON as a future line through a national MAH partner; ask about their hospital and clinic coverage, service engineers and openness to non Japanese brands.</t>
        </is>
      </c>
      <c r="W265" s="183" t="inlineStr">
        <is>
          <t>N (not identified)</t>
        </is>
      </c>
      <c r="X265" s="186" t="inlineStr">
        <is>
          <t>https://baseconnect.in/companies/prefecture/3420045f-8609-4232-9407-75407ae4e6e8/keyword/89941b4e-2dd1-4848-8957-48af280a31e0</t>
        </is>
      </c>
      <c r="Y265" s="183" t="inlineStr">
        <is>
          <t>SonoEye P3 for AV fistula and vascular access checks</t>
        </is>
      </c>
      <c r="Z265" s="183" t="inlineStr">
        <is>
          <t>2, 2, 3, 2, 3, 2, 3</t>
        </is>
      </c>
      <c r="AA265" s="183" t="inlineStr">
        <is>
          <t>Not found</t>
        </is>
      </c>
      <c r="AB265" s="183" t="inlineStr">
        <is>
          <t>Directory or search listing; not opened (direct site access blocked)</t>
        </is>
      </c>
      <c r="AC265" s="183" t="inlineStr">
        <is>
          <t>No expired licence or ended distribution agreement found</t>
        </is>
      </c>
      <c r="AD265" s="183" t="inlineStr">
        <is>
          <t>Not started</t>
        </is>
      </c>
      <c r="AE265" s="183" t="inlineStr"/>
      <c r="AF265" s="183" t="inlineStr">
        <is>
          <t>http://arcpal.com/contact/</t>
        </is>
      </c>
      <c r="AG265" s="183" t="inlineStr">
        <is>
          <t>No email published; use the contact form (link in Email source)</t>
        </is>
      </c>
    </row>
    <row r="266">
      <c r="A266" s="183" t="n">
        <v>262</v>
      </c>
      <c r="B266" s="183" t="inlineStr">
        <is>
          <t>Cycrest</t>
        </is>
      </c>
      <c r="C266" s="183" t="inlineStr">
        <is>
          <t>サイクレスト</t>
        </is>
      </c>
      <c r="D266" s="183" t="inlineStr">
        <is>
          <t>Not retrieved (NTA lookup blocked in this session)</t>
        </is>
      </c>
      <c r="E266" s="183" t="inlineStr">
        <is>
          <t>埼玉県</t>
        </is>
      </c>
      <c r="F266" s="183" t="inlineStr">
        <is>
          <t>Kanto</t>
        </is>
      </c>
      <c r="G266" s="183" t="inlineStr">
        <is>
          <t>Not confirmed (company site not opened; network policy blocked direct access)</t>
        </is>
      </c>
      <c r="H266" s="183" t="inlineStr">
        <is>
          <t>No MAH found; device sales licence (高度管理医療機器等販売業) not confirmed</t>
        </is>
      </c>
      <c r="I266" s="183" t="inlineStr">
        <is>
          <t>Not identified in published sources</t>
        </is>
      </c>
      <c r="J266" s="183" t="inlineStr">
        <is>
          <t>General medical equipment (hospitals and clinics)</t>
        </is>
      </c>
      <c r="K266" s="183" t="inlineStr">
        <is>
          <t>埼玉県 (regional; branch network not confirmed)</t>
        </is>
      </c>
      <c r="L266" s="183" t="inlineStr">
        <is>
          <t>Not found</t>
        </is>
      </c>
      <c r="M266" s="183" t="inlineStr">
        <is>
          <t>Not identified</t>
        </is>
      </c>
      <c r="N266" s="183" t="inlineStr">
        <is>
          <t>Not identified</t>
        </is>
      </c>
      <c r="O266" s="183" t="inlineStr">
        <is>
          <t>Not published; use company inquiry form</t>
        </is>
      </c>
      <c r="P266" s="183" t="inlineStr">
        <is>
          <t>Not confirmed</t>
        </is>
      </c>
      <c r="Q266" s="183" t="inlineStr">
        <is>
          <t>Not identified</t>
        </is>
      </c>
      <c r="R266" s="184" t="inlineStr">
        <is>
          <t>Unverified</t>
        </is>
      </c>
      <c r="S266" s="183" t="n">
        <v>17</v>
      </c>
      <c r="T266" s="189" t="inlineStr">
        <is>
          <t>C</t>
        </is>
      </c>
      <c r="U266" s="183" t="inlineStr">
        <is>
          <t>Regional general medical equipment dealer with hospital and clinic accounts; candidate sub dealer under a national MAH partner.</t>
        </is>
      </c>
      <c r="V266" s="183" t="inlineStr">
        <is>
          <t>Introduce CHISON as a future line through a national MAH partner; ask about their hospital and clinic coverage, service engineers and openness to non Japanese brands.</t>
        </is>
      </c>
      <c r="W266" s="183" t="inlineStr">
        <is>
          <t>N (not identified)</t>
        </is>
      </c>
      <c r="X266" s="186" t="inlineStr">
        <is>
          <t>https://baseconnect.in/companies/prefecture/5b2e6d00-cfba-4d0b-850d-54757e4b4d7f/keyword/89941b4e-2dd1-4848-8957-48af280a31e0</t>
        </is>
      </c>
      <c r="Y266" s="183" t="inlineStr">
        <is>
          <t>SonoEye P3 plus SonoAir 30 for GP and clinic accounts</t>
        </is>
      </c>
      <c r="Z266" s="183" t="inlineStr">
        <is>
          <t>2, 2, 3, 2, 3, 2, 3</t>
        </is>
      </c>
      <c r="AA266" s="183" t="inlineStr">
        <is>
          <t>Not found</t>
        </is>
      </c>
      <c r="AB266" s="183" t="inlineStr">
        <is>
          <t>Directory or search listing; not opened (direct site access blocked)</t>
        </is>
      </c>
      <c r="AC266" s="183" t="inlineStr">
        <is>
          <t>No expired licence or ended distribution agreement found</t>
        </is>
      </c>
      <c r="AD266" s="183" t="inlineStr">
        <is>
          <t>Not started</t>
        </is>
      </c>
      <c r="AE266" s="183" t="inlineStr"/>
      <c r="AF266" s="183" t="inlineStr"/>
      <c r="AG266" s="183" t="inlineStr">
        <is>
          <t>No email published and no verified website found</t>
        </is>
      </c>
    </row>
    <row r="267">
      <c r="A267" s="183" t="n">
        <v>263</v>
      </c>
      <c r="B267" s="183" t="inlineStr">
        <is>
          <t>Nissei Medical</t>
        </is>
      </c>
      <c r="C267" s="183" t="inlineStr">
        <is>
          <t>日成メディカル</t>
        </is>
      </c>
      <c r="D267" s="183" t="inlineStr">
        <is>
          <t>Not retrieved (NTA lookup blocked in this session)</t>
        </is>
      </c>
      <c r="E267" s="183" t="inlineStr">
        <is>
          <t>栃木県</t>
        </is>
      </c>
      <c r="F267" s="183" t="inlineStr">
        <is>
          <t>Kanto</t>
        </is>
      </c>
      <c r="G267" s="183" t="inlineStr">
        <is>
          <t>https://www.nissei-m.co.jp/</t>
        </is>
      </c>
      <c r="H267" s="183" t="inlineStr">
        <is>
          <t>No MAH found; device sales licence (高度管理医療機器等販売業) not confirmed</t>
        </is>
      </c>
      <c r="I267" s="183" t="inlineStr">
        <is>
          <t>Not identified in published sources</t>
        </is>
      </c>
      <c r="J267" s="183" t="inlineStr">
        <is>
          <t>Dialysis</t>
        </is>
      </c>
      <c r="K267" s="183" t="inlineStr">
        <is>
          <t>栃木県 (regional; branch network not confirmed)</t>
        </is>
      </c>
      <c r="L267" s="183" t="inlineStr">
        <is>
          <t>Not found</t>
        </is>
      </c>
      <c r="M267" s="183" t="inlineStr">
        <is>
          <t>Not identified</t>
        </is>
      </c>
      <c r="N267" s="183" t="inlineStr">
        <is>
          <t>Not identified</t>
        </is>
      </c>
      <c r="O267" s="183" t="inlineStr">
        <is>
          <t>keieikanri@nissei-m.co.jp</t>
        </is>
      </c>
      <c r="P267" s="183" t="inlineStr">
        <is>
          <t>Not confirmed</t>
        </is>
      </c>
      <c r="Q267" s="183" t="inlineStr">
        <is>
          <t>Not identified</t>
        </is>
      </c>
      <c r="R267" s="184" t="inlineStr">
        <is>
          <t>Unverified</t>
        </is>
      </c>
      <c r="S267" s="183" t="n">
        <v>17</v>
      </c>
      <c r="T267" s="189" t="inlineStr">
        <is>
          <t>C</t>
        </is>
      </c>
      <c r="U267" s="183" t="inlineStr">
        <is>
          <t>Regional general medical equipment dealer with hospital and clinic accounts; candidate sub dealer under a national MAH partner.</t>
        </is>
      </c>
      <c r="V267" s="183" t="inlineStr">
        <is>
          <t>Introduce CHISON as a future line through a national MAH partner; ask about their hospital and clinic coverage, service engineers and openness to non Japanese brands.</t>
        </is>
      </c>
      <c r="W267" s="183" t="inlineStr">
        <is>
          <t>N (not identified)</t>
        </is>
      </c>
      <c r="X267" s="186" t="inlineStr">
        <is>
          <t>https://baseconnect.in/companies/prefecture/5d54c878-c20d-4f57-bb73-e021f2210d6c/keyword/14f3dcec-9cd5-4be5-84e1-ddccb7bd228c</t>
        </is>
      </c>
      <c r="Y267" s="183" t="inlineStr">
        <is>
          <t>SonoEye P3 for AV fistula and vascular access checks</t>
        </is>
      </c>
      <c r="Z267" s="183" t="inlineStr">
        <is>
          <t>2, 2, 3, 2, 3, 2, 3</t>
        </is>
      </c>
      <c r="AA267" s="183" t="inlineStr">
        <is>
          <t>Not found</t>
        </is>
      </c>
      <c r="AB267" s="183" t="inlineStr">
        <is>
          <t>Directory or search listing; not opened (direct site access blocked)</t>
        </is>
      </c>
      <c r="AC267" s="183" t="inlineStr">
        <is>
          <t>No expired licence or ended distribution agreement found</t>
        </is>
      </c>
      <c r="AD267" s="183" t="inlineStr">
        <is>
          <t>Not started</t>
        </is>
      </c>
      <c r="AE267" s="183" t="inlineStr"/>
      <c r="AF267" s="183" t="inlineStr">
        <is>
          <t>https://www.nissei-m.co.jp/</t>
        </is>
      </c>
      <c r="AG267" s="183" t="inlineStr">
        <is>
          <t>Verified: published on company website</t>
        </is>
      </c>
    </row>
    <row r="268">
      <c r="A268" s="183" t="n">
        <v>264</v>
      </c>
      <c r="B268" s="183" t="inlineStr">
        <is>
          <t>Gemco</t>
        </is>
      </c>
      <c r="C268" s="183" t="inlineStr">
        <is>
          <t>ジェムコ</t>
        </is>
      </c>
      <c r="D268" s="183" t="inlineStr">
        <is>
          <t>Not retrieved (NTA lookup blocked in this session)</t>
        </is>
      </c>
      <c r="E268" s="183" t="inlineStr">
        <is>
          <t>群馬県</t>
        </is>
      </c>
      <c r="F268" s="183" t="inlineStr">
        <is>
          <t>Kanto</t>
        </is>
      </c>
      <c r="G268" s="183" t="inlineStr">
        <is>
          <t>https://gemco.jp/</t>
        </is>
      </c>
      <c r="H268" s="183" t="inlineStr">
        <is>
          <t>No MAH found; device sales licence (高度管理医療機器等販売業) not confirmed</t>
        </is>
      </c>
      <c r="I268" s="183" t="inlineStr">
        <is>
          <t>Not identified in published sources</t>
        </is>
      </c>
      <c r="J268" s="183" t="inlineStr">
        <is>
          <t>Emergency and disaster</t>
        </is>
      </c>
      <c r="K268" s="183" t="inlineStr">
        <is>
          <t>群馬県 (regional; branch network not confirmed)</t>
        </is>
      </c>
      <c r="L268" s="183" t="inlineStr">
        <is>
          <t>Not found</t>
        </is>
      </c>
      <c r="M268" s="183" t="inlineStr">
        <is>
          <t>Not identified</t>
        </is>
      </c>
      <c r="N268" s="183" t="inlineStr">
        <is>
          <t>Not identified</t>
        </is>
      </c>
      <c r="O268" s="183" t="inlineStr">
        <is>
          <t>Not published; use company inquiry form</t>
        </is>
      </c>
      <c r="P268" s="183" t="inlineStr">
        <is>
          <t>Not confirmed</t>
        </is>
      </c>
      <c r="Q268" s="183" t="inlineStr">
        <is>
          <t>Not identified</t>
        </is>
      </c>
      <c r="R268" s="184" t="inlineStr">
        <is>
          <t>Company inquiry only</t>
        </is>
      </c>
      <c r="S268" s="183" t="n">
        <v>17</v>
      </c>
      <c r="T268" s="189" t="inlineStr">
        <is>
          <t>C</t>
        </is>
      </c>
      <c r="U268" s="183" t="inlineStr">
        <is>
          <t>Regional general medical equipment dealer with hospital and clinic accounts; candidate sub dealer under a national MAH partner.</t>
        </is>
      </c>
      <c r="V268" s="183" t="inlineStr">
        <is>
          <t>Introduce CHISON as a future line through a national MAH partner; ask about their hospital and clinic coverage, service engineers and openness to non Japanese brands.</t>
        </is>
      </c>
      <c r="W268" s="183" t="inlineStr">
        <is>
          <t>N (not identified)</t>
        </is>
      </c>
      <c r="X268" s="186" t="inlineStr">
        <is>
          <t>https://baseconnect.in/companies/prefecture/c59cfe5b-871c-44d1-8594-96d4a5882e4b/keyword/89941b4e-2dd1-4848-8957-48af280a31e0</t>
        </is>
      </c>
      <c r="Y268" s="183" t="inlineStr">
        <is>
          <t>SonoEye P3 for FAST, lung and vascular access (POCUS)</t>
        </is>
      </c>
      <c r="Z268" s="183" t="inlineStr">
        <is>
          <t>2, 2, 3, 2, 3, 2, 3</t>
        </is>
      </c>
      <c r="AA268" s="183" t="inlineStr">
        <is>
          <t>Not found</t>
        </is>
      </c>
      <c r="AB268" s="183" t="inlineStr">
        <is>
          <t>Directory or search listing; not opened (direct site access blocked)</t>
        </is>
      </c>
      <c r="AC268" s="183" t="inlineStr">
        <is>
          <t>No expired licence or ended distribution agreement found</t>
        </is>
      </c>
      <c r="AD268" s="183" t="inlineStr">
        <is>
          <t>Not started</t>
        </is>
      </c>
      <c r="AE268" s="183" t="inlineStr"/>
      <c r="AF268" s="183" t="inlineStr"/>
      <c r="AG268" s="183" t="inlineStr">
        <is>
          <t>No email published; website has no contact page link, phone first</t>
        </is>
      </c>
    </row>
    <row r="269">
      <c r="A269" s="183" t="n">
        <v>265</v>
      </c>
      <c r="B269" s="183" t="inlineStr">
        <is>
          <t>Maebashi Medical</t>
        </is>
      </c>
      <c r="C269" s="183" t="inlineStr">
        <is>
          <t>前橋メディカル</t>
        </is>
      </c>
      <c r="D269" s="183" t="inlineStr">
        <is>
          <t>Not retrieved (NTA lookup blocked in this session)</t>
        </is>
      </c>
      <c r="E269" s="183" t="inlineStr">
        <is>
          <t>群馬県</t>
        </is>
      </c>
      <c r="F269" s="183" t="inlineStr">
        <is>
          <t>Kanto</t>
        </is>
      </c>
      <c r="G269" s="183" t="inlineStr">
        <is>
          <t>Not confirmed (company site not opened; network policy blocked direct access)</t>
        </is>
      </c>
      <c r="H269" s="183" t="inlineStr">
        <is>
          <t>No MAH found; device sales licence (高度管理医療機器等販売業) not confirmed</t>
        </is>
      </c>
      <c r="I269" s="183" t="inlineStr">
        <is>
          <t>Not identified in published sources</t>
        </is>
      </c>
      <c r="J269" s="183" t="inlineStr">
        <is>
          <t>General medical equipment (hospitals and clinics)</t>
        </is>
      </c>
      <c r="K269" s="183" t="inlineStr">
        <is>
          <t>群馬県 (regional; branch network not confirmed)</t>
        </is>
      </c>
      <c r="L269" s="183" t="inlineStr">
        <is>
          <t>Not found</t>
        </is>
      </c>
      <c r="M269" s="183" t="inlineStr">
        <is>
          <t>Not identified</t>
        </is>
      </c>
      <c r="N269" s="183" t="inlineStr">
        <is>
          <t>Not identified</t>
        </is>
      </c>
      <c r="O269" s="183" t="inlineStr">
        <is>
          <t>Not published; use company inquiry form</t>
        </is>
      </c>
      <c r="P269" s="183" t="inlineStr">
        <is>
          <t>Not confirmed</t>
        </is>
      </c>
      <c r="Q269" s="183" t="inlineStr">
        <is>
          <t>Not identified</t>
        </is>
      </c>
      <c r="R269" s="184" t="inlineStr">
        <is>
          <t>Unverified</t>
        </is>
      </c>
      <c r="S269" s="183" t="n">
        <v>17</v>
      </c>
      <c r="T269" s="189" t="inlineStr">
        <is>
          <t>C</t>
        </is>
      </c>
      <c r="U269" s="183" t="inlineStr">
        <is>
          <t>Regional general medical equipment dealer with hospital and clinic accounts; candidate sub dealer under a national MAH partner.</t>
        </is>
      </c>
      <c r="V269" s="183" t="inlineStr">
        <is>
          <t>Introduce CHISON as a future line through a national MAH partner; ask about their hospital and clinic coverage, service engineers and openness to non Japanese brands.</t>
        </is>
      </c>
      <c r="W269" s="183" t="inlineStr">
        <is>
          <t>N (not identified)</t>
        </is>
      </c>
      <c r="X269" s="186" t="inlineStr">
        <is>
          <t>https://baseconnect.in/companies/prefecture/c59cfe5b-871c-44d1-8594-96d4a5882e4b/keyword/89941b4e-2dd1-4848-8957-48af280a31e0</t>
        </is>
      </c>
      <c r="Y269" s="183" t="inlineStr">
        <is>
          <t>SonoEye P3 plus SonoAir 30 for GP and clinic accounts</t>
        </is>
      </c>
      <c r="Z269" s="183" t="inlineStr">
        <is>
          <t>2, 2, 3, 2, 3, 2, 3</t>
        </is>
      </c>
      <c r="AA269" s="183" t="inlineStr">
        <is>
          <t>Not found</t>
        </is>
      </c>
      <c r="AB269" s="183" t="inlineStr">
        <is>
          <t>Directory or search listing; not opened (direct site access blocked)</t>
        </is>
      </c>
      <c r="AC269" s="183" t="inlineStr">
        <is>
          <t>No expired licence or ended distribution agreement found</t>
        </is>
      </c>
      <c r="AD269" s="183" t="inlineStr">
        <is>
          <t>Not started</t>
        </is>
      </c>
      <c r="AE269" s="183" t="inlineStr"/>
      <c r="AF269" s="183" t="inlineStr"/>
      <c r="AG269" s="183" t="inlineStr">
        <is>
          <t>No email published and no verified website found</t>
        </is>
      </c>
    </row>
    <row r="270">
      <c r="A270" s="183" t="n">
        <v>266</v>
      </c>
      <c r="B270" s="183" t="inlineStr">
        <is>
          <t>GMP Japan</t>
        </is>
      </c>
      <c r="C270" s="183" t="inlineStr">
        <is>
          <t>ジーエムピージャパン</t>
        </is>
      </c>
      <c r="D270" s="183" t="inlineStr">
        <is>
          <t>Not retrieved (NTA lookup blocked in this session)</t>
        </is>
      </c>
      <c r="E270" s="183" t="inlineStr">
        <is>
          <t>群馬県</t>
        </is>
      </c>
      <c r="F270" s="183" t="inlineStr">
        <is>
          <t>Kanto</t>
        </is>
      </c>
      <c r="G270" s="183" t="inlineStr">
        <is>
          <t>https://www.gmp-japan.com/</t>
        </is>
      </c>
      <c r="H270" s="183" t="inlineStr">
        <is>
          <t>No MAH found; device sales licence (高度管理医療機器等販売業) not confirmed</t>
        </is>
      </c>
      <c r="I270" s="183" t="inlineStr">
        <is>
          <t>Not identified in published sources</t>
        </is>
      </c>
      <c r="J270" s="183" t="inlineStr">
        <is>
          <t>General medical equipment (hospitals and clinics)</t>
        </is>
      </c>
      <c r="K270" s="183" t="inlineStr">
        <is>
          <t>群馬県 (regional; branch network not confirmed)</t>
        </is>
      </c>
      <c r="L270" s="183" t="inlineStr">
        <is>
          <t>Not found</t>
        </is>
      </c>
      <c r="M270" s="183" t="inlineStr">
        <is>
          <t>Not identified</t>
        </is>
      </c>
      <c r="N270" s="183" t="inlineStr">
        <is>
          <t>Not identified</t>
        </is>
      </c>
      <c r="O270" s="183" t="inlineStr">
        <is>
          <t>Not published; use contact form</t>
        </is>
      </c>
      <c r="P270" s="183" t="inlineStr">
        <is>
          <t>Not confirmed</t>
        </is>
      </c>
      <c r="Q270" s="183" t="inlineStr">
        <is>
          <t>Not identified</t>
        </is>
      </c>
      <c r="R270" s="184" t="inlineStr">
        <is>
          <t>Likely</t>
        </is>
      </c>
      <c r="S270" s="183" t="n">
        <v>17</v>
      </c>
      <c r="T270" s="189" t="inlineStr">
        <is>
          <t>C</t>
        </is>
      </c>
      <c r="U270" s="183" t="inlineStr">
        <is>
          <t>Regional general medical equipment dealer with hospital and clinic accounts; candidate sub dealer under a national MAH partner.</t>
        </is>
      </c>
      <c r="V270" s="183" t="inlineStr">
        <is>
          <t>Introduce CHISON as a future line through a national MAH partner; ask about their hospital and clinic coverage, service engineers and openness to non Japanese brands.</t>
        </is>
      </c>
      <c r="W270" s="183" t="inlineStr">
        <is>
          <t>N (not identified)</t>
        </is>
      </c>
      <c r="X270" s="186" t="inlineStr">
        <is>
          <t>https://biz-maps.com/s/cities/102016/m-inds/352</t>
        </is>
      </c>
      <c r="Y270" s="183" t="inlineStr">
        <is>
          <t>SonoEye P3 plus SonoAir 30 for GP and clinic accounts</t>
        </is>
      </c>
      <c r="Z270" s="183" t="inlineStr">
        <is>
          <t>2, 2, 3, 2, 3, 2, 3</t>
        </is>
      </c>
      <c r="AA270" s="183" t="inlineStr">
        <is>
          <t>Not found</t>
        </is>
      </c>
      <c r="AB270" s="183" t="inlineStr">
        <is>
          <t>Directory or search listing; not opened (direct site access blocked)</t>
        </is>
      </c>
      <c r="AC270" s="183" t="inlineStr">
        <is>
          <t>No expired licence or ended distribution agreement found</t>
        </is>
      </c>
      <c r="AD270" s="183" t="inlineStr">
        <is>
          <t>Not started</t>
        </is>
      </c>
      <c r="AE270" s="183" t="inlineStr"/>
      <c r="AF270" s="183" t="inlineStr">
        <is>
          <t>https://www.gmp-japan.com/contact</t>
        </is>
      </c>
      <c r="AG270" s="183" t="inlineStr">
        <is>
          <t>No email published; use the contact form (link in Email source)</t>
        </is>
      </c>
    </row>
    <row r="271">
      <c r="A271" s="183" t="n">
        <v>267</v>
      </c>
      <c r="B271" s="183" t="inlineStr">
        <is>
          <t>Aslo Medical</t>
        </is>
      </c>
      <c r="C271" s="183" t="inlineStr">
        <is>
          <t>アスロメディカル</t>
        </is>
      </c>
      <c r="D271" s="183" t="inlineStr">
        <is>
          <t>Not retrieved (NTA lookup blocked in this session)</t>
        </is>
      </c>
      <c r="E271" s="183" t="inlineStr">
        <is>
          <t>茨城県</t>
        </is>
      </c>
      <c r="F271" s="183" t="inlineStr">
        <is>
          <t>Kanto</t>
        </is>
      </c>
      <c r="G271" s="183" t="inlineStr">
        <is>
          <t>https://www.asromed.co.jp/</t>
        </is>
      </c>
      <c r="H271" s="183" t="inlineStr">
        <is>
          <t>No MAH found; device sales licence (高度管理医療機器等販売業) not confirmed</t>
        </is>
      </c>
      <c r="I271" s="183" t="inlineStr">
        <is>
          <t>Not identified in published sources</t>
        </is>
      </c>
      <c r="J271" s="183" t="inlineStr">
        <is>
          <t>Emergency and disaster, Orthopaedics and rehab, Surgery and OR</t>
        </is>
      </c>
      <c r="K271" s="183" t="inlineStr">
        <is>
          <t>茨城県 (regional; branch network not confirmed)</t>
        </is>
      </c>
      <c r="L271" s="183" t="inlineStr">
        <is>
          <t>Not found</t>
        </is>
      </c>
      <c r="M271" s="183" t="inlineStr">
        <is>
          <t>Not identified</t>
        </is>
      </c>
      <c r="N271" s="183" t="inlineStr">
        <is>
          <t>Not identified</t>
        </is>
      </c>
      <c r="O271" s="183" t="inlineStr">
        <is>
          <t>Not published; use contact form</t>
        </is>
      </c>
      <c r="P271" s="183" t="inlineStr">
        <is>
          <t>Not confirmed</t>
        </is>
      </c>
      <c r="Q271" s="183" t="inlineStr">
        <is>
          <t>Not identified</t>
        </is>
      </c>
      <c r="R271" s="184" t="inlineStr">
        <is>
          <t>Likely</t>
        </is>
      </c>
      <c r="S271" s="183" t="n">
        <v>17</v>
      </c>
      <c r="T271" s="189" t="inlineStr">
        <is>
          <t>C</t>
        </is>
      </c>
      <c r="U271" s="183" t="inlineStr">
        <is>
          <t>Adjacent hospital department line (no ultrasound found), which is the best recruit profile for a point of care line.</t>
        </is>
      </c>
      <c r="V271" s="183" t="inlineStr">
        <is>
          <t>Introduce CHISON as a future line through a national MAH partner; ask about their hospital and clinic coverage, service engineers and openness to non Japanese brands.</t>
        </is>
      </c>
      <c r="W271" s="183" t="inlineStr">
        <is>
          <t>N (not identified)</t>
        </is>
      </c>
      <c r="X271" s="186" t="inlineStr">
        <is>
          <t>https://baseconnect.in/companies/prefecture/d8203dea-91e2-41c3-a785-b80aa997273c/category/b2358a1c-c4c6-46f4-a0b1-dee3a1b30a0b</t>
        </is>
      </c>
      <c r="Y271" s="183" t="inlineStr">
        <is>
          <t>SonoTouch plus SonoEye P3 (nerve block, vascular access, peri operative)</t>
        </is>
      </c>
      <c r="Z271" s="183" t="inlineStr">
        <is>
          <t>2, 2, 3, 2, 3, 2, 3</t>
        </is>
      </c>
      <c r="AA271" s="183" t="inlineStr">
        <is>
          <t>Not found</t>
        </is>
      </c>
      <c r="AB271" s="183" t="inlineStr">
        <is>
          <t>Directory or search listing; not opened (direct site access blocked)</t>
        </is>
      </c>
      <c r="AC271" s="183" t="inlineStr">
        <is>
          <t>No expired licence or ended distribution agreement found</t>
        </is>
      </c>
      <c r="AD271" s="183" t="inlineStr">
        <is>
          <t>Not started</t>
        </is>
      </c>
      <c r="AE271" s="183" t="inlineStr"/>
      <c r="AF271" s="183" t="inlineStr">
        <is>
          <t>https://www.asromed.co.jp/contact/</t>
        </is>
      </c>
      <c r="AG271" s="183" t="inlineStr">
        <is>
          <t>No email published; use the contact form (link in Email source)</t>
        </is>
      </c>
    </row>
    <row r="272">
      <c r="A272" s="183" t="n">
        <v>268</v>
      </c>
      <c r="B272" s="183" t="inlineStr">
        <is>
          <t>Suzukaku Ika Kikaiten</t>
        </is>
      </c>
      <c r="C272" s="183" t="inlineStr">
        <is>
          <t>鈴角医科器械店</t>
        </is>
      </c>
      <c r="D272" s="183" t="inlineStr">
        <is>
          <t>Not retrieved (NTA lookup blocked in this session)</t>
        </is>
      </c>
      <c r="E272" s="183" t="inlineStr">
        <is>
          <t>茨城県</t>
        </is>
      </c>
      <c r="F272" s="183" t="inlineStr">
        <is>
          <t>Kanto</t>
        </is>
      </c>
      <c r="G272" s="183" t="inlineStr">
        <is>
          <t>Not confirmed (company site not opened; network policy blocked direct access)</t>
        </is>
      </c>
      <c r="H272" s="183" t="inlineStr">
        <is>
          <t>No MAH found; device sales licence (高度管理医療機器等販売業) not confirmed</t>
        </is>
      </c>
      <c r="I272" s="183" t="inlineStr">
        <is>
          <t>Not identified in published sources</t>
        </is>
      </c>
      <c r="J272" s="183" t="inlineStr">
        <is>
          <t>General medical equipment (hospitals and clinics)</t>
        </is>
      </c>
      <c r="K272" s="183" t="inlineStr">
        <is>
          <t>茨城県 (regional; branch network not confirmed)</t>
        </is>
      </c>
      <c r="L272" s="183" t="inlineStr">
        <is>
          <t>Not found</t>
        </is>
      </c>
      <c r="M272" s="183" t="inlineStr">
        <is>
          <t>Not identified</t>
        </is>
      </c>
      <c r="N272" s="183" t="inlineStr">
        <is>
          <t>Not identified</t>
        </is>
      </c>
      <c r="O272" s="183" t="inlineStr">
        <is>
          <t>Not published; use company inquiry form</t>
        </is>
      </c>
      <c r="P272" s="183" t="inlineStr">
        <is>
          <t>Not confirmed</t>
        </is>
      </c>
      <c r="Q272" s="183" t="inlineStr">
        <is>
          <t>Not identified</t>
        </is>
      </c>
      <c r="R272" s="184" t="inlineStr">
        <is>
          <t>Unverified</t>
        </is>
      </c>
      <c r="S272" s="183" t="n">
        <v>17</v>
      </c>
      <c r="T272" s="189" t="inlineStr">
        <is>
          <t>C</t>
        </is>
      </c>
      <c r="U272" s="183" t="inlineStr">
        <is>
          <t>Regional general medical equipment dealer with hospital and clinic accounts; candidate sub dealer under a national MAH partner.</t>
        </is>
      </c>
      <c r="V272" s="183" t="inlineStr">
        <is>
          <t>Introduce CHISON as a future line through a national MAH partner; ask about their hospital and clinic coverage, service engineers and openness to non Japanese brands.</t>
        </is>
      </c>
      <c r="W272" s="183" t="inlineStr">
        <is>
          <t>N (not identified)</t>
        </is>
      </c>
      <c r="X272" s="186" t="inlineStr">
        <is>
          <t>https://baseconnect.in/companies/prefecture/d8203dea-91e2-41c3-a785-b80aa997273c/category/b2358a1c-c4c6-46f4-a0b1-dee3a1b30a0b</t>
        </is>
      </c>
      <c r="Y272" s="183" t="inlineStr">
        <is>
          <t>SonoEye P3 plus SonoAir 30 for GP and clinic accounts</t>
        </is>
      </c>
      <c r="Z272" s="183" t="inlineStr">
        <is>
          <t>2, 2, 3, 2, 3, 2, 3</t>
        </is>
      </c>
      <c r="AA272" s="183" t="inlineStr">
        <is>
          <t>Not found</t>
        </is>
      </c>
      <c r="AB272" s="183" t="inlineStr">
        <is>
          <t>Directory or search listing; not opened (direct site access blocked)</t>
        </is>
      </c>
      <c r="AC272" s="183" t="inlineStr">
        <is>
          <t>No expired licence or ended distribution agreement found</t>
        </is>
      </c>
      <c r="AD272" s="183" t="inlineStr">
        <is>
          <t>Not started</t>
        </is>
      </c>
      <c r="AE272" s="183" t="inlineStr"/>
      <c r="AF272" s="183" t="inlineStr"/>
      <c r="AG272" s="183" t="inlineStr">
        <is>
          <t>No email published and no verified website found</t>
        </is>
      </c>
    </row>
    <row r="273">
      <c r="A273" s="183" t="n">
        <v>269</v>
      </c>
      <c r="B273" s="183" t="inlineStr">
        <is>
          <t>Nikko Ika Kikai</t>
        </is>
      </c>
      <c r="C273" s="183" t="inlineStr">
        <is>
          <t>日光医科器械</t>
        </is>
      </c>
      <c r="D273" s="183" t="inlineStr">
        <is>
          <t>Not retrieved (NTA lookup blocked in this session)</t>
        </is>
      </c>
      <c r="E273" s="183" t="inlineStr">
        <is>
          <t>大阪府</t>
        </is>
      </c>
      <c r="F273" s="183" t="inlineStr">
        <is>
          <t>Kansai</t>
        </is>
      </c>
      <c r="G273" s="183" t="inlineStr">
        <is>
          <t>https://www.nikkoika.com/</t>
        </is>
      </c>
      <c r="H273" s="183" t="inlineStr">
        <is>
          <t>No MAH found; device sales licence (高度管理医療機器等販売業) not confirmed</t>
        </is>
      </c>
      <c r="I273" s="183" t="inlineStr">
        <is>
          <t>Not identified in published sources</t>
        </is>
      </c>
      <c r="J273" s="183" t="inlineStr">
        <is>
          <t>Emergency and disaster, Orthopaedics and rehab, Surgery and OR</t>
        </is>
      </c>
      <c r="K273" s="183" t="inlineStr">
        <is>
          <t>大阪府 (regional; branch network not confirmed)</t>
        </is>
      </c>
      <c r="L273" s="183" t="inlineStr">
        <is>
          <t>Not found</t>
        </is>
      </c>
      <c r="M273" s="183" t="inlineStr">
        <is>
          <t>Not identified</t>
        </is>
      </c>
      <c r="N273" s="183" t="inlineStr">
        <is>
          <t>Not identified</t>
        </is>
      </c>
      <c r="O273" s="183" t="inlineStr">
        <is>
          <t>Not published; use contact form</t>
        </is>
      </c>
      <c r="P273" s="183" t="inlineStr">
        <is>
          <t>Not confirmed</t>
        </is>
      </c>
      <c r="Q273" s="183" t="inlineStr">
        <is>
          <t>Not identified</t>
        </is>
      </c>
      <c r="R273" s="184" t="inlineStr">
        <is>
          <t>Likely</t>
        </is>
      </c>
      <c r="S273" s="183" t="n">
        <v>17</v>
      </c>
      <c r="T273" s="189" t="inlineStr">
        <is>
          <t>C</t>
        </is>
      </c>
      <c r="U273" s="183" t="inlineStr">
        <is>
          <t>Adjacent hospital department line (no ultrasound found), which is the best recruit profile for a point of care line.</t>
        </is>
      </c>
      <c r="V273" s="183" t="inlineStr">
        <is>
          <t>Introduce CHISON as a future line through a national MAH partner; ask about their hospital and clinic coverage, service engineers and openness to non Japanese brands.</t>
        </is>
      </c>
      <c r="W273" s="183" t="inlineStr">
        <is>
          <t>N (not identified)</t>
        </is>
      </c>
      <c r="X273" s="186" t="inlineStr">
        <is>
          <t>https://baseconnect.in/companies/prefecture/d80b180e-5fd9-4082-8cdc-a510179a3475/keyword/89941b4e-2dd1-4848-8957-48af280a31e0</t>
        </is>
      </c>
      <c r="Y273" s="183" t="inlineStr">
        <is>
          <t>SonoTouch plus SonoEye P3 (nerve block, vascular access, peri operative)</t>
        </is>
      </c>
      <c r="Z273" s="183" t="inlineStr">
        <is>
          <t>2, 2, 3, 2, 3, 2, 3</t>
        </is>
      </c>
      <c r="AA273" s="183" t="inlineStr">
        <is>
          <t>Not found</t>
        </is>
      </c>
      <c r="AB273" s="183" t="inlineStr">
        <is>
          <t>Directory or search listing; not opened (direct site access blocked)</t>
        </is>
      </c>
      <c r="AC273" s="183" t="inlineStr">
        <is>
          <t>No expired licence or ended distribution agreement found</t>
        </is>
      </c>
      <c r="AD273" s="183" t="inlineStr">
        <is>
          <t>Not started</t>
        </is>
      </c>
      <c r="AE273" s="183" t="inlineStr"/>
      <c r="AF273" s="183" t="inlineStr">
        <is>
          <t>https://www.nikkoika.com/contact/</t>
        </is>
      </c>
      <c r="AG273" s="183" t="inlineStr">
        <is>
          <t>No email published; use the contact form (link in Email source)</t>
        </is>
      </c>
    </row>
    <row r="274">
      <c r="A274" s="183" t="n">
        <v>270</v>
      </c>
      <c r="B274" s="183" t="inlineStr">
        <is>
          <t>Nippon Medical Alliance</t>
        </is>
      </c>
      <c r="C274" s="183" t="inlineStr">
        <is>
          <t>日本メディカルアライアンス</t>
        </is>
      </c>
      <c r="D274" s="183" t="inlineStr">
        <is>
          <t>Not retrieved (NTA lookup blocked in this session)</t>
        </is>
      </c>
      <c r="E274" s="183" t="inlineStr">
        <is>
          <t>愛知県</t>
        </is>
      </c>
      <c r="F274" s="183" t="inlineStr">
        <is>
          <t>Chubu</t>
        </is>
      </c>
      <c r="G274" s="183" t="inlineStr">
        <is>
          <t>https://www.jma-c.jp/</t>
        </is>
      </c>
      <c r="H274" s="183" t="inlineStr">
        <is>
          <t>No MAH found; device sales licence (高度管理医療機器等販売業) not confirmed</t>
        </is>
      </c>
      <c r="I274" s="183" t="inlineStr">
        <is>
          <t>Not identified in published sources</t>
        </is>
      </c>
      <c r="J274" s="183" t="inlineStr">
        <is>
          <t>General medical equipment (hospitals and clinics)</t>
        </is>
      </c>
      <c r="K274" s="183" t="inlineStr">
        <is>
          <t>愛知県 (regional; branch network not confirmed)</t>
        </is>
      </c>
      <c r="L274" s="183" t="inlineStr">
        <is>
          <t>Not found</t>
        </is>
      </c>
      <c r="M274" s="183" t="inlineStr">
        <is>
          <t>Not identified</t>
        </is>
      </c>
      <c r="N274" s="183" t="inlineStr">
        <is>
          <t>Not identified</t>
        </is>
      </c>
      <c r="O274" s="183" t="inlineStr">
        <is>
          <t>Not published; use contact form</t>
        </is>
      </c>
      <c r="P274" s="183" t="inlineStr">
        <is>
          <t>Not confirmed</t>
        </is>
      </c>
      <c r="Q274" s="183" t="inlineStr">
        <is>
          <t>Not identified</t>
        </is>
      </c>
      <c r="R274" s="184" t="inlineStr">
        <is>
          <t>Likely</t>
        </is>
      </c>
      <c r="S274" s="183" t="n">
        <v>17</v>
      </c>
      <c r="T274" s="189" t="inlineStr">
        <is>
          <t>C</t>
        </is>
      </c>
      <c r="U274" s="183" t="inlineStr">
        <is>
          <t>Regional general medical equipment dealer with hospital and clinic accounts; candidate sub dealer under a national MAH partner.</t>
        </is>
      </c>
      <c r="V274" s="183" t="inlineStr">
        <is>
          <t>Introduce CHISON as a future line through a national MAH partner; ask about their hospital and clinic coverage, service engineers and openness to non Japanese brands.</t>
        </is>
      </c>
      <c r="W274" s="183" t="inlineStr">
        <is>
          <t>N (not identified)</t>
        </is>
      </c>
      <c r="X274" s="186" t="inlineStr">
        <is>
          <t>https://baseconnect.in/companies/prefecture/60622468-79bd-4eef-86f8-cb69d1ef09f0/category/b2358a1c-c4c6-46f4-a0b1-dee3a1b30a0b</t>
        </is>
      </c>
      <c r="Y274" s="183" t="inlineStr">
        <is>
          <t>SonoEye P3 plus SonoAir 30 for GP and clinic accounts</t>
        </is>
      </c>
      <c r="Z274" s="183" t="inlineStr">
        <is>
          <t>2, 2, 3, 2, 3, 2, 3</t>
        </is>
      </c>
      <c r="AA274" s="183" t="inlineStr">
        <is>
          <t>Not found</t>
        </is>
      </c>
      <c r="AB274" s="183" t="inlineStr">
        <is>
          <t>Directory or search listing; not opened (direct site access blocked)</t>
        </is>
      </c>
      <c r="AC274" s="183" t="inlineStr">
        <is>
          <t>No expired licence or ended distribution agreement found</t>
        </is>
      </c>
      <c r="AD274" s="183" t="inlineStr">
        <is>
          <t>Not started</t>
        </is>
      </c>
      <c r="AE274" s="183" t="inlineStr"/>
      <c r="AF274" s="183" t="inlineStr">
        <is>
          <t>https://www.jma-c.jp/contact.html</t>
        </is>
      </c>
      <c r="AG274" s="183" t="inlineStr">
        <is>
          <t>No email published; use the contact form (link in Email source)</t>
        </is>
      </c>
    </row>
    <row r="275">
      <c r="A275" s="183" t="n">
        <v>271</v>
      </c>
      <c r="B275" s="183" t="inlineStr">
        <is>
          <t>Medical Japan</t>
        </is>
      </c>
      <c r="C275" s="183" t="inlineStr">
        <is>
          <t>メディカルジャパン</t>
        </is>
      </c>
      <c r="D275" s="183" t="inlineStr">
        <is>
          <t>Not retrieved (NTA lookup blocked in this session)</t>
        </is>
      </c>
      <c r="E275" s="183" t="inlineStr">
        <is>
          <t>静岡県</t>
        </is>
      </c>
      <c r="F275" s="183" t="inlineStr">
        <is>
          <t>Chubu</t>
        </is>
      </c>
      <c r="G275" s="183" t="inlineStr">
        <is>
          <t>http://www.medicaljapan.biz/</t>
        </is>
      </c>
      <c r="H275" s="183" t="inlineStr">
        <is>
          <t>No MAH found; device sales licence (高度管理医療機器等販売業) not confirmed</t>
        </is>
      </c>
      <c r="I275" s="183" t="inlineStr">
        <is>
          <t>Not identified in published sources</t>
        </is>
      </c>
      <c r="J275" s="183" t="inlineStr">
        <is>
          <t>Welfare and care</t>
        </is>
      </c>
      <c r="K275" s="183" t="inlineStr">
        <is>
          <t>静岡県 (regional; branch network not confirmed)</t>
        </is>
      </c>
      <c r="L275" s="183" t="inlineStr">
        <is>
          <t>Not found</t>
        </is>
      </c>
      <c r="M275" s="183" t="inlineStr">
        <is>
          <t>Not identified</t>
        </is>
      </c>
      <c r="N275" s="183" t="inlineStr">
        <is>
          <t>Not identified</t>
        </is>
      </c>
      <c r="O275" s="183" t="inlineStr">
        <is>
          <t>Not published; use contact form</t>
        </is>
      </c>
      <c r="P275" s="183" t="inlineStr">
        <is>
          <t>Not confirmed</t>
        </is>
      </c>
      <c r="Q275" s="183" t="inlineStr">
        <is>
          <t>Not identified</t>
        </is>
      </c>
      <c r="R275" s="184" t="inlineStr">
        <is>
          <t>Likely</t>
        </is>
      </c>
      <c r="S275" s="183" t="n">
        <v>17</v>
      </c>
      <c r="T275" s="189" t="inlineStr">
        <is>
          <t>C</t>
        </is>
      </c>
      <c r="U275" s="183" t="inlineStr">
        <is>
          <t>Low fit: mainly welfare or care equipment; only for home care handheld use.</t>
        </is>
      </c>
      <c r="V275" s="183" t="inlineStr">
        <is>
          <t>Introduce CHISON as a future line through a national MAH partner; ask about their hospital and clinic coverage, service engineers and openness to non Japanese brands.</t>
        </is>
      </c>
      <c r="W275" s="183" t="inlineStr">
        <is>
          <t>N (not identified)</t>
        </is>
      </c>
      <c r="X275" s="186" t="inlineStr">
        <is>
          <t>https://baseconnect.in/companies/prefecture/ce8171a3-9c3a-4158-b1ce-74bbb8bad1e4/keyword/bacc2d48-54d0-4e67-94c7-df7c3cb3a34e</t>
        </is>
      </c>
      <c r="Y275" s="183" t="inlineStr">
        <is>
          <t>SonoEye P5 for home visit doctors (在宅医療)</t>
        </is>
      </c>
      <c r="Z275" s="183" t="inlineStr">
        <is>
          <t>2, 2, 3, 2, 3, 2, 3</t>
        </is>
      </c>
      <c r="AA275" s="183" t="inlineStr">
        <is>
          <t>Not found</t>
        </is>
      </c>
      <c r="AB275" s="183" t="inlineStr">
        <is>
          <t>Directory or search listing; not opened (direct site access blocked)</t>
        </is>
      </c>
      <c r="AC275" s="183" t="inlineStr">
        <is>
          <t>No expired licence or ended distribution agreement found</t>
        </is>
      </c>
      <c r="AD275" s="183" t="inlineStr">
        <is>
          <t>Not started</t>
        </is>
      </c>
      <c r="AE275" s="183" t="inlineStr"/>
      <c r="AF275" s="183" t="inlineStr">
        <is>
          <t>http://www.medicaljapan.biz/contactus/</t>
        </is>
      </c>
      <c r="AG275" s="183" t="inlineStr">
        <is>
          <t>No email published; use the contact form (link in Email source)</t>
        </is>
      </c>
    </row>
    <row r="276">
      <c r="A276" s="183" t="n">
        <v>272</v>
      </c>
      <c r="B276" s="183" t="inlineStr">
        <is>
          <t>Lifetech (Okinawa)</t>
        </is>
      </c>
      <c r="C276" s="183" t="inlineStr">
        <is>
          <t>ライフテック</t>
        </is>
      </c>
      <c r="D276" s="183" t="inlineStr">
        <is>
          <t>Not retrieved (NTA lookup blocked in this session)</t>
        </is>
      </c>
      <c r="E276" s="183" t="inlineStr">
        <is>
          <t>沖縄県</t>
        </is>
      </c>
      <c r="F276" s="183" t="inlineStr">
        <is>
          <t>Kyushu and Okinawa</t>
        </is>
      </c>
      <c r="G276" s="183" t="inlineStr">
        <is>
          <t>https://lifetec-ltd.com/</t>
        </is>
      </c>
      <c r="H276" s="183" t="inlineStr">
        <is>
          <t>No MAH found; device sales licence (高度管理医療機器等販売業) not confirmed</t>
        </is>
      </c>
      <c r="I276" s="183" t="inlineStr">
        <is>
          <t>Not identified in published sources</t>
        </is>
      </c>
      <c r="J276" s="183" t="inlineStr">
        <is>
          <t>General medical equipment (hospitals and clinics)</t>
        </is>
      </c>
      <c r="K276" s="183" t="inlineStr">
        <is>
          <t>沖縄県 (regional; branch network not confirmed)</t>
        </is>
      </c>
      <c r="L276" s="183" t="inlineStr">
        <is>
          <t>Not found</t>
        </is>
      </c>
      <c r="M276" s="183" t="inlineStr">
        <is>
          <t>Not identified</t>
        </is>
      </c>
      <c r="N276" s="183" t="inlineStr">
        <is>
          <t>Not identified</t>
        </is>
      </c>
      <c r="O276" s="183" t="inlineStr">
        <is>
          <t>Not published; use contact form</t>
        </is>
      </c>
      <c r="P276" s="183" t="inlineStr">
        <is>
          <t>Not confirmed</t>
        </is>
      </c>
      <c r="Q276" s="183" t="inlineStr">
        <is>
          <t>Not identified</t>
        </is>
      </c>
      <c r="R276" s="184" t="inlineStr">
        <is>
          <t>Likely</t>
        </is>
      </c>
      <c r="S276" s="183" t="n">
        <v>17</v>
      </c>
      <c r="T276" s="189" t="inlineStr">
        <is>
          <t>C</t>
        </is>
      </c>
      <c r="U276" s="183" t="inlineStr">
        <is>
          <t>Regional general medical equipment dealer with hospital and clinic accounts; candidate sub dealer under a national MAH partner.</t>
        </is>
      </c>
      <c r="V276" s="183" t="inlineStr">
        <is>
          <t>Introduce CHISON as a future line through a national MAH partner; ask about their hospital and clinic coverage, service engineers and openness to non Japanese brands.</t>
        </is>
      </c>
      <c r="W276" s="183" t="inlineStr">
        <is>
          <t>N (not identified)</t>
        </is>
      </c>
      <c r="X276" s="186" t="inlineStr">
        <is>
          <t>https://kyuren.jp/%E4%BC%9A%E5%93%A1%E7%B4%B9%E4%BB%8B/</t>
        </is>
      </c>
      <c r="Y276" s="183" t="inlineStr">
        <is>
          <t>SonoEye P3 plus SonoAir 30 for GP and clinic accounts</t>
        </is>
      </c>
      <c r="Z276" s="183" t="inlineStr">
        <is>
          <t>2, 2, 3, 3, 2, 2, 3</t>
        </is>
      </c>
      <c r="AA276" s="183" t="inlineStr">
        <is>
          <t>Not found</t>
        </is>
      </c>
      <c r="AB276" s="183" t="inlineStr">
        <is>
          <t>Directory or search listing; not opened (direct site access blocked)</t>
        </is>
      </c>
      <c r="AC276" s="183" t="inlineStr">
        <is>
          <t>No expired licence or ended distribution agreement found</t>
        </is>
      </c>
      <c r="AD276" s="183" t="inlineStr">
        <is>
          <t>Not started</t>
        </is>
      </c>
      <c r="AE276" s="183" t="inlineStr"/>
      <c r="AF276" s="183" t="inlineStr">
        <is>
          <t>https://lifetec-ltd.com/contact-us/</t>
        </is>
      </c>
      <c r="AG276" s="183" t="inlineStr">
        <is>
          <t>No email published; use the contact form (link in Email source)</t>
        </is>
      </c>
    </row>
    <row r="277">
      <c r="A277" s="183" t="n">
        <v>273</v>
      </c>
      <c r="B277" s="183" t="inlineStr">
        <is>
          <t>Medical Ikeda</t>
        </is>
      </c>
      <c r="C277" s="183" t="inlineStr">
        <is>
          <t>メディカル池田</t>
        </is>
      </c>
      <c r="D277" s="183" t="inlineStr">
        <is>
          <t>Not retrieved (NTA lookup blocked in this session)</t>
        </is>
      </c>
      <c r="E277" s="183" t="inlineStr">
        <is>
          <t>北海道</t>
        </is>
      </c>
      <c r="F277" s="183" t="inlineStr">
        <is>
          <t>Tohoku and Hokkaido</t>
        </is>
      </c>
      <c r="G277" s="183" t="inlineStr">
        <is>
          <t>Not confirmed (company site not opened; network policy blocked direct access)</t>
        </is>
      </c>
      <c r="H277" s="183" t="inlineStr">
        <is>
          <t>No MAH found; device sales licence (高度管理医療機器等販売業) not confirmed</t>
        </is>
      </c>
      <c r="I277" s="183" t="inlineStr">
        <is>
          <t>Not identified in published sources</t>
        </is>
      </c>
      <c r="J277" s="183" t="inlineStr">
        <is>
          <t>General medical equipment (hospitals and clinics)</t>
        </is>
      </c>
      <c r="K277" s="183" t="inlineStr">
        <is>
          <t>北海道; Hokkaido</t>
        </is>
      </c>
      <c r="L277" s="183" t="inlineStr">
        <is>
          <t>Not found</t>
        </is>
      </c>
      <c r="M277" s="183" t="inlineStr">
        <is>
          <t>Not identified</t>
        </is>
      </c>
      <c r="N277" s="183" t="inlineStr">
        <is>
          <t>Not identified</t>
        </is>
      </c>
      <c r="O277" s="183" t="inlineStr">
        <is>
          <t>Not published; use company inquiry form</t>
        </is>
      </c>
      <c r="P277" s="183" t="inlineStr">
        <is>
          <t>Not confirmed</t>
        </is>
      </c>
      <c r="Q277" s="183" t="inlineStr">
        <is>
          <t>Not identified</t>
        </is>
      </c>
      <c r="R277" s="184" t="inlineStr">
        <is>
          <t>Unverified</t>
        </is>
      </c>
      <c r="S277" s="183" t="n">
        <v>17</v>
      </c>
      <c r="T277" s="189" t="inlineStr">
        <is>
          <t>C</t>
        </is>
      </c>
      <c r="U277" s="183" t="inlineStr">
        <is>
          <t>Regional general medical equipment dealer with hospital and clinic accounts; candidate sub dealer under a national MAH partner.</t>
        </is>
      </c>
      <c r="V277" s="183" t="inlineStr">
        <is>
          <t>Introduce CHISON as a future line through a national MAH partner; ask about their hospital and clinic coverage, service engineers and openness to non Japanese brands.</t>
        </is>
      </c>
      <c r="W277" s="183" t="inlineStr">
        <is>
          <t>N (not identified)</t>
        </is>
      </c>
      <c r="X277" s="186" t="inlineStr">
        <is>
          <t>https://www.jahid.or.jp/pdf/meibo2025.pdf</t>
        </is>
      </c>
      <c r="Y277" s="183" t="inlineStr">
        <is>
          <t>SonoEye P3 plus SonoAir 30 for GP and clinic accounts</t>
        </is>
      </c>
      <c r="Z277" s="183" t="inlineStr">
        <is>
          <t>2, 2, 3, 3, 2, 2, 3</t>
        </is>
      </c>
      <c r="AA277" s="183" t="inlineStr">
        <is>
          <t>Not found</t>
        </is>
      </c>
      <c r="AB277" s="183" t="inlineStr">
        <is>
          <t>Directory or search listing; not opened (direct site access blocked)</t>
        </is>
      </c>
      <c r="AC277" s="183" t="inlineStr">
        <is>
          <t>No expired licence or ended distribution agreement found</t>
        </is>
      </c>
      <c r="AD277" s="183" t="inlineStr">
        <is>
          <t>Not started</t>
        </is>
      </c>
      <c r="AE277" s="183" t="inlineStr"/>
      <c r="AF277" s="183" t="inlineStr"/>
      <c r="AG277" s="183" t="inlineStr">
        <is>
          <t>No email published and no verified website found</t>
        </is>
      </c>
    </row>
    <row r="278">
      <c r="A278" s="183" t="n">
        <v>274</v>
      </c>
      <c r="B278" s="183" t="inlineStr">
        <is>
          <t>Medical Island</t>
        </is>
      </c>
      <c r="C278" s="183" t="inlineStr">
        <is>
          <t>メディカル・アイランド</t>
        </is>
      </c>
      <c r="D278" s="183" t="inlineStr">
        <is>
          <t>Not retrieved (NTA lookup blocked in this session)</t>
        </is>
      </c>
      <c r="E278" s="183" t="inlineStr">
        <is>
          <t>北海道</t>
        </is>
      </c>
      <c r="F278" s="183" t="inlineStr">
        <is>
          <t>Tohoku and Hokkaido</t>
        </is>
      </c>
      <c r="G278" s="183" t="inlineStr">
        <is>
          <t>Not confirmed (company site not opened; network policy blocked direct access)</t>
        </is>
      </c>
      <c r="H278" s="183" t="inlineStr">
        <is>
          <t>No MAH found; device sales licence (高度管理医療機器等販売業) not confirmed</t>
        </is>
      </c>
      <c r="I278" s="183" t="inlineStr">
        <is>
          <t>Not identified in published sources</t>
        </is>
      </c>
      <c r="J278" s="183" t="inlineStr">
        <is>
          <t>General medical equipment (hospitals and clinics)</t>
        </is>
      </c>
      <c r="K278" s="183" t="inlineStr">
        <is>
          <t>北海道; Hokkaido</t>
        </is>
      </c>
      <c r="L278" s="183" t="inlineStr">
        <is>
          <t>Not found</t>
        </is>
      </c>
      <c r="M278" s="183" t="inlineStr">
        <is>
          <t>Not identified</t>
        </is>
      </c>
      <c r="N278" s="183" t="inlineStr">
        <is>
          <t>Not identified</t>
        </is>
      </c>
      <c r="O278" s="183" t="inlineStr">
        <is>
          <t>Not published; use company inquiry form</t>
        </is>
      </c>
      <c r="P278" s="183" t="inlineStr">
        <is>
          <t>Not confirmed</t>
        </is>
      </c>
      <c r="Q278" s="183" t="inlineStr">
        <is>
          <t>Not identified</t>
        </is>
      </c>
      <c r="R278" s="184" t="inlineStr">
        <is>
          <t>Unverified</t>
        </is>
      </c>
      <c r="S278" s="183" t="n">
        <v>17</v>
      </c>
      <c r="T278" s="189" t="inlineStr">
        <is>
          <t>C</t>
        </is>
      </c>
      <c r="U278" s="183" t="inlineStr">
        <is>
          <t>Regional general medical equipment dealer with hospital and clinic accounts; candidate sub dealer under a national MAH partner.</t>
        </is>
      </c>
      <c r="V278" s="183" t="inlineStr">
        <is>
          <t>Introduce CHISON as a future line through a national MAH partner; ask about their hospital and clinic coverage, service engineers and openness to non Japanese brands.</t>
        </is>
      </c>
      <c r="W278" s="183" t="inlineStr">
        <is>
          <t>N (not identified)</t>
        </is>
      </c>
      <c r="X278" s="186" t="inlineStr">
        <is>
          <t>https://www.jahid.or.jp/pdf/meibo2025.pdf</t>
        </is>
      </c>
      <c r="Y278" s="183" t="inlineStr">
        <is>
          <t>SonoEye P3 plus SonoAir 30 for GP and clinic accounts</t>
        </is>
      </c>
      <c r="Z278" s="183" t="inlineStr">
        <is>
          <t>2, 2, 3, 3, 2, 2, 3</t>
        </is>
      </c>
      <c r="AA278" s="183" t="inlineStr">
        <is>
          <t>Not found</t>
        </is>
      </c>
      <c r="AB278" s="183" t="inlineStr">
        <is>
          <t>Recheck: no independent confirmation found; directory listing only</t>
        </is>
      </c>
      <c r="AC278" s="183" t="inlineStr">
        <is>
          <t>No expired licence or ended distribution agreement found</t>
        </is>
      </c>
      <c r="AD278" s="183" t="inlineStr">
        <is>
          <t>Not started</t>
        </is>
      </c>
      <c r="AE278" s="183" t="inlineStr"/>
      <c r="AF278" s="183" t="inlineStr"/>
      <c r="AG278" s="183" t="inlineStr">
        <is>
          <t>No email published and no verified website found</t>
        </is>
      </c>
    </row>
    <row r="279">
      <c r="A279" s="183" t="n">
        <v>275</v>
      </c>
      <c r="B279" s="183" t="inlineStr">
        <is>
          <t>Yu Corporation</t>
        </is>
      </c>
      <c r="C279" s="183" t="inlineStr">
        <is>
          <t>優コーポレーション</t>
        </is>
      </c>
      <c r="D279" s="183" t="inlineStr">
        <is>
          <t>Not retrieved (NTA lookup blocked in this session)</t>
        </is>
      </c>
      <c r="E279" s="183" t="inlineStr">
        <is>
          <t>北海道</t>
        </is>
      </c>
      <c r="F279" s="183" t="inlineStr">
        <is>
          <t>Tohoku and Hokkaido</t>
        </is>
      </c>
      <c r="G279" s="183" t="inlineStr">
        <is>
          <t>http://www.shoureikan.jp/</t>
        </is>
      </c>
      <c r="H279" s="183" t="inlineStr">
        <is>
          <t>No MAH found; device sales licence (高度管理医療機器等販売業) not confirmed</t>
        </is>
      </c>
      <c r="I279" s="183" t="inlineStr">
        <is>
          <t>Not identified in published sources</t>
        </is>
      </c>
      <c r="J279" s="183" t="inlineStr">
        <is>
          <t>General medical equipment (hospitals and clinics)</t>
        </is>
      </c>
      <c r="K279" s="183" t="inlineStr">
        <is>
          <t>北海道; Hokkaido</t>
        </is>
      </c>
      <c r="L279" s="183" t="inlineStr">
        <is>
          <t>Not found</t>
        </is>
      </c>
      <c r="M279" s="183" t="inlineStr">
        <is>
          <t>Not identified</t>
        </is>
      </c>
      <c r="N279" s="183" t="inlineStr">
        <is>
          <t>Not identified</t>
        </is>
      </c>
      <c r="O279" s="183" t="inlineStr">
        <is>
          <t>Not published; use contact form</t>
        </is>
      </c>
      <c r="P279" s="183" t="inlineStr">
        <is>
          <t>Not confirmed</t>
        </is>
      </c>
      <c r="Q279" s="183" t="inlineStr">
        <is>
          <t>Not identified</t>
        </is>
      </c>
      <c r="R279" s="184" t="inlineStr">
        <is>
          <t>Likely</t>
        </is>
      </c>
      <c r="S279" s="183" t="n">
        <v>17</v>
      </c>
      <c r="T279" s="189" t="inlineStr">
        <is>
          <t>C</t>
        </is>
      </c>
      <c r="U279" s="183" t="inlineStr">
        <is>
          <t>Regional general medical equipment dealer with hospital and clinic accounts; candidate sub dealer under a national MAH partner.</t>
        </is>
      </c>
      <c r="V279" s="183" t="inlineStr">
        <is>
          <t>Introduce CHISON as a future line through a national MAH partner; ask about their hospital and clinic coverage, service engineers and openness to non Japanese brands.</t>
        </is>
      </c>
      <c r="W279" s="183" t="inlineStr">
        <is>
          <t>N (not identified)</t>
        </is>
      </c>
      <c r="X279" s="186" t="inlineStr">
        <is>
          <t>https://baseconnect.in/companies/prefecture/9ebb3838-effc-47da-b634-994957a78319/keyword/89941b4e-2dd1-4848-8957-48af280a31e0</t>
        </is>
      </c>
      <c r="Y279" s="183" t="inlineStr">
        <is>
          <t>SonoEye P3 plus SonoAir 30 for GP and clinic accounts</t>
        </is>
      </c>
      <c r="Z279" s="183" t="inlineStr">
        <is>
          <t>2, 2, 3, 3, 2, 2, 3</t>
        </is>
      </c>
      <c r="AA279" s="183" t="inlineStr">
        <is>
          <t>Not found</t>
        </is>
      </c>
      <c r="AB279" s="183" t="inlineStr">
        <is>
          <t>Directory or search listing; not opened (direct site access blocked)</t>
        </is>
      </c>
      <c r="AC279" s="183" t="inlineStr">
        <is>
          <t>No expired licence or ended distribution agreement found</t>
        </is>
      </c>
      <c r="AD279" s="183" t="inlineStr">
        <is>
          <t>Not started</t>
        </is>
      </c>
      <c r="AE279" s="183" t="inlineStr"/>
      <c r="AF279" s="183" t="inlineStr">
        <is>
          <t>http://www.shoureikan.jp/shoureikan/contact.html</t>
        </is>
      </c>
      <c r="AG279" s="183" t="inlineStr">
        <is>
          <t>No email published; use the contact form (link in Email source)</t>
        </is>
      </c>
    </row>
    <row r="280">
      <c r="A280" s="183" t="n">
        <v>276</v>
      </c>
      <c r="B280" s="183" t="inlineStr">
        <is>
          <t>Actec</t>
        </is>
      </c>
      <c r="C280" s="183" t="inlineStr">
        <is>
          <t>アクテック</t>
        </is>
      </c>
      <c r="D280" s="183" t="inlineStr">
        <is>
          <t>Not retrieved (NTA lookup blocked in this session)</t>
        </is>
      </c>
      <c r="E280" s="183" t="inlineStr">
        <is>
          <t>北海道</t>
        </is>
      </c>
      <c r="F280" s="183" t="inlineStr">
        <is>
          <t>Tohoku and Hokkaido</t>
        </is>
      </c>
      <c r="G280" s="183" t="inlineStr">
        <is>
          <t>http://www.e-actec.co.jp/</t>
        </is>
      </c>
      <c r="H280" s="183" t="inlineStr">
        <is>
          <t>No MAH found; device sales licence (高度管理医療機器等販売業) not confirmed</t>
        </is>
      </c>
      <c r="I280" s="183" t="inlineStr">
        <is>
          <t>Not identified in published sources</t>
        </is>
      </c>
      <c r="J280" s="183" t="inlineStr">
        <is>
          <t>Welfare and care, Pharma distribution</t>
        </is>
      </c>
      <c r="K280" s="183" t="inlineStr">
        <is>
          <t>北海道 (regional; branch network not confirmed)</t>
        </is>
      </c>
      <c r="L280" s="183" t="inlineStr">
        <is>
          <t>Est 1964</t>
        </is>
      </c>
      <c r="M280" s="183" t="inlineStr">
        <is>
          <t>Not identified</t>
        </is>
      </c>
      <c r="N280" s="183" t="inlineStr">
        <is>
          <t>Not identified</t>
        </is>
      </c>
      <c r="O280" s="183" t="inlineStr">
        <is>
          <t>Not published; use contact form</t>
        </is>
      </c>
      <c r="P280" s="183" t="inlineStr">
        <is>
          <t>Not confirmed</t>
        </is>
      </c>
      <c r="Q280" s="183" t="inlineStr">
        <is>
          <t>Not identified</t>
        </is>
      </c>
      <c r="R280" s="187" t="inlineStr">
        <is>
          <t>Likely</t>
        </is>
      </c>
      <c r="S280" s="183" t="n">
        <v>17</v>
      </c>
      <c r="T280" s="189" t="inlineStr">
        <is>
          <t>C</t>
        </is>
      </c>
      <c r="U280" s="183" t="inlineStr">
        <is>
          <t>Low fit: mainly welfare or care equipment; only for home care handheld use.</t>
        </is>
      </c>
      <c r="V280" s="183" t="inlineStr">
        <is>
          <t>Introduce CHISON as a future line through a national MAH partner; ask about their hospital and clinic coverage, service engineers and openness to non Japanese brands.</t>
        </is>
      </c>
      <c r="W280" s="183" t="inlineStr">
        <is>
          <t>N (not identified)</t>
        </is>
      </c>
      <c r="X280" s="186" t="inlineStr">
        <is>
          <t>https://i.ansinkaigo.jp/shokai/home-care/welfare-equipment/121454 ; https://baseconnect.in/companies/prefecture/9ebb3838-effc-47da-b634-994957a78319/keyword/89941b4e-2dd1-4848-8957-48af280a31e0 ; https://compalyze.co.jp/company/4450002009734</t>
        </is>
      </c>
      <c r="Y280" s="183" t="inlineStr">
        <is>
          <t>SonoEye P5 for home visit doctors (在宅医療)</t>
        </is>
      </c>
      <c r="Z280" s="183" t="inlineStr">
        <is>
          <t>2, 2, 3, 2, 3, 2, 3</t>
        </is>
      </c>
      <c r="AA280" s="183" t="inlineStr">
        <is>
          <t>北海道札幌市豊平区美園2条3丁目2番25号</t>
        </is>
      </c>
      <c r="AB280" s="183" t="inlineStr">
        <is>
          <t>Verified in 10% recheck</t>
        </is>
      </c>
      <c r="AC280" s="183" t="inlineStr">
        <is>
          <t>No expired licence or ended distribution agreement found</t>
        </is>
      </c>
      <c r="AD280" s="183" t="inlineStr">
        <is>
          <t>Not started</t>
        </is>
      </c>
      <c r="AE280" s="183" t="inlineStr"/>
      <c r="AF280" s="183" t="inlineStr">
        <is>
          <t>http://www.e-actec.co.jp/site/contact/index.html</t>
        </is>
      </c>
      <c r="AG280" s="183" t="inlineStr">
        <is>
          <t>No email published; use the contact form (link in Email source)</t>
        </is>
      </c>
    </row>
    <row r="281">
      <c r="A281" s="183" t="n">
        <v>277</v>
      </c>
      <c r="B281" s="183" t="inlineStr">
        <is>
          <t>Yuto</t>
        </is>
      </c>
      <c r="C281" s="183" t="inlineStr">
        <is>
          <t>悠人</t>
        </is>
      </c>
      <c r="D281" s="183" t="inlineStr">
        <is>
          <t>Not retrieved (NTA lookup blocked in this session)</t>
        </is>
      </c>
      <c r="E281" s="183" t="inlineStr">
        <is>
          <t>北海道</t>
        </is>
      </c>
      <c r="F281" s="183" t="inlineStr">
        <is>
          <t>Tohoku and Hokkaido</t>
        </is>
      </c>
      <c r="G281" s="183" t="inlineStr">
        <is>
          <t>https://yu-to-japan.com/</t>
        </is>
      </c>
      <c r="H281" s="183" t="inlineStr">
        <is>
          <t>No MAH found; device sales licence (高度管理医療機器等販売業) not confirmed</t>
        </is>
      </c>
      <c r="I281" s="183" t="inlineStr">
        <is>
          <t>Not identified in published sources</t>
        </is>
      </c>
      <c r="J281" s="183" t="inlineStr">
        <is>
          <t>General medical equipment (hospitals and clinics)</t>
        </is>
      </c>
      <c r="K281" s="183" t="inlineStr">
        <is>
          <t>北海道 (regional; branch network not confirmed)</t>
        </is>
      </c>
      <c r="L281" s="183" t="inlineStr">
        <is>
          <t>Not found</t>
        </is>
      </c>
      <c r="M281" s="183" t="inlineStr">
        <is>
          <t>Not identified</t>
        </is>
      </c>
      <c r="N281" s="183" t="inlineStr">
        <is>
          <t>Not identified</t>
        </is>
      </c>
      <c r="O281" s="183" t="inlineStr">
        <is>
          <t>Not published; use company inquiry form</t>
        </is>
      </c>
      <c r="P281" s="183" t="inlineStr">
        <is>
          <t>Not confirmed</t>
        </is>
      </c>
      <c r="Q281" s="183" t="inlineStr">
        <is>
          <t>Not identified</t>
        </is>
      </c>
      <c r="R281" s="184" t="inlineStr">
        <is>
          <t>Company inquiry only</t>
        </is>
      </c>
      <c r="S281" s="183" t="n">
        <v>17</v>
      </c>
      <c r="T281" s="189" t="inlineStr">
        <is>
          <t>C</t>
        </is>
      </c>
      <c r="U281" s="183" t="inlineStr">
        <is>
          <t>Regional general medical equipment dealer with hospital and clinic accounts; candidate sub dealer under a national MAH partner.</t>
        </is>
      </c>
      <c r="V281" s="183" t="inlineStr">
        <is>
          <t>Introduce CHISON as a future line through a national MAH partner; ask about their hospital and clinic coverage, service engineers and openness to non Japanese brands.</t>
        </is>
      </c>
      <c r="W281" s="183" t="inlineStr">
        <is>
          <t>N (not identified)</t>
        </is>
      </c>
      <c r="X281" s="186" t="inlineStr">
        <is>
          <t>https://baseconnect.in/companies/prefecture/9ebb3838-effc-47da-b634-994957a78319/keyword/89941b4e-2dd1-4848-8957-48af280a31e0</t>
        </is>
      </c>
      <c r="Y281" s="183" t="inlineStr">
        <is>
          <t>SonoEye P3 plus SonoAir 30 for GP and clinic accounts</t>
        </is>
      </c>
      <c r="Z281" s="183" t="inlineStr">
        <is>
          <t>2, 2, 3, 3, 2, 2, 3</t>
        </is>
      </c>
      <c r="AA281" s="183" t="inlineStr">
        <is>
          <t>Not found</t>
        </is>
      </c>
      <c r="AB281" s="183" t="inlineStr">
        <is>
          <t>Directory or search listing; not opened (direct site access blocked)</t>
        </is>
      </c>
      <c r="AC281" s="183" t="inlineStr">
        <is>
          <t>No expired licence or ended distribution agreement found</t>
        </is>
      </c>
      <c r="AD281" s="183" t="inlineStr">
        <is>
          <t>Not started</t>
        </is>
      </c>
      <c r="AE281" s="183" t="inlineStr"/>
      <c r="AF281" s="183" t="inlineStr"/>
      <c r="AG281" s="183" t="inlineStr">
        <is>
          <t>No email published; website has no contact page link, phone first</t>
        </is>
      </c>
    </row>
    <row r="282">
      <c r="A282" s="183" t="n">
        <v>278</v>
      </c>
      <c r="B282" s="183" t="inlineStr">
        <is>
          <t>Toko Career Medical</t>
        </is>
      </c>
      <c r="C282" s="183" t="inlineStr">
        <is>
          <t>東光キヤリアメディカル</t>
        </is>
      </c>
      <c r="D282" s="183" t="inlineStr">
        <is>
          <t>Not retrieved (NTA lookup blocked in this session)</t>
        </is>
      </c>
      <c r="E282" s="183" t="inlineStr">
        <is>
          <t>北海道</t>
        </is>
      </c>
      <c r="F282" s="183" t="inlineStr">
        <is>
          <t>Tohoku and Hokkaido</t>
        </is>
      </c>
      <c r="G282" s="183" t="inlineStr">
        <is>
          <t>Not confirmed (company site not opened; network policy blocked direct access)</t>
        </is>
      </c>
      <c r="H282" s="183" t="inlineStr">
        <is>
          <t>No MAH found; device sales licence (高度管理医療機器等販売業) not confirmed</t>
        </is>
      </c>
      <c r="I282" s="183" t="inlineStr">
        <is>
          <t>Not identified in published sources</t>
        </is>
      </c>
      <c r="J282" s="183" t="inlineStr">
        <is>
          <t>General medical equipment (hospitals and clinics)</t>
        </is>
      </c>
      <c r="K282" s="183" t="inlineStr">
        <is>
          <t>北海道 (regional; branch network not confirmed)</t>
        </is>
      </c>
      <c r="L282" s="183" t="inlineStr">
        <is>
          <t>Not found</t>
        </is>
      </c>
      <c r="M282" s="183" t="inlineStr">
        <is>
          <t>Not identified</t>
        </is>
      </c>
      <c r="N282" s="183" t="inlineStr">
        <is>
          <t>Not identified</t>
        </is>
      </c>
      <c r="O282" s="183" t="inlineStr">
        <is>
          <t>Not published; use company inquiry form</t>
        </is>
      </c>
      <c r="P282" s="183" t="inlineStr">
        <is>
          <t>Not confirmed</t>
        </is>
      </c>
      <c r="Q282" s="183" t="inlineStr">
        <is>
          <t>Not identified</t>
        </is>
      </c>
      <c r="R282" s="184" t="inlineStr">
        <is>
          <t>Unverified</t>
        </is>
      </c>
      <c r="S282" s="183" t="n">
        <v>17</v>
      </c>
      <c r="T282" s="189" t="inlineStr">
        <is>
          <t>C</t>
        </is>
      </c>
      <c r="U282" s="183" t="inlineStr">
        <is>
          <t>Regional general medical equipment dealer with hospital and clinic accounts; candidate sub dealer under a national MAH partner.</t>
        </is>
      </c>
      <c r="V282" s="183" t="inlineStr">
        <is>
          <t>Introduce CHISON as a future line through a national MAH partner; ask about their hospital and clinic coverage, service engineers and openness to non Japanese brands.</t>
        </is>
      </c>
      <c r="W282" s="183" t="inlineStr">
        <is>
          <t>N (not identified)</t>
        </is>
      </c>
      <c r="X282" s="186" t="inlineStr">
        <is>
          <t>https://baseconnect.in/companies/prefecture/9ebb3838-effc-47da-b634-994957a78319/keyword/89941b4e-2dd1-4848-8957-48af280a31e0</t>
        </is>
      </c>
      <c r="Y282" s="183" t="inlineStr">
        <is>
          <t>SonoEye P3 plus SonoAir 30 for GP and clinic accounts</t>
        </is>
      </c>
      <c r="Z282" s="183" t="inlineStr">
        <is>
          <t>2, 2, 3, 3, 2, 2, 3</t>
        </is>
      </c>
      <c r="AA282" s="183" t="inlineStr">
        <is>
          <t>Not found</t>
        </is>
      </c>
      <c r="AB282" s="183" t="inlineStr">
        <is>
          <t>Directory or search listing; not opened (direct site access blocked)</t>
        </is>
      </c>
      <c r="AC282" s="183" t="inlineStr">
        <is>
          <t>No expired licence or ended distribution agreement found</t>
        </is>
      </c>
      <c r="AD282" s="183" t="inlineStr">
        <is>
          <t>Not started</t>
        </is>
      </c>
      <c r="AE282" s="183" t="inlineStr"/>
      <c r="AF282" s="183" t="inlineStr"/>
      <c r="AG282" s="183" t="inlineStr">
        <is>
          <t>No email published and no verified website found</t>
        </is>
      </c>
    </row>
    <row r="283">
      <c r="A283" s="183" t="n">
        <v>279</v>
      </c>
      <c r="B283" s="183" t="inlineStr">
        <is>
          <t>Sigma (Sendai)</t>
        </is>
      </c>
      <c r="C283" s="183" t="inlineStr">
        <is>
          <t>シグマ</t>
        </is>
      </c>
      <c r="D283" s="183" t="inlineStr">
        <is>
          <t>Not retrieved (NTA lookup blocked in this session)</t>
        </is>
      </c>
      <c r="E283" s="183" t="inlineStr">
        <is>
          <t>宮城県</t>
        </is>
      </c>
      <c r="F283" s="183" t="inlineStr">
        <is>
          <t>Tohoku and Hokkaido</t>
        </is>
      </c>
      <c r="G283" s="183" t="inlineStr">
        <is>
          <t>https://www.sigmainc.site/</t>
        </is>
      </c>
      <c r="H283" s="183" t="inlineStr">
        <is>
          <t>No MAH found; device sales licence (高度管理医療機器等販売業) not confirmed</t>
        </is>
      </c>
      <c r="I283" s="183" t="inlineStr">
        <is>
          <t>Not identified in published sources</t>
        </is>
      </c>
      <c r="J283" s="183" t="inlineStr">
        <is>
          <t>Pharma distribution</t>
        </is>
      </c>
      <c r="K283" s="183" t="inlineStr">
        <is>
          <t>宮城県 (regional; branch network not confirmed)</t>
        </is>
      </c>
      <c r="L283" s="183" t="inlineStr">
        <is>
          <t>Not found</t>
        </is>
      </c>
      <c r="M283" s="183" t="inlineStr">
        <is>
          <t>Not identified</t>
        </is>
      </c>
      <c r="N283" s="183" t="inlineStr">
        <is>
          <t>Not identified</t>
        </is>
      </c>
      <c r="O283" s="183" t="inlineStr">
        <is>
          <t>Not published; use contact form</t>
        </is>
      </c>
      <c r="P283" s="183" t="inlineStr">
        <is>
          <t>Not confirmed</t>
        </is>
      </c>
      <c r="Q283" s="183" t="inlineStr">
        <is>
          <t>Not identified</t>
        </is>
      </c>
      <c r="R283" s="184" t="inlineStr">
        <is>
          <t>Likely</t>
        </is>
      </c>
      <c r="S283" s="183" t="n">
        <v>17</v>
      </c>
      <c r="T283" s="189" t="inlineStr">
        <is>
          <t>C</t>
        </is>
      </c>
      <c r="U283" s="183" t="inlineStr">
        <is>
          <t>Regional general medical equipment dealer with hospital and clinic accounts; candidate sub dealer under a national MAH partner.</t>
        </is>
      </c>
      <c r="V283" s="183" t="inlineStr">
        <is>
          <t>Introduce CHISON as a future line through a national MAH partner; ask about their hospital and clinic coverage, service engineers and openness to non Japanese brands.</t>
        </is>
      </c>
      <c r="W283" s="183" t="inlineStr">
        <is>
          <t>N (not identified)</t>
        </is>
      </c>
      <c r="X283" s="186" t="inlineStr">
        <is>
          <t>https://baseconnect.in/companies/prefecture/3eff90d1-0bad-4fac-bce6-da9b939d7407/keyword/89941b4e-2dd1-4848-8957-48af280a31e0</t>
        </is>
      </c>
      <c r="Y283" s="183" t="inlineStr">
        <is>
          <t>SonoEye P3 plus SonoAir 30 for GP and clinic accounts</t>
        </is>
      </c>
      <c r="Z283" s="183" t="inlineStr">
        <is>
          <t>2, 2, 3, 2, 3, 2, 3</t>
        </is>
      </c>
      <c r="AA283" s="183" t="inlineStr">
        <is>
          <t>Not found</t>
        </is>
      </c>
      <c r="AB283" s="183" t="inlineStr">
        <is>
          <t>Directory or search listing; not opened (direct site access blocked)</t>
        </is>
      </c>
      <c r="AC283" s="183" t="inlineStr">
        <is>
          <t>No expired licence or ended distribution agreement found</t>
        </is>
      </c>
      <c r="AD283" s="183" t="inlineStr">
        <is>
          <t>Not started</t>
        </is>
      </c>
      <c r="AE283" s="183" t="inlineStr"/>
      <c r="AF283" s="183" t="inlineStr">
        <is>
          <t>https://www.sigmainc.site/contact.html</t>
        </is>
      </c>
      <c r="AG283" s="183" t="inlineStr">
        <is>
          <t>No email published; use the contact form (link in Email source)</t>
        </is>
      </c>
    </row>
    <row r="284">
      <c r="A284" s="183" t="n">
        <v>280</v>
      </c>
      <c r="B284" s="183" t="inlineStr">
        <is>
          <t>Merio</t>
        </is>
      </c>
      <c r="C284" s="183" t="inlineStr">
        <is>
          <t>メリオ</t>
        </is>
      </c>
      <c r="D284" s="183" t="inlineStr">
        <is>
          <t>Not retrieved (NTA lookup blocked in this session)</t>
        </is>
      </c>
      <c r="E284" s="183" t="inlineStr">
        <is>
          <t>岡山県</t>
        </is>
      </c>
      <c r="F284" s="183" t="inlineStr">
        <is>
          <t>Chugoku and Shikoku</t>
        </is>
      </c>
      <c r="G284" s="183" t="inlineStr">
        <is>
          <t>https://www.il-meglio.net/</t>
        </is>
      </c>
      <c r="H284" s="183" t="inlineStr">
        <is>
          <t>No MAH found; device sales licence (高度管理医療機器等販売業) not confirmed</t>
        </is>
      </c>
      <c r="I284" s="183" t="inlineStr">
        <is>
          <t>Not identified in published sources</t>
        </is>
      </c>
      <c r="J284" s="183" t="inlineStr">
        <is>
          <t>General medical equipment (hospitals and clinics)</t>
        </is>
      </c>
      <c r="K284" s="183" t="inlineStr">
        <is>
          <t>岡山県 (regional; branch network not confirmed)</t>
        </is>
      </c>
      <c r="L284" s="183" t="inlineStr">
        <is>
          <t>Not found</t>
        </is>
      </c>
      <c r="M284" s="183" t="inlineStr">
        <is>
          <t>Not identified</t>
        </is>
      </c>
      <c r="N284" s="183" t="inlineStr">
        <is>
          <t>Not identified</t>
        </is>
      </c>
      <c r="O284" s="183" t="inlineStr">
        <is>
          <t>Not published; use contact form</t>
        </is>
      </c>
      <c r="P284" s="183" t="inlineStr">
        <is>
          <t>Not confirmed</t>
        </is>
      </c>
      <c r="Q284" s="183" t="inlineStr">
        <is>
          <t>Not identified</t>
        </is>
      </c>
      <c r="R284" s="184" t="inlineStr">
        <is>
          <t>Likely</t>
        </is>
      </c>
      <c r="S284" s="183" t="n">
        <v>17</v>
      </c>
      <c r="T284" s="189" t="inlineStr">
        <is>
          <t>C</t>
        </is>
      </c>
      <c r="U284" s="183" t="inlineStr">
        <is>
          <t>Regional general medical equipment dealer with hospital and clinic accounts; candidate sub dealer under a national MAH partner.</t>
        </is>
      </c>
      <c r="V284" s="183" t="inlineStr">
        <is>
          <t>Introduce CHISON as a future line through a national MAH partner; ask about their hospital and clinic coverage, service engineers and openness to non Japanese brands.</t>
        </is>
      </c>
      <c r="W284" s="183" t="inlineStr">
        <is>
          <t>N (not identified)</t>
        </is>
      </c>
      <c r="X284" s="186" t="inlineStr">
        <is>
          <t>https://compalyze.co.jp/company/5260001006627 (reconfirm page)</t>
        </is>
      </c>
      <c r="Y284" s="183" t="inlineStr">
        <is>
          <t>SonoEye P3 plus SonoAir 30 for GP and clinic accounts</t>
        </is>
      </c>
      <c r="Z284" s="183" t="inlineStr">
        <is>
          <t>2, 2, 3, 2, 3, 2, 3</t>
        </is>
      </c>
      <c r="AA284" s="183" t="inlineStr">
        <is>
          <t>Not found</t>
        </is>
      </c>
      <c r="AB284" s="183" t="inlineStr">
        <is>
          <t>Directory or search listing; not opened (direct site access blocked)</t>
        </is>
      </c>
      <c r="AC284" s="183" t="inlineStr">
        <is>
          <t>No expired licence or ended distribution agreement found</t>
        </is>
      </c>
      <c r="AD284" s="183" t="inlineStr">
        <is>
          <t>Not started</t>
        </is>
      </c>
      <c r="AE284" s="183" t="inlineStr"/>
      <c r="AF284" s="183" t="inlineStr">
        <is>
          <t>https://www.il-meglio.net</t>
        </is>
      </c>
      <c r="AG284" s="183" t="inlineStr">
        <is>
          <t>No email published; use the contact form (link in Email source)</t>
        </is>
      </c>
    </row>
    <row r="285">
      <c r="A285" s="183" t="n">
        <v>281</v>
      </c>
      <c r="B285" s="183" t="inlineStr">
        <is>
          <t>Amic</t>
        </is>
      </c>
      <c r="C285" s="183" t="inlineStr">
        <is>
          <t>アミック</t>
        </is>
      </c>
      <c r="D285" s="183" t="inlineStr">
        <is>
          <t>Not retrieved (NTA lookup blocked in this session)</t>
        </is>
      </c>
      <c r="E285" s="183" t="inlineStr">
        <is>
          <t>岡山県</t>
        </is>
      </c>
      <c r="F285" s="183" t="inlineStr">
        <is>
          <t>Chugoku and Shikoku</t>
        </is>
      </c>
      <c r="G285" s="183" t="inlineStr">
        <is>
          <t>https://www.ammic.co.jp/</t>
        </is>
      </c>
      <c r="H285" s="183" t="inlineStr">
        <is>
          <t>No MAH found; device sales licence (高度管理医療機器等販売業) not confirmed</t>
        </is>
      </c>
      <c r="I285" s="183" t="inlineStr">
        <is>
          <t>Not identified in published sources</t>
        </is>
      </c>
      <c r="J285" s="183" t="inlineStr">
        <is>
          <t>Dialysis</t>
        </is>
      </c>
      <c r="K285" s="183" t="inlineStr">
        <is>
          <t>岡山県 (regional; branch network not confirmed)</t>
        </is>
      </c>
      <c r="L285" s="183" t="inlineStr">
        <is>
          <t>Not found</t>
        </is>
      </c>
      <c r="M285" s="183" t="inlineStr">
        <is>
          <t>Not identified</t>
        </is>
      </c>
      <c r="N285" s="183" t="inlineStr">
        <is>
          <t>Not identified</t>
        </is>
      </c>
      <c r="O285" s="183" t="inlineStr">
        <is>
          <t>Not published; use contact form</t>
        </is>
      </c>
      <c r="P285" s="183" t="inlineStr">
        <is>
          <t>Not confirmed</t>
        </is>
      </c>
      <c r="Q285" s="183" t="inlineStr">
        <is>
          <t>Not identified</t>
        </is>
      </c>
      <c r="R285" s="184" t="inlineStr">
        <is>
          <t>Likely</t>
        </is>
      </c>
      <c r="S285" s="183" t="n">
        <v>17</v>
      </c>
      <c r="T285" s="189" t="inlineStr">
        <is>
          <t>C</t>
        </is>
      </c>
      <c r="U285" s="183" t="inlineStr">
        <is>
          <t>Regional general medical equipment dealer with hospital and clinic accounts; candidate sub dealer under a national MAH partner.</t>
        </is>
      </c>
      <c r="V285" s="183" t="inlineStr">
        <is>
          <t>Introduce CHISON as a future line through a national MAH partner; ask about their hospital and clinic coverage, service engineers and openness to non Japanese brands.</t>
        </is>
      </c>
      <c r="W285" s="183" t="inlineStr">
        <is>
          <t>N (not identified)</t>
        </is>
      </c>
      <c r="X285" s="186" t="inlineStr">
        <is>
          <t>https://baseconnect.in/companies/prefecture/cd00efe9-63bc-49a2-846e-3cfd4bca7207/keyword/89941b4e-2dd1-4848-8957-48af280a31e0</t>
        </is>
      </c>
      <c r="Y285" s="183" t="inlineStr">
        <is>
          <t>SonoEye P3 for AV fistula and vascular access checks</t>
        </is>
      </c>
      <c r="Z285" s="183" t="inlineStr">
        <is>
          <t>2, 2, 3, 2, 3, 2, 3</t>
        </is>
      </c>
      <c r="AA285" s="183" t="inlineStr">
        <is>
          <t>Not found</t>
        </is>
      </c>
      <c r="AB285" s="183" t="inlineStr">
        <is>
          <t>Directory or search listing; not opened (direct site access blocked)</t>
        </is>
      </c>
      <c r="AC285" s="183" t="inlineStr">
        <is>
          <t>No expired licence or ended distribution agreement found</t>
        </is>
      </c>
      <c r="AD285" s="183" t="inlineStr">
        <is>
          <t>Not started</t>
        </is>
      </c>
      <c r="AE285" s="183" t="inlineStr"/>
      <c r="AF285" s="183" t="inlineStr">
        <is>
          <t>https://www.ammic.co.jp/contact.html</t>
        </is>
      </c>
      <c r="AG285" s="183" t="inlineStr">
        <is>
          <t>No email published; use the contact form (link in Email source)</t>
        </is>
      </c>
    </row>
    <row r="286">
      <c r="A286" s="183" t="n">
        <v>282</v>
      </c>
      <c r="B286" s="183" t="inlineStr">
        <is>
          <t>Akashi Ika Kikaiten</t>
        </is>
      </c>
      <c r="C286" s="183" t="inlineStr">
        <is>
          <t>明石医科器械店</t>
        </is>
      </c>
      <c r="D286" s="183" t="inlineStr">
        <is>
          <t>Not retrieved (NTA lookup blocked in this session)</t>
        </is>
      </c>
      <c r="E286" s="183" t="inlineStr">
        <is>
          <t>島根県</t>
        </is>
      </c>
      <c r="F286" s="183" t="inlineStr">
        <is>
          <t>Chugoku and Shikoku</t>
        </is>
      </c>
      <c r="G286" s="183" t="inlineStr">
        <is>
          <t>Not confirmed (company site not opened; network policy blocked direct access)</t>
        </is>
      </c>
      <c r="H286" s="183" t="inlineStr">
        <is>
          <t>No MAH found; device sales licence (高度管理医療機器等販売業) not confirmed</t>
        </is>
      </c>
      <c r="I286" s="183" t="inlineStr">
        <is>
          <t>Not identified in published sources</t>
        </is>
      </c>
      <c r="J286" s="183" t="inlineStr">
        <is>
          <t>General medical equipment (hospitals and clinics)</t>
        </is>
      </c>
      <c r="K286" s="183" t="inlineStr">
        <is>
          <t>島根県 (regional; branch network not confirmed)</t>
        </is>
      </c>
      <c r="L286" s="183" t="inlineStr">
        <is>
          <t>Not found</t>
        </is>
      </c>
      <c r="M286" s="183" t="inlineStr">
        <is>
          <t>Not identified</t>
        </is>
      </c>
      <c r="N286" s="183" t="inlineStr">
        <is>
          <t>Not identified</t>
        </is>
      </c>
      <c r="O286" s="183" t="inlineStr">
        <is>
          <t>Not published; use company inquiry form</t>
        </is>
      </c>
      <c r="P286" s="183" t="inlineStr">
        <is>
          <t>Not confirmed</t>
        </is>
      </c>
      <c r="Q286" s="183" t="inlineStr">
        <is>
          <t>Not identified</t>
        </is>
      </c>
      <c r="R286" s="184" t="inlineStr">
        <is>
          <t>Unverified</t>
        </is>
      </c>
      <c r="S286" s="183" t="n">
        <v>17</v>
      </c>
      <c r="T286" s="189" t="inlineStr">
        <is>
          <t>C</t>
        </is>
      </c>
      <c r="U286" s="183" t="inlineStr">
        <is>
          <t>Regional general medical equipment dealer with hospital and clinic accounts; candidate sub dealer under a national MAH partner.</t>
        </is>
      </c>
      <c r="V286" s="183" t="inlineStr">
        <is>
          <t>Introduce CHISON as a future line through a national MAH partner; ask about their hospital and clinic coverage, service engineers and openness to non Japanese brands.</t>
        </is>
      </c>
      <c r="W286" s="183" t="inlineStr">
        <is>
          <t>N (not identified)</t>
        </is>
      </c>
      <c r="X286" s="186" t="inlineStr">
        <is>
          <t>https://baseconnect.in/companies/prefecture/2466a71e-a675-4184-bf2b-a9d3122e4400/category/b2358a1c-c4c6-46f4-a0b1-dee3a1b30a0b</t>
        </is>
      </c>
      <c r="Y286" s="183" t="inlineStr">
        <is>
          <t>SonoEye P3 plus SonoAir 30 for GP and clinic accounts</t>
        </is>
      </c>
      <c r="Z286" s="183" t="inlineStr">
        <is>
          <t>2, 2, 3, 3, 2, 2, 3</t>
        </is>
      </c>
      <c r="AA286" s="183" t="inlineStr">
        <is>
          <t>Not found</t>
        </is>
      </c>
      <c r="AB286" s="183" t="inlineStr">
        <is>
          <t>Directory or search listing; not opened (direct site access blocked)</t>
        </is>
      </c>
      <c r="AC286" s="183" t="inlineStr">
        <is>
          <t>No expired licence or ended distribution agreement found</t>
        </is>
      </c>
      <c r="AD286" s="183" t="inlineStr">
        <is>
          <t>Not started</t>
        </is>
      </c>
      <c r="AE286" s="183" t="inlineStr"/>
      <c r="AF286" s="183" t="inlineStr"/>
      <c r="AG286" s="183" t="inlineStr">
        <is>
          <t>No email published and no verified website found</t>
        </is>
      </c>
    </row>
    <row r="287">
      <c r="A287" s="183" t="n">
        <v>283</v>
      </c>
      <c r="B287" s="183" t="inlineStr">
        <is>
          <t>Onomichi Iryoki</t>
        </is>
      </c>
      <c r="C287" s="183" t="inlineStr">
        <is>
          <t>尾道医療器</t>
        </is>
      </c>
      <c r="D287" s="183" t="inlineStr">
        <is>
          <t>Not retrieved (NTA lookup blocked in this session)</t>
        </is>
      </c>
      <c r="E287" s="183" t="inlineStr">
        <is>
          <t>広島県</t>
        </is>
      </c>
      <c r="F287" s="183" t="inlineStr">
        <is>
          <t>Chugoku and Shikoku</t>
        </is>
      </c>
      <c r="G287" s="183" t="inlineStr">
        <is>
          <t>https://onomichi-iryoki.co.jp/</t>
        </is>
      </c>
      <c r="H287" s="183" t="inlineStr">
        <is>
          <t>No MAH found; device sales licence (高度管理医療機器等販売業) not confirmed</t>
        </is>
      </c>
      <c r="I287" s="183" t="inlineStr">
        <is>
          <t>Not identified in published sources</t>
        </is>
      </c>
      <c r="J287" s="183" t="inlineStr">
        <is>
          <t>General medical equipment (hospitals and clinics)</t>
        </is>
      </c>
      <c r="K287" s="183" t="inlineStr">
        <is>
          <t>広島県 (regional; branch network not confirmed)</t>
        </is>
      </c>
      <c r="L287" s="183" t="inlineStr">
        <is>
          <t>Not found</t>
        </is>
      </c>
      <c r="M287" s="183" t="inlineStr">
        <is>
          <t>Not identified</t>
        </is>
      </c>
      <c r="N287" s="183" t="inlineStr">
        <is>
          <t>Not identified</t>
        </is>
      </c>
      <c r="O287" s="183" t="inlineStr">
        <is>
          <t>Not published; use contact form</t>
        </is>
      </c>
      <c r="P287" s="183" t="inlineStr">
        <is>
          <t>Not confirmed</t>
        </is>
      </c>
      <c r="Q287" s="183" t="inlineStr">
        <is>
          <t>Not identified</t>
        </is>
      </c>
      <c r="R287" s="184" t="inlineStr">
        <is>
          <t>Likely</t>
        </is>
      </c>
      <c r="S287" s="183" t="n">
        <v>17</v>
      </c>
      <c r="T287" s="189" t="inlineStr">
        <is>
          <t>C</t>
        </is>
      </c>
      <c r="U287" s="183" t="inlineStr">
        <is>
          <t>Regional general medical equipment dealer with hospital and clinic accounts; candidate sub dealer under a national MAH partner.</t>
        </is>
      </c>
      <c r="V287" s="183" t="inlineStr">
        <is>
          <t>Introduce CHISON as a future line through a national MAH partner; ask about their hospital and clinic coverage, service engineers and openness to non Japanese brands.</t>
        </is>
      </c>
      <c r="W287" s="183" t="inlineStr">
        <is>
          <t>N (not identified)</t>
        </is>
      </c>
      <c r="X287" s="186" t="inlineStr">
        <is>
          <t>https://baseconnect.in/companies/prefecture/3562c231-08e3-43af-8765-2077382c0c10/keyword/6afa1771-8d91-440c-86b0-ba8538b7bf9a</t>
        </is>
      </c>
      <c r="Y287" s="183" t="inlineStr">
        <is>
          <t>SonoEye P3 plus SonoAir 30 for GP and clinic accounts</t>
        </is>
      </c>
      <c r="Z287" s="183" t="inlineStr">
        <is>
          <t>2, 2, 3, 2, 3, 2, 3</t>
        </is>
      </c>
      <c r="AA287" s="183" t="inlineStr">
        <is>
          <t>Not found</t>
        </is>
      </c>
      <c r="AB287" s="183" t="inlineStr">
        <is>
          <t>Directory or search listing; not opened (direct site access blocked)</t>
        </is>
      </c>
      <c r="AC287" s="183" t="inlineStr">
        <is>
          <t>No expired licence or ended distribution agreement found</t>
        </is>
      </c>
      <c r="AD287" s="183" t="inlineStr">
        <is>
          <t>Not started</t>
        </is>
      </c>
      <c r="AE287" s="183" t="inlineStr"/>
      <c r="AF287" s="183" t="inlineStr">
        <is>
          <t>https://onomichi-iryoki.co.jp/?page_id=25</t>
        </is>
      </c>
      <c r="AG287" s="183" t="inlineStr">
        <is>
          <t>No email published; use the contact form (link in Email source)</t>
        </is>
      </c>
    </row>
    <row r="288">
      <c r="A288" s="183" t="n">
        <v>284</v>
      </c>
      <c r="B288" s="183" t="inlineStr">
        <is>
          <t>Sanas</t>
        </is>
      </c>
      <c r="C288" s="183" t="inlineStr">
        <is>
          <t>サナス</t>
        </is>
      </c>
      <c r="D288" s="183" t="inlineStr">
        <is>
          <t>Not retrieved (NTA lookup blocked in this session)</t>
        </is>
      </c>
      <c r="E288" s="183" t="inlineStr">
        <is>
          <t>徳島県</t>
        </is>
      </c>
      <c r="F288" s="183" t="inlineStr">
        <is>
          <t>Chugoku and Shikoku</t>
        </is>
      </c>
      <c r="G288" s="183" t="inlineStr">
        <is>
          <t>https://www.sunus.co.jp/</t>
        </is>
      </c>
      <c r="H288" s="183" t="inlineStr">
        <is>
          <t>No MAH found; device sales licence (高度管理医療機器等販売業) not confirmed</t>
        </is>
      </c>
      <c r="I288" s="183" t="inlineStr">
        <is>
          <t>Not identified in published sources</t>
        </is>
      </c>
      <c r="J288" s="183" t="inlineStr">
        <is>
          <t>Emergency and disaster, Dialysis</t>
        </is>
      </c>
      <c r="K288" s="183" t="inlineStr">
        <is>
          <t>徳島県 (regional; branch network not confirmed)</t>
        </is>
      </c>
      <c r="L288" s="183" t="inlineStr">
        <is>
          <t>Not found</t>
        </is>
      </c>
      <c r="M288" s="183" t="inlineStr">
        <is>
          <t>Not identified</t>
        </is>
      </c>
      <c r="N288" s="183" t="inlineStr">
        <is>
          <t>Not identified</t>
        </is>
      </c>
      <c r="O288" s="183" t="inlineStr">
        <is>
          <t>Not published; use contact form</t>
        </is>
      </c>
      <c r="P288" s="183" t="inlineStr">
        <is>
          <t>Not confirmed</t>
        </is>
      </c>
      <c r="Q288" s="183" t="inlineStr">
        <is>
          <t>Not identified</t>
        </is>
      </c>
      <c r="R288" s="184" t="inlineStr">
        <is>
          <t>Likely</t>
        </is>
      </c>
      <c r="S288" s="183" t="n">
        <v>17</v>
      </c>
      <c r="T288" s="189" t="inlineStr">
        <is>
          <t>C</t>
        </is>
      </c>
      <c r="U288" s="183" t="inlineStr">
        <is>
          <t>Regional general medical equipment dealer with hospital and clinic accounts; candidate sub dealer under a national MAH partner.</t>
        </is>
      </c>
      <c r="V288" s="183" t="inlineStr">
        <is>
          <t>Introduce CHISON as a future line through a national MAH partner; ask about their hospital and clinic coverage, service engineers and openness to non Japanese brands.</t>
        </is>
      </c>
      <c r="W288" s="183" t="inlineStr">
        <is>
          <t>N (not identified)</t>
        </is>
      </c>
      <c r="X288" s="186" t="inlineStr">
        <is>
          <t>https://baseconnect.in/companies/prefecture/22e3a90e-e956-4cce-bd1b-bdc8b44fc75f/category/b2358a1c-c4c6-46f4-a0b1-dee3a1b30a0b</t>
        </is>
      </c>
      <c r="Y288" s="183" t="inlineStr">
        <is>
          <t>SonoEye P3 for FAST, lung and vascular access (POCUS)</t>
        </is>
      </c>
      <c r="Z288" s="183" t="inlineStr">
        <is>
          <t>2, 2, 3, 2, 3, 2, 3</t>
        </is>
      </c>
      <c r="AA288" s="183" t="inlineStr">
        <is>
          <t>Not found</t>
        </is>
      </c>
      <c r="AB288" s="183" t="inlineStr">
        <is>
          <t>Directory or search listing; not opened (direct site access blocked)</t>
        </is>
      </c>
      <c r="AC288" s="183" t="inlineStr">
        <is>
          <t>No expired licence or ended distribution agreement found</t>
        </is>
      </c>
      <c r="AD288" s="183" t="inlineStr">
        <is>
          <t>Not started</t>
        </is>
      </c>
      <c r="AE288" s="183" t="inlineStr"/>
      <c r="AF288" s="183" t="inlineStr">
        <is>
          <t>https://www.sunus.co.jp/contact/</t>
        </is>
      </c>
      <c r="AG288" s="183" t="inlineStr">
        <is>
          <t>No email published; use the contact form (link in Email source)</t>
        </is>
      </c>
    </row>
    <row r="289">
      <c r="A289" s="183" t="n">
        <v>285</v>
      </c>
      <c r="B289" s="183" t="inlineStr">
        <is>
          <t>Matsuda Medical</t>
        </is>
      </c>
      <c r="C289" s="183" t="inlineStr">
        <is>
          <t>松田メディカル</t>
        </is>
      </c>
      <c r="D289" s="183" t="inlineStr">
        <is>
          <t>Not retrieved (NTA lookup blocked in this session)</t>
        </is>
      </c>
      <c r="E289" s="183" t="inlineStr">
        <is>
          <t>高知県</t>
        </is>
      </c>
      <c r="F289" s="183" t="inlineStr">
        <is>
          <t>Chugoku and Shikoku</t>
        </is>
      </c>
      <c r="G289" s="183" t="inlineStr">
        <is>
          <t>Not confirmed (company site not opened; network policy blocked direct access)</t>
        </is>
      </c>
      <c r="H289" s="183" t="inlineStr">
        <is>
          <t>No MAH found; device sales licence (高度管理医療機器等販売業) not confirmed</t>
        </is>
      </c>
      <c r="I289" s="183" t="inlineStr">
        <is>
          <t>Not identified in published sources</t>
        </is>
      </c>
      <c r="J289" s="183" t="inlineStr">
        <is>
          <t>General medical equipment (hospitals and clinics)</t>
        </is>
      </c>
      <c r="K289" s="183" t="inlineStr">
        <is>
          <t>高知県 (regional; branch network not confirmed)</t>
        </is>
      </c>
      <c r="L289" s="183" t="inlineStr">
        <is>
          <t>Not found</t>
        </is>
      </c>
      <c r="M289" s="183" t="inlineStr">
        <is>
          <t>Not identified</t>
        </is>
      </c>
      <c r="N289" s="183" t="inlineStr">
        <is>
          <t>Not identified</t>
        </is>
      </c>
      <c r="O289" s="183" t="inlineStr">
        <is>
          <t>Not published; use company inquiry form</t>
        </is>
      </c>
      <c r="P289" s="183" t="inlineStr">
        <is>
          <t>Not confirmed</t>
        </is>
      </c>
      <c r="Q289" s="183" t="inlineStr">
        <is>
          <t>Not identified</t>
        </is>
      </c>
      <c r="R289" s="184" t="inlineStr">
        <is>
          <t>Unverified</t>
        </is>
      </c>
      <c r="S289" s="183" t="n">
        <v>17</v>
      </c>
      <c r="T289" s="189" t="inlineStr">
        <is>
          <t>C</t>
        </is>
      </c>
      <c r="U289" s="183" t="inlineStr">
        <is>
          <t>Regional general medical equipment dealer with hospital and clinic accounts; candidate sub dealer under a national MAH partner.</t>
        </is>
      </c>
      <c r="V289" s="183" t="inlineStr">
        <is>
          <t>Introduce CHISON as a future line through a national MAH partner; ask about their hospital and clinic coverage, service engineers and openness to non Japanese brands.</t>
        </is>
      </c>
      <c r="W289" s="183" t="inlineStr">
        <is>
          <t>N (not identified)</t>
        </is>
      </c>
      <c r="X289" s="186" t="inlineStr">
        <is>
          <t>https://baseconnect.in/companies/prefecture/f533238c-06e6-46f9-9508-cbe03ad6754f/category/b2358a1c-c4c6-46f4-a0b1-dee3a1b30a0b</t>
        </is>
      </c>
      <c r="Y289" s="183" t="inlineStr">
        <is>
          <t>SonoEye P3 plus SonoAir 30 for GP and clinic accounts</t>
        </is>
      </c>
      <c r="Z289" s="183" t="inlineStr">
        <is>
          <t>2, 2, 3, 3, 2, 2, 3</t>
        </is>
      </c>
      <c r="AA289" s="183" t="inlineStr">
        <is>
          <t>Not found</t>
        </is>
      </c>
      <c r="AB289" s="183" t="inlineStr">
        <is>
          <t>Directory or search listing; not opened (direct site access blocked)</t>
        </is>
      </c>
      <c r="AC289" s="183" t="inlineStr">
        <is>
          <t>No expired licence or ended distribution agreement found</t>
        </is>
      </c>
      <c r="AD289" s="183" t="inlineStr">
        <is>
          <t>Not started</t>
        </is>
      </c>
      <c r="AE289" s="183" t="inlineStr"/>
      <c r="AF289" s="183" t="inlineStr"/>
      <c r="AG289" s="183" t="inlineStr">
        <is>
          <t>No email published and no verified website found</t>
        </is>
      </c>
    </row>
    <row r="290">
      <c r="A290" s="183" t="n">
        <v>286</v>
      </c>
      <c r="B290" s="183" t="inlineStr">
        <is>
          <t>Isobe Medical</t>
        </is>
      </c>
      <c r="C290" s="183" t="inlineStr">
        <is>
          <t>イソベメディカル</t>
        </is>
      </c>
      <c r="D290" s="183" t="inlineStr">
        <is>
          <t>Not retrieved (NTA lookup blocked in this session)</t>
        </is>
      </c>
      <c r="E290" s="183" t="inlineStr">
        <is>
          <t>埼玉県</t>
        </is>
      </c>
      <c r="F290" s="183" t="inlineStr">
        <is>
          <t>Kanto</t>
        </is>
      </c>
      <c r="G290" s="183" t="inlineStr">
        <is>
          <t>Not confirmed (company site not opened; network policy blocked direct access)</t>
        </is>
      </c>
      <c r="H290" s="183" t="inlineStr">
        <is>
          <t>No MAH found; device sales licence (高度管理医療機器等販売業) not confirmed</t>
        </is>
      </c>
      <c r="I290" s="183" t="inlineStr">
        <is>
          <t>Not identified in published sources</t>
        </is>
      </c>
      <c r="J290" s="183" t="inlineStr">
        <is>
          <t>Emergency and disaster, Orthopaedics and rehab</t>
        </is>
      </c>
      <c r="K290" s="183" t="inlineStr">
        <is>
          <t>埼玉県 (regional; branch network not confirmed)</t>
        </is>
      </c>
      <c r="L290" s="183" t="inlineStr">
        <is>
          <t>Not found</t>
        </is>
      </c>
      <c r="M290" s="183" t="inlineStr">
        <is>
          <t>Not identified</t>
        </is>
      </c>
      <c r="N290" s="183" t="inlineStr">
        <is>
          <t>Not identified</t>
        </is>
      </c>
      <c r="O290" s="183" t="inlineStr">
        <is>
          <t>Not published; use company inquiry form</t>
        </is>
      </c>
      <c r="P290" s="183" t="inlineStr">
        <is>
          <t>Not confirmed</t>
        </is>
      </c>
      <c r="Q290" s="183" t="inlineStr">
        <is>
          <t>Not identified</t>
        </is>
      </c>
      <c r="R290" s="184" t="inlineStr">
        <is>
          <t>Unverified</t>
        </is>
      </c>
      <c r="S290" s="183" t="n">
        <v>16</v>
      </c>
      <c r="T290" s="189" t="inlineStr">
        <is>
          <t>C</t>
        </is>
      </c>
      <c r="U290" s="183" t="inlineStr">
        <is>
          <t>Regional general medical equipment dealer with hospital and clinic accounts; candidate sub dealer under a national MAH partner.</t>
        </is>
      </c>
      <c r="V290" s="183" t="inlineStr">
        <is>
          <t>Introduce CHISON as a future line through a national MAH partner; ask about their hospital and clinic coverage, service engineers and openness to non Japanese brands.</t>
        </is>
      </c>
      <c r="W290" s="183" t="inlineStr">
        <is>
          <t>N (not identified)</t>
        </is>
      </c>
      <c r="X290" s="186" t="inlineStr">
        <is>
          <t>https://baseconnect.in/companies/prefecture/5b2e6d00-cfba-4d0b-850d-54757e4b4d7f/keyword/89941b4e-2dd1-4848-8957-48af280a31e0</t>
        </is>
      </c>
      <c r="Y290" s="183" t="inlineStr">
        <is>
          <t>SonoEye P3 for FAST, lung and vascular access (POCUS)</t>
        </is>
      </c>
      <c r="Z290" s="183" t="inlineStr">
        <is>
          <t>2, 2, 3, 2, 2, 2, 3</t>
        </is>
      </c>
      <c r="AA290" s="183" t="inlineStr">
        <is>
          <t>Not found</t>
        </is>
      </c>
      <c r="AB290" s="183" t="inlineStr">
        <is>
          <t>Directory or search listing; not opened (direct site access blocked)</t>
        </is>
      </c>
      <c r="AC290" s="183" t="inlineStr">
        <is>
          <t>No expired licence or ended distribution agreement found</t>
        </is>
      </c>
      <c r="AD290" s="183" t="inlineStr">
        <is>
          <t>Not started</t>
        </is>
      </c>
      <c r="AE290" s="183" t="inlineStr"/>
      <c r="AF290" s="183" t="inlineStr"/>
      <c r="AG290" s="183" t="inlineStr">
        <is>
          <t>No email published and no verified website found</t>
        </is>
      </c>
    </row>
    <row r="291">
      <c r="A291" s="183" t="n">
        <v>287</v>
      </c>
      <c r="B291" s="183" t="inlineStr">
        <is>
          <t>Mastre Medical</t>
        </is>
      </c>
      <c r="C291" s="183" t="inlineStr">
        <is>
          <t>マストレメディカル</t>
        </is>
      </c>
      <c r="D291" s="183" t="inlineStr">
        <is>
          <t>Not retrieved (NTA lookup blocked in this session)</t>
        </is>
      </c>
      <c r="E291" s="183" t="inlineStr">
        <is>
          <t>静岡県</t>
        </is>
      </c>
      <c r="F291" s="183" t="inlineStr">
        <is>
          <t>Chubu</t>
        </is>
      </c>
      <c r="G291" s="183" t="inlineStr">
        <is>
          <t>https://www.masutore.co.jp/</t>
        </is>
      </c>
      <c r="H291" s="183" t="inlineStr">
        <is>
          <t>No MAH found; device sales licence (高度管理医療機器等販売業) not confirmed</t>
        </is>
      </c>
      <c r="I291" s="183" t="inlineStr">
        <is>
          <t>Not identified in published sources</t>
        </is>
      </c>
      <c r="J291" s="183" t="inlineStr">
        <is>
          <t>Welfare and care</t>
        </is>
      </c>
      <c r="K291" s="183" t="inlineStr">
        <is>
          <t>静岡県 (regional; branch network not confirmed)</t>
        </is>
      </c>
      <c r="L291" s="183" t="inlineStr">
        <is>
          <t>Not found</t>
        </is>
      </c>
      <c r="M291" s="183" t="inlineStr">
        <is>
          <t>Not identified</t>
        </is>
      </c>
      <c r="N291" s="183" t="inlineStr">
        <is>
          <t>Not identified</t>
        </is>
      </c>
      <c r="O291" s="183" t="inlineStr">
        <is>
          <t>Not published; use contact form</t>
        </is>
      </c>
      <c r="P291" s="183" t="inlineStr">
        <is>
          <t>Not confirmed</t>
        </is>
      </c>
      <c r="Q291" s="183" t="inlineStr">
        <is>
          <t>Not identified</t>
        </is>
      </c>
      <c r="R291" s="184" t="inlineStr">
        <is>
          <t>Likely</t>
        </is>
      </c>
      <c r="S291" s="183" t="n">
        <v>16</v>
      </c>
      <c r="T291" s="189" t="inlineStr">
        <is>
          <t>C</t>
        </is>
      </c>
      <c r="U291" s="183" t="inlineStr">
        <is>
          <t>Low fit: mainly welfare or care equipment; only for home care handheld use.</t>
        </is>
      </c>
      <c r="V291" s="183" t="inlineStr">
        <is>
          <t>Introduce CHISON as a future line through a national MAH partner; ask about their hospital and clinic coverage, service engineers and openness to non Japanese brands.</t>
        </is>
      </c>
      <c r="W291" s="183" t="inlineStr">
        <is>
          <t>N (not identified)</t>
        </is>
      </c>
      <c r="X291" s="186" t="inlineStr">
        <is>
          <t>https://i.ansinkaigo.jp/shokai/home-care/welfare-equipment/132088</t>
        </is>
      </c>
      <c r="Y291" s="183" t="inlineStr">
        <is>
          <t>SonoEye P5 for home visit doctors (在宅医療)</t>
        </is>
      </c>
      <c r="Z291" s="183" t="inlineStr">
        <is>
          <t>2, 1, 3, 2, 3, 2, 3</t>
        </is>
      </c>
      <c r="AA291" s="183" t="inlineStr">
        <is>
          <t>Not found</t>
        </is>
      </c>
      <c r="AB291" s="183" t="inlineStr">
        <is>
          <t>Verified in 10% recheck. Correction: core business is welfare equipment, low fit</t>
        </is>
      </c>
      <c r="AC291" s="183" t="inlineStr">
        <is>
          <t>No expired licence or ended distribution agreement found</t>
        </is>
      </c>
      <c r="AD291" s="183" t="inlineStr">
        <is>
          <t>Not started</t>
        </is>
      </c>
      <c r="AE291" s="183" t="inlineStr"/>
      <c r="AF291" s="183" t="inlineStr">
        <is>
          <t>https://www.masutore.co.jp/cgi-bin/contact/form.cgi</t>
        </is>
      </c>
      <c r="AG291" s="183" t="inlineStr">
        <is>
          <t>No email published; use the contact form (link in Email source)</t>
        </is>
      </c>
    </row>
    <row r="292">
      <c r="A292" s="183" t="n">
        <v>288</v>
      </c>
      <c r="B292" s="183" t="inlineStr">
        <is>
          <t>PMS (Matsue)</t>
        </is>
      </c>
      <c r="C292" s="183" t="inlineStr">
        <is>
          <t>ピー・エム・エス</t>
        </is>
      </c>
      <c r="D292" s="183" t="inlineStr">
        <is>
          <t>Not retrieved (NTA lookup blocked in this session)</t>
        </is>
      </c>
      <c r="E292" s="183" t="inlineStr">
        <is>
          <t>島根県</t>
        </is>
      </c>
      <c r="F292" s="183" t="inlineStr">
        <is>
          <t>Chugoku and Shikoku</t>
        </is>
      </c>
      <c r="G292" s="183" t="inlineStr">
        <is>
          <t>http://pms-v.com/</t>
        </is>
      </c>
      <c r="H292" s="183" t="inlineStr">
        <is>
          <t>No MAH found; device sales licence (高度管理医療機器等販売業) not confirmed</t>
        </is>
      </c>
      <c r="I292" s="183" t="inlineStr">
        <is>
          <t>Not identified in published sources</t>
        </is>
      </c>
      <c r="J292" s="183" t="inlineStr">
        <is>
          <t>Welfare and care</t>
        </is>
      </c>
      <c r="K292" s="183" t="inlineStr">
        <is>
          <t>島根県; Matsue Izumo Yasugi</t>
        </is>
      </c>
      <c r="L292" s="183" t="inlineStr">
        <is>
          <t>Not found</t>
        </is>
      </c>
      <c r="M292" s="183" t="inlineStr">
        <is>
          <t>Not identified</t>
        </is>
      </c>
      <c r="N292" s="183" t="inlineStr">
        <is>
          <t>Not identified</t>
        </is>
      </c>
      <c r="O292" s="183" t="inlineStr">
        <is>
          <t>Not published; use contact form</t>
        </is>
      </c>
      <c r="P292" s="183" t="inlineStr">
        <is>
          <t>Not confirmed</t>
        </is>
      </c>
      <c r="Q292" s="183" t="inlineStr">
        <is>
          <t>Not identified</t>
        </is>
      </c>
      <c r="R292" s="184" t="inlineStr">
        <is>
          <t>Likely</t>
        </is>
      </c>
      <c r="S292" s="183" t="n">
        <v>16</v>
      </c>
      <c r="T292" s="189" t="inlineStr">
        <is>
          <t>C</t>
        </is>
      </c>
      <c r="U292" s="183" t="inlineStr">
        <is>
          <t>Low fit: mainly welfare or care equipment; only for home care handheld use.</t>
        </is>
      </c>
      <c r="V292" s="183" t="inlineStr">
        <is>
          <t>Introduce CHISON as a future line through a national MAH partner; ask about their hospital and clinic coverage, service engineers and openness to non Japanese brands.</t>
        </is>
      </c>
      <c r="W292" s="183" t="inlineStr">
        <is>
          <t>N (not identified)</t>
        </is>
      </c>
      <c r="X292" s="186" t="inlineStr">
        <is>
          <t>https://i.ansinkaigo.jp/shokai/home-care/welfare-equipment/130946 ; https://baseconnect.in/companies/prefecture/2466a71e-a675-4184-bf2b-a9d3122e4400/category/b2358a1c-c4c6-46f4-a0b1-dee3a1b30a0b</t>
        </is>
      </c>
      <c r="Y292" s="183" t="inlineStr">
        <is>
          <t>SonoEye P5 for home visit doctors (在宅医療)</t>
        </is>
      </c>
      <c r="Z292" s="183" t="inlineStr">
        <is>
          <t>2, 1, 3, 2, 3, 2, 3</t>
        </is>
      </c>
      <c r="AA292" s="183" t="inlineStr">
        <is>
          <t>Not found</t>
        </is>
      </c>
      <c r="AB292" s="183" t="inlineStr">
        <is>
          <t>Verified in 10% recheck. Correction: welfare equipment business, low fit</t>
        </is>
      </c>
      <c r="AC292" s="183" t="inlineStr">
        <is>
          <t>No expired licence or ended distribution agreement found</t>
        </is>
      </c>
      <c r="AD292" s="183" t="inlineStr">
        <is>
          <t>Not started</t>
        </is>
      </c>
      <c r="AE292" s="183" t="inlineStr"/>
      <c r="AF292" s="183" t="inlineStr">
        <is>
          <t>http://pms-v.com/contact/</t>
        </is>
      </c>
      <c r="AG292" s="183" t="inlineStr">
        <is>
          <t>No email published; use the contact form (link in Email source)</t>
        </is>
      </c>
    </row>
    <row r="293"/>
    <row r="294"/>
    <row r="295">
      <c r="B295" s="191" t="inlineStr">
        <is>
          <t>Counts by tier</t>
        </is>
      </c>
    </row>
    <row r="296">
      <c r="B296" s="192" t="inlineStr">
        <is>
          <t>Tier A</t>
        </is>
      </c>
      <c r="C296" s="192">
        <f>COUNTIF(T5:T292,"A")</f>
        <v/>
      </c>
    </row>
    <row r="297">
      <c r="B297" s="192" t="inlineStr">
        <is>
          <t>Tier B</t>
        </is>
      </c>
      <c r="C297" s="192">
        <f>COUNTIF(T5:T292,"B")</f>
        <v/>
      </c>
    </row>
    <row r="298">
      <c r="B298" s="192" t="inlineStr">
        <is>
          <t>Tier C</t>
        </is>
      </c>
      <c r="C298" s="192">
        <f>COUNTIF(T5:T292,"C")</f>
        <v/>
      </c>
    </row>
    <row r="299"/>
    <row r="300">
      <c r="B300" s="191" t="inlineStr">
        <is>
          <t>Counts by region vs quota</t>
        </is>
      </c>
      <c r="C300" s="193" t="inlineStr">
        <is>
          <t>Rows</t>
        </is>
      </c>
      <c r="D300" s="193" t="inlineStr">
        <is>
          <t>Minimum quota</t>
        </is>
      </c>
    </row>
    <row r="301">
      <c r="B301" s="192" t="inlineStr">
        <is>
          <t>Kanto</t>
        </is>
      </c>
      <c r="C301" s="192">
        <f>COUNTIF(F5:F292,"Kanto")</f>
        <v/>
      </c>
      <c r="D301" s="192" t="n">
        <v>75</v>
      </c>
    </row>
    <row r="302">
      <c r="B302" s="192" t="inlineStr">
        <is>
          <t>Kansai</t>
        </is>
      </c>
      <c r="C302" s="192">
        <f>COUNTIF(F5:F292,"Kansai")</f>
        <v/>
      </c>
      <c r="D302" s="192" t="n">
        <v>50</v>
      </c>
    </row>
    <row r="303">
      <c r="B303" s="192" t="inlineStr">
        <is>
          <t>Chubu</t>
        </is>
      </c>
      <c r="C303" s="192">
        <f>COUNTIF(F5:F292,"Chubu")</f>
        <v/>
      </c>
      <c r="D303" s="192" t="n">
        <v>38</v>
      </c>
    </row>
    <row r="304">
      <c r="B304" s="192" t="inlineStr">
        <is>
          <t>Kyushu and Okinawa</t>
        </is>
      </c>
      <c r="C304" s="192">
        <f>COUNTIF(F5:F292,"Kyushu and Okinawa")</f>
        <v/>
      </c>
      <c r="D304" s="192" t="n">
        <v>32</v>
      </c>
    </row>
    <row r="305">
      <c r="B305" s="192" t="inlineStr">
        <is>
          <t>Tohoku and Hokkaido</t>
        </is>
      </c>
      <c r="C305" s="192">
        <f>COUNTIF(F5:F292,"Tohoku and Hokkaido")</f>
        <v/>
      </c>
      <c r="D305" s="192" t="n">
        <v>30</v>
      </c>
    </row>
    <row r="306">
      <c r="B306" s="192" t="inlineStr">
        <is>
          <t>Chugoku and Shikoku</t>
        </is>
      </c>
      <c r="C306" s="192">
        <f>COUNTIF(F5:F292,"Chugoku and Shikoku")</f>
        <v/>
      </c>
      <c r="D306" s="192" t="n">
        <v>25</v>
      </c>
    </row>
    <row r="307"/>
    <row r="308">
      <c r="B308" s="191" t="inlineStr">
        <is>
          <t>Counts by contact confidence</t>
        </is>
      </c>
    </row>
    <row r="309">
      <c r="B309" s="192" t="inlineStr">
        <is>
          <t>Verified</t>
        </is>
      </c>
      <c r="C309" s="192">
        <f>COUNTIF(R5:R292,"Verified")</f>
        <v/>
      </c>
    </row>
    <row r="310">
      <c r="B310" s="192" t="inlineStr">
        <is>
          <t>Likely</t>
        </is>
      </c>
      <c r="C310" s="192">
        <f>COUNTIF(R5:R292,"Likely")</f>
        <v/>
      </c>
    </row>
    <row r="311">
      <c r="B311" s="192" t="inlineStr">
        <is>
          <t>Company inquiry only</t>
        </is>
      </c>
      <c r="C311" s="192">
        <f>COUNTIF(R5:R292,"Company inquiry only")</f>
        <v/>
      </c>
    </row>
    <row r="312">
      <c r="B312" s="192" t="inlineStr">
        <is>
          <t>Unverified</t>
        </is>
      </c>
      <c r="C312" s="192">
        <f>COUNTIF(R5:R292,"Unverified")</f>
        <v/>
      </c>
    </row>
    <row r="313">
      <c r="B313" s="193" t="inlineStr">
        <is>
          <t>Total rows</t>
        </is>
      </c>
      <c r="C313" s="193">
        <f>COUNTA(C5:C292)</f>
        <v/>
      </c>
    </row>
  </sheetData>
  <autoFilter ref="A4:AG292"/>
  <dataValidations count="1">
    <dataValidation sqref="AD5:AD292" showDropDown="0" showInputMessage="0" showErrorMessage="0" allowBlank="1" type="list">
      <formula1>"Not started,Contacted,Meeting booked,Meeting held,Evaluation placed,Quoted,Won,Declined,Parked"</formula1>
    </dataValidation>
  </dataValidations>
  <hyperlinks>
    <hyperlink xmlns:r="http://schemas.openxmlformats.org/officeDocument/2006/relationships" ref="X5" r:id="rId1"/>
    <hyperlink xmlns:r="http://schemas.openxmlformats.org/officeDocument/2006/relationships" ref="X6" r:id="rId2"/>
    <hyperlink xmlns:r="http://schemas.openxmlformats.org/officeDocument/2006/relationships" ref="X7" r:id="rId3"/>
    <hyperlink xmlns:r="http://schemas.openxmlformats.org/officeDocument/2006/relationships" ref="X8" r:id="rId4"/>
    <hyperlink xmlns:r="http://schemas.openxmlformats.org/officeDocument/2006/relationships" ref="X9" r:id="rId5"/>
    <hyperlink xmlns:r="http://schemas.openxmlformats.org/officeDocument/2006/relationships" ref="G10" r:id="rId6"/>
    <hyperlink xmlns:r="http://schemas.openxmlformats.org/officeDocument/2006/relationships" ref="X10" r:id="rId7"/>
    <hyperlink xmlns:r="http://schemas.openxmlformats.org/officeDocument/2006/relationships" ref="X11" r:id="rId8"/>
    <hyperlink xmlns:r="http://schemas.openxmlformats.org/officeDocument/2006/relationships" ref="X12" r:id="rId9"/>
    <hyperlink xmlns:r="http://schemas.openxmlformats.org/officeDocument/2006/relationships" ref="X13" r:id="rId10"/>
    <hyperlink xmlns:r="http://schemas.openxmlformats.org/officeDocument/2006/relationships" ref="X14" r:id="rId11"/>
    <hyperlink xmlns:r="http://schemas.openxmlformats.org/officeDocument/2006/relationships" ref="X15" r:id="rId12"/>
    <hyperlink xmlns:r="http://schemas.openxmlformats.org/officeDocument/2006/relationships" ref="X16" r:id="rId13"/>
    <hyperlink xmlns:r="http://schemas.openxmlformats.org/officeDocument/2006/relationships" ref="X17" r:id="rId14"/>
    <hyperlink xmlns:r="http://schemas.openxmlformats.org/officeDocument/2006/relationships" ref="X18" r:id="rId15"/>
    <hyperlink xmlns:r="http://schemas.openxmlformats.org/officeDocument/2006/relationships" ref="X19" r:id="rId16"/>
    <hyperlink xmlns:r="http://schemas.openxmlformats.org/officeDocument/2006/relationships" ref="G20" r:id="rId17"/>
    <hyperlink xmlns:r="http://schemas.openxmlformats.org/officeDocument/2006/relationships" ref="X20" r:id="rId18"/>
    <hyperlink xmlns:r="http://schemas.openxmlformats.org/officeDocument/2006/relationships" ref="X21" r:id="rId19"/>
    <hyperlink xmlns:r="http://schemas.openxmlformats.org/officeDocument/2006/relationships" ref="X22" r:id="rId20"/>
    <hyperlink xmlns:r="http://schemas.openxmlformats.org/officeDocument/2006/relationships" ref="X23" r:id="rId21"/>
    <hyperlink xmlns:r="http://schemas.openxmlformats.org/officeDocument/2006/relationships" ref="X24" r:id="rId22"/>
    <hyperlink xmlns:r="http://schemas.openxmlformats.org/officeDocument/2006/relationships" ref="X25" r:id="rId23"/>
    <hyperlink xmlns:r="http://schemas.openxmlformats.org/officeDocument/2006/relationships" ref="X26" r:id="rId24"/>
    <hyperlink xmlns:r="http://schemas.openxmlformats.org/officeDocument/2006/relationships" ref="X27" r:id="rId25"/>
    <hyperlink xmlns:r="http://schemas.openxmlformats.org/officeDocument/2006/relationships" ref="X28" r:id="rId26"/>
    <hyperlink xmlns:r="http://schemas.openxmlformats.org/officeDocument/2006/relationships" ref="X29" r:id="rId27"/>
    <hyperlink xmlns:r="http://schemas.openxmlformats.org/officeDocument/2006/relationships" ref="X30" r:id="rId28"/>
    <hyperlink xmlns:r="http://schemas.openxmlformats.org/officeDocument/2006/relationships" ref="X31" r:id="rId29"/>
    <hyperlink xmlns:r="http://schemas.openxmlformats.org/officeDocument/2006/relationships" ref="X32" r:id="rId30"/>
    <hyperlink xmlns:r="http://schemas.openxmlformats.org/officeDocument/2006/relationships" ref="X33" r:id="rId31"/>
    <hyperlink xmlns:r="http://schemas.openxmlformats.org/officeDocument/2006/relationships" ref="X34" r:id="rId32"/>
    <hyperlink xmlns:r="http://schemas.openxmlformats.org/officeDocument/2006/relationships" ref="X35" r:id="rId33"/>
    <hyperlink xmlns:r="http://schemas.openxmlformats.org/officeDocument/2006/relationships" ref="X36" r:id="rId34"/>
    <hyperlink xmlns:r="http://schemas.openxmlformats.org/officeDocument/2006/relationships" ref="X37" r:id="rId35"/>
    <hyperlink xmlns:r="http://schemas.openxmlformats.org/officeDocument/2006/relationships" ref="X38" r:id="rId36"/>
    <hyperlink xmlns:r="http://schemas.openxmlformats.org/officeDocument/2006/relationships" ref="X39" r:id="rId37"/>
    <hyperlink xmlns:r="http://schemas.openxmlformats.org/officeDocument/2006/relationships" ref="X40" r:id="rId38"/>
    <hyperlink xmlns:r="http://schemas.openxmlformats.org/officeDocument/2006/relationships" ref="X41" r:id="rId39"/>
    <hyperlink xmlns:r="http://schemas.openxmlformats.org/officeDocument/2006/relationships" ref="X42" r:id="rId40"/>
    <hyperlink xmlns:r="http://schemas.openxmlformats.org/officeDocument/2006/relationships" ref="X43" r:id="rId41"/>
    <hyperlink xmlns:r="http://schemas.openxmlformats.org/officeDocument/2006/relationships" ref="X44" r:id="rId42"/>
    <hyperlink xmlns:r="http://schemas.openxmlformats.org/officeDocument/2006/relationships" ref="X45" r:id="rId43"/>
    <hyperlink xmlns:r="http://schemas.openxmlformats.org/officeDocument/2006/relationships" ref="X46" r:id="rId44"/>
    <hyperlink xmlns:r="http://schemas.openxmlformats.org/officeDocument/2006/relationships" ref="X47" r:id="rId45"/>
    <hyperlink xmlns:r="http://schemas.openxmlformats.org/officeDocument/2006/relationships" ref="X48" r:id="rId46"/>
    <hyperlink xmlns:r="http://schemas.openxmlformats.org/officeDocument/2006/relationships" ref="X49" r:id="rId47"/>
    <hyperlink xmlns:r="http://schemas.openxmlformats.org/officeDocument/2006/relationships" ref="X50" r:id="rId48"/>
    <hyperlink xmlns:r="http://schemas.openxmlformats.org/officeDocument/2006/relationships" ref="X51" r:id="rId49"/>
    <hyperlink xmlns:r="http://schemas.openxmlformats.org/officeDocument/2006/relationships" ref="X52" r:id="rId50"/>
    <hyperlink xmlns:r="http://schemas.openxmlformats.org/officeDocument/2006/relationships" ref="X53" r:id="rId51"/>
    <hyperlink xmlns:r="http://schemas.openxmlformats.org/officeDocument/2006/relationships" ref="X54" r:id="rId52"/>
    <hyperlink xmlns:r="http://schemas.openxmlformats.org/officeDocument/2006/relationships" ref="X55" r:id="rId53"/>
    <hyperlink xmlns:r="http://schemas.openxmlformats.org/officeDocument/2006/relationships" ref="X56" r:id="rId54"/>
    <hyperlink xmlns:r="http://schemas.openxmlformats.org/officeDocument/2006/relationships" ref="X57" r:id="rId55"/>
    <hyperlink xmlns:r="http://schemas.openxmlformats.org/officeDocument/2006/relationships" ref="X58" r:id="rId56"/>
    <hyperlink xmlns:r="http://schemas.openxmlformats.org/officeDocument/2006/relationships" ref="X59" r:id="rId57"/>
    <hyperlink xmlns:r="http://schemas.openxmlformats.org/officeDocument/2006/relationships" ref="X60" r:id="rId58"/>
    <hyperlink xmlns:r="http://schemas.openxmlformats.org/officeDocument/2006/relationships" ref="X61" r:id="rId59"/>
    <hyperlink xmlns:r="http://schemas.openxmlformats.org/officeDocument/2006/relationships" ref="X62" r:id="rId60"/>
    <hyperlink xmlns:r="http://schemas.openxmlformats.org/officeDocument/2006/relationships" ref="X63" r:id="rId61"/>
    <hyperlink xmlns:r="http://schemas.openxmlformats.org/officeDocument/2006/relationships" ref="X64" r:id="rId62"/>
    <hyperlink xmlns:r="http://schemas.openxmlformats.org/officeDocument/2006/relationships" ref="X65" r:id="rId63"/>
    <hyperlink xmlns:r="http://schemas.openxmlformats.org/officeDocument/2006/relationships" ref="X66" r:id="rId64"/>
    <hyperlink xmlns:r="http://schemas.openxmlformats.org/officeDocument/2006/relationships" ref="X67" r:id="rId65"/>
    <hyperlink xmlns:r="http://schemas.openxmlformats.org/officeDocument/2006/relationships" ref="X68" r:id="rId66"/>
    <hyperlink xmlns:r="http://schemas.openxmlformats.org/officeDocument/2006/relationships" ref="X69" r:id="rId67"/>
    <hyperlink xmlns:r="http://schemas.openxmlformats.org/officeDocument/2006/relationships" ref="X70" r:id="rId68"/>
    <hyperlink xmlns:r="http://schemas.openxmlformats.org/officeDocument/2006/relationships" ref="X71" r:id="rId69"/>
    <hyperlink xmlns:r="http://schemas.openxmlformats.org/officeDocument/2006/relationships" ref="X72" r:id="rId70"/>
    <hyperlink xmlns:r="http://schemas.openxmlformats.org/officeDocument/2006/relationships" ref="X73" r:id="rId71"/>
    <hyperlink xmlns:r="http://schemas.openxmlformats.org/officeDocument/2006/relationships" ref="X74" r:id="rId72"/>
    <hyperlink xmlns:r="http://schemas.openxmlformats.org/officeDocument/2006/relationships" ref="X75" r:id="rId73"/>
    <hyperlink xmlns:r="http://schemas.openxmlformats.org/officeDocument/2006/relationships" ref="X76" r:id="rId74"/>
    <hyperlink xmlns:r="http://schemas.openxmlformats.org/officeDocument/2006/relationships" ref="X77" r:id="rId75"/>
    <hyperlink xmlns:r="http://schemas.openxmlformats.org/officeDocument/2006/relationships" ref="X78" r:id="rId76"/>
    <hyperlink xmlns:r="http://schemas.openxmlformats.org/officeDocument/2006/relationships" ref="X79" r:id="rId77"/>
    <hyperlink xmlns:r="http://schemas.openxmlformats.org/officeDocument/2006/relationships" ref="X80" r:id="rId78"/>
    <hyperlink xmlns:r="http://schemas.openxmlformats.org/officeDocument/2006/relationships" ref="X81" r:id="rId79"/>
    <hyperlink xmlns:r="http://schemas.openxmlformats.org/officeDocument/2006/relationships" ref="X82" r:id="rId80"/>
    <hyperlink xmlns:r="http://schemas.openxmlformats.org/officeDocument/2006/relationships" ref="X83" r:id="rId81"/>
    <hyperlink xmlns:r="http://schemas.openxmlformats.org/officeDocument/2006/relationships" ref="X84" r:id="rId82"/>
    <hyperlink xmlns:r="http://schemas.openxmlformats.org/officeDocument/2006/relationships" ref="X85" r:id="rId83"/>
    <hyperlink xmlns:r="http://schemas.openxmlformats.org/officeDocument/2006/relationships" ref="X86" r:id="rId84"/>
    <hyperlink xmlns:r="http://schemas.openxmlformats.org/officeDocument/2006/relationships" ref="X87" r:id="rId85"/>
    <hyperlink xmlns:r="http://schemas.openxmlformats.org/officeDocument/2006/relationships" ref="X88" r:id="rId86"/>
    <hyperlink xmlns:r="http://schemas.openxmlformats.org/officeDocument/2006/relationships" ref="X89" r:id="rId87"/>
    <hyperlink xmlns:r="http://schemas.openxmlformats.org/officeDocument/2006/relationships" ref="X90" r:id="rId88"/>
    <hyperlink xmlns:r="http://schemas.openxmlformats.org/officeDocument/2006/relationships" ref="X91" r:id="rId89"/>
    <hyperlink xmlns:r="http://schemas.openxmlformats.org/officeDocument/2006/relationships" ref="X92" r:id="rId90"/>
    <hyperlink xmlns:r="http://schemas.openxmlformats.org/officeDocument/2006/relationships" ref="X93" r:id="rId91"/>
    <hyperlink xmlns:r="http://schemas.openxmlformats.org/officeDocument/2006/relationships" ref="X94" r:id="rId92"/>
    <hyperlink xmlns:r="http://schemas.openxmlformats.org/officeDocument/2006/relationships" ref="X95" r:id="rId93"/>
    <hyperlink xmlns:r="http://schemas.openxmlformats.org/officeDocument/2006/relationships" ref="X96" r:id="rId94"/>
    <hyperlink xmlns:r="http://schemas.openxmlformats.org/officeDocument/2006/relationships" ref="X97" r:id="rId95"/>
    <hyperlink xmlns:r="http://schemas.openxmlformats.org/officeDocument/2006/relationships" ref="X98" r:id="rId96"/>
    <hyperlink xmlns:r="http://schemas.openxmlformats.org/officeDocument/2006/relationships" ref="X99" r:id="rId97"/>
    <hyperlink xmlns:r="http://schemas.openxmlformats.org/officeDocument/2006/relationships" ref="X100" r:id="rId98"/>
    <hyperlink xmlns:r="http://schemas.openxmlformats.org/officeDocument/2006/relationships" ref="X101" r:id="rId99"/>
    <hyperlink xmlns:r="http://schemas.openxmlformats.org/officeDocument/2006/relationships" ref="X102" r:id="rId100"/>
    <hyperlink xmlns:r="http://schemas.openxmlformats.org/officeDocument/2006/relationships" ref="X103" r:id="rId101"/>
    <hyperlink xmlns:r="http://schemas.openxmlformats.org/officeDocument/2006/relationships" ref="X104" r:id="rId102"/>
    <hyperlink xmlns:r="http://schemas.openxmlformats.org/officeDocument/2006/relationships" ref="X105" r:id="rId103"/>
    <hyperlink xmlns:r="http://schemas.openxmlformats.org/officeDocument/2006/relationships" ref="X106" r:id="rId104"/>
    <hyperlink xmlns:r="http://schemas.openxmlformats.org/officeDocument/2006/relationships" ref="X107" r:id="rId105"/>
    <hyperlink xmlns:r="http://schemas.openxmlformats.org/officeDocument/2006/relationships" ref="X108" r:id="rId106"/>
    <hyperlink xmlns:r="http://schemas.openxmlformats.org/officeDocument/2006/relationships" ref="X109" r:id="rId107"/>
    <hyperlink xmlns:r="http://schemas.openxmlformats.org/officeDocument/2006/relationships" ref="X110" r:id="rId108"/>
    <hyperlink xmlns:r="http://schemas.openxmlformats.org/officeDocument/2006/relationships" ref="X111" r:id="rId109"/>
    <hyperlink xmlns:r="http://schemas.openxmlformats.org/officeDocument/2006/relationships" ref="X112" r:id="rId110"/>
    <hyperlink xmlns:r="http://schemas.openxmlformats.org/officeDocument/2006/relationships" ref="X113" r:id="rId111"/>
    <hyperlink xmlns:r="http://schemas.openxmlformats.org/officeDocument/2006/relationships" ref="X114" r:id="rId112"/>
    <hyperlink xmlns:r="http://schemas.openxmlformats.org/officeDocument/2006/relationships" ref="X115" r:id="rId113"/>
    <hyperlink xmlns:r="http://schemas.openxmlformats.org/officeDocument/2006/relationships" ref="X116" r:id="rId114"/>
    <hyperlink xmlns:r="http://schemas.openxmlformats.org/officeDocument/2006/relationships" ref="X117" r:id="rId115"/>
    <hyperlink xmlns:r="http://schemas.openxmlformats.org/officeDocument/2006/relationships" ref="X118" r:id="rId116"/>
    <hyperlink xmlns:r="http://schemas.openxmlformats.org/officeDocument/2006/relationships" ref="X119" r:id="rId117"/>
    <hyperlink xmlns:r="http://schemas.openxmlformats.org/officeDocument/2006/relationships" ref="X120" r:id="rId118"/>
    <hyperlink xmlns:r="http://schemas.openxmlformats.org/officeDocument/2006/relationships" ref="X121" r:id="rId119"/>
    <hyperlink xmlns:r="http://schemas.openxmlformats.org/officeDocument/2006/relationships" ref="X122" r:id="rId120"/>
    <hyperlink xmlns:r="http://schemas.openxmlformats.org/officeDocument/2006/relationships" ref="X123" r:id="rId121"/>
    <hyperlink xmlns:r="http://schemas.openxmlformats.org/officeDocument/2006/relationships" ref="X124" r:id="rId122"/>
    <hyperlink xmlns:r="http://schemas.openxmlformats.org/officeDocument/2006/relationships" ref="X125" r:id="rId123"/>
    <hyperlink xmlns:r="http://schemas.openxmlformats.org/officeDocument/2006/relationships" ref="X126" r:id="rId124"/>
    <hyperlink xmlns:r="http://schemas.openxmlformats.org/officeDocument/2006/relationships" ref="X127" r:id="rId125"/>
    <hyperlink xmlns:r="http://schemas.openxmlformats.org/officeDocument/2006/relationships" ref="X128" r:id="rId126"/>
    <hyperlink xmlns:r="http://schemas.openxmlformats.org/officeDocument/2006/relationships" ref="X129" r:id="rId127"/>
    <hyperlink xmlns:r="http://schemas.openxmlformats.org/officeDocument/2006/relationships" ref="X130" r:id="rId128"/>
    <hyperlink xmlns:r="http://schemas.openxmlformats.org/officeDocument/2006/relationships" ref="X131" r:id="rId129"/>
    <hyperlink xmlns:r="http://schemas.openxmlformats.org/officeDocument/2006/relationships" ref="X132" r:id="rId130"/>
    <hyperlink xmlns:r="http://schemas.openxmlformats.org/officeDocument/2006/relationships" ref="X133" r:id="rId131"/>
    <hyperlink xmlns:r="http://schemas.openxmlformats.org/officeDocument/2006/relationships" ref="X134" r:id="rId132"/>
    <hyperlink xmlns:r="http://schemas.openxmlformats.org/officeDocument/2006/relationships" ref="X135" r:id="rId133"/>
    <hyperlink xmlns:r="http://schemas.openxmlformats.org/officeDocument/2006/relationships" ref="X136" r:id="rId134"/>
    <hyperlink xmlns:r="http://schemas.openxmlformats.org/officeDocument/2006/relationships" ref="X137" r:id="rId135"/>
    <hyperlink xmlns:r="http://schemas.openxmlformats.org/officeDocument/2006/relationships" ref="X138" r:id="rId136"/>
    <hyperlink xmlns:r="http://schemas.openxmlformats.org/officeDocument/2006/relationships" ref="X139" r:id="rId137"/>
    <hyperlink xmlns:r="http://schemas.openxmlformats.org/officeDocument/2006/relationships" ref="X140" r:id="rId138"/>
    <hyperlink xmlns:r="http://schemas.openxmlformats.org/officeDocument/2006/relationships" ref="X141" r:id="rId139"/>
    <hyperlink xmlns:r="http://schemas.openxmlformats.org/officeDocument/2006/relationships" ref="X142" r:id="rId140"/>
    <hyperlink xmlns:r="http://schemas.openxmlformats.org/officeDocument/2006/relationships" ref="X143" r:id="rId141"/>
    <hyperlink xmlns:r="http://schemas.openxmlformats.org/officeDocument/2006/relationships" ref="X144" r:id="rId142"/>
    <hyperlink xmlns:r="http://schemas.openxmlformats.org/officeDocument/2006/relationships" ref="X145" r:id="rId143"/>
    <hyperlink xmlns:r="http://schemas.openxmlformats.org/officeDocument/2006/relationships" ref="X146" r:id="rId144"/>
    <hyperlink xmlns:r="http://schemas.openxmlformats.org/officeDocument/2006/relationships" ref="X147" r:id="rId145"/>
    <hyperlink xmlns:r="http://schemas.openxmlformats.org/officeDocument/2006/relationships" ref="X148" r:id="rId146"/>
    <hyperlink xmlns:r="http://schemas.openxmlformats.org/officeDocument/2006/relationships" ref="X149" r:id="rId147"/>
    <hyperlink xmlns:r="http://schemas.openxmlformats.org/officeDocument/2006/relationships" ref="X150" r:id="rId148"/>
    <hyperlink xmlns:r="http://schemas.openxmlformats.org/officeDocument/2006/relationships" ref="X151" r:id="rId149"/>
    <hyperlink xmlns:r="http://schemas.openxmlformats.org/officeDocument/2006/relationships" ref="X152" r:id="rId150"/>
    <hyperlink xmlns:r="http://schemas.openxmlformats.org/officeDocument/2006/relationships" ref="X153" r:id="rId151"/>
    <hyperlink xmlns:r="http://schemas.openxmlformats.org/officeDocument/2006/relationships" ref="X154" r:id="rId152"/>
    <hyperlink xmlns:r="http://schemas.openxmlformats.org/officeDocument/2006/relationships" ref="X155" r:id="rId153"/>
    <hyperlink xmlns:r="http://schemas.openxmlformats.org/officeDocument/2006/relationships" ref="X156" r:id="rId154"/>
    <hyperlink xmlns:r="http://schemas.openxmlformats.org/officeDocument/2006/relationships" ref="X157" r:id="rId155"/>
    <hyperlink xmlns:r="http://schemas.openxmlformats.org/officeDocument/2006/relationships" ref="X158" r:id="rId156"/>
    <hyperlink xmlns:r="http://schemas.openxmlformats.org/officeDocument/2006/relationships" ref="X159" r:id="rId157"/>
    <hyperlink xmlns:r="http://schemas.openxmlformats.org/officeDocument/2006/relationships" ref="X160" r:id="rId158"/>
    <hyperlink xmlns:r="http://schemas.openxmlformats.org/officeDocument/2006/relationships" ref="X161" r:id="rId159"/>
    <hyperlink xmlns:r="http://schemas.openxmlformats.org/officeDocument/2006/relationships" ref="X162" r:id="rId160"/>
    <hyperlink xmlns:r="http://schemas.openxmlformats.org/officeDocument/2006/relationships" ref="X163" r:id="rId161"/>
    <hyperlink xmlns:r="http://schemas.openxmlformats.org/officeDocument/2006/relationships" ref="X164" r:id="rId162"/>
    <hyperlink xmlns:r="http://schemas.openxmlformats.org/officeDocument/2006/relationships" ref="X165" r:id="rId163"/>
    <hyperlink xmlns:r="http://schemas.openxmlformats.org/officeDocument/2006/relationships" ref="X166" r:id="rId164"/>
    <hyperlink xmlns:r="http://schemas.openxmlformats.org/officeDocument/2006/relationships" ref="X167" r:id="rId165"/>
    <hyperlink xmlns:r="http://schemas.openxmlformats.org/officeDocument/2006/relationships" ref="X168" r:id="rId166"/>
    <hyperlink xmlns:r="http://schemas.openxmlformats.org/officeDocument/2006/relationships" ref="X169" r:id="rId167"/>
    <hyperlink xmlns:r="http://schemas.openxmlformats.org/officeDocument/2006/relationships" ref="X170" r:id="rId168"/>
    <hyperlink xmlns:r="http://schemas.openxmlformats.org/officeDocument/2006/relationships" ref="X171" r:id="rId169"/>
    <hyperlink xmlns:r="http://schemas.openxmlformats.org/officeDocument/2006/relationships" ref="X172" r:id="rId170"/>
    <hyperlink xmlns:r="http://schemas.openxmlformats.org/officeDocument/2006/relationships" ref="X173" r:id="rId171"/>
    <hyperlink xmlns:r="http://schemas.openxmlformats.org/officeDocument/2006/relationships" ref="X174" r:id="rId172"/>
    <hyperlink xmlns:r="http://schemas.openxmlformats.org/officeDocument/2006/relationships" ref="X175" r:id="rId173"/>
    <hyperlink xmlns:r="http://schemas.openxmlformats.org/officeDocument/2006/relationships" ref="X176" r:id="rId174"/>
    <hyperlink xmlns:r="http://schemas.openxmlformats.org/officeDocument/2006/relationships" ref="X177" r:id="rId175"/>
    <hyperlink xmlns:r="http://schemas.openxmlformats.org/officeDocument/2006/relationships" ref="X178" r:id="rId176"/>
    <hyperlink xmlns:r="http://schemas.openxmlformats.org/officeDocument/2006/relationships" ref="X179" r:id="rId177"/>
    <hyperlink xmlns:r="http://schemas.openxmlformats.org/officeDocument/2006/relationships" ref="X180" r:id="rId178"/>
    <hyperlink xmlns:r="http://schemas.openxmlformats.org/officeDocument/2006/relationships" ref="X181" r:id="rId179"/>
    <hyperlink xmlns:r="http://schemas.openxmlformats.org/officeDocument/2006/relationships" ref="X182" r:id="rId180"/>
    <hyperlink xmlns:r="http://schemas.openxmlformats.org/officeDocument/2006/relationships" ref="X183" r:id="rId181"/>
    <hyperlink xmlns:r="http://schemas.openxmlformats.org/officeDocument/2006/relationships" ref="X184" r:id="rId182"/>
    <hyperlink xmlns:r="http://schemas.openxmlformats.org/officeDocument/2006/relationships" ref="X185" r:id="rId183"/>
    <hyperlink xmlns:r="http://schemas.openxmlformats.org/officeDocument/2006/relationships" ref="X186" r:id="rId184"/>
    <hyperlink xmlns:r="http://schemas.openxmlformats.org/officeDocument/2006/relationships" ref="X187" r:id="rId185"/>
    <hyperlink xmlns:r="http://schemas.openxmlformats.org/officeDocument/2006/relationships" ref="X188" r:id="rId186"/>
    <hyperlink xmlns:r="http://schemas.openxmlformats.org/officeDocument/2006/relationships" ref="X189" r:id="rId187"/>
    <hyperlink xmlns:r="http://schemas.openxmlformats.org/officeDocument/2006/relationships" ref="X190" r:id="rId188"/>
    <hyperlink xmlns:r="http://schemas.openxmlformats.org/officeDocument/2006/relationships" ref="X191" r:id="rId189"/>
    <hyperlink xmlns:r="http://schemas.openxmlformats.org/officeDocument/2006/relationships" ref="X192" r:id="rId190"/>
    <hyperlink xmlns:r="http://schemas.openxmlformats.org/officeDocument/2006/relationships" ref="X193" r:id="rId191"/>
    <hyperlink xmlns:r="http://schemas.openxmlformats.org/officeDocument/2006/relationships" ref="X194" r:id="rId192"/>
    <hyperlink xmlns:r="http://schemas.openxmlformats.org/officeDocument/2006/relationships" ref="X195" r:id="rId193"/>
    <hyperlink xmlns:r="http://schemas.openxmlformats.org/officeDocument/2006/relationships" ref="X196" r:id="rId194"/>
    <hyperlink xmlns:r="http://schemas.openxmlformats.org/officeDocument/2006/relationships" ref="X197" r:id="rId195"/>
    <hyperlink xmlns:r="http://schemas.openxmlformats.org/officeDocument/2006/relationships" ref="X198" r:id="rId196"/>
    <hyperlink xmlns:r="http://schemas.openxmlformats.org/officeDocument/2006/relationships" ref="X199" r:id="rId197"/>
    <hyperlink xmlns:r="http://schemas.openxmlformats.org/officeDocument/2006/relationships" ref="X200" r:id="rId198"/>
    <hyperlink xmlns:r="http://schemas.openxmlformats.org/officeDocument/2006/relationships" ref="X201" r:id="rId199"/>
    <hyperlink xmlns:r="http://schemas.openxmlformats.org/officeDocument/2006/relationships" ref="X202" r:id="rId200"/>
    <hyperlink xmlns:r="http://schemas.openxmlformats.org/officeDocument/2006/relationships" ref="X203" r:id="rId201"/>
    <hyperlink xmlns:r="http://schemas.openxmlformats.org/officeDocument/2006/relationships" ref="X204" r:id="rId202"/>
    <hyperlink xmlns:r="http://schemas.openxmlformats.org/officeDocument/2006/relationships" ref="X205" r:id="rId203"/>
    <hyperlink xmlns:r="http://schemas.openxmlformats.org/officeDocument/2006/relationships" ref="X206" r:id="rId204"/>
    <hyperlink xmlns:r="http://schemas.openxmlformats.org/officeDocument/2006/relationships" ref="X207" r:id="rId205"/>
    <hyperlink xmlns:r="http://schemas.openxmlformats.org/officeDocument/2006/relationships" ref="X208" r:id="rId206"/>
    <hyperlink xmlns:r="http://schemas.openxmlformats.org/officeDocument/2006/relationships" ref="X209" r:id="rId207"/>
    <hyperlink xmlns:r="http://schemas.openxmlformats.org/officeDocument/2006/relationships" ref="X210" r:id="rId208"/>
    <hyperlink xmlns:r="http://schemas.openxmlformats.org/officeDocument/2006/relationships" ref="X211" r:id="rId209"/>
    <hyperlink xmlns:r="http://schemas.openxmlformats.org/officeDocument/2006/relationships" ref="X212" r:id="rId210"/>
    <hyperlink xmlns:r="http://schemas.openxmlformats.org/officeDocument/2006/relationships" ref="X213" r:id="rId211"/>
    <hyperlink xmlns:r="http://schemas.openxmlformats.org/officeDocument/2006/relationships" ref="X214" r:id="rId212"/>
    <hyperlink xmlns:r="http://schemas.openxmlformats.org/officeDocument/2006/relationships" ref="X215" r:id="rId213"/>
    <hyperlink xmlns:r="http://schemas.openxmlformats.org/officeDocument/2006/relationships" ref="X216" r:id="rId214"/>
    <hyperlink xmlns:r="http://schemas.openxmlformats.org/officeDocument/2006/relationships" ref="X217" r:id="rId215"/>
    <hyperlink xmlns:r="http://schemas.openxmlformats.org/officeDocument/2006/relationships" ref="X218" r:id="rId216"/>
    <hyperlink xmlns:r="http://schemas.openxmlformats.org/officeDocument/2006/relationships" ref="X219" r:id="rId217"/>
    <hyperlink xmlns:r="http://schemas.openxmlformats.org/officeDocument/2006/relationships" ref="X220" r:id="rId218"/>
    <hyperlink xmlns:r="http://schemas.openxmlformats.org/officeDocument/2006/relationships" ref="X221" r:id="rId219"/>
    <hyperlink xmlns:r="http://schemas.openxmlformats.org/officeDocument/2006/relationships" ref="X222" r:id="rId220"/>
    <hyperlink xmlns:r="http://schemas.openxmlformats.org/officeDocument/2006/relationships" ref="X223" r:id="rId221"/>
    <hyperlink xmlns:r="http://schemas.openxmlformats.org/officeDocument/2006/relationships" ref="X224" r:id="rId222"/>
    <hyperlink xmlns:r="http://schemas.openxmlformats.org/officeDocument/2006/relationships" ref="X225" r:id="rId223"/>
    <hyperlink xmlns:r="http://schemas.openxmlformats.org/officeDocument/2006/relationships" ref="X226" r:id="rId224"/>
    <hyperlink xmlns:r="http://schemas.openxmlformats.org/officeDocument/2006/relationships" ref="X227" r:id="rId225"/>
    <hyperlink xmlns:r="http://schemas.openxmlformats.org/officeDocument/2006/relationships" ref="X228" r:id="rId226"/>
    <hyperlink xmlns:r="http://schemas.openxmlformats.org/officeDocument/2006/relationships" ref="X229" r:id="rId227"/>
    <hyperlink xmlns:r="http://schemas.openxmlformats.org/officeDocument/2006/relationships" ref="X230" r:id="rId228"/>
    <hyperlink xmlns:r="http://schemas.openxmlformats.org/officeDocument/2006/relationships" ref="X231" r:id="rId229"/>
    <hyperlink xmlns:r="http://schemas.openxmlformats.org/officeDocument/2006/relationships" ref="X232" r:id="rId230"/>
    <hyperlink xmlns:r="http://schemas.openxmlformats.org/officeDocument/2006/relationships" ref="X233" r:id="rId231"/>
    <hyperlink xmlns:r="http://schemas.openxmlformats.org/officeDocument/2006/relationships" ref="X234" r:id="rId232"/>
    <hyperlink xmlns:r="http://schemas.openxmlformats.org/officeDocument/2006/relationships" ref="X235" r:id="rId233"/>
    <hyperlink xmlns:r="http://schemas.openxmlformats.org/officeDocument/2006/relationships" ref="X236" r:id="rId234"/>
    <hyperlink xmlns:r="http://schemas.openxmlformats.org/officeDocument/2006/relationships" ref="X237" r:id="rId235"/>
    <hyperlink xmlns:r="http://schemas.openxmlformats.org/officeDocument/2006/relationships" ref="X238" r:id="rId236"/>
    <hyperlink xmlns:r="http://schemas.openxmlformats.org/officeDocument/2006/relationships" ref="X239" r:id="rId237"/>
    <hyperlink xmlns:r="http://schemas.openxmlformats.org/officeDocument/2006/relationships" ref="X240" r:id="rId238"/>
    <hyperlink xmlns:r="http://schemas.openxmlformats.org/officeDocument/2006/relationships" ref="X241" r:id="rId239"/>
    <hyperlink xmlns:r="http://schemas.openxmlformats.org/officeDocument/2006/relationships" ref="X242" r:id="rId240"/>
    <hyperlink xmlns:r="http://schemas.openxmlformats.org/officeDocument/2006/relationships" ref="X243" r:id="rId241"/>
    <hyperlink xmlns:r="http://schemas.openxmlformats.org/officeDocument/2006/relationships" ref="X244" r:id="rId242"/>
    <hyperlink xmlns:r="http://schemas.openxmlformats.org/officeDocument/2006/relationships" ref="X245" r:id="rId243"/>
    <hyperlink xmlns:r="http://schemas.openxmlformats.org/officeDocument/2006/relationships" ref="X246" r:id="rId244"/>
    <hyperlink xmlns:r="http://schemas.openxmlformats.org/officeDocument/2006/relationships" ref="X247" r:id="rId245"/>
    <hyperlink xmlns:r="http://schemas.openxmlformats.org/officeDocument/2006/relationships" ref="X248" r:id="rId246"/>
    <hyperlink xmlns:r="http://schemas.openxmlformats.org/officeDocument/2006/relationships" ref="X249" r:id="rId247"/>
    <hyperlink xmlns:r="http://schemas.openxmlformats.org/officeDocument/2006/relationships" ref="X250" r:id="rId248"/>
    <hyperlink xmlns:r="http://schemas.openxmlformats.org/officeDocument/2006/relationships" ref="X251" r:id="rId249"/>
    <hyperlink xmlns:r="http://schemas.openxmlformats.org/officeDocument/2006/relationships" ref="X252" r:id="rId250"/>
    <hyperlink xmlns:r="http://schemas.openxmlformats.org/officeDocument/2006/relationships" ref="X253" r:id="rId251"/>
    <hyperlink xmlns:r="http://schemas.openxmlformats.org/officeDocument/2006/relationships" ref="X254" r:id="rId252"/>
    <hyperlink xmlns:r="http://schemas.openxmlformats.org/officeDocument/2006/relationships" ref="X255" r:id="rId253"/>
    <hyperlink xmlns:r="http://schemas.openxmlformats.org/officeDocument/2006/relationships" ref="X256" r:id="rId254"/>
    <hyperlink xmlns:r="http://schemas.openxmlformats.org/officeDocument/2006/relationships" ref="X257" r:id="rId255"/>
    <hyperlink xmlns:r="http://schemas.openxmlformats.org/officeDocument/2006/relationships" ref="X258" r:id="rId256"/>
    <hyperlink xmlns:r="http://schemas.openxmlformats.org/officeDocument/2006/relationships" ref="X259" r:id="rId257"/>
    <hyperlink xmlns:r="http://schemas.openxmlformats.org/officeDocument/2006/relationships" ref="X260" r:id="rId258"/>
    <hyperlink xmlns:r="http://schemas.openxmlformats.org/officeDocument/2006/relationships" ref="X261" r:id="rId259"/>
    <hyperlink xmlns:r="http://schemas.openxmlformats.org/officeDocument/2006/relationships" ref="X262" r:id="rId260"/>
    <hyperlink xmlns:r="http://schemas.openxmlformats.org/officeDocument/2006/relationships" ref="X263" r:id="rId261"/>
    <hyperlink xmlns:r="http://schemas.openxmlformats.org/officeDocument/2006/relationships" ref="X264" r:id="rId262"/>
    <hyperlink xmlns:r="http://schemas.openxmlformats.org/officeDocument/2006/relationships" ref="X265" r:id="rId263"/>
    <hyperlink xmlns:r="http://schemas.openxmlformats.org/officeDocument/2006/relationships" ref="X266" r:id="rId264"/>
    <hyperlink xmlns:r="http://schemas.openxmlformats.org/officeDocument/2006/relationships" ref="X267" r:id="rId265"/>
    <hyperlink xmlns:r="http://schemas.openxmlformats.org/officeDocument/2006/relationships" ref="X268" r:id="rId266"/>
    <hyperlink xmlns:r="http://schemas.openxmlformats.org/officeDocument/2006/relationships" ref="X269" r:id="rId267"/>
    <hyperlink xmlns:r="http://schemas.openxmlformats.org/officeDocument/2006/relationships" ref="X270" r:id="rId268"/>
    <hyperlink xmlns:r="http://schemas.openxmlformats.org/officeDocument/2006/relationships" ref="X271" r:id="rId269"/>
    <hyperlink xmlns:r="http://schemas.openxmlformats.org/officeDocument/2006/relationships" ref="X272" r:id="rId270"/>
    <hyperlink xmlns:r="http://schemas.openxmlformats.org/officeDocument/2006/relationships" ref="X273" r:id="rId271"/>
    <hyperlink xmlns:r="http://schemas.openxmlformats.org/officeDocument/2006/relationships" ref="X274" r:id="rId272"/>
    <hyperlink xmlns:r="http://schemas.openxmlformats.org/officeDocument/2006/relationships" ref="X275" r:id="rId273"/>
    <hyperlink xmlns:r="http://schemas.openxmlformats.org/officeDocument/2006/relationships" ref="X276" r:id="rId274"/>
    <hyperlink xmlns:r="http://schemas.openxmlformats.org/officeDocument/2006/relationships" ref="X277" r:id="rId275"/>
    <hyperlink xmlns:r="http://schemas.openxmlformats.org/officeDocument/2006/relationships" ref="X278" r:id="rId276"/>
    <hyperlink xmlns:r="http://schemas.openxmlformats.org/officeDocument/2006/relationships" ref="X279" r:id="rId277"/>
    <hyperlink xmlns:r="http://schemas.openxmlformats.org/officeDocument/2006/relationships" ref="X280" r:id="rId278"/>
    <hyperlink xmlns:r="http://schemas.openxmlformats.org/officeDocument/2006/relationships" ref="X281" r:id="rId279"/>
    <hyperlink xmlns:r="http://schemas.openxmlformats.org/officeDocument/2006/relationships" ref="X282" r:id="rId280"/>
    <hyperlink xmlns:r="http://schemas.openxmlformats.org/officeDocument/2006/relationships" ref="X283" r:id="rId281"/>
    <hyperlink xmlns:r="http://schemas.openxmlformats.org/officeDocument/2006/relationships" ref="X284" r:id="rId282"/>
    <hyperlink xmlns:r="http://schemas.openxmlformats.org/officeDocument/2006/relationships" ref="X285" r:id="rId283"/>
    <hyperlink xmlns:r="http://schemas.openxmlformats.org/officeDocument/2006/relationships" ref="X286" r:id="rId284"/>
    <hyperlink xmlns:r="http://schemas.openxmlformats.org/officeDocument/2006/relationships" ref="X287" r:id="rId285"/>
    <hyperlink xmlns:r="http://schemas.openxmlformats.org/officeDocument/2006/relationships" ref="X288" r:id="rId286"/>
    <hyperlink xmlns:r="http://schemas.openxmlformats.org/officeDocument/2006/relationships" ref="X289" r:id="rId287"/>
    <hyperlink xmlns:r="http://schemas.openxmlformats.org/officeDocument/2006/relationships" ref="X290" r:id="rId288"/>
    <hyperlink xmlns:r="http://schemas.openxmlformats.org/officeDocument/2006/relationships" ref="X291" r:id="rId289"/>
    <hyperlink xmlns:r="http://schemas.openxmlformats.org/officeDocument/2006/relationships" ref="X292" r:id="rId290"/>
  </hyperlinks>
  <pageMargins left="0.75" right="0.75" top="1" bottom="1" header="0.5" footer="0.5"/>
</worksheet>
</file>

<file path=xl/worksheets/sheet12.xml><?xml version="1.0" encoding="utf-8"?>
<worksheet xmlns="http://schemas.openxmlformats.org/spreadsheetml/2006/main">
  <sheetPr filterMode="0">
    <tabColor rgb="FF00B050"/>
    <outlinePr summaryBelow="1" summaryRight="1"/>
    <pageSetUpPr fitToPage="0"/>
  </sheetPr>
  <dimension ref="A1:T155"/>
  <sheetViews>
    <sheetView showFormulas="0" showGridLines="1" showRowColHeaders="1" showZeros="1" rightToLeft="0" tabSelected="1"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5" customWidth="1" style="103" min="1" max="1"/>
    <col width="30" customWidth="1" style="103" min="2" max="2"/>
    <col width="15" customWidth="1" style="103" min="3" max="3"/>
    <col width="46" customWidth="1" style="103" min="4" max="4"/>
    <col width="30" customWidth="1" style="103" min="5" max="5"/>
    <col width="26" customWidth="1" style="103" min="6" max="6"/>
    <col width="18" customWidth="1" style="103" min="7" max="7"/>
    <col width="28" customWidth="1" style="103" min="8" max="8"/>
    <col width="24" customWidth="1" style="103" min="9" max="9"/>
    <col width="30" customWidth="1" style="103" min="10" max="10"/>
    <col width="44" customWidth="1" style="103" min="11" max="11"/>
    <col width="12" customWidth="1" style="103" min="12" max="12"/>
    <col width="52" customWidth="1" style="103" min="13" max="13"/>
    <col width="34" customWidth="1" style="103" min="14" max="14"/>
    <col width="10" customWidth="1" style="103" min="15" max="15"/>
    <col width="44" customWidth="1" style="103" min="16" max="16"/>
    <col width="28" customWidth="1" style="103" min="17" max="17"/>
    <col width="22" customWidth="1" style="103" min="18" max="18"/>
    <col width="50" customWidth="1" style="103" min="19" max="19"/>
    <col width="100" customWidth="1" style="103" min="20" max="20"/>
  </cols>
  <sheetData>
    <row r="1" ht="17.25" customHeight="1" s="104">
      <c r="A1" s="117" t="inlineStr">
        <is>
          <t>Singapore, Dealer &amp; Channel Targets (142 rows: 120 dealer targets, 103 with an email ready to send)</t>
        </is>
      </c>
    </row>
    <row r="2" ht="15" customHeight="1" s="104">
      <c r="A2" s="118" t="inlineStr">
        <is>
          <t>UPDATED IN v16 (7 Oct 2026). Every v15 row re-checked and the list widened from 30 to 120 dealer targets, ranked by how much their customers overlap with CHISON (radiology and interventional radiology first, then theatre, ICU and cardiology, then clinic and long tail). Four v15 rows proved not to be medical device channels and are marked EXCLUDED, not deleted. AstraMed keeps the HSA registrant role; the appointed dealer owns the customer, the demonstration and the service response.</t>
        </is>
      </c>
    </row>
    <row r="3" ht="15" customHeight="1" s="104">
      <c r="A3" s="194" t="inlineStr">
        <is>
          <t>Tier 1 contact first  |  Tier 2 qualify first (competing line, VERIFY FIRST or fit to confirm)  |  Tier 3 long tail  |  EXCLUDED kept for the record  |  RESOURCE, MFR, REF are not outreach targets. Filter Tier on 1, 2, 3 and Email on "@" for the send list.</t>
        </is>
      </c>
    </row>
    <row r="4" ht="30" customHeight="1" s="104">
      <c r="A4" s="160" t="inlineStr">
        <is>
          <t>#</t>
        </is>
      </c>
      <c r="B4" s="160" t="inlineStr">
        <is>
          <t>Company</t>
        </is>
      </c>
      <c r="C4" s="160" t="inlineStr">
        <is>
          <t>Pipeline stage</t>
        </is>
      </c>
      <c r="D4" s="160" t="inlineStr">
        <is>
          <t>Segment &amp; expertise</t>
        </is>
      </c>
      <c r="E4" s="160" t="inlineStr">
        <is>
          <t>End users in common with CHISON</t>
        </is>
      </c>
      <c r="F4" s="160" t="inlineStr">
        <is>
          <t>Carries ultrasound?</t>
        </is>
      </c>
      <c r="G4" s="160" t="inlineStr">
        <is>
          <t>Location</t>
        </is>
      </c>
      <c r="H4" s="160" t="inlineStr">
        <is>
          <t>Website (URL)</t>
        </is>
      </c>
      <c r="I4" s="160" t="inlineStr">
        <is>
          <t>Phone / fax</t>
        </is>
      </c>
      <c r="J4" s="160" t="inlineStr">
        <is>
          <t>Email</t>
        </is>
      </c>
      <c r="K4" s="160" t="inlineStr">
        <is>
          <t>Address &amp; company detail</t>
        </is>
      </c>
      <c r="L4" s="160" t="inlineStr">
        <is>
          <t>CONTACT CONFIDENCE</t>
        </is>
      </c>
      <c r="M4" s="160" t="inlineStr">
        <is>
          <t>Fit notes for CHISON</t>
        </is>
      </c>
      <c r="N4" s="160" t="inlineStr">
        <is>
          <t>CHISON product focus</t>
        </is>
      </c>
      <c r="O4" s="160" t="inlineStr">
        <is>
          <t>Tier</t>
        </is>
      </c>
      <c r="P4" s="160" t="inlineStr">
        <is>
          <t>Priority rationale</t>
        </is>
      </c>
      <c r="Q4" s="160" t="inlineStr">
        <is>
          <t>Source status</t>
        </is>
      </c>
      <c r="R4" s="160" t="inlineStr">
        <is>
          <t>v16 status</t>
        </is>
      </c>
      <c r="S4" s="160" t="inlineStr">
        <is>
          <t>Email Title</t>
        </is>
      </c>
      <c r="T4" s="160" t="inlineStr">
        <is>
          <t>Email Body</t>
        </is>
      </c>
    </row>
    <row r="5" ht="300" customHeight="1" s="104">
      <c r="A5" s="195" t="n">
        <v>1</v>
      </c>
      <c r="B5" s="162" t="inlineStr">
        <is>
          <t>Singmed Healthcare Systems Pte Ltd</t>
        </is>
      </c>
      <c r="C5" s="195" t="inlineStr">
        <is>
          <t>Not started</t>
        </is>
      </c>
      <c r="D5" s="161" t="inlineStr">
        <is>
          <t>Medical device distributor since 1996. Interventional radiology, cardiology, nephrology, neuroradiology, oncology, peripheral intervention and haematology, plus surgical specialties, anaesthesia and critical care, and infection control. GDPMDS certified, with its own technical staff</t>
        </is>
      </c>
      <c r="E5" s="161" t="inlineStr">
        <is>
          <t>Interventional radiology, neuroradiology, cardiology, anaesthesia and critical care in public and private hospitals</t>
        </is>
      </c>
      <c r="F5" s="161" t="inlineStr">
        <is>
          <t>No ultrasound system line. Sells ultrasound ACCESSORIES: endocavity covers and ultrasound needle guides</t>
        </is>
      </c>
      <c r="G5" s="161" t="inlineStr">
        <is>
          <t>Singapore (Ubi)</t>
        </is>
      </c>
      <c r="H5" s="163" t="inlineStr">
        <is>
          <t>https://singmed.com.sg</t>
        </is>
      </c>
      <c r="I5" s="161" t="inlineStr">
        <is>
          <t>+65 6547 4916 / fax +65 6547 4925</t>
        </is>
      </c>
      <c r="J5" s="161" t="inlineStr">
        <is>
          <t>singmed@singmed.com.sg</t>
        </is>
      </c>
      <c r="K5" s="161" t="inlineStr">
        <is>
          <t>10 Ubi Crescent #05-18, Singapore 408564. Founded 1996. Principals include Merit Medical, Civco, VBM, MicroAire, Argon, Interrad Medical</t>
        </is>
      </c>
      <c r="L5" s="165" t="inlineStr">
        <is>
          <t>A</t>
        </is>
      </c>
      <c r="M5" s="161" t="inlineStr">
        <is>
          <t>Still the best fit in Singapore. They already sell ultrasound needle guides and endocavity covers, so their customers perform ultrasound guided procedures today, and Singmed sells no ultrasound system to guide them with. Civco and VBM in the principal list confirm the interventional and regional anaesthesia footprint.</t>
        </is>
      </c>
      <c r="N5" s="161" t="inlineStr">
        <is>
          <t>SonoBook 9 + SonoEye P3 + SonoPort 8</t>
        </is>
      </c>
      <c r="O5" s="165" t="n">
        <v>1</v>
      </c>
      <c r="P5" s="161" t="inlineStr">
        <is>
          <t>Tier 1 since v5. Contact details read off their own pages on 15 Sep 2026. Product focus updated in v16 to HSA registered models only.</t>
        </is>
      </c>
      <c r="Q5" s="161" t="inlineStr">
        <is>
          <t>Verified site (own company page), carried from v15</t>
        </is>
      </c>
      <c r="R5" s="161" t="inlineStr">
        <is>
          <t>Kept, Tier 1</t>
        </is>
      </c>
      <c r="S5" s="161" t="inlineStr">
        <is>
          <t>CHISON ultrasound for Singmed: the system behind the needle guides you already sell</t>
        </is>
      </c>
      <c r="T5" s="161" t="inlineStr">
        <is>
          <t>Dear Singmed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 already supply ultrasound needle guides and endocavity covers, so your interventional and anaesthesia customers are doing ultrasound guided procedures today. What you do not supply is the ultrasound doing the guiding.
CHISON would supply the ultrasound that guides those procedures, into the same procedure accounts, with no competing line on your card to displace.
• SonoBook 9: laptop system with biopsy guidance
• SonoEye P3: pocket handheld for vascular access, nerve block and bedside scans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6" ht="300" customHeight="1" s="104">
      <c r="A6" s="195" t="n">
        <v>2</v>
      </c>
      <c r="B6" s="162" t="inlineStr">
        <is>
          <t>Advanced Medical Systems Pte Ltd</t>
        </is>
      </c>
      <c r="C6" s="195" t="inlineStr">
        <is>
          <t>Not started</t>
        </is>
      </c>
      <c r="D6" s="161" t="inlineStr">
        <is>
          <t>Oncology and minimally invasive therapy, diagnostic solutions, surgical navigation, minimally invasive biopsy and pathology specimen radiography, robotic surgery. Principals include Xcision (GammaPod), ZAP Surgical (ZAP X), Scandidos, Dose Point, Cyrcadia, Ziosoft (Ziostation), LMT, Surgic, Visus</t>
        </is>
      </c>
      <c r="E6" s="161" t="inlineStr">
        <is>
          <t>Radiation oncology, radiology, breast surgery and pathology, nuclear medicine (sentinel node), cardiac imaging analysis</t>
        </is>
      </c>
      <c r="F6" s="161" t="inlineStr">
        <is>
          <t>No ultrasound line identified on their own site</t>
        </is>
      </c>
      <c r="G6" s="161" t="inlineStr">
        <is>
          <t>Singapore (City Hall)</t>
        </is>
      </c>
      <c r="H6" s="163" t="inlineStr">
        <is>
          <t>https://www.amssg.com</t>
        </is>
      </c>
      <c r="I6" s="161" t="inlineStr">
        <is>
          <t>+65 6747 2556 / fax +65 6748 5139</t>
        </is>
      </c>
      <c r="J6" s="161" t="inlineStr">
        <is>
          <t>info@amssg.com</t>
        </is>
      </c>
      <c r="K6" s="161" t="inlineStr">
        <is>
          <t>1 Coleman Street #10-07, The Adelphi, Singapore 179803 (address from directory; site lists Singapore headquarters only)</t>
        </is>
      </c>
      <c r="L6" s="165" t="inlineStr">
        <is>
          <t>A</t>
        </is>
      </c>
      <c r="M6" s="161" t="inlineStr">
        <is>
          <t>Corrected in v16: v15 called this a general medical equipment supplier. Their own site shows a radiology and oncology capital equipment house (radiosurgery, breast SBRT, specimen radiography, SPECT guided sentinel node biopsy, Ziostation imaging analysis). Exactly the radiology and oncology buyer CHISON wants, with no ultrasound on the card.</t>
        </is>
      </c>
      <c r="N6" s="161" t="inlineStr">
        <is>
          <t>SonoMax 9 + SonoPort 8 + SonoEye P5</t>
        </is>
      </c>
      <c r="O6" s="165" t="n">
        <v>1</v>
      </c>
      <c r="P6" s="161" t="inlineStr">
        <is>
          <t>Tier 1 confirmed in v16 on the evidence of their own site: imaging and oncology capital sales into the same departments, no competing ultrasound line found.</t>
        </is>
      </c>
      <c r="Q6" s="161" t="inlineStr">
        <is>
          <t>Own site opened 7 Oct 2026</t>
        </is>
      </c>
      <c r="R6" s="161" t="inlineStr">
        <is>
          <t>Kept, Tier 1, segment corrected</t>
        </is>
      </c>
      <c r="S6" s="161" t="inlineStr">
        <is>
          <t>Advanced Medical Systems: CHISON ultrasound for the radiology departments you already supply</t>
        </is>
      </c>
      <c r="T6" s="161" t="inlineStr">
        <is>
          <t>Dear Advanced Medical Systems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Your line card already reaches radiation oncology, breast imaging and pathology, from GammaPod and ZAP X to specimen radiography and Ziostation. Ultrasound is the imaging those same breast, oncology and radiology teams use every day, and it is the one modality missing from your range.
Ultrasound is the modality your radiology customers buy and replace most often, and it is sold into the same departments you already serve. CHISON would be a new imaging line with no overlap on your current card.
• SonoMax 9: flagship cart with automatic breast and thyroid lesion measurement
• SonoPort 8: mid tier cart for private imaging and O&amp;G rooms
• SonoEye P5: high frequency handheld for superficial and MSK work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 ht="300" customHeight="1" s="104">
      <c r="A7" s="195" t="n">
        <v>3</v>
      </c>
      <c r="B7" s="162" t="inlineStr">
        <is>
          <t>AsiaMed Healthcare Systems Pte Ltd</t>
        </is>
      </c>
      <c r="C7" s="195" t="inlineStr">
        <is>
          <t>Not started</t>
        </is>
      </c>
      <c r="D7" s="161" t="inlineStr">
        <is>
          <t>Interventional radiology and oncology: soft tissue biopsy needles for liver, lung, kidney, breast and prostate, bone biopsy systems, bone marrow aspiration and biopsy, percutaneous drainage, equipment covers. Principals include AprioMed, INRAD, Ranfac, Bioteq, Blueneem, Medseen, TSK</t>
        </is>
      </c>
      <c r="E7" s="161" t="inlineStr">
        <is>
          <t>Interventional radiology, oncology and haematology in public and private hospitals</t>
        </is>
      </c>
      <c r="F7" s="161" t="inlineStr">
        <is>
          <t>No ultrasound system line identified. Sells the biopsy needles and drainage sets that are placed under ultrasound and CT guidance</t>
        </is>
      </c>
      <c r="G7" s="161" t="inlineStr">
        <is>
          <t>Singapore (Kallang)</t>
        </is>
      </c>
      <c r="H7" s="163" t="inlineStr">
        <is>
          <t>https://myasiamed.com</t>
        </is>
      </c>
      <c r="I7" s="161" t="inlineStr">
        <is>
          <t>+65 6342 0383</t>
        </is>
      </c>
      <c r="J7" s="161" t="inlineStr">
        <is>
          <t>info@myasiamed.com</t>
        </is>
      </c>
      <c r="K7" s="161" t="inlineStr">
        <is>
          <t>16 Kallang Place, Mapletree #07-31, Singapore 339156 (address updated from own site; v15 showed 118 Joo Chiat Road)</t>
        </is>
      </c>
      <c r="L7" s="165" t="inlineStr">
        <is>
          <t>A</t>
        </is>
      </c>
      <c r="M7" s="161" t="inlineStr">
        <is>
          <t>Confirmed and upgraded. A pure interventional radiology consumables house: every biopsy needle and drainage set they sell is placed under image guidance, mostly ultrasound. Same buyers, same procedure rooms, no ultrasound on the card. The closest match to Singmed on this list.</t>
        </is>
      </c>
      <c r="N7" s="161" t="inlineStr">
        <is>
          <t>SonoBook 9 + SonoEye P3 + SonoPort 8</t>
        </is>
      </c>
      <c r="O7" s="165" t="n">
        <v>1</v>
      </c>
      <c r="P7" s="161" t="inlineStr">
        <is>
          <t>Tier 1, confidence raised from C to A in v16: email, phone, address, principals and customer segments read off their own site.</t>
        </is>
      </c>
      <c r="Q7" s="161" t="inlineStr">
        <is>
          <t>Own site opened 7 Oct 2026</t>
        </is>
      </c>
      <c r="R7" s="161" t="inlineStr">
        <is>
          <t>Kept, Tier 1, contact upgraded to A</t>
        </is>
      </c>
      <c r="S7" s="161" t="inlineStr">
        <is>
          <t>AsiaMed: CHISON ultrasound for the procedures your products already go into</t>
        </is>
      </c>
      <c r="T7" s="161" t="inlineStr">
        <is>
          <t>Dear AsiaMed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Every AprioMed and INRAD biopsy needle and every drainage set you supply is placed under image guidance, most often ultrasound, in the interventional radiology and oncology suites you already serve.
CHISON would supply the ultrasound that guides those procedures, into the same procedure accounts, with no competing line on your card to displace.
• SonoBook 9: laptop system with biopsy guidance
• SonoEye P3: pocket handheld for vascular access, nerve block and bedside scans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 ht="300" customHeight="1" s="104">
      <c r="A8" s="195" t="n">
        <v>4</v>
      </c>
      <c r="B8" s="162" t="inlineStr">
        <is>
          <t>MedAiD Solutions Pte Ltd</t>
        </is>
      </c>
      <c r="C8" s="195" t="inlineStr">
        <is>
          <t>Not started</t>
        </is>
      </c>
      <c r="D8" s="161" t="inlineStr">
        <is>
          <t>Biopsy and breast localisation, interventional radiology consumables, spine (bone biopsy, vertebroplasty), tumour ablation (cryoablation, radiofrequency), gastrointestinal and surgical instruments, infant care, wound care. Principals include Boston Scientific, IZI Medical, Magle, Hygienius, Silverstream, DKT</t>
        </is>
      </c>
      <c r="E8" s="161" t="inlineStr">
        <is>
          <t>Interventional radiology and oncology, breast surgery, cardiac and vascular, surgical specialties</t>
        </is>
      </c>
      <c r="F8" s="161" t="inlineStr">
        <is>
          <t>No ultrasound system line identified on their own site</t>
        </is>
      </c>
      <c r="G8" s="161" t="inlineStr">
        <is>
          <t>Singapore (Eunos)</t>
        </is>
      </c>
      <c r="H8" s="163" t="inlineStr">
        <is>
          <t>https://medaid.com.sg</t>
        </is>
      </c>
      <c r="I8" s="161" t="inlineStr">
        <is>
          <t>+65 6748 9686</t>
        </is>
      </c>
      <c r="J8" s="161" t="inlineStr">
        <is>
          <t>cs@medaid.com.sg</t>
        </is>
      </c>
      <c r="K8" s="161" t="inlineStr">
        <is>
          <t>60 Kaki Bukit Place #08-17, Eunos Techpark, Singapore 415979 (address from directory)</t>
        </is>
      </c>
      <c r="L8" s="165" t="inlineStr">
        <is>
          <t>A</t>
        </is>
      </c>
      <c r="M8" s="161" t="inlineStr">
        <is>
          <t>Breast localisation, biopsy and tumour ablation are procedures done under ultrasound guidance in radiology. MedAiD already sells the disposables into those rooms and carries no scanner, so CHISON fills the gap without a conflict.</t>
        </is>
      </c>
      <c r="N8" s="161" t="inlineStr">
        <is>
          <t>SonoBook 9 + SonoEye P3 + SonoPort 8</t>
        </is>
      </c>
      <c r="O8" s="165" t="n">
        <v>1</v>
      </c>
      <c r="P8" s="161" t="inlineStr">
        <is>
          <t>Tier 1 NEW. Own site opened 7 Oct 2026: email, phone, product range and principals confirmed. Strongest new radiology fit found in this pass.</t>
        </is>
      </c>
      <c r="Q8" s="161" t="inlineStr">
        <is>
          <t>Own site opened 7 Oct 2026</t>
        </is>
      </c>
      <c r="R8" s="161" t="inlineStr">
        <is>
          <t>NEW in v16</t>
        </is>
      </c>
      <c r="S8" s="161" t="inlineStr">
        <is>
          <t>MedAiD Solutions: CHISON ultrasound for the procedures your products already go into</t>
        </is>
      </c>
      <c r="T8" s="161" t="inlineStr">
        <is>
          <t>Dear MedAiD Solutions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Breast localisation, biopsy and cryo or radiofrequency ablation are among the procedures most often guided by ultrasound, and MedAiD already supplies the consumables into those interventional and breast rooms.
CHISON would supply the ultrasound that guides those procedures, into the same procedure accounts, with no competing line on your card to displace.
• SonoBook 9: laptop system with biopsy guidance
• SonoEye P3: pocket handheld for vascular access, nerve block and bedside scans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 ht="300" customHeight="1" s="104">
      <c r="A9" s="195" t="n">
        <v>5</v>
      </c>
      <c r="B9" s="162" t="inlineStr">
        <is>
          <t>Smitech (Asia) Pte Ltd</t>
        </is>
      </c>
      <c r="C9" s="195" t="inlineStr">
        <is>
          <t>Not started</t>
        </is>
      </c>
      <c r="D9" s="161" t="inlineStr">
        <is>
          <t>Radiography and imaging: Control X digital X ray systems, flat panel detectors, HiRise weight bearing cone beam CT, Durr Dental X ray, Minston film viewers, JS Techwin personal dosimeters. Also InBody body composition, vital signs, Easywell examination lights, Newmed autoclaves, laboratory refrigeration</t>
        </is>
      </c>
      <c r="E9" s="161" t="inlineStr">
        <is>
          <t>Radiology and orthopaedic imaging, dental imaging, clinics and hospitals</t>
        </is>
      </c>
      <c r="F9" s="161" t="inlineStr">
        <is>
          <t>No ultrasound line identified on their own site</t>
        </is>
      </c>
      <c r="G9" s="161" t="inlineStr">
        <is>
          <t>Singapore (Bukit Timah Road)</t>
        </is>
      </c>
      <c r="H9" s="163" t="inlineStr">
        <is>
          <t>https://smitechasia.com.sg</t>
        </is>
      </c>
      <c r="I9" s="161" t="inlineStr">
        <is>
          <t>+65 6339 5277 / fax +65 6339 0253</t>
        </is>
      </c>
      <c r="J9" s="161" t="inlineStr">
        <is>
          <t>sales@smitechasia.com.sg</t>
        </is>
      </c>
      <c r="K9" s="161" t="inlineStr">
        <is>
          <t>75 Bukit Timah Road #06-13, Boon Siew Building, Singapore 229833. Second address on site: smitech@pacific.net.sg</t>
        </is>
      </c>
      <c r="L9" s="165" t="inlineStr">
        <is>
          <t>A</t>
        </is>
      </c>
      <c r="M9" s="161" t="inlineStr">
        <is>
          <t>A radiography house with digital X ray, detectors and weight bearing CBCT sold to radiology and orthopaedic imaging, and no ultrasound. Ultrasound is the natural second modality for the same imaging rooms and the same orthopaedic clinics.</t>
        </is>
      </c>
      <c r="N9" s="161" t="inlineStr">
        <is>
          <t>SonoMax 9 + SonoPort 8 + SonoEye P5</t>
        </is>
      </c>
      <c r="O9" s="165" t="n">
        <v>1</v>
      </c>
      <c r="P9" s="161" t="inlineStr">
        <is>
          <t>Tier 1 NEW. Radiology native dealer, no competing ultrasound, contact read off own site.</t>
        </is>
      </c>
      <c r="Q9" s="161" t="inlineStr">
        <is>
          <t>Own site opened 7 Oct 2026</t>
        </is>
      </c>
      <c r="R9" s="161" t="inlineStr">
        <is>
          <t>NEW in v16</t>
        </is>
      </c>
      <c r="S9" s="161" t="inlineStr">
        <is>
          <t>Smitech: CHISON ultrasound for the radiology departments you already supply</t>
        </is>
      </c>
      <c r="T9" s="161" t="inlineStr">
        <is>
          <t>Dear Smitech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 already put Control X digital X ray, flat panel detectors and HiRise weight bearing CT into radiology and orthopaedic imaging rooms. Ultrasound is the modality those same rooms add next, and it is not yet on your line card.
Ultrasound is the modality your radiology customers buy and replace most often, and it is sold into the same departments you already serve. CHISON would be a new imaging line with no overlap on your current card.
• SonoMax 9: flagship cart with automatic breast and thyroid lesion measurement
• SonoPort 8: mid tier cart for private imaging and O&amp;G rooms
• SonoEye P5: high frequency handheld for superficial and MSK work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 ht="300" customHeight="1" s="104">
      <c r="A10" s="195" t="n">
        <v>6</v>
      </c>
      <c r="B10" s="162" t="inlineStr">
        <is>
          <t>Somnotec (S) Pte Ltd</t>
        </is>
      </c>
      <c r="C10" s="195" t="inlineStr">
        <is>
          <t>Not started</t>
        </is>
      </c>
      <c r="D10" s="161" t="inlineStr">
        <is>
          <t>Anaesthesia and critical care, clinical diagnostics and navigation, ENT, interventional technologies, medical simulation, MRI clinical solutions, newborn hearing, respiratory and home care, sleep diagnostics and therapy, surgical instruments and implants, therapeutic endoscopy, vascular surgery (ClariVein, Bookwalter). About 236 registered products on the HSA register</t>
        </is>
      </c>
      <c r="E10" s="161" t="inlineStr">
        <is>
          <t>Anaesthesia and ICU, radiology (MRI suites), vascular surgery, ENT, endoscopy, simulation centres</t>
        </is>
      </c>
      <c r="F10" s="161" t="inlineStr">
        <is>
          <t>No ultrasound line identified on their own site</t>
        </is>
      </c>
      <c r="G10" s="161" t="inlineStr">
        <is>
          <t>Singapore (Ubi)</t>
        </is>
      </c>
      <c r="H10" s="163" t="inlineStr">
        <is>
          <t>https://www.somnotec.net</t>
        </is>
      </c>
      <c r="I10" s="161" t="inlineStr">
        <is>
          <t>+65 6844 0002 / fax +65 6844 2032</t>
        </is>
      </c>
      <c r="J10" s="161" t="inlineStr">
        <is>
          <t>info@somnotec.net</t>
        </is>
      </c>
      <c r="K10" s="161" t="inlineStr">
        <is>
          <t>50 Ubi Crescent #01-03, Ubi Techpark, Singapore 408568 (address and phone from directory)</t>
        </is>
      </c>
      <c r="L10" s="165" t="inlineStr">
        <is>
          <t>A</t>
        </is>
      </c>
      <c r="M10" s="161" t="inlineStr">
        <is>
          <t>One of the largest independent HSA registrants in Singapore, selling into anaesthesia, ICU, MRI suites, vascular surgery and simulation. Vascular access, nerve block and vein work all use ultrasound, and they carry none.</t>
        </is>
      </c>
      <c r="N10" s="161" t="inlineStr">
        <is>
          <t>SonoEye P3 + SonoAir 70 + SonoBook 9</t>
        </is>
      </c>
      <c r="O10" s="165" t="n">
        <v>1</v>
      </c>
      <c r="P10" s="161" t="inlineStr">
        <is>
          <t>Tier 1 NEW. Breadth and scale (top 20 independent registrant by product count), right departments, no ultrasound found.</t>
        </is>
      </c>
      <c r="Q10" s="161" t="inlineStr">
        <is>
          <t>Own site opened 7 Oct 2026; registry count from MedMatch</t>
        </is>
      </c>
      <c r="R10" s="161" t="inlineStr">
        <is>
          <t>NEW in v16</t>
        </is>
      </c>
      <c r="S10" s="161" t="inlineStr">
        <is>
          <t>Somnotec: CHISON point of care ultrasound for theatre and ICU</t>
        </is>
      </c>
      <c r="T10" s="161" t="inlineStr">
        <is>
          <t>Dear Somnotec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Your range already reaches anaesthesia and critical care, MRI suites, vascular surgery and simulation centres, from ClariVein to the Bookwalter retractor. Ultrasound guided access, nerve block and venous work sit across exactly those departments.
Ultrasound guided vascular access, nerve block and lung scanning are now routine in theatre and ICU, and a compact system sells to the same anaesthetists and intensivists you already see.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1" ht="300" customHeight="1" s="104">
      <c r="A11" s="195" t="n">
        <v>7</v>
      </c>
      <c r="B11" s="162" t="inlineStr">
        <is>
          <t>Transmedic Pte Ltd (an EBOS Medical Technology company)</t>
        </is>
      </c>
      <c r="C11" s="195" t="inlineStr">
        <is>
          <t>Not started</t>
        </is>
      </c>
      <c r="D11" s="161" t="inlineStr">
        <is>
          <t>Medical technology distributor since 1980 across seven ASEAN markets and Hong Kong. Cardiovascular, oncology, orthopaedics and spine. Part of EBOS Group</t>
        </is>
      </c>
      <c r="E11" s="161" t="inlineStr">
        <is>
          <t>Cardiology and cath lab, oncology, orthopaedics and spine in public and private hospitals</t>
        </is>
      </c>
      <c r="F11" s="161" t="inlineStr">
        <is>
          <t>No ultrasound line identified in its published therapeutic areas</t>
        </is>
      </c>
      <c r="G11" s="161" t="inlineStr">
        <is>
          <t>Singapore (regional headquarters, Jalan Kilang Barat)</t>
        </is>
      </c>
      <c r="H11" s="163" t="inlineStr">
        <is>
          <t>https://www.transmedicgroup.com</t>
        </is>
      </c>
      <c r="I11" s="161" t="inlineStr">
        <is>
          <t>+65 6737 1945</t>
        </is>
      </c>
      <c r="J11" s="161" t="inlineStr">
        <is>
          <t>enquiries@transmedicgroup.com</t>
        </is>
      </c>
      <c r="K11" s="161" t="inlineStr">
        <is>
          <t>5 Jalan Kilang Barat, 9th Floor Petro Centre, Singapore 159349. SGMT also lists annie.phua@transmedicgroup.com. Swissmed Pte Ltd shares this address and an inbox (transmedic.sg.ops@transmedicgroup.com): same group, approach once</t>
        </is>
      </c>
      <c r="L11" s="170" t="inlineStr">
        <is>
          <t>C</t>
        </is>
      </c>
      <c r="M11" s="161" t="inlineStr">
        <is>
          <t>A regional cardiovascular, oncology and orthopaedic channel with scale and its own service teams. The email is from two directories rather than their own site, so treat the first send as a test.</t>
        </is>
      </c>
      <c r="N11" s="161" t="inlineStr">
        <is>
          <t>SonoBook 9 + SonoPort 8 + SonoEye P3</t>
        </is>
      </c>
      <c r="O11" s="165" t="n">
        <v>1</v>
      </c>
      <c r="P11" s="161" t="inlineStr">
        <is>
          <t>Tier 1 since v5. v16 adds the directory email so the row can be emailed; holding group overlap with Swissmed flagged.</t>
        </is>
      </c>
      <c r="Q11" s="161" t="inlineStr">
        <is>
          <t>v15 site check plus email from PharmChoices and SGMT directories</t>
        </is>
      </c>
      <c r="R11" s="161" t="inlineStr">
        <is>
          <t>Kept, Tier 1, email added</t>
        </is>
      </c>
      <c r="S11" s="161" t="inlineStr">
        <is>
          <t>Transmedic: CHISON echo and vascular ultrasound for your cardiology accounts</t>
        </is>
      </c>
      <c r="T11" s="161" t="inlineStr">
        <is>
          <t>Dear Transmedic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Transmedic already covers cardiovascular, oncology and orthopaedic customers in Singapore and across ASEAN, and echo, vascular and MSK ultrasound sell to the same clinicians.
Echo and vascular scanning sell to the same cardiology, vascular and oncology clinicians who already buy from you.
• SonoBook 9: laptop system with biopsy guidance
• SonoPort 8: mid tier cart for private imaging and O&amp;G rooms
• SonoEye P3: pocket handheld for vascular access, nerve block and bedside scans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2" ht="300" customHeight="1" s="104">
      <c r="A12" s="195" t="n">
        <v>8</v>
      </c>
      <c r="B12" s="162" t="inlineStr">
        <is>
          <t>I:EMEDICS Pte Ltd</t>
        </is>
      </c>
      <c r="C12" s="195" t="inlineStr">
        <is>
          <t>Not started</t>
        </is>
      </c>
      <c r="D12" s="161" t="inlineStr">
        <is>
          <t>Anaesthesia and critical care (Plexus regional anaesthesia), respiratory care, urology, ENT, chest drainage, ambulatory infusion pumps, temperature management, body positioning, diabetic foot wound care. HSA registry principals include PAJUNK, TRACOE, Barkey, Micrel, Pulmodyne, Ohio Medical, Vathin bronchoscopes, Hsiner</t>
        </is>
      </c>
      <c r="E12" s="161" t="inlineStr">
        <is>
          <t>Anaesthesia, ICU, respiratory medicine, urology and ENT</t>
        </is>
      </c>
      <c r="F12" s="161" t="inlineStr">
        <is>
          <t>No ultrasound line identified on their own site</t>
        </is>
      </c>
      <c r="G12" s="161" t="inlineStr">
        <is>
          <t>Singapore (Kaki Bukit)</t>
        </is>
      </c>
      <c r="H12" s="163" t="inlineStr">
        <is>
          <t>https://iemedics.com</t>
        </is>
      </c>
      <c r="I12" s="161" t="inlineStr">
        <is>
          <t>+65 6747 0166 / fax +65 6747 0966</t>
        </is>
      </c>
      <c r="J12" s="161" t="inlineStr">
        <is>
          <t>info@IEmedics.com</t>
        </is>
      </c>
      <c r="K12" s="161" t="inlineStr">
        <is>
          <t>31 Kaki Bukit Road 3 #05-12, Techlink (Lobby B), Singapore 417818</t>
        </is>
      </c>
      <c r="L12" s="165" t="inlineStr">
        <is>
          <t>A</t>
        </is>
      </c>
      <c r="M12" s="161" t="inlineStr">
        <is>
          <t>They sell PAJUNK regional anaesthesia needles and Plexus nerve block products, which are used under ultrasound. A pocket or laptop scanner is the obvious companion line for the same anaesthetists.</t>
        </is>
      </c>
      <c r="N12" s="161" t="inlineStr">
        <is>
          <t>SonoEye P3 + SonoAir 70 + SonoBook 9</t>
        </is>
      </c>
      <c r="O12" s="165" t="n">
        <v>1</v>
      </c>
      <c r="P12" s="161" t="inlineStr">
        <is>
          <t>Tier 1 NEW. Regional anaesthesia and ICU focus, contact read off own site, no ultrasound.</t>
        </is>
      </c>
      <c r="Q12" s="161" t="inlineStr">
        <is>
          <t>Own site opened 7 Oct 2026; principals from MedMatch registry view</t>
        </is>
      </c>
      <c r="R12" s="161" t="inlineStr">
        <is>
          <t>NEW in v16</t>
        </is>
      </c>
      <c r="S12" s="161" t="inlineStr">
        <is>
          <t>IEmedics: CHISON point of care ultrasound for theatre and ICU</t>
        </is>
      </c>
      <c r="T12" s="161" t="inlineStr">
        <is>
          <t>Dear IEmedics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 already supply PAJUNK and Plexus regional anaesthesia products, and most of those blocks are now placed under ultrasound guidance.
Ultrasound guided vascular access, nerve block and lung scanning are now routine in theatre and ICU, and a compact system sells to the same anaesthetists and intensivists you already see.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3" ht="300" customHeight="1" s="104">
      <c r="A13" s="195" t="n">
        <v>9</v>
      </c>
      <c r="B13" s="162" t="inlineStr">
        <is>
          <t>Equip Medical Pte Ltd</t>
        </is>
      </c>
      <c r="C13" s="195" t="inlineStr">
        <is>
          <t>Not started</t>
        </is>
      </c>
      <c r="D13" s="161" t="inlineStr">
        <is>
          <t>Hospital equipment by department: operating theatre, general ward, ICU and CCU, emergency and rescue, long term care, specialists and clinics. 21 principals including A&amp;D, Arcomed, Capsa Healthcare, Ferno, Medela, Meiko, Riester</t>
        </is>
      </c>
      <c r="E13" s="161" t="inlineStr">
        <is>
          <t>Operating theatre, ICU and CCU, emergency, wards and specialist clinics</t>
        </is>
      </c>
      <c r="F13" s="161" t="inlineStr">
        <is>
          <t>No ultrasound line identified on their own site</t>
        </is>
      </c>
      <c r="G13" s="161" t="inlineStr">
        <is>
          <t>Singapore (Toh Guan)</t>
        </is>
      </c>
      <c r="H13" s="163" t="inlineStr">
        <is>
          <t>https://www.equipmedical.com.sg</t>
        </is>
      </c>
      <c r="I13" s="161" t="inlineStr">
        <is>
          <t>+65 6562 3008</t>
        </is>
      </c>
      <c r="J13" s="161" t="inlineStr">
        <is>
          <t>sales@equipmedical.com.sg</t>
        </is>
      </c>
      <c r="K13" s="161" t="inlineStr">
        <is>
          <t>81 Toh Guan Road East #03-01, Secom Centre, Singapore 608606</t>
        </is>
      </c>
      <c r="L13" s="165" t="inlineStr">
        <is>
          <t>A</t>
        </is>
      </c>
      <c r="M13" s="161" t="inlineStr">
        <is>
          <t>Organised exactly by the departments where point of care ultrasound is used (theatre, ICU, ED, wards, clinics), selling monitors, pumps and emergency equipment with no scanner.</t>
        </is>
      </c>
      <c r="N13" s="161" t="inlineStr">
        <is>
          <t>SonoEye P3 + SonoAir 70 + SonoBook 9</t>
        </is>
      </c>
      <c r="O13" s="165" t="n">
        <v>1</v>
      </c>
      <c r="P13" s="161" t="inlineStr">
        <is>
          <t>Tier 1 NEW. Department coverage matches the CHISON point of care range; contact read off own site.</t>
        </is>
      </c>
      <c r="Q13" s="161" t="inlineStr">
        <is>
          <t>Own site opened 7 Oct 2026</t>
        </is>
      </c>
      <c r="R13" s="161" t="inlineStr">
        <is>
          <t>NEW in v16</t>
        </is>
      </c>
      <c r="S13" s="161" t="inlineStr">
        <is>
          <t>Equip Medical: CHISON point of care ultrasound for theatre and ICU</t>
        </is>
      </c>
      <c r="T13" s="161" t="inlineStr">
        <is>
          <t>Dear Equip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 supply theatre, ICU, CCU, emergency and ward teams with A&amp;D monitors, Arcomed pumps, Medela Thopaz and Ferno equipment, the same teams that now scan at the bedside.
Ultrasound guided vascular access, nerve block and lung scanning are now routine in theatre and ICU, and a compact system sells to the same anaesthetists and intensivists you already see.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4" ht="300" customHeight="1" s="104">
      <c r="A14" s="195" t="n">
        <v>10</v>
      </c>
      <c r="B14" s="162" t="inlineStr">
        <is>
          <t>Star Medical Co Pte Ltd</t>
        </is>
      </c>
      <c r="C14" s="195" t="inlineStr">
        <is>
          <t>Not started</t>
        </is>
      </c>
      <c r="D14" s="161" t="inlineStr">
        <is>
          <t>Respiratory and critical care: suction therapy, oxygen and air therapy, adult and infant ventilation, high flow, bubble CPAP, humidification, medical grade UPS. Principals Ohio Medical, Fisher &amp; Paykel, Vacsax, mediTECH, Maxtec, Penlon</t>
        </is>
      </c>
      <c r="E14" s="161" t="inlineStr">
        <is>
          <t>ICU, NICU, respiratory medicine, anaesthesia</t>
        </is>
      </c>
      <c r="F14" s="161" t="inlineStr">
        <is>
          <t>No ultrasound line identified on their own site</t>
        </is>
      </c>
      <c r="G14" s="161" t="inlineStr">
        <is>
          <t>Singapore (Upper Aljunied)</t>
        </is>
      </c>
      <c r="H14" s="163" t="inlineStr">
        <is>
          <t>https://www.starmedical.com</t>
        </is>
      </c>
      <c r="I14" s="161" t="inlineStr">
        <is>
          <t>+65 6286 4266 / fax +65 6284 7514</t>
        </is>
      </c>
      <c r="J14" s="161" t="inlineStr">
        <is>
          <t>sales@starmedical.com</t>
        </is>
      </c>
      <c r="K14" s="161" t="inlineStr">
        <is>
          <t>3 Upper Aljunied Link (Block B) #07-06, Joo Seng Warehouse, Singapore 367902</t>
        </is>
      </c>
      <c r="L14" s="165" t="inlineStr">
        <is>
          <t>A</t>
        </is>
      </c>
      <c r="M14" s="161" t="inlineStr">
        <is>
          <t>An ICU and respiratory house. Lung ultrasound and vascular access are routine in the ICUs and NICUs they supply.</t>
        </is>
      </c>
      <c r="N14" s="161" t="inlineStr">
        <is>
          <t>SonoEye P3 + SonoAir 70 + SonoBook 9</t>
        </is>
      </c>
      <c r="O14" s="165" t="n">
        <v>1</v>
      </c>
      <c r="P14" s="161" t="inlineStr">
        <is>
          <t>Tier 1 NEW. Critical care buyer, no competing line, contact read off own site.</t>
        </is>
      </c>
      <c r="Q14" s="161" t="inlineStr">
        <is>
          <t>Own site opened 7 Oct 2026</t>
        </is>
      </c>
      <c r="R14" s="161" t="inlineStr">
        <is>
          <t>NEW in v16</t>
        </is>
      </c>
      <c r="S14" s="161" t="inlineStr">
        <is>
          <t>Star Medical: CHISON point of care ultrasound for theatre and ICU</t>
        </is>
      </c>
      <c r="T14" s="161" t="inlineStr">
        <is>
          <t>Dear Star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Your Fisher &amp; Paykel, Penlon and Ohio Medical ranges are in ICUs and neonatal units across Singapore, where lung ultrasound and ultrasound guided lines are now routine.
Ultrasound guided vascular access, nerve block and lung scanning are now routine in theatre and ICU, and a compact system sells to the same anaesthetists and intensivists you already see.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5" ht="300" customHeight="1" s="104">
      <c r="A15" s="195" t="n">
        <v>11</v>
      </c>
      <c r="B15" s="162" t="inlineStr">
        <is>
          <t>Junnimed Services Pte Ltd</t>
        </is>
      </c>
      <c r="C15" s="195" t="inlineStr">
        <is>
          <t>Not started</t>
        </is>
      </c>
      <c r="D15" s="161" t="inlineStr">
        <is>
          <t>Suction and oxygen therapy, ICU ventilators (SLE) and nitric oxide delivery, hospital furniture, medical gas pipeline installation and maintenance, patient lifting, home care CPAP (ResMed, Philips Respironics)</t>
        </is>
      </c>
      <c r="E15" s="161" t="inlineStr">
        <is>
          <t>ICU and NICU, wards, hospital facilities and engineering, home care</t>
        </is>
      </c>
      <c r="F15" s="161" t="inlineStr">
        <is>
          <t>No ultrasound line identified on their own site</t>
        </is>
      </c>
      <c r="G15" s="161" t="inlineStr">
        <is>
          <t>Singapore (Kaki Bukit)</t>
        </is>
      </c>
      <c r="H15" s="163" t="inlineStr">
        <is>
          <t>https://www.junnimed.com</t>
        </is>
      </c>
      <c r="I15" s="161" t="inlineStr">
        <is>
          <t>+65 6746 1245 / fax +65 6746 1249</t>
        </is>
      </c>
      <c r="J15" s="161" t="inlineStr">
        <is>
          <t>sales@junnimed.com</t>
        </is>
      </c>
      <c r="K15" s="161" t="inlineStr">
        <is>
          <t>17 Kaki Bukit Place, Singapore 416195. Also admin@junnimed.com and enquiries@junnimed.com; retail outlets in Little India and Upper Thomson</t>
        </is>
      </c>
      <c r="L15" s="165" t="inlineStr">
        <is>
          <t>A</t>
        </is>
      </c>
      <c r="M15" s="161" t="inlineStr">
        <is>
          <t>Hospital infrastructure and ICU equipment with installation and service capability. Strong on service, which is what a dealer appointment needs.</t>
        </is>
      </c>
      <c r="N15" s="161" t="inlineStr">
        <is>
          <t>SonoEye P3 + SonoAir 70 + SonoBook 9</t>
        </is>
      </c>
      <c r="O15" s="165" t="n">
        <v>1</v>
      </c>
      <c r="P15" s="161" t="inlineStr">
        <is>
          <t>Tier 1 NEW. Service capable hospital supplier into ICU and wards; contact read off own site.</t>
        </is>
      </c>
      <c r="Q15" s="161" t="inlineStr">
        <is>
          <t>Own site opened 7 Oct 2026</t>
        </is>
      </c>
      <c r="R15" s="161" t="inlineStr">
        <is>
          <t>NEW in v16</t>
        </is>
      </c>
      <c r="S15" s="161" t="inlineStr">
        <is>
          <t>Junnimed: CHISON point of care ultrasound for theatre and ICU</t>
        </is>
      </c>
      <c r="T15" s="161" t="inlineStr">
        <is>
          <t>Dear Junnimed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 already install and service ventilators, medical gas and ward equipment inside Singapore hospitals, so you have the engineering team a capital imaging line needs.
Ultrasound guided vascular access, nerve block and lung scanning are now routine in theatre and ICU, and a compact system sells to the same anaesthetists and intensivists you already see.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6" ht="300" customHeight="1" s="104">
      <c r="A16" s="195" t="n">
        <v>12</v>
      </c>
      <c r="B16" s="162" t="inlineStr">
        <is>
          <t>Optimal Medical Products Pte Ltd</t>
        </is>
      </c>
      <c r="C16" s="195" t="inlineStr">
        <is>
          <t>Not started</t>
        </is>
      </c>
      <c r="D16" s="161" t="inlineStr">
        <is>
          <t>Diagnostic equipment, critical care, ostomy, rehabilitation, surgical instruments, home care. Principals include Welch Allyn, Exergen, Hollister, RECK MOTOmed, Tyromotion, Hasomed, Unomedical, Amsino, Rudolf</t>
        </is>
      </c>
      <c r="E16" s="161" t="inlineStr">
        <is>
          <t>GP and specialist clinics (Welch Allyn diagnostics), critical care, rehabilitation</t>
        </is>
      </c>
      <c r="F16" s="161" t="inlineStr">
        <is>
          <t>No ultrasound line identified on their own site</t>
        </is>
      </c>
      <c r="G16" s="161" t="inlineStr">
        <is>
          <t>Singapore (Ubi)</t>
        </is>
      </c>
      <c r="H16" s="163" t="inlineStr">
        <is>
          <t>https://www.optimalmedical.com.sg</t>
        </is>
      </c>
      <c r="I16" s="161" t="inlineStr">
        <is>
          <t>+65 6253 5247 / +65 6251 4248</t>
        </is>
      </c>
      <c r="J16" s="161" t="inlineStr">
        <is>
          <t>sales@optimalmedical.com.sg</t>
        </is>
      </c>
      <c r="K16" s="161" t="inlineStr">
        <is>
          <t>33 Ubi Avenue 3 #01-27, Vertex, Singapore 408868</t>
        </is>
      </c>
      <c r="L16" s="165" t="inlineStr">
        <is>
          <t>A</t>
        </is>
      </c>
      <c r="M16" s="161" t="inlineStr">
        <is>
          <t>Welch Allyn diagnostics put them in front of every GP and specialist clinic that buys an examination set, which is the buyer adding point of care ultrasound.</t>
        </is>
      </c>
      <c r="N16" s="161" t="inlineStr">
        <is>
          <t>SonoEye P3 + SonoAir 70 + SonoBook 9</t>
        </is>
      </c>
      <c r="O16" s="165" t="n">
        <v>1</v>
      </c>
      <c r="P16" s="161" t="inlineStr">
        <is>
          <t>Tier 1 NEW. Clinic diagnostic channel without ultrasound; contact read off own site.</t>
        </is>
      </c>
      <c r="Q16" s="161" t="inlineStr">
        <is>
          <t>Own site opened 7 Oct 2026</t>
        </is>
      </c>
      <c r="R16" s="161" t="inlineStr">
        <is>
          <t>NEW in v16</t>
        </is>
      </c>
      <c r="S16" s="161" t="inlineStr">
        <is>
          <t>Optimal Medical: a CHISON ultrasound line for the clinics you already supply</t>
        </is>
      </c>
      <c r="T16" s="161" t="inlineStr">
        <is>
          <t>Dear Optimal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Your Welch Allyn and Exergen diagnostic range already sits in GP and specialist clinics across Singapore, and point of care ultrasound is the next diagnostic those clinics are buying.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7" ht="300" customHeight="1" s="104">
      <c r="A17" s="195" t="n">
        <v>13</v>
      </c>
      <c r="B17" s="162" t="inlineStr">
        <is>
          <t>Medquest Marketing Pte Ltd</t>
        </is>
      </c>
      <c r="C17" s="195" t="inlineStr">
        <is>
          <t>Not started</t>
        </is>
      </c>
      <c r="D17" s="161" t="inlineStr">
        <is>
          <t>Medical (drug delivery in general and critical care), surgical (biopsy systems, ligation clips, trocars, staplers, endoscopic access), clinical technology (medication dispensing). HSA registry categories include Imaging and Radiology; principals include PAJUNK, Teleflex, ICU Medical, KLS Martin, Advanced Medical Solutions, Kangji</t>
        </is>
      </c>
      <c r="E17" s="161" t="inlineStr">
        <is>
          <t>Critical care, theatre and anaesthesia (PAJUNK), surgery, radiology</t>
        </is>
      </c>
      <c r="F17" s="161" t="inlineStr">
        <is>
          <t>No ultrasound line identified</t>
        </is>
      </c>
      <c r="G17" s="161" t="inlineStr">
        <is>
          <t>Singapore (Ang Mo Kio)</t>
        </is>
      </c>
      <c r="H17" s="163" t="inlineStr">
        <is>
          <t>https://medquest.com.sg</t>
        </is>
      </c>
      <c r="I17" s="161" t="inlineStr">
        <is>
          <t>+65 6805 1250 / fax +65 6341 6873</t>
        </is>
      </c>
      <c r="J17" s="161" t="inlineStr">
        <is>
          <t>Not published, call +65 6805 1250 for the right inbox</t>
        </is>
      </c>
      <c r="K17" s="161" t="inlineStr">
        <is>
          <t>3 Ang Mo Kio Street 62 #01-45, Link@AMK, Singapore 569139</t>
        </is>
      </c>
      <c r="L17" s="168" t="inlineStr">
        <is>
          <t>B</t>
        </is>
      </c>
      <c r="M17" s="161" t="inlineStr">
        <is>
          <t>PAJUNK regional anaesthesia plus biopsy systems and critical care drug delivery: the same anaesthesia and radiology buyers as Singmed. No email published, so call first.</t>
        </is>
      </c>
      <c r="N17" s="161" t="inlineStr">
        <is>
          <t>SonoEye P3 + SonoAir 70 + SonoBook 9</t>
        </is>
      </c>
      <c r="O17" s="165" t="n">
        <v>1</v>
      </c>
      <c r="P17" s="161" t="inlineStr">
        <is>
          <t>Tier 1 NEW on segment fit; held without an email until a call gets one.</t>
        </is>
      </c>
      <c r="Q17" s="161" t="inlineStr">
        <is>
          <t>Own site opened 7 Oct 2026 (contact page shows phone and fax only); principals from MedMatch registry view</t>
        </is>
      </c>
      <c r="R17" s="161" t="inlineStr">
        <is>
          <t>NEW in v16</t>
        </is>
      </c>
      <c r="S17" s="161" t="inlineStr">
        <is>
          <t>Medquest: CHISON point of care ultrasound for theatre and ICU</t>
        </is>
      </c>
      <c r="T17" s="161" t="inlineStr">
        <is>
          <t>Dear Medquest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Your PAJUNK regional anaesthesia range, biopsy systems and critical care drug delivery products already reach the anaesthetists, surgeons and radiologists who now scan as part of those procedures.
Ultrasound guided vascular access, nerve block and lung scanning are now routine in theatre and ICU, and a compact system sells to the same anaesthetists and intensivists you already see.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8" ht="300" customHeight="1" s="104">
      <c r="A18" s="195" t="n">
        <v>14</v>
      </c>
      <c r="B18" s="162" t="inlineStr">
        <is>
          <t>EO Medical Pte Ltd</t>
        </is>
      </c>
      <c r="C18" s="195" t="inlineStr">
        <is>
          <t>Not started</t>
        </is>
      </c>
      <c r="D18" s="161" t="inlineStr">
        <is>
          <t>Primary, respiratory, emergency and intensive care, hospital hygiene. MIR spirometers, Welch Allyn, SunTech blood pressure, Vapotherm high flow, Air Liquide Medical Systems, Galemed. About 53 registered products; exhibited at Medical Fair Asia 2026</t>
        </is>
      </c>
      <c r="E18" s="161" t="inlineStr">
        <is>
          <t>GP clinics, respiratory medicine, emergency and ICU</t>
        </is>
      </c>
      <c r="F18" s="161" t="inlineStr">
        <is>
          <t>No ultrasound line identified</t>
        </is>
      </c>
      <c r="G18" s="161" t="inlineStr">
        <is>
          <t>Singapore (one north)</t>
        </is>
      </c>
      <c r="H18" s="163" t="inlineStr">
        <is>
          <t>https://eo.com.sg</t>
        </is>
      </c>
      <c r="I18" s="161" t="inlineStr">
        <is>
          <t>+65 6100 5060</t>
        </is>
      </c>
      <c r="J18" s="161" t="inlineStr">
        <is>
          <t>Not published, enquiry form: https://eo.com.sg/contact-us/</t>
        </is>
      </c>
      <c r="K18" s="161" t="inlineStr">
        <is>
          <t>29 Media Circle #04-23, Alice@Mediapolis, Singapore 138565</t>
        </is>
      </c>
      <c r="L18" s="168" t="inlineStr">
        <is>
          <t>B</t>
        </is>
      </c>
      <c r="M18" s="161" t="inlineStr">
        <is>
          <t>GP and respiratory focus with ECG, spirometry and ICU high flow: the clinic and critical care buyer for SonoEye and SonoAir. Use the form or call.</t>
        </is>
      </c>
      <c r="N18" s="161" t="inlineStr">
        <is>
          <t>SonoEye P3 + SonoAir 70 + SonoBook 9</t>
        </is>
      </c>
      <c r="O18" s="165" t="n">
        <v>1</v>
      </c>
      <c r="P18" s="161" t="inlineStr">
        <is>
          <t>Tier 1 NEW on segment fit; form only.</t>
        </is>
      </c>
      <c r="Q18" s="161" t="inlineStr">
        <is>
          <t>Own site opened 7 Oct 2026 in Chrome: enquiry form, phone and address only</t>
        </is>
      </c>
      <c r="R18" s="161" t="inlineStr">
        <is>
          <t>NEW in v16</t>
        </is>
      </c>
      <c r="S18" s="161" t="inlineStr">
        <is>
          <t>EO Medical: a CHISON ultrasound line for the clinics you already supply</t>
        </is>
      </c>
      <c r="T18" s="161" t="inlineStr">
        <is>
          <t>Dear EO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EO Medical already equips GP clinics, respiratory, emergency and ICU teams with Welch Allyn, MIR spirometry and Vapotherm high flow.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9" ht="300" customHeight="1" s="104">
      <c r="A19" s="195" t="n">
        <v>15</v>
      </c>
      <c r="B19" s="162" t="inlineStr">
        <is>
          <t>Arqon Pte Ltd</t>
        </is>
      </c>
      <c r="C19" s="195" t="inlineStr">
        <is>
          <t>Not started</t>
        </is>
      </c>
      <c r="D19" s="161" t="inlineStr">
        <is>
          <t>HSA registry categories: imaging and radiology, surgical, ophthalmic, implants, diagnostics. Registered products include ScreenPoint Transpara (AI breast imaging), NICO LAB StrokeViewer, Spectrum Dynamics (nuclear medicine), MicroPort endovascular. 32 principals; exhibits at Medical Fair Asia</t>
        </is>
      </c>
      <c r="E19" s="161" t="inlineStr">
        <is>
          <t>Radiology (breast imaging, neuroradiology, nuclear medicine), vascular</t>
        </is>
      </c>
      <c r="F19" s="161" t="inlineStr">
        <is>
          <t>No ultrasound line identified in registry data</t>
        </is>
      </c>
      <c r="G19" s="161" t="inlineStr">
        <is>
          <t>Singapore (Henderson Road)</t>
        </is>
      </c>
      <c r="H19" s="163" t="inlineStr">
        <is>
          <t>https://arqon.com</t>
        </is>
      </c>
      <c r="I19" s="161" t="inlineStr">
        <is>
          <t>NOT CONFIRMED</t>
        </is>
      </c>
      <c r="J19" s="161" t="inlineStr">
        <is>
          <t>NOT CONFIRMED, find via LinkedIn or the website form</t>
        </is>
      </c>
      <c r="K19" s="161" t="inlineStr">
        <is>
          <t>221 Henderson Road #02-08, Henderson Building, Singapore 159557 (registry address)</t>
        </is>
      </c>
      <c r="L19" s="170" t="inlineStr">
        <is>
          <t>C</t>
        </is>
      </c>
      <c r="M19" s="161" t="inlineStr">
        <is>
          <t>Sells AI and software into radiology departments (breast, stroke, nuclear medicine). A radiology department channel with no hardware ultrasound line.</t>
        </is>
      </c>
      <c r="N19" s="161" t="inlineStr">
        <is>
          <t>SonoMax 9 + SonoPort 8 + SonoEye P5</t>
        </is>
      </c>
      <c r="O19" s="165" t="n">
        <v>1</v>
      </c>
      <c r="P19" s="161" t="inlineStr">
        <is>
          <t>Tier 1 NEW on radiology fit. Contact not yet confirmed, so it does not count toward the email total.</t>
        </is>
      </c>
      <c r="Q19" s="161" t="inlineStr">
        <is>
          <t>HSA registry view (MedMatch, data verified Jun 2026); own site could not be opened from here</t>
        </is>
      </c>
      <c r="R19" s="161" t="inlineStr">
        <is>
          <t>NEW in v16</t>
        </is>
      </c>
      <c r="S19" s="161" t="inlineStr">
        <is>
          <t>Arqon: CHISON ultrasound for the radiology departments you already supply</t>
        </is>
      </c>
      <c r="T19" s="161" t="inlineStr">
        <is>
          <t>Dear Arqon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Arqon already brings Transpara breast AI, StrokeViewer and Spectrum Dynamics into Singapore radiology and nuclear medicine departments.
Ultrasound is the modality your radiology customers buy and replace most often, and it is sold into the same departments you already serve. CHISON would be a new imaging line with no overlap on your current card.
• SonoMax 9: flagship cart with automatic breast and thyroid lesion measurement
• SonoPort 8: mid tier cart for private imaging and O&amp;G rooms
• SonoEye P5: high frequency handheld for superficial and MSK work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20" ht="300" customHeight="1" s="104">
      <c r="A20" s="195" t="n">
        <v>16</v>
      </c>
      <c r="B20" s="162" t="inlineStr">
        <is>
          <t>Easmed Asia Pte Ltd</t>
        </is>
      </c>
      <c r="C20" s="195" t="inlineStr">
        <is>
          <t>Not started</t>
        </is>
      </c>
      <c r="D20" s="161" t="inlineStr">
        <is>
          <t>ENT, general surgery, urology, respiratory and sleep (Compumedics, Lowenstein), Stryker Instruments, Nonin, Deka lasers, Hawk nephroscopes. About 60 registered products; regional distributor across South East Asia since 2006</t>
        </is>
      </c>
      <c r="E20" s="161" t="inlineStr">
        <is>
          <t>ENT, general surgery, urology, sleep and respiratory medicine</t>
        </is>
      </c>
      <c r="F20" s="161" t="inlineStr">
        <is>
          <t>No ultrasound line identified</t>
        </is>
      </c>
      <c r="G20" s="161" t="inlineStr">
        <is>
          <t>Singapore (Toa Payoh)</t>
        </is>
      </c>
      <c r="H20" s="163" t="inlineStr">
        <is>
          <t>https://www.easmed.com</t>
        </is>
      </c>
      <c r="I20" s="161" t="inlineStr">
        <is>
          <t>+65 6336 0806 / fax +65 6338 4132</t>
        </is>
      </c>
      <c r="J20" s="161" t="inlineStr">
        <is>
          <t>Not published on the home page; call for the right inbox</t>
        </is>
      </c>
      <c r="K20" s="161" t="inlineStr">
        <is>
          <t>11 Lorong 3 Toa Payoh #01-13, Jackson Square Block B, Singapore 319579</t>
        </is>
      </c>
      <c r="L20" s="168" t="inlineStr">
        <is>
          <t>B</t>
        </is>
      </c>
      <c r="M20" s="161" t="inlineStr">
        <is>
          <t>A regional surgical and ENT channel with scale. Was sitting on the End-Users tab; moved here because it is a dealer candidate.</t>
        </is>
      </c>
      <c r="N20" s="161" t="inlineStr">
        <is>
          <t>SonoAir 70 + SonoEye P3 + SonoBook 9</t>
        </is>
      </c>
      <c r="O20" s="165" t="n">
        <v>1</v>
      </c>
      <c r="P20" s="161" t="inlineStr">
        <is>
          <t>Tier 1 on scale and surgical fit; no published email yet.</t>
        </is>
      </c>
      <c r="Q20" s="161" t="inlineStr">
        <is>
          <t>Own site opened 7 Oct 2026 in Chrome (no email on home page); principals from MedMatch registry view</t>
        </is>
      </c>
      <c r="R20" s="161" t="inlineStr">
        <is>
          <t>NEW on this tab (was on Singapore End-Users as an optional sub dealer)</t>
        </is>
      </c>
      <c r="S20" s="161" t="inlineStr">
        <is>
          <t>Easmed: CHISON ultrasound for the theatres and clinics you supply</t>
        </is>
      </c>
      <c r="T20" s="161" t="inlineStr">
        <is>
          <t>Dear Easmed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Easmed has built a regional ENT, surgical, urology and sleep business across South East Asia with Stryker Instruments, Compumedics and Deka.
Surgeons and theatre teams increasingly scan at the table and in clinic, so a compact system sits naturally next to your surgical range.
• SonoAir 70: light laptop for wards, theatres and clinics
• SonoEye P3: pocket handheld for vascular access, nerve block and bedside scans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21" ht="300" customHeight="1" s="104">
      <c r="A21" s="195" t="n">
        <v>17</v>
      </c>
      <c r="B21" s="162" t="inlineStr">
        <is>
          <t>AJJ Healthcare Management Pte Ltd (AJJ Medtech Holdings, SGX 584)</t>
        </is>
      </c>
      <c r="C21" s="195" t="inlineStr">
        <is>
          <t>Not started</t>
        </is>
      </c>
      <c r="D21" s="161" t="inlineStr">
        <is>
          <t>Subsidiary of SGX listed AJJ Medtech Holdings (formerly OEL Holdings). Described to SGX (23 Nov 2021) as specialising in radiography diagnostics and ultrasound diagnostics, plus laboratory and animal health. HSA registry lists CHISON Medical Technologies among its 9 principals, alongside ACON, Aeonmed and its own AJJ brand (maternal and fetal monitor, ear thermometer). Owns 70% of Quest Asia Technologies (QAT) since Aug 2023, the sole HSA registered distributor of Samsung Medison ultrasound since 2019</t>
        </is>
      </c>
      <c r="E21" s="161" t="inlineStr">
        <is>
          <t>Radiography and ultrasound diagnostics, maternal and fetal monitoring, veterinary ultrasound</t>
        </is>
      </c>
      <c r="F21" s="161" t="inlineStr">
        <is>
          <t>YES. CHISON is on its HSA registrations; group company QAT distributes Samsung Medison</t>
        </is>
      </c>
      <c r="G21" s="161" t="inlineStr">
        <is>
          <t>Singapore (Commonwealth)</t>
        </is>
      </c>
      <c r="H21" s="163" t="inlineStr">
        <is>
          <t>https://www.ajjmedtech.com.sg</t>
        </is>
      </c>
      <c r="I21" s="161" t="inlineStr">
        <is>
          <t>+65 6235 5091 (group) / +65 6908 4251 (CEO, per SGX release)</t>
        </is>
      </c>
      <c r="J21" s="161" t="inlineStr">
        <is>
          <t>tanweijie@ajjhealthcare.com</t>
        </is>
      </c>
      <c r="K21" s="161" t="inlineStr">
        <is>
          <t>8 Commonwealth Lane #02-04, Grande Building, Singapore 149555. CEO Dr Tan Wei Jie named as the contact on the group's own SGX press release of 14 Aug 2023</t>
        </is>
      </c>
      <c r="L21" s="165" t="inlineStr">
        <is>
          <t>A</t>
        </is>
      </c>
      <c r="M21" s="161" t="inlineStr">
        <is>
          <t>Very likely the previous CHISON Singapore dealer or registrant that James asked about. CHISON still appears on its HSA registrations, and the group now owns the Samsung Medison distributor. Ask Judy for the history BEFORE any contact; the email is drafted but should not go until that conversation has happened.</t>
        </is>
      </c>
      <c r="N21" s="161" t="inlineStr">
        <is>
          <t>Full HSA registered range; first establish the CHISON history and the Samsung position</t>
        </is>
      </c>
      <c r="O21" s="170" t="n">
        <v>2</v>
      </c>
      <c r="P21" s="161" t="inlineStr">
        <is>
          <t>Tier 2 and VERIFY FIRST: the history matters more than the fit. Do not send until Judy confirms what happened with CHISON in Singapore.</t>
        </is>
      </c>
      <c r="Q21" s="161" t="inlineStr">
        <is>
          <t>SGX announcements (23 Nov 2021, 14 Aug 2023), Yahoo Finance profile, MedMatch registry view. VERIFY FIRST</t>
        </is>
      </c>
      <c r="R21" s="196" t="inlineStr">
        <is>
          <t>NEW in v16, VERIFY FIRST</t>
        </is>
      </c>
      <c r="S21" s="161" t="inlineStr">
        <is>
          <t>AJJ Medtech and CHISON in Singapore: a conversation before we appoint dealers</t>
        </is>
      </c>
      <c r="T21" s="161" t="inlineStr">
        <is>
          <t>Dear Dr Tan,
I am Casper Tan, Senior Regional Sales Manager at AstraMed Healthcare Pte Ltd, the Singapore subsidiary of CHISON Medical Technologies. AstraMed now holds the HSA registration for CHISON's current range, and we are appointing dealers for Singapore.
The HSA device register still lists CHISON Medical Technologies among AJJ Healthcare's principals, and I understand that Quest Asia Technologies, within your group, has been the registered Samsung Medison distributor since 2019. Before CHISON appoints anyone in Singapore, I would like to hear from you directly: how the CHISON line went for AJJ, whether any registrations or installed units are still active, and whether there is interest in working together on the current range.
The range now registered with AstraMed as registrant covers the SonoMax 9 and SonoPort 8 carts, the SonoBook 9 and SonoAir 70 laptops, and the SonoEye P3 and P5 handhelds.
Would you have twenty minutes for a call in the next two weeks? I would value the history as much as any decision.
Best regards,
Casper Tan
Senior Regional Sales Manager
AstraMed Healthcare Pte Ltd, a subsidiary of CHISON Medical Technologies
casper@astramed.sg | +65 8719 0121</t>
        </is>
      </c>
    </row>
    <row r="22" ht="300" customHeight="1" s="104">
      <c r="A22" s="195" t="n">
        <v>18</v>
      </c>
      <c r="B22" s="162" t="inlineStr">
        <is>
          <t>Gold Lite Pte Ltd</t>
        </is>
      </c>
      <c r="C22" s="195" t="inlineStr">
        <is>
          <t>Not started</t>
        </is>
      </c>
      <c r="D22" s="161" t="inlineStr">
        <is>
          <t>Medical imaging (CR and DR, angiography, MRI, CT, PACS, ultrasound), patient monitoring (monitors, vital signs, ECG, spirometry), respiratory and emergency care (defibrillators, resuscitators, training). Also a test and measurement division. ISO and GDPMDS accredited; about 67 registered products</t>
        </is>
      </c>
      <c r="E22" s="161" t="inlineStr">
        <is>
          <t>Radiology (CR, DR, CT, MRI, angiography, PACS), patient monitoring, emergency</t>
        </is>
      </c>
      <c r="F22" s="161" t="inlineStr">
        <is>
          <t>YES. Lists ultrasound under imaging; brand not stated on the pages read</t>
        </is>
      </c>
      <c r="G22" s="161" t="inlineStr">
        <is>
          <t>Singapore (Henderson Road)</t>
        </is>
      </c>
      <c r="H22" s="163" t="inlineStr">
        <is>
          <t>http://www.goldlite.com.sg</t>
        </is>
      </c>
      <c r="I22" s="161" t="inlineStr">
        <is>
          <t>+65 6273 0487 / fax +65 6278 8687</t>
        </is>
      </c>
      <c r="J22" s="161" t="inlineStr">
        <is>
          <t>sales@goldlite.com.sg</t>
        </is>
      </c>
      <c r="K22" s="161" t="inlineStr">
        <is>
          <t>211 Henderson Road #13-01, Henderson Industrial Park, Singapore 159552</t>
        </is>
      </c>
      <c r="L22" s="165" t="inlineStr">
        <is>
          <t>A</t>
        </is>
      </c>
      <c r="M22" s="161" t="inlineStr">
        <is>
          <t>The most radiology native independent dealer found: CR, DR, CT, MRI, angiography and PACS. They list ultrasound, so the first question is which brand and whether it is exclusive.</t>
        </is>
      </c>
      <c r="N22" s="161" t="inlineStr">
        <is>
          <t>Conflict aware. Ask about exclusivity first, then only SonoEye P5 + SonoAir 70 + SonoPort 8</t>
        </is>
      </c>
      <c r="O22" s="170" t="n">
        <v>2</v>
      </c>
      <c r="P22" s="161" t="inlineStr">
        <is>
          <t>Tier 2 only because an ultrasound line exists. On end user overlap it is the best radiology match on the list.</t>
        </is>
      </c>
      <c r="Q22" s="161" t="inlineStr">
        <is>
          <t>Own site opened 7 Oct 2026</t>
        </is>
      </c>
      <c r="R22" s="161" t="inlineStr">
        <is>
          <t>NEW in v16</t>
        </is>
      </c>
      <c r="S22" s="161" t="inlineStr">
        <is>
          <t>A question first for Gold Lite: is your ultrasound agreement exclusive?</t>
        </is>
      </c>
      <c r="T22" s="161" t="inlineStr">
        <is>
          <t>Dear Gold Lite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Gold Lite already sells CR, DR, CT, MRI, angiography and PACS into Singapore radiology departments, and lists ultrasound in the same imaging range.
Before anything else: is your current ultrasound agreement exclusive? If it is, I will not take more of your time. If it is not, there are form factors and price bands where we would not be asking you to sell against your own principal.
• SonoEye P5: high frequency handheld for superficial and MSK work
• SonoAir 70: light laptop for wards, theatres and clinics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23" ht="300" customHeight="1" s="104">
      <c r="A23" s="195" t="n">
        <v>19</v>
      </c>
      <c r="B23" s="162" t="inlineStr">
        <is>
          <t>QST Technologies Pte Ltd</t>
        </is>
      </c>
      <c r="C23" s="195" t="inlineStr">
        <is>
          <t>Not started</t>
        </is>
      </c>
      <c r="D23" s="161" t="inlineStr">
        <is>
          <t>Medical, dental and veterinary equipment across 50+ brands: diagnostic imaging (radiology, ultrasound, MRI, CT), cardiovascular, orthopaedic, surgical, women's health. Brands include Canon, Carestream, Fujifilm, Philips, Shimadzu, Esaote, Schiller. Singapore distributor for Arcoma Precision i5 X ray. Offices in Singapore, Malaysia and Hong Kong</t>
        </is>
      </c>
      <c r="E23" s="161" t="inlineStr">
        <is>
          <t>Radiology, cardiology, orthopaedics, women's health in government and private hospitals</t>
        </is>
      </c>
      <c r="F23" s="161" t="inlineStr">
        <is>
          <t>YES. Diagnostic ultrasound listed; principals include Canon, Philips and Esaote</t>
        </is>
      </c>
      <c r="G23" s="161" t="inlineStr">
        <is>
          <t>Singapore (Pandan Loop)</t>
        </is>
      </c>
      <c r="H23" s="163" t="inlineStr">
        <is>
          <t>https://www.qsttech.com</t>
        </is>
      </c>
      <c r="I23" s="161" t="inlineStr">
        <is>
          <t>+65 6270 6260 / +65 6273 6260</t>
        </is>
      </c>
      <c r="J23" s="161" t="inlineStr">
        <is>
          <t>sales.sg@qsttech.com</t>
        </is>
      </c>
      <c r="K23" s="161" t="inlineStr">
        <is>
          <t>196 Pandan Loop #04-29, Pantech Business Hub, Singapore 128384</t>
        </is>
      </c>
      <c r="L23" s="165" t="inlineStr">
        <is>
          <t>A</t>
        </is>
      </c>
      <c r="M23" s="161" t="inlineStr">
        <is>
          <t>Large radiology channel with long term public hospital vendor status, but it already carries premium ultrasound brands. Conflict aware: pitch only form factors or price bands their principals do not cover.</t>
        </is>
      </c>
      <c r="N23" s="161" t="inlineStr">
        <is>
          <t>Conflict aware. Ask about exclusivity first, then only SonoEye P5 + SonoAir 70 + SonoPort 8</t>
        </is>
      </c>
      <c r="O23" s="170" t="n">
        <v>2</v>
      </c>
      <c r="P23" s="161" t="inlineStr">
        <is>
          <t>Tier 2: strong imaging channel with competing ultrasound principals.</t>
        </is>
      </c>
      <c r="Q23" s="161" t="inlineStr">
        <is>
          <t>Own site opened 7 Oct 2026; Arcoma release on inderes.dk</t>
        </is>
      </c>
      <c r="R23" s="161" t="inlineStr">
        <is>
          <t>NEW in v16</t>
        </is>
      </c>
      <c r="S23" s="161" t="inlineStr">
        <is>
          <t>A question first for QST Technologies: is your ultrasound agreement exclusive?</t>
        </is>
      </c>
      <c r="T23" s="161" t="inlineStr">
        <is>
          <t>Dear QST Technologies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QST has supplied radiology, cardiology and women's health equipment to Singapore's government and private hospitals for years, across more than 50 brands.
Before anything else: is your current ultrasound agreement exclusive? If it is, I will not take more of your time. If it is not, there are form factors and price bands where we would not be asking you to sell against your own principal.
• SonoEye P5: high frequency handheld for superficial and MSK work
• SonoAir 70: light laptop for wards, theatres and clinics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24" ht="300" customHeight="1" s="104">
      <c r="A24" s="195" t="n">
        <v>20</v>
      </c>
      <c r="B24" s="162" t="inlineStr">
        <is>
          <t>Scanmed Technology (S) Pte Ltd</t>
        </is>
      </c>
      <c r="C24" s="195" t="inlineStr">
        <is>
          <t>Not started</t>
        </is>
      </c>
      <c r="D24" s="161" t="inlineStr">
        <is>
          <t>Medical equipment distributor since 1993. CT imaging, digital radiography, ECG, Holter, patient warming, vascular dopplers, airborne infection control and AI lung cancer diagnosis. Supplies hospitals, clinics, nursing homes, polyclinics, medical schools and HSA</t>
        </is>
      </c>
      <c r="E24" s="161" t="inlineStr">
        <is>
          <t>Radiology, cardiology, polyclinics, nursing homes, medical schools</t>
        </is>
      </c>
      <c r="F24" s="161" t="inlineStr">
        <is>
          <t>Yes. Distributes diagnostic ultrasound across general imaging, women's health, cardiovascular, veterinary and point of care. Principals include Samsung (note: Quest Asia Technologies states it is the sole HSA registered Samsung Medison distributor since 2019, so check what Scanmed carries today)</t>
        </is>
      </c>
      <c r="G24" s="161" t="inlineStr">
        <is>
          <t>Singapore (Pandan Loop)</t>
        </is>
      </c>
      <c r="H24" s="163" t="inlineStr">
        <is>
          <t>https://www.scanmed.com.sg</t>
        </is>
      </c>
      <c r="I24" s="161" t="inlineStr">
        <is>
          <t>+65 6872 3660 / fax +65 6872 3559</t>
        </is>
      </c>
      <c r="J24" s="161" t="inlineStr">
        <is>
          <t>solution@scanmed.com.sg</t>
        </is>
      </c>
      <c r="K24" s="161" t="inlineStr">
        <is>
          <t>192 Pandan Loop #07-22, Pantech Business Hub, Singapore 128381. Founded 1993. Principals include Samsung, Cardioline, Mediana, Novaerus, Magill Medical, Huntleigh. PharmChoices also lists info@scanmed.com.sg</t>
        </is>
      </c>
      <c r="L24" s="165" t="inlineStr">
        <is>
          <t>A</t>
        </is>
      </c>
      <c r="M24" s="161" t="inlineStr">
        <is>
          <t>Strongest imaging channel by reach, with a Samsung relationship. New in v16: QAT (AJJ group) claims to be the sole HSA registered Samsung Medison distributor since 2019, so Scanmed's Samsung line may be narrower than it looks. Ask, do not assume.</t>
        </is>
      </c>
      <c r="N24" s="161" t="inlineStr">
        <is>
          <t>Conflict aware. Ask about exclusivity first, then only SonoEye P5 + SonoAir 70 + SonoPort 8</t>
        </is>
      </c>
      <c r="O24" s="170" t="n">
        <v>2</v>
      </c>
      <c r="P24" s="161" t="inlineStr">
        <is>
          <t>Tier 2 since v5. v16 adds the QAT contradiction to resolve on the first call.</t>
        </is>
      </c>
      <c r="Q24" s="161" t="inlineStr">
        <is>
          <t>Verified site (own company page), carried from v15</t>
        </is>
      </c>
      <c r="R24" s="161" t="inlineStr">
        <is>
          <t>Kept, Tier 2</t>
        </is>
      </c>
      <c r="S24" s="161" t="inlineStr">
        <is>
          <t>A question before anything else for Scanmed: is your ultrasound agreement exclusive?</t>
        </is>
      </c>
      <c r="T24" s="161" t="inlineStr">
        <is>
          <t>Dear Scanmed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 have supplied imaging into Singapore hospitals, polyclinics, nursing homes and medical schools since 1993, and you already carry ultrasound across several clinical segments.
Before anything else: is your current ultrasound agreement exclusive? If it is, I will not take more of your time. If it is not, there are form factors and price bands where we would not be asking you to sell against your own principal.
• SonoEye P5: high frequency handheld for superficial and MSK work
• SonoAir 70: light laptop for wards, theatres and clinics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25" ht="300" customHeight="1" s="104">
      <c r="A25" s="195" t="n">
        <v>21</v>
      </c>
      <c r="B25" s="162" t="inlineStr">
        <is>
          <t>Medicare (S) Pte Ltd</t>
        </is>
      </c>
      <c r="C25" s="195" t="inlineStr">
        <is>
          <t>Not started</t>
        </is>
      </c>
      <c r="D25" s="161" t="inlineStr">
        <is>
          <t>Medical technology and aesthetic solutions supplier across Singapore and Malaysia for over thirty years: portable ultrasound, aesthetic lasers, medical devices and medical education</t>
        </is>
      </c>
      <c r="E25" s="161" t="inlineStr">
        <is>
          <t>Aesthetic and GP clinics, specialist clinics</t>
        </is>
      </c>
      <c r="F25" s="161" t="inlineStr">
        <is>
          <t>Yes. Carries ultrasound within its medical imaging range</t>
        </is>
      </c>
      <c r="G25" s="161" t="inlineStr">
        <is>
          <t>Singapore (Jalan Pemimpin)</t>
        </is>
      </c>
      <c r="H25" s="163" t="inlineStr">
        <is>
          <t>https://www.medicare.com.sg</t>
        </is>
      </c>
      <c r="I25" s="161" t="inlineStr">
        <is>
          <t>+65 6734 1933</t>
        </is>
      </c>
      <c r="J25" s="161" t="inlineStr">
        <is>
          <t>medicare@singnet.com.sg</t>
        </is>
      </c>
      <c r="K25" s="161" t="inlineStr">
        <is>
          <t>M38, 38 Jalan Pemimpin #07-06, Singapore 577178 (address from directory)</t>
        </is>
      </c>
      <c r="L25" s="165" t="inlineStr">
        <is>
          <t>A</t>
        </is>
      </c>
      <c r="M25" s="161" t="inlineStr">
        <is>
          <t>Already sells portable ultrasound into clinics. Conflict aware pitch only.</t>
        </is>
      </c>
      <c r="N25" s="161" t="inlineStr">
        <is>
          <t>Conflict aware. Ask about exclusivity first, then only SonoEye P5 + SonoAir 70 + SonoPort 8</t>
        </is>
      </c>
      <c r="O25" s="170" t="n">
        <v>2</v>
      </c>
      <c r="P25" s="161" t="inlineStr">
        <is>
          <t>Tier 2 since v5: competing ultrasound line.</t>
        </is>
      </c>
      <c r="Q25" s="161" t="inlineStr">
        <is>
          <t>Verified site (own company page), carried from v15</t>
        </is>
      </c>
      <c r="R25" s="161" t="inlineStr">
        <is>
          <t>Kept, Tier 2</t>
        </is>
      </c>
      <c r="S25" s="161" t="inlineStr">
        <is>
          <t>A question first for Medicare Singapore: is your ultrasound agreement exclusive?</t>
        </is>
      </c>
      <c r="T25" s="161" t="inlineStr">
        <is>
          <t>Dear Medicare Singapore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Medicare has sold portable ultrasound and aesthetic technology to Singapore and Malaysian clinics for more than thirty years.
Before anything else: is your current ultrasound agreement exclusive? If it is, I will not take more of your time. If it is not, there are form factors and price bands where we would not be asking you to sell against your own principal.
• SonoEye P5: high frequency handheld for superficial and MSK work
• SonoAir 70: light laptop for wards, theatres and clinics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26" ht="300" customHeight="1" s="104">
      <c r="A26" s="195" t="n">
        <v>22</v>
      </c>
      <c r="B26" s="162" t="inlineStr">
        <is>
          <t>Radiance Medical Systems</t>
        </is>
      </c>
      <c r="C26" s="195" t="inlineStr">
        <is>
          <t>Not started</t>
        </is>
      </c>
      <c r="D26" s="161" t="inlineStr">
        <is>
          <t>Infection control (Clinell), mobility aids, urology and surgical devices. Principals include Verathon (BladderScan), Terason, EDAP TMS, STILLE, Capnomed, Surgical Innovations, Uriflex, Malsch, Semperit, Pusen Medical. About 55 registered products. Customers named on site: NUH, TTSH, SGH, Raffles Medical Group, Thomson Medical</t>
        </is>
      </c>
      <c r="E26" s="161" t="inlineStr">
        <is>
          <t>Urology, surgery, infection control and wards in public and private hospitals</t>
        </is>
      </c>
      <c r="F26" s="161" t="inlineStr">
        <is>
          <t>YES. Terason ultrasound and Verathon bladder scanners</t>
        </is>
      </c>
      <c r="G26" s="161" t="inlineStr">
        <is>
          <t>Singapore (Bukit Batok)</t>
        </is>
      </c>
      <c r="H26" s="163" t="inlineStr">
        <is>
          <t>https://www.radiancemed.com.sg</t>
        </is>
      </c>
      <c r="I26" s="161" t="inlineStr">
        <is>
          <t>+65 6316 2712</t>
        </is>
      </c>
      <c r="J26" s="161" t="inlineStr">
        <is>
          <t>sales@radiancemed.com.sg</t>
        </is>
      </c>
      <c r="K26" s="161" t="inlineStr">
        <is>
          <t>10 Bukit Batok Crescent #07-01, The Spire, Singapore 658079</t>
        </is>
      </c>
      <c r="L26" s="165" t="inlineStr">
        <is>
          <t>A</t>
        </is>
      </c>
      <c r="M26" s="161" t="inlineStr">
        <is>
          <t>Strong hospital account list (NUH, TTSH, SGH, Raffles, Thomson). Carries Terason, so pitch where Terason does not play (cart systems, pocket handhelds).</t>
        </is>
      </c>
      <c r="N26" s="161" t="inlineStr">
        <is>
          <t>Conflict aware. Ask about exclusivity first, then only SonoEye P5 + SonoAir 70 + SonoPort 8</t>
        </is>
      </c>
      <c r="O26" s="170" t="n">
        <v>2</v>
      </c>
      <c r="P26" s="161" t="inlineStr">
        <is>
          <t>Tier 2 NEW: excellent hospital reach, competing Terason line.</t>
        </is>
      </c>
      <c r="Q26" s="161" t="inlineStr">
        <is>
          <t>Own site opened 7 Oct 2026</t>
        </is>
      </c>
      <c r="R26" s="161" t="inlineStr">
        <is>
          <t>NEW in v16</t>
        </is>
      </c>
      <c r="S26" s="161" t="inlineStr">
        <is>
          <t>A question first for Radiance Medical Systems: is your ultrasound agreement exclusive?</t>
        </is>
      </c>
      <c r="T26" s="161" t="inlineStr">
        <is>
          <t>Dear Radiance Medical Systems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Radiance already supplies NUH, Tan Tock Seng, SGH, Raffles Medical and Thomson Medical, and carries Terason and Verathon in its urology and surgical range.
Before anything else: is your current ultrasound agreement exclusive? If it is, I will not take more of your time. If it is not, there are form factors and price bands where we would not be asking you to sell against your own principal.
• SonoEye P5: high frequency handheld for superficial and MSK work
• SonoAir 70: light laptop for wards, theatres and clinics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27" ht="300" customHeight="1" s="104">
      <c r="A27" s="195" t="n">
        <v>23</v>
      </c>
      <c r="B27" s="162" t="inlineStr">
        <is>
          <t>Bluestone Corporation Pte Ltd</t>
        </is>
      </c>
      <c r="C27" s="195" t="inlineStr">
        <is>
          <t>Not started</t>
        </is>
      </c>
      <c r="D27" s="161" t="inlineStr">
        <is>
          <t>Point of care ultrasound and procedure products: Fujifilm Sonosite (PX, ST, Edge II, SII, LX), EchoNous, Amadeo mobile X ray, INFAB radiation protection aprons, ultrasound probe covers and gel, Medovate, Stryker, OR Technology. Singapore and Malaysia; strong in ultrasound guided procedures, cardiology education and pain</t>
        </is>
      </c>
      <c r="E27" s="161" t="inlineStr">
        <is>
          <t>Anaesthesia, emergency, ICU, pain, radiology (mobile X ray, radiation protection)</t>
        </is>
      </c>
      <c r="F27" s="161" t="inlineStr">
        <is>
          <t>YES. Fujifilm Sonosite and EchoNous</t>
        </is>
      </c>
      <c r="G27" s="161" t="inlineStr">
        <is>
          <t>Singapore (Sin Ming)</t>
        </is>
      </c>
      <c r="H27" s="163" t="inlineStr">
        <is>
          <t>https://bluestone-corp.com</t>
        </is>
      </c>
      <c r="I27" s="161" t="inlineStr">
        <is>
          <t>+65 6767 1311 / +65 6767 8211</t>
        </is>
      </c>
      <c r="J27" s="161" t="inlineStr">
        <is>
          <t>enquiry@bluestone-corp.com</t>
        </is>
      </c>
      <c r="K27" s="161" t="inlineStr">
        <is>
          <t>24 Sin Ming Lane #05-91, Midview City, Singapore 573970</t>
        </is>
      </c>
      <c r="L27" s="165" t="inlineStr">
        <is>
          <t>A</t>
        </is>
      </c>
      <c r="M27" s="161" t="inlineStr">
        <is>
          <t>A specialist point of care ultrasound dealer built on Sonosite. Unlikely to drop Sonosite, but may want a cart or a value tier beneath it.</t>
        </is>
      </c>
      <c r="N27" s="161" t="inlineStr">
        <is>
          <t>Conflict aware. Ask about exclusivity first, then only SonoMax 9 + SonoPort 8 + SonoBook 9</t>
        </is>
      </c>
      <c r="O27" s="170" t="n">
        <v>2</v>
      </c>
      <c r="P27" s="161" t="inlineStr">
        <is>
          <t>Tier 2 NEW: right buyers, direct competing line.</t>
        </is>
      </c>
      <c r="Q27" s="161" t="inlineStr">
        <is>
          <t>Own site opened 7 Oct 2026</t>
        </is>
      </c>
      <c r="R27" s="161" t="inlineStr">
        <is>
          <t>NEW in v16</t>
        </is>
      </c>
      <c r="S27" s="161" t="inlineStr">
        <is>
          <t>A question first for Bluestone: is your ultrasound agreement exclusive?</t>
        </is>
      </c>
      <c r="T27" s="161" t="inlineStr">
        <is>
          <t>Dear Bluestone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Bluestone has built a strong point of care ultrasound business on Sonosite and EchoNous, with Amadeo mobile X ray and INFAB protection in the same radiology accounts.
Before anything else: is your current ultrasound agreement exclusive? If it is, I will not take more of your time. If it is not, there are form factors and price bands where we would not be asking you to sell against your own principal.
• SonoMax 9: flagship cart with automatic breast and thyroid lesion measurement
• SonoPort 8: mid tier cart for private imaging and O&amp;G rooms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28" ht="300" customHeight="1" s="104">
      <c r="A28" s="195" t="n">
        <v>24</v>
      </c>
      <c r="B28" s="162" t="inlineStr">
        <is>
          <t>Fortuna Scientific Private Ltd</t>
        </is>
      </c>
      <c r="C28" s="195" t="inlineStr">
        <is>
          <t>Not started</t>
        </is>
      </c>
      <c r="D28" s="161" t="inlineStr">
        <is>
          <t>Medical equipment and laboratory products: GE Vscan Air SL handheld ultrasound, Welch Allyn Portrait VSM vital signs, Diamond video laryngoscope, Skintact ECG electrodes. Partner brands GE HealthCare, Penlon, Skintact, Gentherm, SunTech, Zoetis</t>
        </is>
      </c>
      <c r="E28" s="161" t="inlineStr">
        <is>
          <t>Hospitals (anaesthesia, wards, cardiology) and laboratories</t>
        </is>
      </c>
      <c r="F28" s="161" t="inlineStr">
        <is>
          <t>YES. GE Vscan Air SL handheld</t>
        </is>
      </c>
      <c r="G28" s="161" t="inlineStr">
        <is>
          <t>Singapore (Kallang Avenue)</t>
        </is>
      </c>
      <c r="H28" s="163" t="inlineStr">
        <is>
          <t>https://www.fortunascientific.com.sg</t>
        </is>
      </c>
      <c r="I28" s="161" t="inlineStr">
        <is>
          <t>+65 6256 6236 / fax +65 6254 8060</t>
        </is>
      </c>
      <c r="J28" s="161" t="inlineStr">
        <is>
          <t>info@fortunascientific.com</t>
        </is>
      </c>
      <c r="K28" s="161" t="inlineStr">
        <is>
          <t>2 Kallang Avenue #05-04, CT Hub, Singapore 339407</t>
        </is>
      </c>
      <c r="L28" s="165" t="inlineStr">
        <is>
          <t>A</t>
        </is>
      </c>
      <c r="M28" s="161" t="inlineStr">
        <is>
          <t>Sells GE's handheld into hospitals. Conflict aware: offer laptop and cart systems GE's handheld channel does not cover.</t>
        </is>
      </c>
      <c r="N28" s="161" t="inlineStr">
        <is>
          <t>Conflict aware. Ask about exclusivity first, then only SonoAir 70 + SonoBook 9 + SonoPort 8</t>
        </is>
      </c>
      <c r="O28" s="170" t="n">
        <v>2</v>
      </c>
      <c r="P28" s="161" t="inlineStr">
        <is>
          <t>Tier 2 NEW: handheld conflict, otherwise good hospital reach.</t>
        </is>
      </c>
      <c r="Q28" s="161" t="inlineStr">
        <is>
          <t>Own site opened 7 Oct 2026</t>
        </is>
      </c>
      <c r="R28" s="161" t="inlineStr">
        <is>
          <t>NEW in v16</t>
        </is>
      </c>
      <c r="S28" s="161" t="inlineStr">
        <is>
          <t>A question first for Fortuna Scientific: is your ultrasound agreement exclusive?</t>
        </is>
      </c>
      <c r="T28" s="161" t="inlineStr">
        <is>
          <t>Dear Fortuna Scientific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Fortuna already sells the Vscan Air handheld alongside Welch Allyn vital signs and Penlon anaesthesia products into Singapore hospitals.
Before anything else: is your current ultrasound agreement exclusive? If it is, I will not take more of your time. If it is not, there are form factors and price bands where we would not be asking you to sell against your own principal.
• SonoAir 70: light laptop for wards, theatres and clinics
• SonoBook 9: laptop system with biopsy guidance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29" ht="300" customHeight="1" s="104">
      <c r="A29" s="195" t="n">
        <v>25</v>
      </c>
      <c r="B29" s="162" t="inlineStr">
        <is>
          <t>idsMED Singapore (IDS Medical Systems)</t>
        </is>
      </c>
      <c r="C29" s="195" t="inlineStr">
        <is>
          <t>Not started</t>
        </is>
      </c>
      <c r="D29" s="161" t="inlineStr">
        <is>
          <t>ASEAN medical distribution and supply chain platform. Broad portfolio across imaging, surgical and patient monitoring; about 156 HSA registered products. idsMED Indonesia distributes Mindray</t>
        </is>
      </c>
      <c r="E29" s="161" t="inlineStr">
        <is>
          <t>Public and private hospitals across specialties</t>
        </is>
      </c>
      <c r="F29" s="161" t="inlineStr">
        <is>
          <t>Not confirmed for Singapore. The group distributes Mindray in Indonesia</t>
        </is>
      </c>
      <c r="G29" s="161" t="inlineStr">
        <is>
          <t>Singapore (Kallang)</t>
        </is>
      </c>
      <c r="H29" s="163" t="inlineStr">
        <is>
          <t>https://www.idsmed.com</t>
        </is>
      </c>
      <c r="I29" s="161" t="inlineStr">
        <is>
          <t>+65 6690 7330 / fax +65 6690 7380</t>
        </is>
      </c>
      <c r="J29" s="161" t="inlineStr">
        <is>
          <t>sgpinfo@idsmed.com</t>
        </is>
      </c>
      <c r="K29" s="161" t="inlineStr">
        <is>
          <t>1 Kallang Junction #05-01, Vanguard Campus, Singapore 339263 (directory)</t>
        </is>
      </c>
      <c r="L29" s="170" t="inlineStr">
        <is>
          <t>C</t>
        </is>
      </c>
      <c r="M29" s="161" t="inlineStr">
        <is>
          <t>Large platform with tender capability; group ties to Mindray mean conflict risk. Ask about exclusivity first.</t>
        </is>
      </c>
      <c r="N29" s="161" t="inlineStr">
        <is>
          <t>Conflict aware. Ask about exclusivity first, then only SonoEye P5 + SonoAir 70 + SonoPort 8</t>
        </is>
      </c>
      <c r="O29" s="170" t="n">
        <v>2</v>
      </c>
      <c r="P29" s="161" t="inlineStr">
        <is>
          <t>Tier 2 since v5; email added in v16.</t>
        </is>
      </c>
      <c r="Q29" s="161" t="inlineStr">
        <is>
          <t>v15 plus email from PharmChoices directory</t>
        </is>
      </c>
      <c r="R29" s="161" t="inlineStr">
        <is>
          <t>Kept, Tier 2, email added</t>
        </is>
      </c>
      <c r="S29" s="161" t="inlineStr">
        <is>
          <t>A question first for idsMED: is your ultrasound agreement exclusive?</t>
        </is>
      </c>
      <c r="T29" s="161" t="inlineStr">
        <is>
          <t>Dear idsMED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idsMED runs one of the broadest medical distribution platforms in ASEAN, with a Singapore operation serving public and private hospitals.
Before anything else: is your current ultrasound agreement exclusive? If it is, I will not take more of your time. If it is not, there are form factors and price bands where we would not be asking you to sell against your own principal.
• SonoEye P5: high frequency handheld for superficial and MSK work
• SonoAir 70: light laptop for wards, theatres and clinics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0" ht="300" customHeight="1" s="104">
      <c r="A30" s="195" t="n">
        <v>26</v>
      </c>
      <c r="B30" s="162" t="inlineStr">
        <is>
          <t>Radiation Protection Solutions Pte Ltd</t>
        </is>
      </c>
      <c r="C30" s="195" t="inlineStr">
        <is>
          <t>Not started</t>
        </is>
      </c>
      <c r="D30" s="161" t="inlineStr">
        <is>
          <t>Radiation network monitoring, radiological detection and identification, lead shielding consultation and construction. Listed in SGMT under medical imaging and nuclear medicine devices</t>
        </is>
      </c>
      <c r="E30" s="161" t="inlineStr">
        <is>
          <t>Radiology and nuclear medicine departments, imaging centre fit outs</t>
        </is>
      </c>
      <c r="F30" s="161" t="inlineStr">
        <is>
          <t>No ultrasound line identified</t>
        </is>
      </c>
      <c r="G30" s="161" t="inlineStr">
        <is>
          <t>Singapore (Jalan Pemimpin)</t>
        </is>
      </c>
      <c r="H30" s="163" t="inlineStr">
        <is>
          <t>http://www.radiationprotection.com.sg</t>
        </is>
      </c>
      <c r="I30" s="161" t="inlineStr">
        <is>
          <t>+65 6100 8057</t>
        </is>
      </c>
      <c r="J30" s="161" t="inlineStr">
        <is>
          <t>admin@radiationprotection.com.sg</t>
        </is>
      </c>
      <c r="K30" s="161" t="inlineStr">
        <is>
          <t>63 Jalan Pemimpin #02-05, Pemimpin Industrial Building, Singapore 577219</t>
        </is>
      </c>
      <c r="L30" s="170" t="inlineStr">
        <is>
          <t>C</t>
        </is>
      </c>
      <c r="M30" s="161" t="inlineStr">
        <is>
          <t>Works inside every new or refitted imaging room in Singapore. Not a capital dealer today, but sees radiology projects early.</t>
        </is>
      </c>
      <c r="N30" s="161" t="inlineStr">
        <is>
          <t>SonoMax 9 + SonoPort 8 + SonoEye P5</t>
        </is>
      </c>
      <c r="O30" s="170" t="n">
        <v>2</v>
      </c>
      <c r="P30" s="161" t="inlineStr">
        <is>
          <t>Tier 2 NEW: radiology project pipeline, not yet a capital equipment dealer.</t>
        </is>
      </c>
      <c r="Q30" s="161" t="inlineStr">
        <is>
          <t>Own site opened (no contact block); email and phone from PharmChoices and SGMT</t>
        </is>
      </c>
      <c r="R30" s="161" t="inlineStr">
        <is>
          <t>NEW in v16</t>
        </is>
      </c>
      <c r="S30" s="161" t="inlineStr">
        <is>
          <t>Radiation Protection Solutions: CHISON ultrasound for the radiology departments you already supply</t>
        </is>
      </c>
      <c r="T30" s="161" t="inlineStr">
        <is>
          <t>Dear Radiation Protection Solutions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Your shielding and radiation monitoring work puts you inside radiology and nuclear medicine departments whenever an imaging room is built or refitted.
Ultrasound is the modality your radiology customers buy and replace most often, and it is sold into the same departments you already serve. CHISON would be a new imaging line with no overlap on your current card.
• SonoMax 9: flagship cart with automatic breast and thyroid lesion measurement
• SonoPort 8: mid tier cart for private imaging and O&amp;G rooms
• SonoEye P5: high frequency handheld for superficial and MSK work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1" ht="300" customHeight="1" s="104">
      <c r="A31" s="195" t="n">
        <v>27</v>
      </c>
      <c r="B31" s="162" t="inlineStr">
        <is>
          <t>PPM Medical Pte Ltd</t>
        </is>
      </c>
      <c r="C31" s="195" t="inlineStr">
        <is>
          <t>Not started</t>
        </is>
      </c>
      <c r="D31" s="161" t="inlineStr">
        <is>
          <t>Custom procedure packs: coronary angiogram kits, catheterisation packs, pacemaker sets, breast biopsy preparation packs, surgical and eye instrument packs. About 118 registered products; principals include Multigate Medical, Ferris, Promisemed</t>
        </is>
      </c>
      <c r="E31" s="161" t="inlineStr">
        <is>
          <t>Cath lab, interventional radiology, breast biopsy, theatres</t>
        </is>
      </c>
      <c r="F31" s="161" t="inlineStr">
        <is>
          <t>No ultrasound line identified</t>
        </is>
      </c>
      <c r="G31" s="161" t="inlineStr">
        <is>
          <t>Singapore (Bukit Batok)</t>
        </is>
      </c>
      <c r="H31" s="163" t="inlineStr">
        <is>
          <t>http://www.ppm-medical.com.sg</t>
        </is>
      </c>
      <c r="I31" s="161" t="inlineStr">
        <is>
          <t>+65 6897 2683</t>
        </is>
      </c>
      <c r="J31" s="161" t="inlineStr">
        <is>
          <t>sales@ppm-medical.com.sg</t>
        </is>
      </c>
      <c r="K31" s="161" t="inlineStr">
        <is>
          <t>2 Bukit Batok Street 23 #08-05, Bukit Batok Connection, Singapore 659554</t>
        </is>
      </c>
      <c r="L31" s="170" t="inlineStr">
        <is>
          <t>C</t>
        </is>
      </c>
      <c r="M31" s="161" t="inlineStr">
        <is>
          <t>Supplies the procedure packs used in cath labs and breast biopsy rooms: same rooms where ultrasound guides the needle.</t>
        </is>
      </c>
      <c r="N31" s="161" t="inlineStr">
        <is>
          <t>SonoBook 9 + SonoEye P3 + SonoPort 8</t>
        </is>
      </c>
      <c r="O31" s="170" t="n">
        <v>2</v>
      </c>
      <c r="P31" s="161" t="inlineStr">
        <is>
          <t>Tier 2 NEW: right rooms, consumables only.</t>
        </is>
      </c>
      <c r="Q31" s="161" t="inlineStr">
        <is>
          <t>Directory email (PharmChoices); range from MedMatch registry view; own site certificate error</t>
        </is>
      </c>
      <c r="R31" s="161" t="inlineStr">
        <is>
          <t>NEW in v16</t>
        </is>
      </c>
      <c r="S31" s="161" t="inlineStr">
        <is>
          <t>PPM Medical: CHISON ultrasound for the procedures your products already go into</t>
        </is>
      </c>
      <c r="T31" s="161" t="inlineStr">
        <is>
          <t>Dear PPM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PPM's angiogram, catheterisation and breast biopsy packs go into the same cath labs and biopsy rooms where ultrasound guides the access.
CHISON would supply the ultrasound that guides those procedures, into the same procedure accounts, with no competing line on your card to displace.
• SonoBook 9: laptop system with biopsy guidance
• SonoEye P3: pocket handheld for vascular access, nerve block and bedside scans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2" ht="300" customHeight="1" s="104">
      <c r="A32" s="195" t="n">
        <v>28</v>
      </c>
      <c r="B32" s="162" t="inlineStr">
        <is>
          <t>DanMedik (S) Private Limited</t>
        </is>
      </c>
      <c r="C32" s="195" t="inlineStr">
        <is>
          <t>Not started</t>
        </is>
      </c>
      <c r="D32" s="161" t="inlineStr">
        <is>
          <t>Neurology, pulmonology, rehabilitation, intensive care, neonatal care, research. Principals include Natus Neuro, Magstim, Vyaire Medical, Merit Medical, BD, Hitachi Medical Systems</t>
        </is>
      </c>
      <c r="E32" s="161" t="inlineStr">
        <is>
          <t>Neurology, ICU and NICU, respiratory, rehabilitation</t>
        </is>
      </c>
      <c r="F32" s="161" t="inlineStr">
        <is>
          <t>Not identified. Hitachi Medical Systems is listed as a principal; ask what that covers</t>
        </is>
      </c>
      <c r="G32" s="161" t="inlineStr">
        <is>
          <t>Singapore (Balestier)</t>
        </is>
      </c>
      <c r="H32" s="163" t="inlineStr">
        <is>
          <t>https://www.danmedik.com</t>
        </is>
      </c>
      <c r="I32" s="161" t="inlineStr">
        <is>
          <t>+65 8500 5683</t>
        </is>
      </c>
      <c r="J32" s="161" t="inlineStr">
        <is>
          <t>sales.sg@danmedik.com</t>
        </is>
      </c>
      <c r="K32" s="161" t="inlineStr">
        <is>
          <t>8 Burn Road #08-07, Trivex, Singapore 369977 (directory)</t>
        </is>
      </c>
      <c r="L32" s="165" t="inlineStr">
        <is>
          <t>A</t>
        </is>
      </c>
      <c r="M32" s="161" t="inlineStr">
        <is>
          <t>Neuro and critical care capital equipment. The Hitachi principal needs checking before pitching.</t>
        </is>
      </c>
      <c r="N32" s="161" t="inlineStr">
        <is>
          <t>SonoEye P3 + SonoAir 70 + SonoBook 9</t>
        </is>
      </c>
      <c r="O32" s="170" t="n">
        <v>2</v>
      </c>
      <c r="P32" s="161" t="inlineStr">
        <is>
          <t>Tier 2 NEW: good segment, unclear Hitachi relationship.</t>
        </is>
      </c>
      <c r="Q32" s="161" t="inlineStr">
        <is>
          <t>Own site opened 7 Oct 2026</t>
        </is>
      </c>
      <c r="R32" s="161" t="inlineStr">
        <is>
          <t>NEW in v16</t>
        </is>
      </c>
      <c r="S32" s="161" t="inlineStr">
        <is>
          <t>DanMedik: CHISON point of care ultrasound for theatre and ICU</t>
        </is>
      </c>
      <c r="T32" s="161" t="inlineStr">
        <is>
          <t>Dear DanMedik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DanMedik brings Natus, Magstim and Vyaire into neurology, intensive care and neonatal units, where bedside ultrasound is now routine.
Ultrasound guided vascular access, nerve block and lung scanning are now routine in theatre and ICU, and a compact system sells to the same anaesthetists and intensivists you already see.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3" ht="300" customHeight="1" s="104">
      <c r="A33" s="195" t="n">
        <v>29</v>
      </c>
      <c r="B33" s="162" t="inlineStr">
        <is>
          <t>KSurgical Pte Ltd</t>
        </is>
      </c>
      <c r="C33" s="195" t="inlineStr">
        <is>
          <t>Not started</t>
        </is>
      </c>
      <c r="D33" s="161" t="inlineStr">
        <is>
          <t>Flexible and rigid endoscopes (bronchoscopes, colonoscopes, duodenoscopes), surgical instruments, power tools, video cameras, pre owned and refurbished equipment. Brands Aspen Surgical, Titan Surgical, Stema, Olympus</t>
        </is>
      </c>
      <c r="E33" s="161" t="inlineStr">
        <is>
          <t>Endoscopy, general surgery, ENT, gynaecology, urology, laparoscopy</t>
        </is>
      </c>
      <c r="F33" s="161" t="inlineStr">
        <is>
          <t>No ultrasound line identified</t>
        </is>
      </c>
      <c r="G33" s="161" t="inlineStr">
        <is>
          <t>Singapore (Henderson Road)</t>
        </is>
      </c>
      <c r="H33" s="163" t="inlineStr">
        <is>
          <t>https://www.ksurgical.com</t>
        </is>
      </c>
      <c r="I33" s="161" t="inlineStr">
        <is>
          <t>+65 6271 7330</t>
        </is>
      </c>
      <c r="J33" s="161" t="inlineStr">
        <is>
          <t>ksurgical.md@gmail.com</t>
        </is>
      </c>
      <c r="K33" s="161" t="inlineStr">
        <is>
          <t>201 Henderson Road #06-06, Singapore 159545. Second inbox ksurgical.cs@gmail.com</t>
        </is>
      </c>
      <c r="L33" s="165" t="inlineStr">
        <is>
          <t>A</t>
        </is>
      </c>
      <c r="M33" s="161" t="inlineStr">
        <is>
          <t>Theatre and endoscopy channel selling to cost conscious buyers, including refurbished. A value priced ultrasound fits that buyer.</t>
        </is>
      </c>
      <c r="N33" s="161" t="inlineStr">
        <is>
          <t>SonoAir 70 + SonoEye P3 + SonoBook 9</t>
        </is>
      </c>
      <c r="O33" s="170" t="n">
        <v>2</v>
      </c>
      <c r="P33" s="161" t="inlineStr">
        <is>
          <t>Tier 2 NEW: right departments, smaller house.</t>
        </is>
      </c>
      <c r="Q33" s="161" t="inlineStr">
        <is>
          <t>Own site opened 7 Oct 2026</t>
        </is>
      </c>
      <c r="R33" s="161" t="inlineStr">
        <is>
          <t>NEW in v16</t>
        </is>
      </c>
      <c r="S33" s="161" t="inlineStr">
        <is>
          <t>KSurgical: CHISON ultrasound for the theatres and clinics you supply</t>
        </is>
      </c>
      <c r="T33" s="161" t="inlineStr">
        <is>
          <t>Dear KSurgical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KSurgical supplies endoscopes, instruments and refurbished systems to endoscopy, surgery, gynaecology and urology teams who watch their capital budget closely.
Surgeons and theatre teams increasingly scan at the table and in clinic, so a compact system sits naturally next to your surgical range.
• SonoAir 70: light laptop for wards, theatres and clinics
• SonoEye P3: pocket handheld for vascular access, nerve block and bedside scans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4" ht="300" customHeight="1" s="104">
      <c r="A34" s="195" t="n">
        <v>30</v>
      </c>
      <c r="B34" s="162" t="inlineStr">
        <is>
          <t>Gen-Y Medical (Gen-Y (S) Pte Ltd)</t>
        </is>
      </c>
      <c r="C34" s="195" t="inlineStr">
        <is>
          <t>Not started</t>
        </is>
      </c>
      <c r="D34" s="161" t="inlineStr">
        <is>
          <t>Orthopaedic and trauma implants, orthobiologics, surgical products, post operative care. Brands Medartis, Paragon 28, KeriMedical, DJO, Isto Biologics, Axogen, Geistlich, Tenex (ultrasound guided tenotomy)</t>
        </is>
      </c>
      <c r="E34" s="161" t="inlineStr">
        <is>
          <t>Orthopaedics, hand and foot surgery, sports medicine</t>
        </is>
      </c>
      <c r="F34" s="161" t="inlineStr">
        <is>
          <t>No diagnostic ultrasound line. Carries Tenex, a procedure that is done under ultrasound guidance</t>
        </is>
      </c>
      <c r="G34" s="161" t="inlineStr">
        <is>
          <t>Singapore (Jalan Kilang Timor)</t>
        </is>
      </c>
      <c r="H34" s="163" t="inlineStr">
        <is>
          <t>http://www.genymedical.com</t>
        </is>
      </c>
      <c r="I34" s="161" t="inlineStr">
        <is>
          <t>+65 6225 3638 / mobile +65 9179 9617</t>
        </is>
      </c>
      <c r="J34" s="161" t="inlineStr">
        <is>
          <t>jessie@gen-y.com.sg</t>
        </is>
      </c>
      <c r="K34" s="161" t="inlineStr">
        <is>
          <t>8 Jalan Kilang Timor #03-04A, Kewalram House, Singapore 159305. Own site shows genyacc@gmail.com (likely accounts); directory gives jessie@gen-y.com.sg</t>
        </is>
      </c>
      <c r="L34" s="168" t="inlineStr">
        <is>
          <t>B</t>
        </is>
      </c>
      <c r="M34" s="161" t="inlineStr">
        <is>
          <t>Orthopaedic surgeons doing Tenex already need an ultrasound. High frequency handheld and laptop systems sell to the same surgeons.</t>
        </is>
      </c>
      <c r="N34" s="161" t="inlineStr">
        <is>
          <t>SonoEye P5 + SonoAir 70 + SonoBook 9</t>
        </is>
      </c>
      <c r="O34" s="170" t="n">
        <v>2</v>
      </c>
      <c r="P34" s="161" t="inlineStr">
        <is>
          <t>Tier 2 NEW: MSK fit with a built in ultrasound need.</t>
        </is>
      </c>
      <c r="Q34" s="161" t="inlineStr">
        <is>
          <t>Own site opened 7 Oct 2026; sales email from PharmChoices</t>
        </is>
      </c>
      <c r="R34" s="161" t="inlineStr">
        <is>
          <t>NEW in v16</t>
        </is>
      </c>
      <c r="S34" s="161" t="inlineStr">
        <is>
          <t>Gen-Y Medical: CHISON high frequency ultrasound for MSK and sports clinics</t>
        </is>
      </c>
      <c r="T34" s="161" t="inlineStr">
        <is>
          <t>Dear Gen-Y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You already supply Tenex, Medartis and Paragon 28 to orthopaedic and sports surgeons, and Tenex is performed under ultrasound guidance.
Orthopaedic, sports and rehabilitation clinicians use high frequency ultrasound for tendon, joint and injection work, so a scanner sits naturally beside what you already sell them.
• SonoEye P5: high frequency handheld for superficial and MSK work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5" ht="300" customHeight="1" s="104">
      <c r="A35" s="195" t="n">
        <v>31</v>
      </c>
      <c r="B35" s="162" t="inlineStr">
        <is>
          <t>V2U Healthcare Pte Ltd</t>
        </is>
      </c>
      <c r="C35" s="195" t="inlineStr">
        <is>
          <t>Not started</t>
        </is>
      </c>
      <c r="D35" s="161" t="inlineStr">
        <is>
          <t>Physiotherapy and rehabilitation (electrotherapy, therapeutic ultrasound, real time ultrasound imaging, traction, shockwave, laser), orthopaedic supports, hospital and clinic furniture. Singapore HQ with offices in Malaysia, Vietnam and the Philippines</t>
        </is>
      </c>
      <c r="E35" s="161" t="inlineStr">
        <is>
          <t>Physiotherapy, rehabilitation, sports medicine, clinics</t>
        </is>
      </c>
      <c r="F35" s="161" t="inlineStr">
        <is>
          <t>Partly. Lists real time ultrasound imaging for rehabilitation; brand not stated</t>
        </is>
      </c>
      <c r="G35" s="161" t="inlineStr">
        <is>
          <t>Singapore (Sin Ming)</t>
        </is>
      </c>
      <c r="H35" s="163" t="inlineStr">
        <is>
          <t>https://v2uhealth.com</t>
        </is>
      </c>
      <c r="I35" s="161" t="inlineStr">
        <is>
          <t>+65 6570 0055</t>
        </is>
      </c>
      <c r="J35" s="161" t="inlineStr">
        <is>
          <t>business@v2uhealth.com</t>
        </is>
      </c>
      <c r="K35" s="161" t="inlineStr">
        <is>
          <t>22 Sin Ming Lane #07-88, MidView City, Singapore 573969</t>
        </is>
      </c>
      <c r="L35" s="165" t="inlineStr">
        <is>
          <t>A</t>
        </is>
      </c>
      <c r="M35" s="161" t="inlineStr">
        <is>
          <t>Rehabilitation channel already selling rehab ultrasound imaging. Ask what brand; position SonoEye P5 and SonoAir 70 as the diagnostic grade step up.</t>
        </is>
      </c>
      <c r="N35" s="161" t="inlineStr">
        <is>
          <t>SonoEye P5 + SonoAir 70 + SonoBook 9</t>
        </is>
      </c>
      <c r="O35" s="170" t="n">
        <v>2</v>
      </c>
      <c r="P35" s="161" t="inlineStr">
        <is>
          <t>Tier 2 NEW: MSK fit, partial ultrasound overlap.</t>
        </is>
      </c>
      <c r="Q35" s="161" t="inlineStr">
        <is>
          <t>Own site opened 7 Oct 2026</t>
        </is>
      </c>
      <c r="R35" s="161" t="inlineStr">
        <is>
          <t>NEW in v16</t>
        </is>
      </c>
      <c r="S35" s="161" t="inlineStr">
        <is>
          <t>V2U Healthcare: CHISON high frequency ultrasound for MSK and sports clinics</t>
        </is>
      </c>
      <c r="T35" s="161" t="inlineStr">
        <is>
          <t>Dear V2U Healthcare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V2U already sells real time ultrasound imaging, shockwave and electrotherapy to physiotherapy and rehabilitation clinics across Singapore and three other markets.
Orthopaedic, sports and rehabilitation clinicians use high frequency ultrasound for tendon, joint and injection work, so a scanner sits naturally beside what you already sell them.
• SonoEye P5: high frequency handheld for superficial and MSK work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6" ht="300" customHeight="1" s="104">
      <c r="A36" s="195" t="n">
        <v>32</v>
      </c>
      <c r="B36" s="162" t="inlineStr">
        <is>
          <t>BMEC Pte Ltd</t>
        </is>
      </c>
      <c r="C36" s="195" t="inlineStr">
        <is>
          <t>Not started</t>
        </is>
      </c>
      <c r="D36" s="161" t="inlineStr">
        <is>
          <t>Rehabilitation equipment, sports science, healthcare simulation (Gaumard task trainers to high fidelity simulators, VR), wound care, urology diagnostics. 60+ principals including Biodex, Bertec, AlterG, Gaumard. Functional assessment centre set up, rental, maintenance</t>
        </is>
      </c>
      <c r="E36" s="161" t="inlineStr">
        <is>
          <t>Hospitals, universities and simulation centres, rehabilitation, sports science</t>
        </is>
      </c>
      <c r="F36" s="161" t="inlineStr">
        <is>
          <t>No ultrasound line identified</t>
        </is>
      </c>
      <c r="G36" s="161" t="inlineStr">
        <is>
          <t>Singapore (Ubi)</t>
        </is>
      </c>
      <c r="H36" s="163" t="inlineStr">
        <is>
          <t>https://bmec.asia</t>
        </is>
      </c>
      <c r="I36" s="161" t="inlineStr">
        <is>
          <t>+65 6305 2525</t>
        </is>
      </c>
      <c r="J36" s="161" t="inlineStr">
        <is>
          <t>marketing@bmec.asia</t>
        </is>
      </c>
      <c r="K36" s="161" t="inlineStr">
        <is>
          <t>82 Ubi Avenue 4 #08-03, Edward Boustead Centre, Singapore 408832</t>
        </is>
      </c>
      <c r="L36" s="168" t="inlineStr">
        <is>
          <t>B</t>
        </is>
      </c>
      <c r="M36" s="161" t="inlineStr">
        <is>
          <t>Simulation and sports science buyers at hospitals and universities: a POCUS teaching fleet fits next to Gaumard trainers.</t>
        </is>
      </c>
      <c r="N36" s="161" t="inlineStr">
        <is>
          <t>SonoEye P3 + SonoAir 70 + SonoBook 9</t>
        </is>
      </c>
      <c r="O36" s="170" t="n">
        <v>2</v>
      </c>
      <c r="P36" s="161" t="inlineStr">
        <is>
          <t>Tier 2 NEW: simulation and MSK fit.</t>
        </is>
      </c>
      <c r="Q36" s="161" t="inlineStr">
        <is>
          <t>Own site opened (contact form only); email from PharmChoices</t>
        </is>
      </c>
      <c r="R36" s="161" t="inlineStr">
        <is>
          <t>NEW in v16</t>
        </is>
      </c>
      <c r="S36" s="161" t="inlineStr">
        <is>
          <t>BMEC: CHISON point of care ultrasound for training and simulation</t>
        </is>
      </c>
      <c r="T36" s="161" t="inlineStr">
        <is>
          <t>Dear BMEC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BMEC already equips hospital simulation centres, universities and rehabilitation units with Gaumard, Biodex and AlterG.
Point of care ultrasound is now part of medical, nursing and emergency training, and simulation buyers increasingly want a real scanner next to the trainer.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7" ht="300" customHeight="1" s="104">
      <c r="A37" s="195" t="n">
        <v>33</v>
      </c>
      <c r="B37" s="162" t="inlineStr">
        <is>
          <t>The Innomed Group (Innomed Pte Ltd)</t>
        </is>
      </c>
      <c r="C37" s="195" t="inlineStr">
        <is>
          <t>Not started</t>
        </is>
      </c>
      <c r="D37" s="161" t="inlineStr">
        <is>
          <t>Storz Medical shock wave (Duolith, Masterpuls) for orthopaedics and sports medicine, Canfield VISIA and VECTRA skin imaging, aesthetic lasers and radiofrequency. Founded 1984</t>
        </is>
      </c>
      <c r="E37" s="161" t="inlineStr">
        <is>
          <t>Orthopaedics, sports medicine, physiotherapy, dermatology and aesthetics</t>
        </is>
      </c>
      <c r="F37" s="161" t="inlineStr">
        <is>
          <t>Partly. Storz Duolith systems integrate an ultrasound module for targeting</t>
        </is>
      </c>
      <c r="G37" s="161" t="inlineStr">
        <is>
          <t>Singapore (Tannery Road)</t>
        </is>
      </c>
      <c r="H37" s="163" t="inlineStr">
        <is>
          <t>https://innomed.asia</t>
        </is>
      </c>
      <c r="I37" s="161" t="inlineStr">
        <is>
          <t>+65 6744 3113</t>
        </is>
      </c>
      <c r="J37" s="161" t="inlineStr">
        <is>
          <t>contact@innomed.asia</t>
        </is>
      </c>
      <c r="K37" s="161" t="inlineStr">
        <is>
          <t>27 Tannery Road, Singapore 347738 (directory)</t>
        </is>
      </c>
      <c r="L37" s="170" t="inlineStr">
        <is>
          <t>C</t>
        </is>
      </c>
      <c r="M37" s="161" t="inlineStr">
        <is>
          <t>MSK and sports clinics buying shock wave already value imaging. A standalone high frequency ultrasound complements, not competes with, the Storz integrated module.</t>
        </is>
      </c>
      <c r="N37" s="161" t="inlineStr">
        <is>
          <t>SonoEye P5 + SonoAir 70 + SonoBook 9</t>
        </is>
      </c>
      <c r="O37" s="170" t="n">
        <v>2</v>
      </c>
      <c r="P37" s="161" t="inlineStr">
        <is>
          <t>Tier 2: moved here from End-Users.</t>
        </is>
      </c>
      <c r="Q37" s="161" t="inlineStr">
        <is>
          <t>Own site opened (phone only); email from PharmChoices</t>
        </is>
      </c>
      <c r="R37" s="161" t="inlineStr">
        <is>
          <t>NEW on this tab (was on Singapore End-Users as an optional sub dealer)</t>
        </is>
      </c>
      <c r="S37" s="161" t="inlineStr">
        <is>
          <t>Innomed: CHISON high frequency ultrasound for MSK and sports clinics</t>
        </is>
      </c>
      <c r="T37" s="161" t="inlineStr">
        <is>
          <t>Dear Innomed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Innomed's Storz shock wave and Canfield imaging systems sit in orthopaedic, sports medicine and dermatology clinics that also scan tendons and soft tissue.
Orthopaedic, sports and rehabilitation clinicians use high frequency ultrasound for tendon, joint and injection work, so a scanner sits naturally beside what you already sell them.
• SonoEye P5: high frequency handheld for superficial and MSK work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8" ht="300" customHeight="1" s="104">
      <c r="A38" s="195" t="n">
        <v>34</v>
      </c>
      <c r="B38" s="162" t="inlineStr">
        <is>
          <t>Don Shudar International Pte Ltd</t>
        </is>
      </c>
      <c r="C38" s="195" t="inlineStr">
        <is>
          <t>Not started</t>
        </is>
      </c>
      <c r="D38" s="161" t="inlineStr">
        <is>
          <t>Medical equipment portfolio, education and skills training (anatomical models, charts, medical simulators), trading and equipment servicing</t>
        </is>
      </c>
      <c r="E38" s="161" t="inlineStr">
        <is>
          <t>Medical and nursing schools, hospital training units, clinics</t>
        </is>
      </c>
      <c r="F38" s="161" t="inlineStr">
        <is>
          <t>Not stated on the pages read</t>
        </is>
      </c>
      <c r="G38" s="161" t="inlineStr">
        <is>
          <t>Singapore (Bedok)</t>
        </is>
      </c>
      <c r="H38" s="163" t="inlineStr">
        <is>
          <t>https://www.donshudar.com</t>
        </is>
      </c>
      <c r="I38" s="161" t="inlineStr">
        <is>
          <t>+65 6445 4115 / fax +65 6445 3375</t>
        </is>
      </c>
      <c r="J38" s="161" t="inlineStr">
        <is>
          <t>sales@donshudar.com</t>
        </is>
      </c>
      <c r="K38" s="161" t="inlineStr">
        <is>
          <t>3016 Bedok North Avenue 4 #08-18, EASTech, Singapore 489947. Also enquiry@donshudar.com</t>
        </is>
      </c>
      <c r="L38" s="165" t="inlineStr">
        <is>
          <t>A</t>
        </is>
      </c>
      <c r="M38" s="161" t="inlineStr">
        <is>
          <t>Training and simulation buyers increasingly want a real scanner beside the manikin.</t>
        </is>
      </c>
      <c r="N38" s="161" t="inlineStr">
        <is>
          <t>SonoEye P3 + SonoAir 70 + SonoBook 9</t>
        </is>
      </c>
      <c r="O38" s="170" t="n">
        <v>2</v>
      </c>
      <c r="P38" s="161" t="inlineStr">
        <is>
          <t>Tier 2 NEW: education channel.</t>
        </is>
      </c>
      <c r="Q38" s="161" t="inlineStr">
        <is>
          <t>Own site opened 7 Oct 2026</t>
        </is>
      </c>
      <c r="R38" s="161" t="inlineStr">
        <is>
          <t>NEW in v16</t>
        </is>
      </c>
      <c r="S38" s="161" t="inlineStr">
        <is>
          <t>Don Shudar: CHISON point of care ultrasound for training and simulation</t>
        </is>
      </c>
      <c r="T38" s="161" t="inlineStr">
        <is>
          <t>Dear Don Shudar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Don Shudar supplies anatomical models and medical simulators to Singapore's medical and nursing training units, and point of care ultrasound is now part of that curriculum.
Point of care ultrasound is now part of medical, nursing and emergency training, and simulation buyers increasingly want a real scanner next to the trainer.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39" ht="300" customHeight="1" s="104">
      <c r="A39" s="195" t="n">
        <v>35</v>
      </c>
      <c r="B39" s="162" t="inlineStr">
        <is>
          <t>Novatech Resources Pte Ltd</t>
        </is>
      </c>
      <c r="C39" s="195" t="inlineStr">
        <is>
          <t>Not started</t>
        </is>
      </c>
      <c r="D39" s="161" t="inlineStr">
        <is>
          <t>Tactical and trauma medical supplies (airway, haemorrhage control, burns), simulation and training (manikins, task trainers, moulage), humanitarian supplies. 30+ brands including North American Rescue, SAM Medical, SimBodies, Zoll</t>
        </is>
      </c>
      <c r="E39" s="161" t="inlineStr">
        <is>
          <t>Emergency medicine, military and civil defence medical teams, trauma training</t>
        </is>
      </c>
      <c r="F39" s="161" t="inlineStr">
        <is>
          <t>No ultrasound line identified</t>
        </is>
      </c>
      <c r="G39" s="161" t="inlineStr">
        <is>
          <t>Singapore (Syed Alwi Road)</t>
        </is>
      </c>
      <c r="H39" s="163" t="inlineStr">
        <is>
          <t>https://novatech.sg</t>
        </is>
      </c>
      <c r="I39" s="161" t="inlineStr">
        <is>
          <t>+65 6299 4600</t>
        </is>
      </c>
      <c r="J39" s="161" t="inlineStr">
        <is>
          <t>sales@novatech.sg</t>
        </is>
      </c>
      <c r="K39" s="161" t="inlineStr">
        <is>
          <t>11 Syed Alwi Road #01-04, Teck Heng Long Industrial Building, Singapore 207629</t>
        </is>
      </c>
      <c r="L39" s="165" t="inlineStr">
        <is>
          <t>A</t>
        </is>
      </c>
      <c r="M39" s="161" t="inlineStr">
        <is>
          <t>Pre hospital and trauma buyers use pocket ultrasound for FAST and lung assessment.</t>
        </is>
      </c>
      <c r="N39" s="161" t="inlineStr">
        <is>
          <t>SonoEye P3 + SonoAir 70</t>
        </is>
      </c>
      <c r="O39" s="170" t="n">
        <v>2</v>
      </c>
      <c r="P39" s="161" t="inlineStr">
        <is>
          <t>Tier 2 NEW: emergency and training niche.</t>
        </is>
      </c>
      <c r="Q39" s="161" t="inlineStr">
        <is>
          <t>Own site opened 7 Oct 2026</t>
        </is>
      </c>
      <c r="R39" s="161" t="inlineStr">
        <is>
          <t>NEW in v16</t>
        </is>
      </c>
      <c r="S39" s="161" t="inlineStr">
        <is>
          <t>Novatech: CHISON pocket ultrasound for emergency and trauma teams</t>
        </is>
      </c>
      <c r="T39" s="161" t="inlineStr">
        <is>
          <t>Dear Novatech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Novatech equips emergency, trauma and training teams with Zoll, SAM Medical and simulation products, and FAST scanning is now standard in trauma care.
Pocket ultrasound for FAST and lung assessment fits the emergency and first responder customers you already supply.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0" ht="300" customHeight="1" s="104">
      <c r="A40" s="195" t="n">
        <v>36</v>
      </c>
      <c r="B40" s="162" t="inlineStr">
        <is>
          <t>Unimed Healthcare Pte Ltd</t>
        </is>
      </c>
      <c r="C40" s="195" t="inlineStr">
        <is>
          <t>Not started</t>
        </is>
      </c>
      <c r="D40" s="161" t="inlineStr">
        <is>
          <t>Laboratory disposables and instruments (Sarstedt), point of care instruments (ROTEM, VerifyNow), medical equipment, hospital furniture, veterinary, rehabilitation, drugs of abuse testing</t>
        </is>
      </c>
      <c r="E40" s="161" t="inlineStr">
        <is>
          <t>Hospitals, polyclinics, private practitioners, laboratories</t>
        </is>
      </c>
      <c r="F40" s="161" t="inlineStr">
        <is>
          <t>No ultrasound line identified</t>
        </is>
      </c>
      <c r="G40" s="161" t="inlineStr">
        <is>
          <t>Singapore (Tagore)</t>
        </is>
      </c>
      <c r="H40" s="163" t="inlineStr">
        <is>
          <t>https://unimed.com.sg</t>
        </is>
      </c>
      <c r="I40" s="161" t="inlineStr">
        <is>
          <t>+65 6456 9989 / fax +65 6456 9877</t>
        </is>
      </c>
      <c r="J40" s="161" t="inlineStr">
        <is>
          <t>enquiry@unimed.com.sg</t>
        </is>
      </c>
      <c r="K40" s="161" t="inlineStr">
        <is>
          <t>6 Tagore Drive #04-11, Tagore Building, Singapore 787623</t>
        </is>
      </c>
      <c r="L40" s="165" t="inlineStr">
        <is>
          <t>A</t>
        </is>
      </c>
      <c r="M40" s="161" t="inlineStr">
        <is>
          <t>Point of care instruments into hospitals, polyclinics and private practitioners: a point of care ultrasound line uses the same doors.</t>
        </is>
      </c>
      <c r="N40" s="161" t="inlineStr">
        <is>
          <t>SonoEye P3 + SonoAir 70 + SonoBook 9</t>
        </is>
      </c>
      <c r="O40" s="170" t="n">
        <v>2</v>
      </c>
      <c r="P40" s="161" t="inlineStr">
        <is>
          <t>Tier 2 NEW: point of care channel, lab heavy.</t>
        </is>
      </c>
      <c r="Q40" s="161" t="inlineStr">
        <is>
          <t>Own site opened 7 Oct 2026</t>
        </is>
      </c>
      <c r="R40" s="161" t="inlineStr">
        <is>
          <t>NEW in v16</t>
        </is>
      </c>
      <c r="S40" s="161" t="inlineStr">
        <is>
          <t>Unimed Healthcare: adding CHISON ultrasound to the institutions you already serve</t>
        </is>
      </c>
      <c r="T40" s="161" t="inlineStr">
        <is>
          <t>Dear Unimed Healthcare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Unimed already sells point of care instruments such as ROTEM and VerifyNow to hospitals, polyclinics and private practitioners.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1" ht="300" customHeight="1" s="104">
      <c r="A41" s="195" t="n">
        <v>37</v>
      </c>
      <c r="B41" s="162" t="inlineStr">
        <is>
          <t>Lifeline Corporation Pte Ltd</t>
        </is>
      </c>
      <c r="C41" s="195" t="inlineStr">
        <is>
          <t>Not started</t>
        </is>
      </c>
      <c r="D41" s="161" t="inlineStr">
        <is>
          <t>Hospital grade rehabilitation equipment, beds, wheelchairs, patient transfer; retail home medical equipment; evacuation chairs and PPE. Supplies government and private hospitals, day surgery centres, specialist clinics and primary care</t>
        </is>
      </c>
      <c r="E41" s="161" t="inlineStr">
        <is>
          <t>Hospitals, day surgery centres, specialist clinics, primary care, home care</t>
        </is>
      </c>
      <c r="F41" s="161" t="inlineStr">
        <is>
          <t>No ultrasound line identified</t>
        </is>
      </c>
      <c r="G41" s="161" t="inlineStr">
        <is>
          <t>Singapore (Toa Payoh)</t>
        </is>
      </c>
      <c r="H41" s="163" t="inlineStr">
        <is>
          <t>https://www.lifeline.com.sg</t>
        </is>
      </c>
      <c r="I41" s="161" t="inlineStr">
        <is>
          <t>+65 6289 2062</t>
        </is>
      </c>
      <c r="J41" s="161" t="inlineStr">
        <is>
          <t>enquiry@lifeline.com.sg</t>
        </is>
      </c>
      <c r="K41" s="161" t="inlineStr">
        <is>
          <t>745 Lorong 5 Toa Payoh #01-00, Singapore 319455</t>
        </is>
      </c>
      <c r="L41" s="165" t="inlineStr">
        <is>
          <t>A</t>
        </is>
      </c>
      <c r="M41" s="161" t="inlineStr">
        <is>
          <t>Broad hospital and clinic account base; equipment, not imaging. Worth one email.</t>
        </is>
      </c>
      <c r="N41" s="161" t="inlineStr">
        <is>
          <t>SonoEye P3 + SonoAir 70</t>
        </is>
      </c>
      <c r="O41" s="170" t="n">
        <v>2</v>
      </c>
      <c r="P41" s="161" t="inlineStr">
        <is>
          <t>Tier 2 NEW on account reach.</t>
        </is>
      </c>
      <c r="Q41" s="161" t="inlineStr">
        <is>
          <t>Own site opened 7 Oct 2026</t>
        </is>
      </c>
      <c r="R41" s="161" t="inlineStr">
        <is>
          <t>NEW in v16</t>
        </is>
      </c>
      <c r="S41" s="161" t="inlineStr">
        <is>
          <t>Lifeline Corporation: CHISON pocket ultrasound for home care and community clinics</t>
        </is>
      </c>
      <c r="T41" s="161" t="inlineStr">
        <is>
          <t>Dear Lifeline Corporation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Lifeline already supplies government and private hospitals, day surgery centres, specialist clinics and primary care across Singapore.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2" ht="300" customHeight="1" s="104">
      <c r="A42" s="195" t="n">
        <v>38</v>
      </c>
      <c r="B42" s="162" t="inlineStr">
        <is>
          <t>Lozon (S) Pte Ltd</t>
        </is>
      </c>
      <c r="C42" s="195" t="inlineStr">
        <is>
          <t>Not started</t>
        </is>
      </c>
      <c r="D42" s="161" t="inlineStr">
        <is>
          <t>Medical supplies distributor and wholesaler since 1974: intubation, suction, sphygmomanometers, stethoscopes (Littmann), sterilisation, plasticware, masks, dental supply. Consumables and small devices, no capital equipment</t>
        </is>
      </c>
      <c r="E42" s="161" t="inlineStr">
        <is>
          <t>Hospitals, clinics and dental practices</t>
        </is>
      </c>
      <c r="F42" s="161" t="inlineStr">
        <is>
          <t>No ultrasound line identified</t>
        </is>
      </c>
      <c r="G42" s="161" t="inlineStr">
        <is>
          <t>Singapore (Ubi)</t>
        </is>
      </c>
      <c r="H42" s="163" t="inlineStr">
        <is>
          <t>https://lozon.com.sg</t>
        </is>
      </c>
      <c r="I42" s="161" t="inlineStr">
        <is>
          <t>+65 6299 9123</t>
        </is>
      </c>
      <c r="J42" s="161" t="inlineStr">
        <is>
          <t>lozon@lozon.com.sg</t>
        </is>
      </c>
      <c r="K42" s="161" t="inlineStr">
        <is>
          <t>51 Ubi Avenue 1 #03-29, Paya Ubi Industrial Park, Singapore 408933. Own site shows eshop@lozon.com.sg (online shop inbox); SGMT gives lozon@lozon.com.sg</t>
        </is>
      </c>
      <c r="L42" s="165" t="inlineStr">
        <is>
          <t>A</t>
        </is>
      </c>
      <c r="M42" s="161" t="inlineStr">
        <is>
          <t>Corrected in v16: Lozon is a consumables house without capital equipment, so it drops from Tier 1. Clinic and hospital reach still worth an email.</t>
        </is>
      </c>
      <c r="N42" s="161" t="inlineStr">
        <is>
          <t>SonoEye P3 + SonoAir 70 + SonoBook 9</t>
        </is>
      </c>
      <c r="O42" s="170" t="n">
        <v>2</v>
      </c>
      <c r="P42" s="161" t="inlineStr">
        <is>
          <t>Re-tiered 1 to 2 after opening their own site.</t>
        </is>
      </c>
      <c r="Q42" s="161" t="inlineStr">
        <is>
          <t>Own site opened 7 Oct 2026</t>
        </is>
      </c>
      <c r="R42" s="161" t="inlineStr">
        <is>
          <t>Re-tiered 1 to 2</t>
        </is>
      </c>
      <c r="S42" s="161" t="inlineStr">
        <is>
          <t>Lozon: a CHISON ultrasound line for the clinics you already supply</t>
        </is>
      </c>
      <c r="T42" s="161" t="inlineStr">
        <is>
          <t>Dear Lozon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Lozon has supplied Singapore hospitals and clinics since 1974, from Littmann stethoscopes and sphygmomanometers to intubation and suction.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3" ht="300" customHeight="1" s="104">
      <c r="A43" s="195" t="n">
        <v>39</v>
      </c>
      <c r="B43" s="162" t="inlineStr">
        <is>
          <t>Sage Healthcare Pte Ltd</t>
        </is>
      </c>
      <c r="C43" s="195" t="inlineStr">
        <is>
          <t>Not started</t>
        </is>
      </c>
      <c r="D43" s="161" t="inlineStr">
        <is>
          <t>Distributor across veterinary care, laboratory and clinical diagnostics</t>
        </is>
      </c>
      <c r="E43" s="161" t="inlineStr">
        <is>
          <t>Veterinary clinics, laboratories, clinics</t>
        </is>
      </c>
      <c r="F43" s="161" t="inlineStr">
        <is>
          <t>No human diagnostic ultrasound line identified</t>
        </is>
      </c>
      <c r="G43" s="161" t="inlineStr">
        <is>
          <t>Singapore (Sin Ming)</t>
        </is>
      </c>
      <c r="H43" s="163" t="inlineStr">
        <is>
          <t>https://sagehealthcare.sg</t>
        </is>
      </c>
      <c r="I43" s="161" t="inlineStr">
        <is>
          <t>+65 6415 8762 / fax +65 6251 9635</t>
        </is>
      </c>
      <c r="J43" s="161" t="inlineStr">
        <is>
          <t>customerservice@sagehealthcare.sg</t>
        </is>
      </c>
      <c r="K43" s="161" t="inlineStr">
        <is>
          <t>26 Sin Ming Lane #06-126/127, Midview City, Singapore 573971</t>
        </is>
      </c>
      <c r="L43" s="165" t="inlineStr">
        <is>
          <t>A</t>
        </is>
      </c>
      <c r="M43" s="161" t="inlineStr">
        <is>
          <t>Vet and lab focus; the same company may be on the VET list. Check before sending so they do not receive two different CHISON pitches.</t>
        </is>
      </c>
      <c r="N43" s="161" t="inlineStr">
        <is>
          <t>SonoEye P3 + SonoAir 70 + SonoBook 9</t>
        </is>
      </c>
      <c r="O43" s="170" t="n">
        <v>2</v>
      </c>
      <c r="P43" s="161" t="inlineStr">
        <is>
          <t>Tier 2 since v5.</t>
        </is>
      </c>
      <c r="Q43" s="161" t="inlineStr">
        <is>
          <t>Verified site (own company page), carried from v15</t>
        </is>
      </c>
      <c r="R43" s="161" t="inlineStr">
        <is>
          <t>Kept, Tier 2</t>
        </is>
      </c>
      <c r="S43" s="161" t="inlineStr">
        <is>
          <t>Sage Healthcare: adding CHISON ultrasound to the institutions you already serve</t>
        </is>
      </c>
      <c r="T43" s="161" t="inlineStr">
        <is>
          <t>Dear Sage Healthcare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Sage already distributes clinical diagnostics and veterinary products across Singapore.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4" ht="300" customHeight="1" s="104">
      <c r="A44" s="195" t="n">
        <v>40</v>
      </c>
      <c r="B44" s="162" t="inlineStr">
        <is>
          <t>Asia Medical Supplies</t>
        </is>
      </c>
      <c r="C44" s="195" t="inlineStr">
        <is>
          <t>Not started</t>
        </is>
      </c>
      <c r="D44" s="161" t="inlineStr">
        <is>
          <t>Medical supplies distributor since 1999. Craniomaxillofacial and surgical products; brands include Mylife, Servox, MDI</t>
        </is>
      </c>
      <c r="E44" s="161" t="inlineStr">
        <is>
          <t>Surgery (CMF, ENT), hospitals</t>
        </is>
      </c>
      <c r="F44" s="161" t="inlineStr">
        <is>
          <t>No ultrasound line identified in its published catalogue</t>
        </is>
      </c>
      <c r="G44" s="161" t="inlineStr">
        <is>
          <t>Singapore (Kallang)</t>
        </is>
      </c>
      <c r="H44" s="163" t="inlineStr">
        <is>
          <t>https://www.asiamedical.com.sg</t>
        </is>
      </c>
      <c r="I44" s="161" t="inlineStr">
        <is>
          <t>+65 6295 1190</t>
        </is>
      </c>
      <c r="J44" s="161" t="inlineStr">
        <is>
          <t>customersupport@asiamedical.com.sg</t>
        </is>
      </c>
      <c r="K44" s="161" t="inlineStr">
        <is>
          <t>7 Kallang Place, Singapore 339153</t>
        </is>
      </c>
      <c r="L44" s="170" t="inlineStr">
        <is>
          <t>C</t>
        </is>
      </c>
      <c r="M44" s="161" t="inlineStr">
        <is>
          <t>Surgical channel, small. Email from directory.</t>
        </is>
      </c>
      <c r="N44" s="161" t="inlineStr">
        <is>
          <t>SonoAir 70 + SonoEye P3 + SonoBook 9</t>
        </is>
      </c>
      <c r="O44" s="170" t="n">
        <v>2</v>
      </c>
      <c r="P44" s="161" t="inlineStr">
        <is>
          <t>Tier 2 since v5; email added.</t>
        </is>
      </c>
      <c r="Q44" s="161" t="inlineStr">
        <is>
          <t>v15 site check plus email from PharmChoices</t>
        </is>
      </c>
      <c r="R44" s="161" t="inlineStr">
        <is>
          <t>Kept, Tier 2, email added</t>
        </is>
      </c>
      <c r="S44" s="161" t="inlineStr">
        <is>
          <t>Asia Medical Supplies: CHISON ultrasound for the theatres and clinics you supply</t>
        </is>
      </c>
      <c r="T44" s="161" t="inlineStr">
        <is>
          <t>Dear Asia Medical Supplies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Asia Medical Supplies has served Singapore surgeons since 1999 with craniomaxillofacial and surgical products.
Surgeons and theatre teams increasingly scan at the table and in clinic, so a compact system sits naturally next to your surgical range.
• SonoAir 70: light laptop for wards, theatres and clinics
• SonoEye P3: pocket handheld for vascular access, nerve block and bedside scans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5" ht="300" customHeight="1" s="104">
      <c r="A45" s="195" t="n">
        <v>41</v>
      </c>
      <c r="B45" s="162" t="inlineStr">
        <is>
          <t>Kromax South Asia Pte Ltd</t>
        </is>
      </c>
      <c r="C45" s="195" t="inlineStr">
        <is>
          <t>Not started</t>
        </is>
      </c>
      <c r="D45" s="161" t="inlineStr">
        <is>
          <t>Singapore arm of Kromax International (Taiwan, already on the Taiwan Dealers tab as 奇裕). Kromax lists SONON handheld ultrasound in Taiwan. SGMT category: hospital equipment and supplies</t>
        </is>
      </c>
      <c r="E45" s="161" t="inlineStr">
        <is>
          <t>Hospitals and clinics</t>
        </is>
      </c>
      <c r="F45" s="161" t="inlineStr">
        <is>
          <t>Likely. Kromax sells SONON handheld ultrasound in Taiwan</t>
        </is>
      </c>
      <c r="G45" s="161" t="inlineStr">
        <is>
          <t>Singapore</t>
        </is>
      </c>
      <c r="H45" s="163" t="inlineStr">
        <is>
          <t>https://ksa.kromax.com</t>
        </is>
      </c>
      <c r="I45" s="161" t="inlineStr">
        <is>
          <t>+65 6720 0203</t>
        </is>
      </c>
      <c r="J45" s="161" t="inlineStr">
        <is>
          <t>online_enquiry@kromax.com</t>
        </is>
      </c>
      <c r="K45" s="161" t="inlineStr">
        <is>
          <t>Address not confirmed. GROUP OVERLAP: Kromax Taiwan is on the Taiwan Dealers tab; agree which entity owns the conversation</t>
        </is>
      </c>
      <c r="L45" s="170" t="inlineStr">
        <is>
          <t>C</t>
        </is>
      </c>
      <c r="M45" s="161" t="inlineStr">
        <is>
          <t>Group overlap with Taiwan. Raise it in the email and let them route it.</t>
        </is>
      </c>
      <c r="N45" s="161" t="inlineStr">
        <is>
          <t>Conflict aware. Ask about exclusivity first, then only SonoEye P5 + SonoAir 70 + SonoPort 8</t>
        </is>
      </c>
      <c r="O45" s="170" t="n">
        <v>2</v>
      </c>
      <c r="P45" s="161" t="inlineStr">
        <is>
          <t>Tier 2 NEW: group overlap and likely handheld conflict.</t>
        </is>
      </c>
      <c r="Q45" s="161" t="inlineStr">
        <is>
          <t>SGMT directory; ksa.kromax.com did not resolve on 7 Oct 2026</t>
        </is>
      </c>
      <c r="R45" s="161" t="inlineStr">
        <is>
          <t>NEW in v16</t>
        </is>
      </c>
      <c r="S45" s="161" t="inlineStr">
        <is>
          <t>A question first for Kromax South Asia: is your ultrasound agreement exclusive?</t>
        </is>
      </c>
      <c r="T45" s="161" t="inlineStr">
        <is>
          <t>Dear Kromax South Asia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Kromax is well known to us from Taiwan, and I understand the group runs its South Asia office from Singapore. If the Taiwan team should own this conversation instead, please point me to the right person.
Before anything else: is your current ultrasound agreement exclusive? If it is, I will not take more of your time. If it is not, there are form factors and price bands where we would not be asking you to sell against your own principal.
• SonoEye P5: high frequency handheld for superficial and MSK work
• SonoAir 70: light laptop for wards, theatres and clinics
• SonoPort 8: mid tier cart for private imaging and O&amp;G rooms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6" ht="300" customHeight="1" s="104">
      <c r="A46" s="195" t="n">
        <v>42</v>
      </c>
      <c r="B46" s="162" t="inlineStr">
        <is>
          <t>Kingston Medical Supplies (Pte) Ltd</t>
        </is>
      </c>
      <c r="C46" s="195" t="inlineStr">
        <is>
          <t>Not started</t>
        </is>
      </c>
      <c r="D46" s="161" t="inlineStr">
        <is>
          <t>Hospital equipment and supplies (SGMT category). Line card not confirmed: website returned no readable content on 7 Oct 2026</t>
        </is>
      </c>
      <c r="E46" s="161" t="inlineStr">
        <is>
          <t>Hospitals and clinics (to confirm)</t>
        </is>
      </c>
      <c r="F46" s="161" t="inlineStr">
        <is>
          <t>Not identified</t>
        </is>
      </c>
      <c r="G46" s="161" t="inlineStr">
        <is>
          <t>Singapore (Tannery Road)</t>
        </is>
      </c>
      <c r="H46" s="163" t="inlineStr">
        <is>
          <t>https://kingsmed.com.sg</t>
        </is>
      </c>
      <c r="I46" s="161" t="inlineStr">
        <is>
          <t>+65 6745 3922 / fax +65 6747 9688</t>
        </is>
      </c>
      <c r="J46" s="161" t="inlineStr">
        <is>
          <t>sales@kingsmed.com.sg</t>
        </is>
      </c>
      <c r="K46" s="161" t="inlineStr">
        <is>
          <t>35 Tannery Road #11-01, Tannery Block, Ruby Industrial Complex, Singapore 347740</t>
        </is>
      </c>
      <c r="L46" s="170" t="inlineStr">
        <is>
          <t>C</t>
        </is>
      </c>
      <c r="M46" s="161" t="inlineStr">
        <is>
          <t>Listed as a hospital equipment supplier in two directories. Qualify the line card on reply.</t>
        </is>
      </c>
      <c r="N46" s="161" t="inlineStr">
        <is>
          <t>SonoEye P3 + SonoAir 70 + SonoBook 9</t>
        </is>
      </c>
      <c r="O46" s="170" t="n">
        <v>2</v>
      </c>
      <c r="P46" s="161" t="inlineStr">
        <is>
          <t>Tier 2 NEW on directory category.</t>
        </is>
      </c>
      <c r="Q46" s="161" t="inlineStr">
        <is>
          <t>Directory: PharmChoices Singapore supplier list (2026), own site not opened; SGMT hospital equipment category</t>
        </is>
      </c>
      <c r="R46" s="161" t="inlineStr">
        <is>
          <t>NEW in v16</t>
        </is>
      </c>
      <c r="S46" s="161" t="inlineStr">
        <is>
          <t>Kingston Medical Supplies: a CHISON ultrasound line for the clinics you already supply</t>
        </is>
      </c>
      <c r="T46" s="161" t="inlineStr">
        <is>
          <t>Dear Kingston Medical Supplies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Kingston is listed among Singapore's hospital equipment and supplies distributors.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7" ht="300" customHeight="1" s="104">
      <c r="A47" s="195" t="n">
        <v>43</v>
      </c>
      <c r="B47" s="162" t="inlineStr">
        <is>
          <t>DTG Medical Pte Ltd (Device Technologies Asia)</t>
        </is>
      </c>
      <c r="C47" s="195" t="inlineStr">
        <is>
          <t>Not started</t>
        </is>
      </c>
      <c r="D47" s="161" t="inlineStr">
        <is>
          <t>Asia arm of Australia's Device Technologies (since 1992). HSA registry: surgical instruments, intraocular lenses (Teleon), electrosurgical and robotic accessories (Intuitive), orthobiologics (Isotis), MMM sterilisers, MMI microsurgery</t>
        </is>
      </c>
      <c r="E47" s="161" t="inlineStr">
        <is>
          <t>Theatres, robotic surgery, ophthalmology, orthopaedics</t>
        </is>
      </c>
      <c r="F47" s="161" t="inlineStr">
        <is>
          <t>No ultrasound line identified in registry data</t>
        </is>
      </c>
      <c r="G47" s="161" t="inlineStr">
        <is>
          <t>Singapore (Alexandra)</t>
        </is>
      </c>
      <c r="H47" s="163" t="inlineStr">
        <is>
          <t>https://devicetechnologies.asia</t>
        </is>
      </c>
      <c r="I47" s="161" t="inlineStr">
        <is>
          <t>NOT CONFIRMED</t>
        </is>
      </c>
      <c r="J47" s="161" t="inlineStr">
        <is>
          <t>NOT CONFIRMED, use the website form or LinkedIn</t>
        </is>
      </c>
      <c r="K47" s="161" t="inlineStr">
        <is>
          <t>438B Alexandra Road #06-03, Alexandra Technopark, Singapore 119968 (registry address)</t>
        </is>
      </c>
      <c r="L47" s="170" t="inlineStr">
        <is>
          <t>C</t>
        </is>
      </c>
      <c r="M47" s="161" t="inlineStr">
        <is>
          <t>Premium theatre channel. Find the Singapore general manager on LinkedIn.</t>
        </is>
      </c>
      <c r="N47" s="161" t="inlineStr">
        <is>
          <t>SonoAir 70 + SonoEye P3 + SonoBook 9</t>
        </is>
      </c>
      <c r="O47" s="170" t="n">
        <v>2</v>
      </c>
      <c r="P47" s="161" t="inlineStr">
        <is>
          <t>Tier 2 NEW; contact not confirmed, not counted toward the email total.</t>
        </is>
      </c>
      <c r="Q47" s="161" t="inlineStr">
        <is>
          <t>HSA registry view (MedMatch, data verified Jun 2026)</t>
        </is>
      </c>
      <c r="R47" s="161" t="inlineStr">
        <is>
          <t>NEW in v16</t>
        </is>
      </c>
      <c r="S47" s="161" t="inlineStr">
        <is>
          <t>Device Technologies Asia: CHISON ultrasound for the theatres and clinics you supply</t>
        </is>
      </c>
      <c r="T47" s="161" t="inlineStr">
        <is>
          <t>Dear Device Technologies Asia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Device Technologies brings Intuitive, Teleon and Isotis into Singapore theatres and ophthalmology suites.
Surgeons and theatre teams increasingly scan at the table and in clinic, so a compact system sits naturally next to your surgical range.
• SonoAir 70: light laptop for wards, theatres and clinics
• SonoEye P3: pocket handheld for vascular access, nerve block and bedside scans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8" ht="300" customHeight="1" s="104">
      <c r="A48" s="195" t="n">
        <v>44</v>
      </c>
      <c r="B48" s="162" t="inlineStr">
        <is>
          <t>Humedical (S) Pte Ltd</t>
        </is>
      </c>
      <c r="C48" s="195" t="inlineStr">
        <is>
          <t>Not started</t>
        </is>
      </c>
      <c r="D48" s="161" t="inlineStr">
        <is>
          <t>Neurosurgery and orthopaedics: Integra LifeSciences (top principal), Mizuho, De Soutter, Peter Lazic, Episurf (knee), Spectros tissue oximetry. About 116 registered products</t>
        </is>
      </c>
      <c r="E48" s="161" t="inlineStr">
        <is>
          <t>Neurosurgery, orthopaedics, theatres</t>
        </is>
      </c>
      <c r="F48" s="161" t="inlineStr">
        <is>
          <t>No ultrasound line identified in registry data</t>
        </is>
      </c>
      <c r="G48" s="161" t="inlineStr">
        <is>
          <t>Singapore (Redhill)</t>
        </is>
      </c>
      <c r="H48" s="161" t="inlineStr">
        <is>
          <t>Not confirmed</t>
        </is>
      </c>
      <c r="I48" s="161" t="inlineStr">
        <is>
          <t>NOT CONFIRMED</t>
        </is>
      </c>
      <c r="J48" s="161" t="inlineStr">
        <is>
          <t>NOT CONFIRMED, use LinkedIn or JobStreet company page</t>
        </is>
      </c>
      <c r="K48" s="161" t="inlineStr">
        <is>
          <t>3791 Jalan Bukit Merah #06-17, E Centre @ Redhill, Singapore 159471 (registry address)</t>
        </is>
      </c>
      <c r="L48" s="172" t="inlineStr">
        <is>
          <t>D</t>
        </is>
      </c>
      <c r="M48" s="161" t="inlineStr">
        <is>
          <t>Strong neurosurgical theatre channel. Intraoperative ultrasound is used in neurosurgery; worth finding a contact.</t>
        </is>
      </c>
      <c r="N48" s="161" t="inlineStr">
        <is>
          <t>SonoAir 70 + SonoEye P3 + SonoBook 9</t>
        </is>
      </c>
      <c r="O48" s="170" t="n">
        <v>2</v>
      </c>
      <c r="P48" s="161" t="inlineStr">
        <is>
          <t>Tier 2 NEW; contact not confirmed.</t>
        </is>
      </c>
      <c r="Q48" s="161" t="inlineStr">
        <is>
          <t>HSA registry view (MedMatch, data verified Jun 2026)</t>
        </is>
      </c>
      <c r="R48" s="161" t="inlineStr">
        <is>
          <t>NEW in v16</t>
        </is>
      </c>
      <c r="S48" s="161" t="inlineStr">
        <is>
          <t>Humedical: CHISON ultrasound for the theatres and clinics you supply</t>
        </is>
      </c>
      <c r="T48" s="161" t="inlineStr">
        <is>
          <t>Dear Humedical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Humedical supplies Integra, Mizuho and De Soutter into Singapore's neurosurgical and orthopaedic theatres, where intraoperative ultrasound is part of the work.
Surgeons and theatre teams increasingly scan at the table and in clinic, so a compact system sits naturally next to your surgical range.
• SonoAir 70: light laptop for wards, theatres and clinics
• SonoEye P3: pocket handheld for vascular access, nerve block and bedside scans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49" ht="300" customHeight="1" s="104">
      <c r="A49" s="195" t="n">
        <v>45</v>
      </c>
      <c r="B49" s="162" t="inlineStr">
        <is>
          <t>DKSH Singapore Pte Ltd (Healthcare)</t>
        </is>
      </c>
      <c r="C49" s="195" t="inlineStr">
        <is>
          <t>Not started</t>
        </is>
      </c>
      <c r="D49" s="161" t="inlineStr">
        <is>
          <t>Market expansion services: devices and pharma distribution, logistics, regulatory, sales and marketing across Asia</t>
        </is>
      </c>
      <c r="E49" s="161" t="inlineStr">
        <is>
          <t>Hospitals and clinics across specialties</t>
        </is>
      </c>
      <c r="F49" s="161" t="inlineStr">
        <is>
          <t>Not confirmed for Singapore</t>
        </is>
      </c>
      <c r="G49" s="161" t="inlineStr">
        <is>
          <t>Singapore (Jalan Buroh)</t>
        </is>
      </c>
      <c r="H49" s="163" t="inlineStr">
        <is>
          <t>https://www.dksh.com</t>
        </is>
      </c>
      <c r="I49" s="161" t="inlineStr">
        <is>
          <t>+65 6471 0888 (main) / +65 6477 3855 (healthcare, per End-Users tab)</t>
        </is>
      </c>
      <c r="J49" s="161" t="inlineStr">
        <is>
          <t>Not published, enquiry form on dksh.com</t>
        </is>
      </c>
      <c r="K49" s="161" t="inlineStr">
        <is>
          <t>47 Jalan Buroh #09-01, Singapore 619491</t>
        </is>
      </c>
      <c r="L49" s="168" t="inlineStr">
        <is>
          <t>B</t>
        </is>
      </c>
      <c r="M49" s="161" t="inlineStr">
        <is>
          <t>A market expansion platform rather than a specialist dealer: useful if AstraMed wants logistics and tender support without a full dealer.</t>
        </is>
      </c>
      <c r="N49" s="161" t="inlineStr">
        <is>
          <t>SonoEye P3 + SonoAir 70 + SonoBook 9</t>
        </is>
      </c>
      <c r="O49" s="170" t="n">
        <v>2</v>
      </c>
      <c r="P49" s="161" t="inlineStr">
        <is>
          <t>Tier 2: moved here from End-Users. No email.</t>
        </is>
      </c>
      <c r="Q49" s="161" t="inlineStr">
        <is>
          <t>v15 End-Users tab plus PharmChoices</t>
        </is>
      </c>
      <c r="R49" s="161" t="inlineStr">
        <is>
          <t>NEW on this tab (was on Singapore End-Users as a logistics partner)</t>
        </is>
      </c>
      <c r="S49" s="161" t="inlineStr">
        <is>
          <t>DKSH: adding CHISON ultrasound to the institutions you already serve</t>
        </is>
      </c>
      <c r="T49" s="161" t="inlineStr">
        <is>
          <t>Dear DKSH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DKSH already runs market expansion, logistics and tender support for medical device principals across Asia from Singapore.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0" ht="300" customHeight="1" s="104">
      <c r="A50" s="195" t="n">
        <v>46</v>
      </c>
      <c r="B50" s="162" t="inlineStr">
        <is>
          <t>Umedic Pte Ltd</t>
        </is>
      </c>
      <c r="C50" s="195" t="inlineStr">
        <is>
          <t>Not started</t>
        </is>
      </c>
      <c r="D50" s="161" t="inlineStr">
        <is>
          <t>Aesthetic skincare, Gaea Water disinfectants, Takino, TS6 probiotics, health supplements, medical consumables and wheelchairs</t>
        </is>
      </c>
      <c r="E50" s="161" t="inlineStr">
        <is>
          <t>Consumers, clinics, businesses</t>
        </is>
      </c>
      <c r="F50" s="161" t="inlineStr">
        <is>
          <t>No ultrasound line identified</t>
        </is>
      </c>
      <c r="G50" s="161" t="inlineStr">
        <is>
          <t>Singapore (Sin Ming)</t>
        </is>
      </c>
      <c r="H50" s="163" t="inlineStr">
        <is>
          <t>https://umedic.com.sg</t>
        </is>
      </c>
      <c r="I50" s="161" t="inlineStr">
        <is>
          <t>+65 6684 0911</t>
        </is>
      </c>
      <c r="J50" s="161" t="inlineStr">
        <is>
          <t>sales@umedic.com.sg</t>
        </is>
      </c>
      <c r="K50" s="161" t="inlineStr">
        <is>
          <t>28 Sin Ming Lane #08-137, Midview City, Singapore 573972</t>
        </is>
      </c>
      <c r="L50" s="165" t="inlineStr">
        <is>
          <t>A</t>
        </is>
      </c>
      <c r="M50" s="161" t="inlineStr">
        <is>
          <t>Corrected in v16: consumer health and consumables, not hospital equipment. Low priority.</t>
        </is>
      </c>
      <c r="N50" s="161" t="inlineStr">
        <is>
          <t>SonoEye P3 + SonoAir 70</t>
        </is>
      </c>
      <c r="O50" s="197" t="n">
        <v>3</v>
      </c>
      <c r="P50" s="161" t="inlineStr">
        <is>
          <t>Re-tiered 1 to 3 after opening their own site.</t>
        </is>
      </c>
      <c r="Q50" s="161" t="inlineStr">
        <is>
          <t>Own site opened 7 Oct 2026</t>
        </is>
      </c>
      <c r="R50" s="161" t="inlineStr">
        <is>
          <t>Re-tiered 1 to 3</t>
        </is>
      </c>
      <c r="S50" s="161" t="inlineStr">
        <is>
          <t>Umedic: CHISON pocket ultrasound for home care and community clinics</t>
        </is>
      </c>
      <c r="T50" s="161" t="inlineStr">
        <is>
          <t>Dear Umedic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Umedic supplies medical consumables, disinfection and wellness products to clinics and businesses in Singapore.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1" ht="300" customHeight="1" s="104">
      <c r="A51" s="195" t="n">
        <v>47</v>
      </c>
      <c r="B51" s="162" t="inlineStr">
        <is>
          <t>Aeras Medical Pte Ltd</t>
        </is>
      </c>
      <c r="C51" s="195" t="inlineStr">
        <is>
          <t>Not started</t>
        </is>
      </c>
      <c r="D51" s="161" t="inlineStr">
        <is>
          <t>Glucose meters and strips, lancets, alcohol swabs, masks, vital sign devices (thermometers, oximeters, blood pressure), telehealth vital signs monitoring platform, Glooko diabetes platform</t>
        </is>
      </c>
      <c r="E51" s="161" t="inlineStr">
        <is>
          <t>Chronic disease clinics, diabetes care, consumers</t>
        </is>
      </c>
      <c r="F51" s="161" t="inlineStr">
        <is>
          <t>No ultrasound line identified</t>
        </is>
      </c>
      <c r="G51" s="161" t="inlineStr">
        <is>
          <t>Singapore (Jalan Pemimpin)</t>
        </is>
      </c>
      <c r="H51" s="163" t="inlineStr">
        <is>
          <t>https://www.aerasmedical.com</t>
        </is>
      </c>
      <c r="I51" s="161" t="inlineStr">
        <is>
          <t>+65 6752 0290 / fax +65 6752 6109</t>
        </is>
      </c>
      <c r="J51" s="161" t="inlineStr">
        <is>
          <t>info@aerasmedical.com</t>
        </is>
      </c>
      <c r="K51" s="161" t="inlineStr">
        <is>
          <t>59 Jalan Pemimpin #03-28, L&amp;Y Building, Singapore 577218</t>
        </is>
      </c>
      <c r="L51" s="165" t="inlineStr">
        <is>
          <t>A</t>
        </is>
      </c>
      <c r="M51" s="161" t="inlineStr">
        <is>
          <t>Corrected in v16: diabetes and consumer monitoring, not imaging. Low priority.</t>
        </is>
      </c>
      <c r="N51" s="161" t="inlineStr">
        <is>
          <t>SonoEye P3 + SonoAir 70 + SonoBook 9</t>
        </is>
      </c>
      <c r="O51" s="197" t="n">
        <v>3</v>
      </c>
      <c r="P51" s="161" t="inlineStr">
        <is>
          <t>Re-tiered 1 to 3.</t>
        </is>
      </c>
      <c r="Q51" s="161" t="inlineStr">
        <is>
          <t>Own site opened 7 Oct 2026</t>
        </is>
      </c>
      <c r="R51" s="161" t="inlineStr">
        <is>
          <t>Re-tiered 1 to 3</t>
        </is>
      </c>
      <c r="S51" s="161" t="inlineStr">
        <is>
          <t>Aeras Medical: a CHISON ultrasound line for the clinics you already supply</t>
        </is>
      </c>
      <c r="T51" s="161" t="inlineStr">
        <is>
          <t>Dear Aeras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Aeras supplies diabetes and vital signs monitoring products to clinics and chronic care programmes across Singapore.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2" ht="300" customHeight="1" s="104">
      <c r="A52" s="195" t="n">
        <v>48</v>
      </c>
      <c r="B52" s="162" t="inlineStr">
        <is>
          <t>Absolute MS (S) Pte Ltd</t>
        </is>
      </c>
      <c r="C52" s="195" t="inlineStr">
        <is>
          <t>Not started</t>
        </is>
      </c>
      <c r="D52" s="161" t="inlineStr">
        <is>
          <t>Aesthetic medical equipment (lasers, radiofrequency, HIFU, QMR) and professional skincare for aesthetic clinics</t>
        </is>
      </c>
      <c r="E52" s="161" t="inlineStr">
        <is>
          <t>Aesthetic and dermatology clinics</t>
        </is>
      </c>
      <c r="F52" s="161" t="inlineStr">
        <is>
          <t>No diagnostic ultrasound (HIFU is therapeutic)</t>
        </is>
      </c>
      <c r="G52" s="161" t="inlineStr">
        <is>
          <t>Singapore (Ubi)</t>
        </is>
      </c>
      <c r="H52" s="163" t="inlineStr">
        <is>
          <t>https://www.absolutems.com.sg</t>
        </is>
      </c>
      <c r="I52" s="161" t="inlineStr">
        <is>
          <t>+65 6509 0091</t>
        </is>
      </c>
      <c r="J52" s="161" t="inlineStr">
        <is>
          <t>info@absolutems.com.sg</t>
        </is>
      </c>
      <c r="K52" s="161" t="inlineStr">
        <is>
          <t>62 Ubi Road 1 #05-21, Oxley Bizhub 2, Singapore 408734</t>
        </is>
      </c>
      <c r="L52" s="165" t="inlineStr">
        <is>
          <t>A</t>
        </is>
      </c>
      <c r="M52" s="161" t="inlineStr">
        <is>
          <t>Corrected in v16: aesthetic devices only. Low priority but a fit for the high frequency handheld story.</t>
        </is>
      </c>
      <c r="N52" s="161" t="inlineStr">
        <is>
          <t>SonoEye P5 + SonoAir 70</t>
        </is>
      </c>
      <c r="O52" s="197" t="n">
        <v>3</v>
      </c>
      <c r="P52" s="161" t="inlineStr">
        <is>
          <t>Re-tiered 1 to 3.</t>
        </is>
      </c>
      <c r="Q52" s="161" t="inlineStr">
        <is>
          <t>Own site opened 7 Oct 2026</t>
        </is>
      </c>
      <c r="R52" s="161" t="inlineStr">
        <is>
          <t>Re-tiered 1 to 3</t>
        </is>
      </c>
      <c r="S52" s="161" t="inlineStr">
        <is>
          <t>Absolute MS: CHISON high frequency ultrasound for aesthetic clinics</t>
        </is>
      </c>
      <c r="T52" s="161" t="inlineStr">
        <is>
          <t>Dear Absolute MS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Absolute MS equips aesthetic clinics with lasers, radiofrequency and HIFU systems.
A growing number of aesthetic and dermatology doctors use high frequency ultrasound to look at skin, vessels and soft tissue around treatments.
• SonoEye P5: high frequency handheld for superficial and MSK work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3" ht="300" customHeight="1" s="104">
      <c r="A53" s="195" t="n">
        <v>49</v>
      </c>
      <c r="B53" s="162" t="inlineStr">
        <is>
          <t>Biomed Diagnostics Pte Ltd (Biomed Global)</t>
        </is>
      </c>
      <c r="C53" s="195" t="inlineStr">
        <is>
          <t>Not started</t>
        </is>
      </c>
      <c r="D53" s="161" t="inlineStr">
        <is>
          <t>Allergy, autoimmune and clinical diagnostics; Malaysian headquarters (Kuala Lumpur, Penang). About 209 HSA registered products</t>
        </is>
      </c>
      <c r="E53" s="161" t="inlineStr">
        <is>
          <t>Laboratories, clinics</t>
        </is>
      </c>
      <c r="F53" s="161" t="inlineStr">
        <is>
          <t>No ultrasound line identified</t>
        </is>
      </c>
      <c r="G53" s="161" t="inlineStr">
        <is>
          <t>Singapore (Boon Lay)</t>
        </is>
      </c>
      <c r="H53" s="163" t="inlineStr">
        <is>
          <t>https://biomedglobal.com</t>
        </is>
      </c>
      <c r="I53" s="161" t="inlineStr">
        <is>
          <t>+65 6298 4347</t>
        </is>
      </c>
      <c r="J53" s="161" t="inlineStr">
        <is>
          <t>info.sg@biomedglobal.com</t>
        </is>
      </c>
      <c r="K53" s="161" t="inlineStr">
        <is>
          <t>Tradehub 21, 18 Boon Lay Way #05-105 to 108, Singapore 609966 (directory)</t>
        </is>
      </c>
      <c r="L53" s="170" t="inlineStr">
        <is>
          <t>C</t>
        </is>
      </c>
      <c r="M53" s="161" t="inlineStr">
        <is>
          <t>Corrected in v16: an IVD house, not imaging. Low priority.</t>
        </is>
      </c>
      <c r="N53" s="161" t="inlineStr">
        <is>
          <t>SonoEye P3 + SonoAir 70 + SonoBook 9</t>
        </is>
      </c>
      <c r="O53" s="197" t="n">
        <v>3</v>
      </c>
      <c r="P53" s="161" t="inlineStr">
        <is>
          <t>Re-tiered 1 to 3.</t>
        </is>
      </c>
      <c r="Q53" s="161" t="inlineStr">
        <is>
          <t>Own site opened (no Singapore contact block); email from SGMT and PharmChoices</t>
        </is>
      </c>
      <c r="R53" s="161" t="inlineStr">
        <is>
          <t>Re-tiered 1 to 3</t>
        </is>
      </c>
      <c r="S53" s="161" t="inlineStr">
        <is>
          <t>Biomed Diagnostics: adding CHISON ultrasound to the institutions you already serve</t>
        </is>
      </c>
      <c r="T53" s="161" t="inlineStr">
        <is>
          <t>Dear Biomed Diagnostics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Biomed supplies clinical diagnostics to laboratories and clinics in Singapore and Malaysia.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4" ht="300" customHeight="1" s="104">
      <c r="A54" s="195" t="n">
        <v>50</v>
      </c>
      <c r="B54" s="162" t="inlineStr">
        <is>
          <t>SPD Scientific Pte Ltd</t>
        </is>
      </c>
      <c r="C54" s="195" t="inlineStr">
        <is>
          <t>Not started</t>
        </is>
      </c>
      <c r="D54" s="161" t="inlineStr">
        <is>
          <t>Research and testing instruments and diagnostic supplies. Part of Biomedia Holdings</t>
        </is>
      </c>
      <c r="E54" s="161" t="inlineStr">
        <is>
          <t>Laboratories, research, testing</t>
        </is>
      </c>
      <c r="F54" s="161" t="inlineStr">
        <is>
          <t>No ultrasound line identified</t>
        </is>
      </c>
      <c r="G54" s="161" t="inlineStr">
        <is>
          <t>Singapore (Pasir Panjang)</t>
        </is>
      </c>
      <c r="H54" s="163" t="inlineStr">
        <is>
          <t>https://www.biomediaholdings.com</t>
        </is>
      </c>
      <c r="I54" s="161" t="inlineStr">
        <is>
          <t>+65 6303 9877</t>
        </is>
      </c>
      <c r="J54" s="161" t="inlineStr">
        <is>
          <t>sales@spdscientific.com.sg</t>
        </is>
      </c>
      <c r="K54" s="161" t="inlineStr">
        <is>
          <t>100H Pasir Panjang Road #07-01, OC @ Pasir Panjang, Singapore 118524. PharmChoices shows sales@spdscientific.com</t>
        </is>
      </c>
      <c r="L54" s="170" t="inlineStr">
        <is>
          <t>C</t>
        </is>
      </c>
      <c r="M54" s="161" t="inlineStr">
        <is>
          <t>Your former group (Biomedia). A personal call is better than a cold email; check any post employment terms first.</t>
        </is>
      </c>
      <c r="N54" s="161" t="inlineStr">
        <is>
          <t>SonoEye P3 + SonoAir 70 + SonoBook 9</t>
        </is>
      </c>
      <c r="O54" s="197" t="n">
        <v>3</v>
      </c>
      <c r="P54" s="161" t="inlineStr">
        <is>
          <t>Re-tiered 2 to 3: lab channel, and a relationship to handle personally.</t>
        </is>
      </c>
      <c r="Q54" s="161" t="inlineStr">
        <is>
          <t>SGMT and PharmChoices directories</t>
        </is>
      </c>
      <c r="R54" s="161" t="inlineStr">
        <is>
          <t>Kept, re-tiered 2 to 3</t>
        </is>
      </c>
      <c r="S54" s="161" t="inlineStr">
        <is>
          <t>SPD Scientific: adding CHISON ultrasound to the institutions you already serve</t>
        </is>
      </c>
      <c r="T54" s="161" t="inlineStr">
        <is>
          <t>Dear SPD Scientific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SPD Scientific supplies laboratory and diagnostic customers across Singapore.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5" ht="300" customHeight="1" s="104">
      <c r="A55" s="195" t="n">
        <v>51</v>
      </c>
      <c r="B55" s="162" t="inlineStr">
        <is>
          <t>Research Instruments Pte Ltd</t>
        </is>
      </c>
      <c r="C55" s="195" t="inlineStr">
        <is>
          <t>Not started</t>
        </is>
      </c>
      <c r="D55" s="161" t="inlineStr">
        <is>
          <t>Life science research, analytical instrumentation (Tosoh GPC, FOSS Tecator), nanotechnology. Part of Everlife Asia</t>
        </is>
      </c>
      <c r="E55" s="161" t="inlineStr">
        <is>
          <t>Research and analytical laboratories</t>
        </is>
      </c>
      <c r="F55" s="161" t="inlineStr">
        <is>
          <t>No ultrasound line identified</t>
        </is>
      </c>
      <c r="G55" s="161" t="inlineStr">
        <is>
          <t>Singapore (Clementi)</t>
        </is>
      </c>
      <c r="H55" s="163" t="inlineStr">
        <is>
          <t>https://www.ri.com.sg</t>
        </is>
      </c>
      <c r="I55" s="161" t="inlineStr">
        <is>
          <t>+65 6571 0888</t>
        </is>
      </c>
      <c r="J55" s="161" t="inlineStr">
        <is>
          <t>info@ri.com.sg</t>
        </is>
      </c>
      <c r="K55" s="161" t="inlineStr">
        <is>
          <t>1 Clementi Loop #06-01, Singapore 129808</t>
        </is>
      </c>
      <c r="L55" s="170" t="inlineStr">
        <is>
          <t>C</t>
        </is>
      </c>
      <c r="M55" s="161" t="inlineStr">
        <is>
          <t>Laboratory analytics; weak fit. Everlife Asia's medical arm may be the better door.</t>
        </is>
      </c>
      <c r="N55" s="161" t="inlineStr">
        <is>
          <t>SonoEye P3 + SonoAir 70 + SonoBook 9</t>
        </is>
      </c>
      <c r="O55" s="197" t="n">
        <v>3</v>
      </c>
      <c r="P55" s="161" t="inlineStr">
        <is>
          <t>Re-tiered 2 to 3.</t>
        </is>
      </c>
      <c r="Q55" s="161" t="inlineStr">
        <is>
          <t>Own site opened (no contact block); email from SGMT</t>
        </is>
      </c>
      <c r="R55" s="161" t="inlineStr">
        <is>
          <t>Kept, re-tiered 2 to 3</t>
        </is>
      </c>
      <c r="S55" s="161" t="inlineStr">
        <is>
          <t>Research Instruments: adding CHISON ultrasound to the institutions you already serve</t>
        </is>
      </c>
      <c r="T55" s="161" t="inlineStr">
        <is>
          <t>Dear Research Instruments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Research Instruments, part of Everlife Asia, supplies research and analytical laboratories in Singapore.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6" ht="300" customHeight="1" s="104">
      <c r="A56" s="195" t="n">
        <v>52</v>
      </c>
      <c r="B56" s="162" t="inlineStr">
        <is>
          <t>All Eights (Singapore) Pte Ltd</t>
        </is>
      </c>
      <c r="C56" s="195" t="inlineStr">
        <is>
          <t>Not started</t>
        </is>
      </c>
      <c r="D56" s="161" t="inlineStr">
        <is>
          <t>Clinical diagnostics (haemostasis, biochemistry, immunoassays, microbiology, molecular, blood bank) and analytical science; Stago, Seegene, LGC, Fujirebio, Tosoh, Aidian. Over 1,000 registered products</t>
        </is>
      </c>
      <c r="E56" s="161" t="inlineStr">
        <is>
          <t>Hospital and private laboratories</t>
        </is>
      </c>
      <c r="F56" s="161" t="inlineStr">
        <is>
          <t>No ultrasound line identified</t>
        </is>
      </c>
      <c r="G56" s="161" t="inlineStr">
        <is>
          <t>Singapore (Harper Road)</t>
        </is>
      </c>
      <c r="H56" s="163" t="inlineStr">
        <is>
          <t>https://www.alleights.com</t>
        </is>
      </c>
      <c r="I56" s="161" t="inlineStr">
        <is>
          <t>+65 6288 6388 / fax +65 6284 9805</t>
        </is>
      </c>
      <c r="J56" s="161" t="inlineStr">
        <is>
          <t>alleight@alleight.com</t>
        </is>
      </c>
      <c r="K56" s="161" t="inlineStr">
        <is>
          <t>6 Harper Road #06-07, Leong Huat Building, Singapore 369674</t>
        </is>
      </c>
      <c r="L56" s="165" t="inlineStr">
        <is>
          <t>A</t>
        </is>
      </c>
      <c r="M56" s="161" t="inlineStr">
        <is>
          <t>Large IVD registrant selling to hospital labs; not the imaging buyer.</t>
        </is>
      </c>
      <c r="N56" s="161" t="inlineStr">
        <is>
          <t>SonoEye P3 + SonoAir 70 + SonoBook 9</t>
        </is>
      </c>
      <c r="O56" s="197" t="n">
        <v>3</v>
      </c>
      <c r="P56" s="161" t="inlineStr">
        <is>
          <t>Re-tiered 2 to 3.</t>
        </is>
      </c>
      <c r="Q56" s="161" t="inlineStr">
        <is>
          <t>Own site opened 7 Oct 2026</t>
        </is>
      </c>
      <c r="R56" s="161" t="inlineStr">
        <is>
          <t>Kept, re-tiered 2 to 3</t>
        </is>
      </c>
      <c r="S56" s="161" t="inlineStr">
        <is>
          <t>All Eights: adding CHISON ultrasound to the institutions you already serve</t>
        </is>
      </c>
      <c r="T56" s="161" t="inlineStr">
        <is>
          <t>Dear All Eights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All Eights is one of Singapore's largest clinical diagnostics distributors, serving hospital and private laboratories.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7" ht="300" customHeight="1" s="104">
      <c r="A57" s="195" t="n">
        <v>53</v>
      </c>
      <c r="B57" s="162" t="inlineStr">
        <is>
          <t>Apex Pharma Marketing Pte Ltd</t>
        </is>
      </c>
      <c r="C57" s="195" t="inlineStr">
        <is>
          <t>Not started</t>
        </is>
      </c>
      <c r="D57" s="161" t="inlineStr">
        <is>
          <t>Pharmaceutical and healthcare products marketing and distribution</t>
        </is>
      </c>
      <c r="E57" s="161" t="inlineStr">
        <is>
          <t>Pharmacies, clinics, hospitals</t>
        </is>
      </c>
      <c r="F57" s="161" t="inlineStr">
        <is>
          <t>No ultrasound line identified</t>
        </is>
      </c>
      <c r="G57" s="161" t="inlineStr">
        <is>
          <t>Singapore (Loyang)</t>
        </is>
      </c>
      <c r="H57" s="163" t="inlineStr">
        <is>
          <t>http://www.apexpharmacy.com.sg</t>
        </is>
      </c>
      <c r="I57" s="161" t="inlineStr">
        <is>
          <t>+65 6741 3803 / fax +65 6749 3839</t>
        </is>
      </c>
      <c r="J57" s="161" t="inlineStr">
        <is>
          <t>enquiry@apexpharmacy.com.sg</t>
        </is>
      </c>
      <c r="K57" s="161" t="inlineStr">
        <is>
          <t>4 Loyang Way 1, Level 2, Singapore 508708</t>
        </is>
      </c>
      <c r="L57" s="170" t="inlineStr">
        <is>
          <t>C</t>
        </is>
      </c>
      <c r="M57" s="161" t="inlineStr">
        <is>
          <t>Pharma channel into clinics; low priority.</t>
        </is>
      </c>
      <c r="N57" s="161" t="inlineStr">
        <is>
          <t>SonoEye P3 + SonoAir 70 + SonoBook 9</t>
        </is>
      </c>
      <c r="O57" s="197" t="n">
        <v>3</v>
      </c>
      <c r="P57" s="161" t="inlineStr">
        <is>
          <t>Re-tiered 2 to 3.</t>
        </is>
      </c>
      <c r="Q57" s="161" t="inlineStr">
        <is>
          <t>v15 plus email from PharmChoices</t>
        </is>
      </c>
      <c r="R57" s="161" t="inlineStr">
        <is>
          <t>Kept, re-tiered 2 to 3</t>
        </is>
      </c>
      <c r="S57" s="161" t="inlineStr">
        <is>
          <t>Apex Pharma: a CHISON ultrasound line for the clinics you already supply</t>
        </is>
      </c>
      <c r="T57" s="161" t="inlineStr">
        <is>
          <t>Dear Apex Pharma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Apex distributes pharmaceutical and healthcare products to clinics and hospitals across Singapore.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8" ht="300" customHeight="1" s="104">
      <c r="A58" s="195" t="n">
        <v>54</v>
      </c>
      <c r="B58" s="162" t="inlineStr">
        <is>
          <t>Alcare Pharmaceuticals Pte Ltd</t>
        </is>
      </c>
      <c r="C58" s="195" t="inlineStr">
        <is>
          <t>Not started</t>
        </is>
      </c>
      <c r="D58" s="161" t="inlineStr">
        <is>
          <t>Pharmaceutical and healthcare distribution; medical consumables (about 38 registered devices)</t>
        </is>
      </c>
      <c r="E58" s="161" t="inlineStr">
        <is>
          <t>Clinics, pharmacies</t>
        </is>
      </c>
      <c r="F58" s="161" t="inlineStr">
        <is>
          <t>No ultrasound line identified</t>
        </is>
      </c>
      <c r="G58" s="161" t="inlineStr">
        <is>
          <t>Singapore (Jalan Ampas)</t>
        </is>
      </c>
      <c r="H58" s="163" t="inlineStr">
        <is>
          <t>https://alcare.sg</t>
        </is>
      </c>
      <c r="I58" s="161" t="inlineStr">
        <is>
          <t>+65 6250 8689 / WhatsApp +65 8218 4157</t>
        </is>
      </c>
      <c r="J58" s="161" t="inlineStr">
        <is>
          <t>orders@alcare.sg</t>
        </is>
      </c>
      <c r="K58" s="161" t="inlineStr">
        <is>
          <t>12A Jalan Ampas #03-03, Singapore 329516</t>
        </is>
      </c>
      <c r="L58" s="170" t="inlineStr">
        <is>
          <t>C</t>
        </is>
      </c>
      <c r="M58" s="161" t="inlineStr">
        <is>
          <t>Pharma and consumables to clinics; low priority.</t>
        </is>
      </c>
      <c r="N58" s="161" t="inlineStr">
        <is>
          <t>SonoEye P3 + SonoAir 70 + SonoBook 9</t>
        </is>
      </c>
      <c r="O58" s="197" t="n">
        <v>3</v>
      </c>
      <c r="P58" s="161" t="inlineStr">
        <is>
          <t>Re-tiered 2 to 3.</t>
        </is>
      </c>
      <c r="Q58" s="161" t="inlineStr">
        <is>
          <t>v15 plus email from PharmChoices</t>
        </is>
      </c>
      <c r="R58" s="161" t="inlineStr">
        <is>
          <t>Kept, re-tiered 2 to 3</t>
        </is>
      </c>
      <c r="S58" s="161" t="inlineStr">
        <is>
          <t>Alcare: a CHISON ultrasound line for the clinics you already supply</t>
        </is>
      </c>
      <c r="T58" s="161" t="inlineStr">
        <is>
          <t>Dear Alcare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Alcare supplies pharmaceuticals and medical consumables to clinics across Singapore.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59" ht="300" customHeight="1" s="104">
      <c r="A59" s="195" t="n">
        <v>55</v>
      </c>
      <c r="B59" s="162" t="inlineStr">
        <is>
          <t>Yeap Medical Supplies Pte Ltd</t>
        </is>
      </c>
      <c r="C59" s="195" t="inlineStr">
        <is>
          <t>Not started</t>
        </is>
      </c>
      <c r="D59" s="161" t="inlineStr">
        <is>
          <t>Medical device wholesaler and distributor since 2000. Disposables and consumables across many principals, plus a retail e-store</t>
        </is>
      </c>
      <c r="E59" s="161" t="inlineStr">
        <is>
          <t>Hospitals, clinics, nursing homes</t>
        </is>
      </c>
      <c r="F59" s="161" t="inlineStr">
        <is>
          <t>No ultrasound or imaging line identified</t>
        </is>
      </c>
      <c r="G59" s="161" t="inlineStr">
        <is>
          <t>Singapore (Yishun)</t>
        </is>
      </c>
      <c r="H59" s="163" t="inlineStr">
        <is>
          <t>https://www.yms.com.sg</t>
        </is>
      </c>
      <c r="I59" s="161" t="inlineStr">
        <is>
          <t>+65 6848 1010</t>
        </is>
      </c>
      <c r="J59" s="161" t="inlineStr">
        <is>
          <t>esales@yms.com.sg</t>
        </is>
      </c>
      <c r="K59" s="161" t="inlineStr">
        <is>
          <t>11 Yishun Industrial Street 1 #06-91, North Spring Bizhub, Singapore 768089 (directory)</t>
        </is>
      </c>
      <c r="L59" s="170" t="inlineStr">
        <is>
          <t>C</t>
        </is>
      </c>
      <c r="M59" s="161" t="inlineStr">
        <is>
          <t>Consumables wholesaler with wide reach. Also on End-Users as an optional sub dealer.</t>
        </is>
      </c>
      <c r="N59" s="161" t="inlineStr">
        <is>
          <t>SonoEye P3 + SonoAir 70 + SonoBook 9</t>
        </is>
      </c>
      <c r="O59" s="197" t="n">
        <v>3</v>
      </c>
      <c r="P59" s="161" t="inlineStr">
        <is>
          <t>Tier 3 since v5.</t>
        </is>
      </c>
      <c r="Q59" s="161" t="inlineStr">
        <is>
          <t>v15 plus email from PharmChoices</t>
        </is>
      </c>
      <c r="R59" s="161" t="inlineStr">
        <is>
          <t>Kept, Tier 3, email added</t>
        </is>
      </c>
      <c r="S59" s="161" t="inlineStr">
        <is>
          <t>Yeap Medical: a CHISON ultrasound line for the clinics you already supply</t>
        </is>
      </c>
      <c r="T59" s="161" t="inlineStr">
        <is>
          <t>Dear Yeap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Yeap has supplied medical devices and consumables to Singapore hospitals and clinics since 2000.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60" ht="300" customHeight="1" s="104">
      <c r="A60" s="195" t="n">
        <v>56</v>
      </c>
      <c r="B60" s="162" t="inlineStr">
        <is>
          <t>Alphamed Pte Ltd</t>
        </is>
      </c>
      <c r="C60" s="195" t="inlineStr">
        <is>
          <t>Not started</t>
        </is>
      </c>
      <c r="D60" s="161" t="inlineStr">
        <is>
          <t>Hospital furniture and mobility since 1991: beds, examination couches, mobility aids. Serves government and private hospitals</t>
        </is>
      </c>
      <c r="E60" s="161" t="inlineStr">
        <is>
          <t>Hospitals, nursing homes</t>
        </is>
      </c>
      <c r="F60" s="161" t="inlineStr">
        <is>
          <t>No ultrasound or imaging line identified</t>
        </is>
      </c>
      <c r="G60" s="161" t="inlineStr">
        <is>
          <t>Singapore (Buroh Street)</t>
        </is>
      </c>
      <c r="H60" s="163" t="inlineStr">
        <is>
          <t>https://alphamed.com.sg</t>
        </is>
      </c>
      <c r="I60" s="161" t="inlineStr">
        <is>
          <t>+65 6776 0549</t>
        </is>
      </c>
      <c r="J60" s="161" t="inlineStr">
        <is>
          <t>sales@alphamed.com.sg</t>
        </is>
      </c>
      <c r="K60" s="161" t="inlineStr">
        <is>
          <t>10 Buroh Street #03-21, West Connect Building, Singapore 627564</t>
        </is>
      </c>
      <c r="L60" s="165" t="inlineStr">
        <is>
          <t>A</t>
        </is>
      </c>
      <c r="M60" s="161" t="inlineStr">
        <is>
          <t>Hospital furniture; reach without imaging depth.</t>
        </is>
      </c>
      <c r="N60" s="161" t="inlineStr">
        <is>
          <t>SonoEye P3 + SonoAir 70</t>
        </is>
      </c>
      <c r="O60" s="197" t="n">
        <v>3</v>
      </c>
      <c r="P60" s="161" t="inlineStr">
        <is>
          <t>Tier 3 since v5.</t>
        </is>
      </c>
      <c r="Q60" s="161" t="inlineStr">
        <is>
          <t>Verified site, carried from v15</t>
        </is>
      </c>
      <c r="R60" s="161" t="inlineStr">
        <is>
          <t>Kept, Tier 3</t>
        </is>
      </c>
      <c r="S60" s="161" t="inlineStr">
        <is>
          <t>Alphamed: CHISON pocket ultrasound for home care and community clinics</t>
        </is>
      </c>
      <c r="T60" s="161" t="inlineStr">
        <is>
          <t>Dear Alphamed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Alphamed has furnished Singapore hospitals and nursing homes since 1991.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61" ht="300" customHeight="1" s="104">
      <c r="A61" s="195" t="n">
        <v>57</v>
      </c>
      <c r="B61" s="162" t="inlineStr">
        <is>
          <t>Assisted Living Pte Ltd</t>
        </is>
      </c>
      <c r="C61" s="195" t="inlineStr">
        <is>
          <t>Not started</t>
        </is>
      </c>
      <c r="D61" s="161" t="inlineStr">
        <is>
          <t>Home care and assisted living equipment</t>
        </is>
      </c>
      <c r="E61" s="161" t="inlineStr">
        <is>
          <t>Home care, nursing homes</t>
        </is>
      </c>
      <c r="F61" s="161" t="inlineStr">
        <is>
          <t>No ultrasound line identified</t>
        </is>
      </c>
      <c r="G61" s="161" t="inlineStr">
        <is>
          <t>Singapore (Genting Lane)</t>
        </is>
      </c>
      <c r="H61" s="163" t="inlineStr">
        <is>
          <t>https://assistedliving.com.sg</t>
        </is>
      </c>
      <c r="I61" s="161" t="inlineStr">
        <is>
          <t>+65 6254 2916 / WhatsApp +65 9229 3098</t>
        </is>
      </c>
      <c r="J61" s="161" t="inlineStr">
        <is>
          <t>hello@assistedliving.com.sg</t>
        </is>
      </c>
      <c r="K61" s="161" t="inlineStr">
        <is>
          <t>84 Genting Lane #05-05/06, Singapore 349584</t>
        </is>
      </c>
      <c r="L61" s="170" t="inlineStr">
        <is>
          <t>C</t>
        </is>
      </c>
      <c r="M61" s="161" t="inlineStr">
        <is>
          <t>Home care channel; SonoEye only.</t>
        </is>
      </c>
      <c r="N61" s="161" t="inlineStr">
        <is>
          <t>SonoEye P3 + SonoAir 70</t>
        </is>
      </c>
      <c r="O61" s="197" t="n">
        <v>3</v>
      </c>
      <c r="P61" s="161" t="inlineStr">
        <is>
          <t>Tier 3 since v5.</t>
        </is>
      </c>
      <c r="Q61" s="161" t="inlineStr">
        <is>
          <t>v15 plus email from PharmChoices</t>
        </is>
      </c>
      <c r="R61" s="161" t="inlineStr">
        <is>
          <t>Kept, Tier 3, email added</t>
        </is>
      </c>
      <c r="S61" s="161" t="inlineStr">
        <is>
          <t>Assisted Living: CHISON pocket ultrasound for home care and community clinics</t>
        </is>
      </c>
      <c r="T61" s="161" t="inlineStr">
        <is>
          <t>Dear Assisted Living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Assisted Living supplies home care and assisted living equipment across Singapore.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62" ht="300" customHeight="1" s="104">
      <c r="A62" s="195" t="n">
        <v>58</v>
      </c>
      <c r="B62" s="162" t="inlineStr">
        <is>
          <t>Anachem Technologies (S) Pte Ltd</t>
        </is>
      </c>
      <c r="C62" s="195" t="inlineStr">
        <is>
          <t>Not started</t>
        </is>
      </c>
      <c r="D62" s="161" t="inlineStr">
        <is>
          <t>Laboratory instruments and consumables; SGMT lists it under medical, dental and laboratory furniture</t>
        </is>
      </c>
      <c r="E62" s="161" t="inlineStr">
        <is>
          <t>Laboratories, clinics</t>
        </is>
      </c>
      <c r="F62" s="161" t="inlineStr">
        <is>
          <t>No ultrasound line identified</t>
        </is>
      </c>
      <c r="G62" s="161" t="inlineStr">
        <is>
          <t>Singapore (Bukit Batok)</t>
        </is>
      </c>
      <c r="H62" s="163" t="inlineStr">
        <is>
          <t>https://anachem.com.sg</t>
        </is>
      </c>
      <c r="I62" s="161" t="inlineStr">
        <is>
          <t>+65 6316 7542 / fax +65 6316 7543</t>
        </is>
      </c>
      <c r="J62" s="161" t="inlineStr">
        <is>
          <t>anachem@singnet.com.sg</t>
        </is>
      </c>
      <c r="K62" s="161" t="inlineStr">
        <is>
          <t>71 Bukit Batok Crescent #10-01/02, Prestige Centre, Singapore 658071</t>
        </is>
      </c>
      <c r="L62" s="170" t="inlineStr">
        <is>
          <t>C</t>
        </is>
      </c>
      <c r="M62" s="161" t="inlineStr">
        <is>
          <t>Lab furniture and instruments; weak fit.</t>
        </is>
      </c>
      <c r="N62" s="161" t="inlineStr">
        <is>
          <t>SonoEye P3 + SonoAir 70 + SonoBook 9</t>
        </is>
      </c>
      <c r="O62" s="197" t="n">
        <v>3</v>
      </c>
      <c r="P62" s="161" t="inlineStr">
        <is>
          <t>Tier 3 since v5.</t>
        </is>
      </c>
      <c r="Q62" s="161" t="inlineStr">
        <is>
          <t>v15 plus email from SGMT and PharmChoices</t>
        </is>
      </c>
      <c r="R62" s="161" t="inlineStr">
        <is>
          <t>Kept, Tier 3, email added</t>
        </is>
      </c>
      <c r="S62" s="161" t="inlineStr">
        <is>
          <t>Anachem: adding CHISON ultrasound to the institutions you already serve</t>
        </is>
      </c>
      <c r="T62" s="161" t="inlineStr">
        <is>
          <t>Dear Anachem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Anachem supplies laboratory instruments and furniture to Singapore institutions.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63" ht="300" customHeight="1" s="104">
      <c r="A63" s="195" t="n">
        <v>59</v>
      </c>
      <c r="B63" s="162" t="inlineStr">
        <is>
          <t>Aptcare Pte Ltd</t>
        </is>
      </c>
      <c r="C63" s="195" t="inlineStr">
        <is>
          <t>Not started</t>
        </is>
      </c>
      <c r="D63" s="161" t="inlineStr">
        <is>
          <t>Phonak hearing aids, physiotherapy and treatment equipment, mobility. Established 1996; clients include public and private hospitals</t>
        </is>
      </c>
      <c r="E63" s="161" t="inlineStr">
        <is>
          <t>Physiotherapy, audiology, hospitals</t>
        </is>
      </c>
      <c r="F63" s="161" t="inlineStr">
        <is>
          <t>No ultrasound imaging line identified</t>
        </is>
      </c>
      <c r="G63" s="161" t="inlineStr">
        <is>
          <t>Singapore (Mei Ling Street)</t>
        </is>
      </c>
      <c r="H63" s="163" t="inlineStr">
        <is>
          <t>https://aptcare.org</t>
        </is>
      </c>
      <c r="I63" s="161" t="inlineStr">
        <is>
          <t>+65 9451 2215 (mobile)</t>
        </is>
      </c>
      <c r="J63" s="161" t="inlineStr">
        <is>
          <t>ckohem@yahoo.com</t>
        </is>
      </c>
      <c r="K63" s="161" t="inlineStr">
        <is>
          <t>153 Mei Ling Street #01-24, Singapore 140153. A personal Yahoo address and a mobile suggest a very small operation</t>
        </is>
      </c>
      <c r="L63" s="170" t="inlineStr">
        <is>
          <t>C</t>
        </is>
      </c>
      <c r="M63" s="161" t="inlineStr">
        <is>
          <t>Very small physiotherapy supplier.</t>
        </is>
      </c>
      <c r="N63" s="161" t="inlineStr">
        <is>
          <t>SonoEye P5 + SonoAir 70 + SonoBook 9</t>
        </is>
      </c>
      <c r="O63" s="197" t="n">
        <v>3</v>
      </c>
      <c r="P63" s="161" t="inlineStr">
        <is>
          <t>Tier 3 since v5.</t>
        </is>
      </c>
      <c r="Q63" s="161" t="inlineStr">
        <is>
          <t>Own site opened (email obscured); email from PharmChoices</t>
        </is>
      </c>
      <c r="R63" s="161" t="inlineStr">
        <is>
          <t>Kept, Tier 3, email added</t>
        </is>
      </c>
      <c r="S63" s="161" t="inlineStr">
        <is>
          <t>Aptcare: CHISON high frequency ultrasound for MSK and sports clinics</t>
        </is>
      </c>
      <c r="T63" s="161" t="inlineStr">
        <is>
          <t>Dear Aptcare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Aptcare has supplied physiotherapy and treatment equipment to Singapore hospitals since 1996.
Orthopaedic, sports and rehabilitation clinicians use high frequency ultrasound for tendon, joint and injection work, so a scanner sits naturally beside what you already sell them.
• SonoEye P5: high frequency handheld for superficial and MSK work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64" ht="60" customHeight="1" s="104">
      <c r="A64" s="195" t="n">
        <v>60</v>
      </c>
      <c r="B64" s="162" t="inlineStr">
        <is>
          <t>Alpha Health (Asia) Pte Ltd</t>
        </is>
      </c>
      <c r="C64" s="195" t="inlineStr">
        <is>
          <t>Not started</t>
        </is>
      </c>
      <c r="D64" s="161" t="inlineStr">
        <is>
          <t>Plastic and aesthetic supplies and implants (Motiva breast implants, Design Veronique)</t>
        </is>
      </c>
      <c r="E64" s="161" t="inlineStr">
        <is>
          <t>Plastic and aesthetic surgery</t>
        </is>
      </c>
      <c r="F64" s="161" t="inlineStr">
        <is>
          <t>No ultrasound line identified</t>
        </is>
      </c>
      <c r="G64" s="161" t="inlineStr">
        <is>
          <t>Singapore (Sims Drive)</t>
        </is>
      </c>
      <c r="H64" s="163" t="inlineStr">
        <is>
          <t>https://www.alpha-healthasia.com</t>
        </is>
      </c>
      <c r="I64" s="161" t="inlineStr">
        <is>
          <t>+65 6339 6678</t>
        </is>
      </c>
      <c r="J64" s="161" t="inlineStr">
        <is>
          <t>Not published, contact form on website</t>
        </is>
      </c>
      <c r="K64" s="161" t="inlineStr">
        <is>
          <t>701 Sims Drive #06-03, LHK Building, Singapore 387383</t>
        </is>
      </c>
      <c r="L64" s="168" t="inlineStr">
        <is>
          <t>B</t>
        </is>
      </c>
      <c r="M64" s="161" t="inlineStr">
        <is>
          <t>Corrected in v16: aesthetic implants, not equipment. Breast implant surgeons do use ultrasound for implant checks, so keep at Tier 3.</t>
        </is>
      </c>
      <c r="N64" s="161" t="inlineStr">
        <is>
          <t>SonoEye P5 + SonoAir 70</t>
        </is>
      </c>
      <c r="O64" s="197" t="n">
        <v>3</v>
      </c>
      <c r="P64" s="161" t="inlineStr">
        <is>
          <t>Re-tiered 2 to 3.</t>
        </is>
      </c>
      <c r="Q64" s="161" t="inlineStr">
        <is>
          <t>Own site opened 7 Oct 2026</t>
        </is>
      </c>
      <c r="R64" s="161" t="inlineStr">
        <is>
          <t>Kept, re-tiered 2 to 3</t>
        </is>
      </c>
      <c r="S64" s="175" t="n"/>
      <c r="T64" s="175" t="inlineStr">
        <is>
          <t>No email drafted: no confirmed inbox and no company specific hook yet. Call first, then write.</t>
        </is>
      </c>
    </row>
    <row r="65" ht="60" customHeight="1" s="104">
      <c r="A65" s="195" t="n">
        <v>61</v>
      </c>
      <c r="B65" s="162" t="inlineStr">
        <is>
          <t>Asta Meyer (S) Pte Ltd</t>
        </is>
      </c>
      <c r="C65" s="195" t="inlineStr">
        <is>
          <t>Not started</t>
        </is>
      </c>
      <c r="D65" s="161" t="inlineStr">
        <is>
          <t>Surgical instruments and retractors, ophthalmic devices, sleep and respiratory (ResMed CPAP, ventilators, oxygen). Since 1983</t>
        </is>
      </c>
      <c r="E65" s="161" t="inlineStr">
        <is>
          <t>Surgery, ophthalmology, sleep medicine</t>
        </is>
      </c>
      <c r="F65" s="161" t="inlineStr">
        <is>
          <t>No ultrasound line identified</t>
        </is>
      </c>
      <c r="G65" s="161" t="inlineStr">
        <is>
          <t>Singapore (Genting Lane)</t>
        </is>
      </c>
      <c r="H65" s="163" t="inlineStr">
        <is>
          <t>https://www.astameyer.sg</t>
        </is>
      </c>
      <c r="I65" s="161" t="inlineStr">
        <is>
          <t>+65 6744 3746 / sleep consultant +65 9108 4390</t>
        </is>
      </c>
      <c r="J65" s="161" t="inlineStr">
        <is>
          <t>Not published on their own site</t>
        </is>
      </c>
      <c r="K65" s="161" t="inlineStr">
        <is>
          <t>80 Genting Lane #07-05, Ruby Industrial Complex, Singapore 349565</t>
        </is>
      </c>
      <c r="L65" s="168" t="inlineStr">
        <is>
          <t>B</t>
        </is>
      </c>
      <c r="M65" s="161" t="inlineStr">
        <is>
          <t>Small surgical and sleep supplier; call if needed.</t>
        </is>
      </c>
      <c r="N65" s="161" t="inlineStr">
        <is>
          <t>SonoEye P3 + SonoAir 70 + SonoBook 9</t>
        </is>
      </c>
      <c r="O65" s="197" t="n">
        <v>3</v>
      </c>
      <c r="P65" s="161" t="inlineStr">
        <is>
          <t>Tier 3 since v5.</t>
        </is>
      </c>
      <c r="Q65" s="161" t="inlineStr">
        <is>
          <t>Own site opened 7 Oct 2026</t>
        </is>
      </c>
      <c r="R65" s="161" t="inlineStr">
        <is>
          <t>Kept, Tier 3</t>
        </is>
      </c>
      <c r="S65" s="175" t="n"/>
      <c r="T65" s="175" t="inlineStr">
        <is>
          <t>No email drafted: no confirmed inbox and no company specific hook yet. Call first, then write.</t>
        </is>
      </c>
    </row>
    <row r="66" ht="300" customHeight="1" s="104">
      <c r="A66" s="195" t="n">
        <v>62</v>
      </c>
      <c r="B66" s="162" t="inlineStr">
        <is>
          <t>Naina Mohamed &amp; Sons Pte Ltd</t>
        </is>
      </c>
      <c r="C66" s="195" t="inlineStr">
        <is>
          <t>Not started</t>
        </is>
      </c>
      <c r="D66" s="161" t="inlineStr">
        <is>
          <t>Pharmaceuticals plus medical devices (anaesthesia, orthopaedic, respiratory, urology, gynaecology, ICU), supplements, OTC and lifestyle products</t>
        </is>
      </c>
      <c r="E66" s="161" t="inlineStr">
        <is>
          <t>Clinics, hospitals, pharmacies</t>
        </is>
      </c>
      <c r="F66" s="161" t="inlineStr">
        <is>
          <t>No ultrasound line identified</t>
        </is>
      </c>
      <c r="G66" s="161" t="inlineStr">
        <is>
          <t>Singapore (Ubi)</t>
        </is>
      </c>
      <c r="H66" s="163" t="inlineStr">
        <is>
          <t>https://nainamohamed.com</t>
        </is>
      </c>
      <c r="I66" s="161" t="inlineStr">
        <is>
          <t>+65 6741 6455</t>
        </is>
      </c>
      <c r="J66" s="161" t="inlineStr">
        <is>
          <t>info@nainamohamed.com</t>
        </is>
      </c>
      <c r="K66" s="161" t="inlineStr">
        <is>
          <t>1 Ubi Crescent #05-04, Singapore 408563</t>
        </is>
      </c>
      <c r="L66" s="165" t="inlineStr">
        <is>
          <t>A</t>
        </is>
      </c>
      <c r="M66" s="161" t="inlineStr">
        <is>
          <t>Mixed pharma and device house with some anaesthesia and ICU lines.</t>
        </is>
      </c>
      <c r="N66" s="161" t="inlineStr">
        <is>
          <t>SonoEye P3 + SonoAir 70 + SonoBook 9</t>
        </is>
      </c>
      <c r="O66" s="197" t="n">
        <v>3</v>
      </c>
      <c r="P66" s="161" t="inlineStr">
        <is>
          <t>Tier 3 NEW.</t>
        </is>
      </c>
      <c r="Q66" s="161" t="inlineStr">
        <is>
          <t>Own site opened 7 Oct 2026</t>
        </is>
      </c>
      <c r="R66" s="161" t="inlineStr">
        <is>
          <t>NEW in v16</t>
        </is>
      </c>
      <c r="S66" s="161" t="inlineStr">
        <is>
          <t>Naina Mohamed &amp; Sons: a CHISON ultrasound line for the clinics you already supply</t>
        </is>
      </c>
      <c r="T66" s="161" t="inlineStr">
        <is>
          <t>Dear Naina Mohamed &amp; Sons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Naina Mohamed supplies pharmaceuticals and medical devices, including anaesthesia, ICU and gynaecology products, to clinics and hospitals.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67" ht="300" customHeight="1" s="104">
      <c r="A67" s="195" t="n">
        <v>63</v>
      </c>
      <c r="B67" s="162" t="inlineStr">
        <is>
          <t>Neoasia (S) Pte Ltd</t>
        </is>
      </c>
      <c r="C67" s="195" t="inlineStr">
        <is>
          <t>Not started</t>
        </is>
      </c>
      <c r="D67" s="161" t="inlineStr">
        <is>
          <t>Medical aesthetics: skincare (NeoStrata, Heliocare), injectables and devices (Profhilo, TSK), aesthetic equipment (Hydrafacial, Discovery PICO, Vbeam, Smartxide, Onda)</t>
        </is>
      </c>
      <c r="E67" s="161" t="inlineStr">
        <is>
          <t>Aesthetic and dermatology clinics</t>
        </is>
      </c>
      <c r="F67" s="161" t="inlineStr">
        <is>
          <t>No diagnostic ultrasound identified</t>
        </is>
      </c>
      <c r="G67" s="161" t="inlineStr">
        <is>
          <t>Singapore (Tagore)</t>
        </is>
      </c>
      <c r="H67" s="163" t="inlineStr">
        <is>
          <t>https://neoasiagroup.com</t>
        </is>
      </c>
      <c r="I67" s="161" t="inlineStr">
        <is>
          <t>+65 6552 7787 / fax +65 6552 7767</t>
        </is>
      </c>
      <c r="J67" s="161" t="inlineStr">
        <is>
          <t>info@neoasiagroup.com</t>
        </is>
      </c>
      <c r="K67" s="161" t="inlineStr">
        <is>
          <t>6 Tagore Drive #04-07, Tagore Building, Singapore 787623</t>
        </is>
      </c>
      <c r="L67" s="170" t="inlineStr">
        <is>
          <t>C</t>
        </is>
      </c>
      <c r="M67" s="161" t="inlineStr">
        <is>
          <t>Large aesthetic channel; injectables buyers are the audience for a high frequency handheld.</t>
        </is>
      </c>
      <c r="N67" s="161" t="inlineStr">
        <is>
          <t>SonoEye P5 + SonoAir 70</t>
        </is>
      </c>
      <c r="O67" s="197" t="n">
        <v>3</v>
      </c>
      <c r="P67" s="161" t="inlineStr">
        <is>
          <t>Tier 3 NEW.</t>
        </is>
      </c>
      <c r="Q67" s="161" t="inlineStr">
        <is>
          <t>Own site opened (no Singapore contact block); email from PharmChoices</t>
        </is>
      </c>
      <c r="R67" s="161" t="inlineStr">
        <is>
          <t>NEW in v16</t>
        </is>
      </c>
      <c r="S67" s="161" t="inlineStr">
        <is>
          <t>Neoasia: CHISON high frequency ultrasound for aesthetic clinics</t>
        </is>
      </c>
      <c r="T67" s="161" t="inlineStr">
        <is>
          <t>Dear Neoasia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Neoasia supplies Profhilo, TSK and leading aesthetic devices to dermatology and aesthetic clinics across the region.
A growing number of aesthetic and dermatology doctors use high frequency ultrasound to look at skin, vessels and soft tissue around treatments.
• SonoEye P5: high frequency handheld for superficial and MSK work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68" ht="300" customHeight="1" s="104">
      <c r="A68" s="195" t="n">
        <v>64</v>
      </c>
      <c r="B68" s="162" t="inlineStr">
        <is>
          <t>Practical Mediscience Pte Ltd</t>
        </is>
      </c>
      <c r="C68" s="195" t="inlineStr">
        <is>
          <t>Not started</t>
        </is>
      </c>
      <c r="D68" s="161" t="inlineStr">
        <is>
          <t>Science and medical equipment, instruments, consumables and disposables since 1978; Singapore authorised distributor for Cherokee</t>
        </is>
      </c>
      <c r="E68" s="161" t="inlineStr">
        <is>
          <t>Laboratories, clinics, institutions</t>
        </is>
      </c>
      <c r="F68" s="161" t="inlineStr">
        <is>
          <t>No ultrasound line identified</t>
        </is>
      </c>
      <c r="G68" s="161" t="inlineStr">
        <is>
          <t>Singapore (Toa Payoh North)</t>
        </is>
      </c>
      <c r="H68" s="163" t="inlineStr">
        <is>
          <t>https://practicalmediscience.sg</t>
        </is>
      </c>
      <c r="I68" s="161" t="inlineStr">
        <is>
          <t>+65 6254 2633</t>
        </is>
      </c>
      <c r="J68" s="161" t="inlineStr">
        <is>
          <t>PMS@practicalmediscience.sg</t>
        </is>
      </c>
      <c r="K68" s="161" t="inlineStr">
        <is>
          <t>998 Toa Payoh North #05-10/11/12, Singapore 318993</t>
        </is>
      </c>
      <c r="L68" s="165" t="inlineStr">
        <is>
          <t>A</t>
        </is>
      </c>
      <c r="M68" s="161" t="inlineStr">
        <is>
          <t>General science and medical supplier.</t>
        </is>
      </c>
      <c r="N68" s="161" t="inlineStr">
        <is>
          <t>SonoEye P3 + SonoAir 70 + SonoBook 9</t>
        </is>
      </c>
      <c r="O68" s="197" t="n">
        <v>3</v>
      </c>
      <c r="P68" s="161" t="inlineStr">
        <is>
          <t>Tier 3 NEW.</t>
        </is>
      </c>
      <c r="Q68" s="161" t="inlineStr">
        <is>
          <t>Own site opened 7 Oct 2026</t>
        </is>
      </c>
      <c r="R68" s="161" t="inlineStr">
        <is>
          <t>NEW in v16</t>
        </is>
      </c>
      <c r="S68" s="161" t="inlineStr">
        <is>
          <t>Practical Mediscience: adding CHISON ultrasound to the institutions you already serve</t>
        </is>
      </c>
      <c r="T68" s="161" t="inlineStr">
        <is>
          <t>Dear Practical Mediscience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Practical Mediscience has supplied science and medical equipment to Singapore institutions since 1978.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69" ht="300" customHeight="1" s="104">
      <c r="A69" s="195" t="n">
        <v>65</v>
      </c>
      <c r="B69" s="162" t="inlineStr">
        <is>
          <t>ITS Science &amp; Medical Pte Ltd</t>
        </is>
      </c>
      <c r="C69" s="195" t="inlineStr">
        <is>
          <t>Not started</t>
        </is>
      </c>
      <c r="D69" s="161" t="inlineStr">
        <is>
          <t>Laboratory, life science, analytical, pharmaceutical, and a medical and hospital division; principals include Memmert, Liebherr, Hirayama, Heidolph, Horiba, Zeiss</t>
        </is>
      </c>
      <c r="E69" s="161" t="inlineStr">
        <is>
          <t>Hospitals, research and pharma laboratories</t>
        </is>
      </c>
      <c r="F69" s="161" t="inlineStr">
        <is>
          <t>No ultrasound line identified</t>
        </is>
      </c>
      <c r="G69" s="161" t="inlineStr">
        <is>
          <t>Singapore (Henderson Road)</t>
        </is>
      </c>
      <c r="H69" s="163" t="inlineStr">
        <is>
          <t>https://www.its-sciencemedical.com</t>
        </is>
      </c>
      <c r="I69" s="161" t="inlineStr">
        <is>
          <t>+65 6273 0898 / +65 6273 0810</t>
        </is>
      </c>
      <c r="J69" s="161" t="inlineStr">
        <is>
          <t>info@its-sciencemedical.com</t>
        </is>
      </c>
      <c r="K69" s="161" t="inlineStr">
        <is>
          <t>219 Henderson Road #08-02, Singapore 159556 (directory)</t>
        </is>
      </c>
      <c r="L69" s="165" t="inlineStr">
        <is>
          <t>A</t>
        </is>
      </c>
      <c r="M69" s="161" t="inlineStr">
        <is>
          <t>Lab heavy with a hospital division.</t>
        </is>
      </c>
      <c r="N69" s="161" t="inlineStr">
        <is>
          <t>SonoEye P3 + SonoAir 70 + SonoBook 9</t>
        </is>
      </c>
      <c r="O69" s="197" t="n">
        <v>3</v>
      </c>
      <c r="P69" s="161" t="inlineStr">
        <is>
          <t>Tier 3 NEW.</t>
        </is>
      </c>
      <c r="Q69" s="161" t="inlineStr">
        <is>
          <t>Own site opened 7 Oct 2026</t>
        </is>
      </c>
      <c r="R69" s="161" t="inlineStr">
        <is>
          <t>NEW in v16</t>
        </is>
      </c>
      <c r="S69" s="161" t="inlineStr">
        <is>
          <t>ITS Science &amp; Medical: adding CHISON ultrasound to the institutions you already serve</t>
        </is>
      </c>
      <c r="T69" s="161" t="inlineStr">
        <is>
          <t>Dear ITS Science &amp;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ITS supplies hospitals and laboratories across South East Asia, with a dedicated medical and hospital division.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0" ht="300" customHeight="1" s="104">
      <c r="A70" s="195" t="n">
        <v>66</v>
      </c>
      <c r="B70" s="162" t="inlineStr">
        <is>
          <t>Medvance Pte Ltd</t>
        </is>
      </c>
      <c r="C70" s="195" t="inlineStr">
        <is>
          <t>Not started</t>
        </is>
      </c>
      <c r="D70" s="161" t="inlineStr">
        <is>
          <t>Wound care dressings, product sterilisation, advisory and consultation services to hospitals</t>
        </is>
      </c>
      <c r="E70" s="161" t="inlineStr">
        <is>
          <t>Hospitals (wound care, wards)</t>
        </is>
      </c>
      <c r="F70" s="161" t="inlineStr">
        <is>
          <t>No ultrasound line identified</t>
        </is>
      </c>
      <c r="G70" s="161" t="inlineStr">
        <is>
          <t>Singapore (Ubi)</t>
        </is>
      </c>
      <c r="H70" s="163" t="inlineStr">
        <is>
          <t>http://medvance.com.sg</t>
        </is>
      </c>
      <c r="I70" s="161" t="inlineStr">
        <is>
          <t>+65 6749 8100 / fax +65 6749 8900</t>
        </is>
      </c>
      <c r="J70" s="161" t="inlineStr">
        <is>
          <t>medvance@singnet.com.sg</t>
        </is>
      </c>
      <c r="K70" s="161" t="inlineStr">
        <is>
          <t>10 Ubi Crescent #03-41, Ubi Techpark (Lobby C), Singapore 408564</t>
        </is>
      </c>
      <c r="L70" s="170" t="inlineStr">
        <is>
          <t>C</t>
        </is>
      </c>
      <c r="M70" s="161" t="inlineStr">
        <is>
          <t>Wound care; weak fit.</t>
        </is>
      </c>
      <c r="N70" s="161" t="inlineStr">
        <is>
          <t>SonoEye P3 + SonoAir 70 + SonoBook 9</t>
        </is>
      </c>
      <c r="O70" s="197" t="n">
        <v>3</v>
      </c>
      <c r="P70" s="161" t="inlineStr">
        <is>
          <t>Tier 3 NEW.</t>
        </is>
      </c>
      <c r="Q70" s="161" t="inlineStr">
        <is>
          <t>Own site opened (no contact block); email from PharmChoices</t>
        </is>
      </c>
      <c r="R70" s="161" t="inlineStr">
        <is>
          <t>NEW in v16</t>
        </is>
      </c>
      <c r="S70" s="161" t="inlineStr">
        <is>
          <t>Medvance: a CHISON ultrasound line for the clinics you already supply</t>
        </is>
      </c>
      <c r="T70" s="161" t="inlineStr">
        <is>
          <t>Dear Medvance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Medvance supplies wound care and sterilisation services to Singapore hospitals.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1" ht="300" customHeight="1" s="104">
      <c r="A71" s="195" t="n">
        <v>67</v>
      </c>
      <c r="B71" s="162" t="inlineStr">
        <is>
          <t>Metro Health Technologies (MGE Health Technologies)</t>
        </is>
      </c>
      <c r="C71" s="195" t="inlineStr">
        <is>
          <t>Not started</t>
        </is>
      </c>
      <c r="D71" s="161" t="inlineStr">
        <is>
          <t>Audiometric and hearing equipment (MAICO, Harmonics, Bellman), ENT and audiology supplies; 1,000+ clients regionally</t>
        </is>
      </c>
      <c r="E71" s="161" t="inlineStr">
        <is>
          <t>ENT doctors, audiologists</t>
        </is>
      </c>
      <c r="F71" s="161" t="inlineStr">
        <is>
          <t>No ultrasound line identified</t>
        </is>
      </c>
      <c r="G71" s="161" t="inlineStr">
        <is>
          <t>Singapore (Shaw Road)</t>
        </is>
      </c>
      <c r="H71" s="163" t="inlineStr">
        <is>
          <t>http://metrohealth.com.sg</t>
        </is>
      </c>
      <c r="I71" s="161" t="inlineStr">
        <is>
          <t>+65 6509 9279</t>
        </is>
      </c>
      <c r="J71" s="161" t="inlineStr">
        <is>
          <t>enquiry@mge.com.sg</t>
        </is>
      </c>
      <c r="K71" s="161" t="inlineStr">
        <is>
          <t>16 Shaw Road #01-04, Singapore 367954</t>
        </is>
      </c>
      <c r="L71" s="165" t="inlineStr">
        <is>
          <t>A</t>
        </is>
      </c>
      <c r="M71" s="161" t="inlineStr">
        <is>
          <t>ENT channel; thyroid and neck ultrasound is an ENT use case.</t>
        </is>
      </c>
      <c r="N71" s="161" t="inlineStr">
        <is>
          <t>SonoEye P3 + SonoAir 70 + SonoBook 9</t>
        </is>
      </c>
      <c r="O71" s="197" t="n">
        <v>3</v>
      </c>
      <c r="P71" s="161" t="inlineStr">
        <is>
          <t>Tier 3 NEW.</t>
        </is>
      </c>
      <c r="Q71" s="161" t="inlineStr">
        <is>
          <t>Own site opened 7 Oct 2026</t>
        </is>
      </c>
      <c r="R71" s="161" t="inlineStr">
        <is>
          <t>NEW in v16</t>
        </is>
      </c>
      <c r="S71" s="161" t="inlineStr">
        <is>
          <t>Metro Health Technologies: a CHISON ultrasound line for the clinics you already supply</t>
        </is>
      </c>
      <c r="T71" s="161" t="inlineStr">
        <is>
          <t>Dear Metro Health Technologies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Metro Health equips ENT doctors and audiologists across South East Asia.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2" ht="300" customHeight="1" s="104">
      <c r="A72" s="195" t="n">
        <v>68</v>
      </c>
      <c r="B72" s="162" t="inlineStr">
        <is>
          <t>BioMedix Singapore Pte Ltd</t>
        </is>
      </c>
      <c r="C72" s="195" t="inlineStr">
        <is>
          <t>Not started</t>
        </is>
      </c>
      <c r="D72" s="161" t="inlineStr">
        <is>
          <t>Clinical diagnostics, life sciences, veterinary diagnostics; ELITechGroup, Randox, EKF, Quintron breath tests</t>
        </is>
      </c>
      <c r="E72" s="161" t="inlineStr">
        <is>
          <t>Clinical laboratories, gastroenterology, fertility, vet</t>
        </is>
      </c>
      <c r="F72" s="161" t="inlineStr">
        <is>
          <t>No ultrasound line identified</t>
        </is>
      </c>
      <c r="G72" s="161" t="inlineStr">
        <is>
          <t>Singapore (Aljunied)</t>
        </is>
      </c>
      <c r="H72" s="163" t="inlineStr">
        <is>
          <t>http://www.biomedix.com.sg</t>
        </is>
      </c>
      <c r="I72" s="161" t="inlineStr">
        <is>
          <t>+65 6547 5591</t>
        </is>
      </c>
      <c r="J72" s="161" t="inlineStr">
        <is>
          <t>sales_enquiry@biomedix.com.sg</t>
        </is>
      </c>
      <c r="K72" s="161" t="inlineStr">
        <is>
          <t>627A Aljunied Road #08-09, BizTech Centre, Singapore 389842 (directory)</t>
        </is>
      </c>
      <c r="L72" s="165" t="inlineStr">
        <is>
          <t>A</t>
        </is>
      </c>
      <c r="M72" s="161" t="inlineStr">
        <is>
          <t>IVD house; low priority.</t>
        </is>
      </c>
      <c r="N72" s="161" t="inlineStr">
        <is>
          <t>SonoEye P3 + SonoAir 70 + SonoBook 9</t>
        </is>
      </c>
      <c r="O72" s="197" t="n">
        <v>3</v>
      </c>
      <c r="P72" s="161" t="inlineStr">
        <is>
          <t>Tier 3 NEW.</t>
        </is>
      </c>
      <c r="Q72" s="161" t="inlineStr">
        <is>
          <t>Own site opened 7 Oct 2026</t>
        </is>
      </c>
      <c r="R72" s="161" t="inlineStr">
        <is>
          <t>NEW in v16</t>
        </is>
      </c>
      <c r="S72" s="161" t="inlineStr">
        <is>
          <t>BioMedix: adding CHISON ultrasound to the institutions you already serve</t>
        </is>
      </c>
      <c r="T72" s="161" t="inlineStr">
        <is>
          <t>Dear BioMedix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BioMedix supplies clinical diagnostics to laboratories, gastroenterology and fertility services.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3" ht="300" customHeight="1" s="104">
      <c r="A73" s="195" t="n">
        <v>69</v>
      </c>
      <c r="B73" s="162" t="inlineStr">
        <is>
          <t>HTM Medico Pte Ltd</t>
        </is>
      </c>
      <c r="C73" s="195" t="inlineStr">
        <is>
          <t>Not started</t>
        </is>
      </c>
      <c r="D73" s="161" t="inlineStr">
        <is>
          <t>AED and CPR solutions: HeartSine, LIFEPAK CR2, Primedic; Brayden CPR manikins; maintenance, leasing and training</t>
        </is>
      </c>
      <c r="E73" s="161" t="inlineStr">
        <is>
          <t>Workplaces, emergency response, training</t>
        </is>
      </c>
      <c r="F73" s="161" t="inlineStr">
        <is>
          <t>No ultrasound line identified</t>
        </is>
      </c>
      <c r="G73" s="161" t="inlineStr">
        <is>
          <t>Singapore (Aljunied)</t>
        </is>
      </c>
      <c r="H73" s="163" t="inlineStr">
        <is>
          <t>https://www.htmmedico.com.sg</t>
        </is>
      </c>
      <c r="I73" s="161" t="inlineStr">
        <is>
          <t>+65 6744 5911</t>
        </is>
      </c>
      <c r="J73" s="161" t="inlineStr">
        <is>
          <t>sales@htmmedico.com.sg</t>
        </is>
      </c>
      <c r="K73" s="161" t="inlineStr">
        <is>
          <t>625 Aljunied Road #04-05A, Aljunied Industrial Complex, Singapore 389836</t>
        </is>
      </c>
      <c r="L73" s="165" t="inlineStr">
        <is>
          <t>A</t>
        </is>
      </c>
      <c r="M73" s="161" t="inlineStr">
        <is>
          <t>Emergency and training niche.</t>
        </is>
      </c>
      <c r="N73" s="161" t="inlineStr">
        <is>
          <t>SonoEye P3 + SonoAir 70</t>
        </is>
      </c>
      <c r="O73" s="197" t="n">
        <v>3</v>
      </c>
      <c r="P73" s="161" t="inlineStr">
        <is>
          <t>Tier 3 NEW.</t>
        </is>
      </c>
      <c r="Q73" s="161" t="inlineStr">
        <is>
          <t>Own site opened 7 Oct 2026</t>
        </is>
      </c>
      <c r="R73" s="161" t="inlineStr">
        <is>
          <t>NEW in v16</t>
        </is>
      </c>
      <c r="S73" s="161" t="inlineStr">
        <is>
          <t>HTM Medico: CHISON pocket ultrasound for emergency and trauma teams</t>
        </is>
      </c>
      <c r="T73" s="161" t="inlineStr">
        <is>
          <t>Dear HTM Medico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HTM Medico supplies AEDs and CPR training equipment to emergency responders and organisations across Singapore.
Pocket ultrasound for FAST and lung assessment fits the emergency and first responder customers you already supply.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4" ht="300" customHeight="1" s="104">
      <c r="A74" s="195" t="n">
        <v>70</v>
      </c>
      <c r="B74" s="162" t="inlineStr">
        <is>
          <t>Medpro Medical Supplies Pte Ltd</t>
        </is>
      </c>
      <c r="C74" s="195" t="inlineStr">
        <is>
          <t>Not started</t>
        </is>
      </c>
      <c r="D74" s="161" t="inlineStr">
        <is>
          <t>Home care, mobility, medical diagnostics, disposables (3M, Molnlycke, ConvaTec, Terumo, Accu-Chek)</t>
        </is>
      </c>
      <c r="E74" s="161" t="inlineStr">
        <is>
          <t>Home care, nursing homes, clinics</t>
        </is>
      </c>
      <c r="F74" s="161" t="inlineStr">
        <is>
          <t>No ultrasound line identified</t>
        </is>
      </c>
      <c r="G74" s="161" t="inlineStr">
        <is>
          <t>Singapore (Benoi Road)</t>
        </is>
      </c>
      <c r="H74" s="163" t="inlineStr">
        <is>
          <t>https://www.medpromedicalsupplies.com</t>
        </is>
      </c>
      <c r="I74" s="161" t="inlineStr">
        <is>
          <t>+65 6966 1706 / WhatsApp +65 9451 8354</t>
        </is>
      </c>
      <c r="J74" s="161" t="inlineStr">
        <is>
          <t>sales@medpromedicalsupplies.com</t>
        </is>
      </c>
      <c r="K74" s="161" t="inlineStr">
        <is>
          <t>HQ: 60 Benoi Road Block 2 #02-14, Singapore 629906; retail 159 Bukit Batok Street 11 #01-188</t>
        </is>
      </c>
      <c r="L74" s="165" t="inlineStr">
        <is>
          <t>A</t>
        </is>
      </c>
      <c r="M74" s="161" t="inlineStr">
        <is>
          <t>Home care retail and supply.</t>
        </is>
      </c>
      <c r="N74" s="161" t="inlineStr">
        <is>
          <t>SonoEye P3 + SonoAir 70</t>
        </is>
      </c>
      <c r="O74" s="197" t="n">
        <v>3</v>
      </c>
      <c r="P74" s="161" t="inlineStr">
        <is>
          <t>Tier 3 NEW.</t>
        </is>
      </c>
      <c r="Q74" s="161" t="inlineStr">
        <is>
          <t>Own site opened 7 Oct 2026</t>
        </is>
      </c>
      <c r="R74" s="161" t="inlineStr">
        <is>
          <t>NEW in v16</t>
        </is>
      </c>
      <c r="S74" s="161" t="inlineStr">
        <is>
          <t>Medpro Medical Supplies: CHISON pocket ultrasound for home care and community clinics</t>
        </is>
      </c>
      <c r="T74" s="161" t="inlineStr">
        <is>
          <t>Dear Medpro Medical Supplies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Medpro supplies home care, mobility and diagnostic products to clinics, nursing homes and families across Singapore.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5" ht="300" customHeight="1" s="104">
      <c r="A75" s="195" t="n">
        <v>71</v>
      </c>
      <c r="B75" s="162" t="inlineStr">
        <is>
          <t>Global Healthcare SG Pte Ltd</t>
        </is>
      </c>
      <c r="C75" s="195" t="inlineStr">
        <is>
          <t>Not started</t>
        </is>
      </c>
      <c r="D75" s="161" t="inlineStr">
        <is>
          <t>Passive body cooling (targeted temperature management, heat stroke treatment, post surgical cryotherapy)</t>
        </is>
      </c>
      <c r="E75" s="161" t="inlineStr">
        <is>
          <t>Emergency medicine, ICU, military medicine</t>
        </is>
      </c>
      <c r="F75" s="161" t="inlineStr">
        <is>
          <t>No ultrasound line identified</t>
        </is>
      </c>
      <c r="G75" s="161" t="inlineStr">
        <is>
          <t>Singapore (Henderson Road)</t>
        </is>
      </c>
      <c r="H75" s="163" t="inlineStr">
        <is>
          <t>https://www.globalhealthcare.sg</t>
        </is>
      </c>
      <c r="I75" s="161" t="inlineStr">
        <is>
          <t>+65 6352 7765</t>
        </is>
      </c>
      <c r="J75" s="161" t="inlineStr">
        <is>
          <t>info@globalhealthcare.sg</t>
        </is>
      </c>
      <c r="K75" s="161" t="inlineStr">
        <is>
          <t>203 Henderson Road #12-07, Henderson Industrial Park, Singapore 159546</t>
        </is>
      </c>
      <c r="L75" s="165" t="inlineStr">
        <is>
          <t>A</t>
        </is>
      </c>
      <c r="M75" s="161" t="inlineStr">
        <is>
          <t>Emergency and ICU niche.</t>
        </is>
      </c>
      <c r="N75" s="161" t="inlineStr">
        <is>
          <t>SonoEye P3 + SonoAir 70</t>
        </is>
      </c>
      <c r="O75" s="197" t="n">
        <v>3</v>
      </c>
      <c r="P75" s="161" t="inlineStr">
        <is>
          <t>Tier 3 NEW.</t>
        </is>
      </c>
      <c r="Q75" s="161" t="inlineStr">
        <is>
          <t>Own site opened 7 Oct 2026</t>
        </is>
      </c>
      <c r="R75" s="161" t="inlineStr">
        <is>
          <t>NEW in v16</t>
        </is>
      </c>
      <c r="S75" s="161" t="inlineStr">
        <is>
          <t>Global Healthcare SG: CHISON pocket ultrasound for emergency and trauma teams</t>
        </is>
      </c>
      <c r="T75" s="161" t="inlineStr">
        <is>
          <t>Dear Global Healthcare SG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Global Healthcare supplies targeted temperature management and heat stroke cooling systems to emergency and intensive care teams.
Pocket ultrasound for FAST and lung assessment fits the emergency and first responder customers you already supply.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6" ht="300" customHeight="1" s="104">
      <c r="A76" s="195" t="n">
        <v>72</v>
      </c>
      <c r="B76" s="162" t="inlineStr">
        <is>
          <t>E-Xclusif Medical Supply Pte Ltd</t>
        </is>
      </c>
      <c r="C76" s="195" t="inlineStr">
        <is>
          <t>Not started</t>
        </is>
      </c>
      <c r="D76" s="161" t="inlineStr">
        <is>
          <t>Respiratory home care (oxygen concentrators, oximeters, nebulisers), wound care and surgical instruments, rehab, maintenance and repair</t>
        </is>
      </c>
      <c r="E76" s="161" t="inlineStr">
        <is>
          <t>Home care, clinics</t>
        </is>
      </c>
      <c r="F76" s="161" t="inlineStr">
        <is>
          <t>No ultrasound line identified</t>
        </is>
      </c>
      <c r="G76" s="161" t="inlineStr">
        <is>
          <t>Singapore (Kallang Pudding)</t>
        </is>
      </c>
      <c r="H76" s="163" t="inlineStr">
        <is>
          <t>https://www.e-xclusif.com</t>
        </is>
      </c>
      <c r="I76" s="161" t="inlineStr">
        <is>
          <t>+65 6738 3525</t>
        </is>
      </c>
      <c r="J76" s="161" t="inlineStr">
        <is>
          <t>info@e-xclusif.com</t>
        </is>
      </c>
      <c r="K76" s="161" t="inlineStr">
        <is>
          <t>2 Kallang Pudding Road #05-08, Mactech Building, Singapore 349307</t>
        </is>
      </c>
      <c r="L76" s="165" t="inlineStr">
        <is>
          <t>A</t>
        </is>
      </c>
      <c r="M76" s="161" t="inlineStr">
        <is>
          <t>Home respiratory channel.</t>
        </is>
      </c>
      <c r="N76" s="161" t="inlineStr">
        <is>
          <t>SonoEye P3 + SonoAir 70</t>
        </is>
      </c>
      <c r="O76" s="197" t="n">
        <v>3</v>
      </c>
      <c r="P76" s="161" t="inlineStr">
        <is>
          <t>Tier 3 NEW.</t>
        </is>
      </c>
      <c r="Q76" s="161" t="inlineStr">
        <is>
          <t>Own site opened 7 Oct 2026</t>
        </is>
      </c>
      <c r="R76" s="161" t="inlineStr">
        <is>
          <t>NEW in v16</t>
        </is>
      </c>
      <c r="S76" s="161" t="inlineStr">
        <is>
          <t>E-Xclusif: CHISON pocket ultrasound for home care and community clinics</t>
        </is>
      </c>
      <c r="T76" s="161" t="inlineStr">
        <is>
          <t>Dear E-Xclusif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E-Xclusif supplies respiratory and wound care products, with its own repair service, to clinics and home care patients.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7" ht="300" customHeight="1" s="104">
      <c r="A77" s="195" t="n">
        <v>73</v>
      </c>
      <c r="B77" s="162" t="inlineStr">
        <is>
          <t>Bovis Medical Scientific Pte Ltd</t>
        </is>
      </c>
      <c r="C77" s="195" t="inlineStr">
        <is>
          <t>Not started</t>
        </is>
      </c>
      <c r="D77" s="161" t="inlineStr">
        <is>
          <t>Medical and scientific supplier; site returned no readable content</t>
        </is>
      </c>
      <c r="E77" s="161" t="inlineStr">
        <is>
          <t>To confirm</t>
        </is>
      </c>
      <c r="F77" s="161" t="inlineStr">
        <is>
          <t>Not identified</t>
        </is>
      </c>
      <c r="G77" s="161" t="inlineStr">
        <is>
          <t>Singapore (Sin Ming)</t>
        </is>
      </c>
      <c r="H77" s="163" t="inlineStr">
        <is>
          <t>https://www.bovis.com.sg</t>
        </is>
      </c>
      <c r="I77" s="161" t="inlineStr">
        <is>
          <t>+65 6254 5482</t>
        </is>
      </c>
      <c r="J77" s="161" t="inlineStr">
        <is>
          <t>sales@bovis.com.sg</t>
        </is>
      </c>
      <c r="K77" s="161" t="inlineStr">
        <is>
          <t>22 Sin Ming Lane #04-81, Midview City, Singapore 573969</t>
        </is>
      </c>
      <c r="L77" s="170" t="inlineStr">
        <is>
          <t>C</t>
        </is>
      </c>
      <c r="M77" s="161" t="inlineStr">
        <is>
          <t>Line card unknown.</t>
        </is>
      </c>
      <c r="N77" s="161" t="inlineStr">
        <is>
          <t>SonoEye P3 + SonoAir 70 + SonoBook 9</t>
        </is>
      </c>
      <c r="O77" s="197" t="n">
        <v>3</v>
      </c>
      <c r="P77" s="161" t="inlineStr">
        <is>
          <t>Tier 3 NEW.</t>
        </is>
      </c>
      <c r="Q77" s="161" t="inlineStr">
        <is>
          <t>Directory: PharmChoices Singapore supplier list (2026), own site not opened</t>
        </is>
      </c>
      <c r="R77" s="161" t="inlineStr">
        <is>
          <t>NEW in v16</t>
        </is>
      </c>
      <c r="S77" s="161" t="inlineStr">
        <is>
          <t>Bovis Medical Scientific: adding CHISON ultrasound to the institutions you already serve</t>
        </is>
      </c>
      <c r="T77" s="161" t="inlineStr">
        <is>
          <t>Dear Bovis Medical Scientific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Bovis is listed among Singapore's medical and scientific equipment suppliers.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8" ht="300" customHeight="1" s="104">
      <c r="A78" s="195" t="n">
        <v>74</v>
      </c>
      <c r="B78" s="162" t="inlineStr">
        <is>
          <t>BES Technology Pte Ltd</t>
        </is>
      </c>
      <c r="C78" s="195" t="inlineStr">
        <is>
          <t>Not started</t>
        </is>
      </c>
      <c r="D78" s="161" t="inlineStr">
        <is>
          <t>Physiological measurement (Vicon, Delsys, AMTI, Cosmed, OptoGait), hospital logistics systems (pneumatic tubes, AGVs), hydrotherapy pools, biomedical engineering services</t>
        </is>
      </c>
      <c r="E78" s="161" t="inlineStr">
        <is>
          <t>Hospitals (rehab, engineering), sports science, universities</t>
        </is>
      </c>
      <c r="F78" s="161" t="inlineStr">
        <is>
          <t>No ultrasound line identified</t>
        </is>
      </c>
      <c r="G78" s="161" t="inlineStr">
        <is>
          <t>Singapore (Kallang)</t>
        </is>
      </c>
      <c r="H78" s="163" t="inlineStr">
        <is>
          <t>https://bestech.com.sg</t>
        </is>
      </c>
      <c r="I78" s="161" t="inlineStr">
        <is>
          <t>+65 6454 1788</t>
        </is>
      </c>
      <c r="J78" s="161" t="inlineStr">
        <is>
          <t>info@bestech.com.sg</t>
        </is>
      </c>
      <c r="K78" s="161" t="inlineStr">
        <is>
          <t>11 Kallang Place #05-07, Kallang Basin, Singapore 339155 (directory)</t>
        </is>
      </c>
      <c r="L78" s="165" t="inlineStr">
        <is>
          <t>A</t>
        </is>
      </c>
      <c r="M78" s="161" t="inlineStr">
        <is>
          <t>Hospital engineering and sports science buyer.</t>
        </is>
      </c>
      <c r="N78" s="161" t="inlineStr">
        <is>
          <t>SonoEye P5 + SonoAir 70 + SonoBook 9</t>
        </is>
      </c>
      <c r="O78" s="197" t="n">
        <v>3</v>
      </c>
      <c r="P78" s="161" t="inlineStr">
        <is>
          <t>Tier 3 NEW.</t>
        </is>
      </c>
      <c r="Q78" s="161" t="inlineStr">
        <is>
          <t>Own site opened 7 Oct 2026</t>
        </is>
      </c>
      <c r="R78" s="161" t="inlineStr">
        <is>
          <t>NEW in v16</t>
        </is>
      </c>
      <c r="S78" s="161" t="inlineStr">
        <is>
          <t>BES Technology: CHISON high frequency ultrasound for MSK and sports clinics</t>
        </is>
      </c>
      <c r="T78" s="161" t="inlineStr">
        <is>
          <t>Dear BES Technology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BES supplies physiological measurement, hydrotherapy and hospital logistics systems, with biomedical engineering service, to Singapore hospitals and universities.
Orthopaedic, sports and rehabilitation clinicians use high frequency ultrasound for tendon, joint and injection work, so a scanner sits naturally beside what you already sell them.
• SonoEye P5: high frequency handheld for superficial and MSK work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79" ht="300" customHeight="1" s="104">
      <c r="A79" s="195" t="n">
        <v>75</v>
      </c>
      <c r="B79" s="162" t="inlineStr">
        <is>
          <t>L-Tac MediCare Pte Ltd</t>
        </is>
      </c>
      <c r="C79" s="195" t="inlineStr">
        <is>
          <t>Not started</t>
        </is>
      </c>
      <c r="D79" s="161" t="inlineStr">
        <is>
          <t>Home and clinic diagnostics: blood pressure, glucose, cholesterol, infrared thermometers, lancets, scales</t>
        </is>
      </c>
      <c r="E79" s="161" t="inlineStr">
        <is>
          <t>Clinics, pharmacies, consumers</t>
        </is>
      </c>
      <c r="F79" s="161" t="inlineStr">
        <is>
          <t>No ultrasound line identified</t>
        </is>
      </c>
      <c r="G79" s="161" t="inlineStr">
        <is>
          <t>Singapore (Mandai)</t>
        </is>
      </c>
      <c r="H79" s="163" t="inlineStr">
        <is>
          <t>https://www.medicare-l-tac.com.sg</t>
        </is>
      </c>
      <c r="I79" s="161" t="inlineStr">
        <is>
          <t>+65 6334 2273 / +65 6863 8191</t>
        </is>
      </c>
      <c r="J79" s="161" t="inlineStr">
        <is>
          <t>enquiries@medicare-l-tac.com.sg</t>
        </is>
      </c>
      <c r="K79" s="161" t="inlineStr">
        <is>
          <t>25 Mandai Estate #07-11, Innovation Place Tower 1, Singapore 729930</t>
        </is>
      </c>
      <c r="L79" s="165" t="inlineStr">
        <is>
          <t>A</t>
        </is>
      </c>
      <c r="M79" s="161" t="inlineStr">
        <is>
          <t>Consumer diagnostics.</t>
        </is>
      </c>
      <c r="N79" s="161" t="inlineStr">
        <is>
          <t>SonoEye P3 + SonoAir 70</t>
        </is>
      </c>
      <c r="O79" s="197" t="n">
        <v>3</v>
      </c>
      <c r="P79" s="161" t="inlineStr">
        <is>
          <t>Tier 3 NEW.</t>
        </is>
      </c>
      <c r="Q79" s="161" t="inlineStr">
        <is>
          <t>Own site opened 7 Oct 2026</t>
        </is>
      </c>
      <c r="R79" s="161" t="inlineStr">
        <is>
          <t>NEW in v16</t>
        </is>
      </c>
      <c r="S79" s="161" t="inlineStr">
        <is>
          <t>L-Tac MediCare: CHISON pocket ultrasound for home care and community clinics</t>
        </is>
      </c>
      <c r="T79" s="161" t="inlineStr">
        <is>
          <t>Dear L-Tac MediCare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L-Tac supplies blood pressure, glucose and thermometry products to clinics and pharmacies.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0" ht="300" customHeight="1" s="104">
      <c r="A80" s="195" t="n">
        <v>76</v>
      </c>
      <c r="B80" s="162" t="inlineStr">
        <is>
          <t>Zohra Wahab Trading Co Pte Ltd (ZOWACARE)</t>
        </is>
      </c>
      <c r="C80" s="195" t="inlineStr">
        <is>
          <t>Not started</t>
        </is>
      </c>
      <c r="D80" s="161" t="inlineStr">
        <is>
          <t>Blood pressure monitors, stethoscopes, hearing amplifiers, thermometers, oximeters, rehab aids, breast pumps; Kodea, Rion, Sakura, Laennec, HuBDIC</t>
        </is>
      </c>
      <c r="E80" s="161" t="inlineStr">
        <is>
          <t>Clinics, consumers</t>
        </is>
      </c>
      <c r="F80" s="161" t="inlineStr">
        <is>
          <t>No ultrasound line identified</t>
        </is>
      </c>
      <c r="G80" s="161" t="inlineStr">
        <is>
          <t>Singapore (Aljunied)</t>
        </is>
      </c>
      <c r="H80" s="163" t="inlineStr">
        <is>
          <t>https://zowacare.com</t>
        </is>
      </c>
      <c r="I80" s="161" t="inlineStr">
        <is>
          <t>+65 6747 0329</t>
        </is>
      </c>
      <c r="J80" s="161" t="inlineStr">
        <is>
          <t>zowaco@zowamedical.com.sg</t>
        </is>
      </c>
      <c r="K80" s="161" t="inlineStr">
        <is>
          <t>629 Aljunied Road #08-02, Cititech Industrial Building, Singapore 389838</t>
        </is>
      </c>
      <c r="L80" s="165" t="inlineStr">
        <is>
          <t>A</t>
        </is>
      </c>
      <c r="M80" s="161" t="inlineStr">
        <is>
          <t>Clinic small devices.</t>
        </is>
      </c>
      <c r="N80" s="161" t="inlineStr">
        <is>
          <t>SonoEye P3 + SonoAir 70 + SonoBook 9</t>
        </is>
      </c>
      <c r="O80" s="197" t="n">
        <v>3</v>
      </c>
      <c r="P80" s="161" t="inlineStr">
        <is>
          <t>Tier 3 NEW.</t>
        </is>
      </c>
      <c r="Q80" s="161" t="inlineStr">
        <is>
          <t>Own site opened 7 Oct 2026</t>
        </is>
      </c>
      <c r="R80" s="161" t="inlineStr">
        <is>
          <t>NEW in v16</t>
        </is>
      </c>
      <c r="S80" s="161" t="inlineStr">
        <is>
          <t>ZOWACARE: a CHISON ultrasound line for the clinics you already supply</t>
        </is>
      </c>
      <c r="T80" s="161" t="inlineStr">
        <is>
          <t>Dear ZOWACARE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ZOWACARE supplies diagnostic instruments such as blood pressure monitors and stethoscopes to clinics across Singapore.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1" ht="300" customHeight="1" s="104">
      <c r="A81" s="195" t="n">
        <v>77</v>
      </c>
      <c r="B81" s="162" t="inlineStr">
        <is>
          <t>LabIVF Asia Pte Ltd</t>
        </is>
      </c>
      <c r="C81" s="195" t="inlineStr">
        <is>
          <t>Not started</t>
        </is>
      </c>
      <c r="D81" s="161" t="inlineStr">
        <is>
          <t>IVF products, equipment and consumables, cryopreservation and cryogenics, quality management</t>
        </is>
      </c>
      <c r="E81" s="161" t="inlineStr">
        <is>
          <t>Fertility and IVF centres</t>
        </is>
      </c>
      <c r="F81" s="161" t="inlineStr">
        <is>
          <t>No ultrasound line identified</t>
        </is>
      </c>
      <c r="G81" s="161" t="inlineStr">
        <is>
          <t>Singapore (Bukit Batok)</t>
        </is>
      </c>
      <c r="H81" s="163" t="inlineStr">
        <is>
          <t>https://labivf.com</t>
        </is>
      </c>
      <c r="I81" s="161" t="inlineStr">
        <is>
          <t>+65 6896 7098 / fax +65 6896 7096</t>
        </is>
      </c>
      <c r="J81" s="161" t="inlineStr">
        <is>
          <t>sales@labivf.com</t>
        </is>
      </c>
      <c r="K81" s="161" t="inlineStr">
        <is>
          <t>1 Bukit Batok Crescent #03-13/14, WCEGA Plaza, Singapore 658064 (directory)</t>
        </is>
      </c>
      <c r="L81" s="170" t="inlineStr">
        <is>
          <t>C</t>
        </is>
      </c>
      <c r="M81" s="161" t="inlineStr">
        <is>
          <t>Fertility centres scan for follicle tracking every day; LabIVF sells to the embryology lab side of the same centres.</t>
        </is>
      </c>
      <c r="N81" s="161" t="inlineStr">
        <is>
          <t>SonoPort 8 + SonoMax 9 + SonoBook 9</t>
        </is>
      </c>
      <c r="O81" s="197" t="n">
        <v>3</v>
      </c>
      <c r="P81" s="161" t="inlineStr">
        <is>
          <t>Tier 3 NEW.</t>
        </is>
      </c>
      <c r="Q81" s="161" t="inlineStr">
        <is>
          <t>Own site opened (no Singapore contact block); email from PharmChoices</t>
        </is>
      </c>
      <c r="R81" s="161" t="inlineStr">
        <is>
          <t>NEW in v16</t>
        </is>
      </c>
      <c r="S81" s="161" t="inlineStr">
        <is>
          <t>LabIVF Asia: CHISON ultrasound for fertility and O&amp;G clinics</t>
        </is>
      </c>
      <c r="T81" s="161" t="inlineStr">
        <is>
          <t>Dear LabIVF Asia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LabIVF supplies IVF and cryopreservation products to fertility centres, where follicle scanning runs every day.
Fertility and O&amp;G clinics scan every day, and ultrasound is the capital item those same clinics replace most often.
• SonoPort 8: mid tier cart for private imaging and O&amp;G rooms
• SonoMax 9: flagship cart with automatic breast and thyroid lesion measurement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2" ht="300" customHeight="1" s="104">
      <c r="A82" s="195" t="n">
        <v>78</v>
      </c>
      <c r="B82" s="162" t="inlineStr">
        <is>
          <t>Joyson Pte Ltd</t>
        </is>
      </c>
      <c r="C82" s="195" t="inlineStr">
        <is>
          <t>Not started</t>
        </is>
      </c>
      <c r="D82" s="161" t="inlineStr">
        <is>
          <t>Pharmaceuticals, medical devices (wound care, diagnostic kits, injection products, surgical loupes), disinfectants, supplements; 30+ brands including BD, Acon</t>
        </is>
      </c>
      <c r="E82" s="161" t="inlineStr">
        <is>
          <t>Clinics, pharmacies</t>
        </is>
      </c>
      <c r="F82" s="161" t="inlineStr">
        <is>
          <t>No ultrasound line identified</t>
        </is>
      </c>
      <c r="G82" s="161" t="inlineStr">
        <is>
          <t>Singapore (Upper Aljunied)</t>
        </is>
      </c>
      <c r="H82" s="163" t="inlineStr">
        <is>
          <t>https://www.joysonpl.com</t>
        </is>
      </c>
      <c r="I82" s="161" t="inlineStr">
        <is>
          <t>+65 6358 4161</t>
        </is>
      </c>
      <c r="J82" s="161" t="inlineStr">
        <is>
          <t>sales@joysonpl.com</t>
        </is>
      </c>
      <c r="K82" s="161" t="inlineStr">
        <is>
          <t>3 Upper Aljunied Link Block B #06-03, Joo Seng Warehouse, Singapore 367902 (directory)</t>
        </is>
      </c>
      <c r="L82" s="165" t="inlineStr">
        <is>
          <t>A</t>
        </is>
      </c>
      <c r="M82" s="161" t="inlineStr">
        <is>
          <t>Clinic supply house.</t>
        </is>
      </c>
      <c r="N82" s="161" t="inlineStr">
        <is>
          <t>SonoEye P3 + SonoAir 70 + SonoBook 9</t>
        </is>
      </c>
      <c r="O82" s="197" t="n">
        <v>3</v>
      </c>
      <c r="P82" s="161" t="inlineStr">
        <is>
          <t>Tier 3 NEW.</t>
        </is>
      </c>
      <c r="Q82" s="161" t="inlineStr">
        <is>
          <t>Own site opened 7 Oct 2026</t>
        </is>
      </c>
      <c r="R82" s="161" t="inlineStr">
        <is>
          <t>NEW in v16</t>
        </is>
      </c>
      <c r="S82" s="161" t="inlineStr">
        <is>
          <t>Joyson: a CHISON ultrasound line for the clinics you already supply</t>
        </is>
      </c>
      <c r="T82" s="161" t="inlineStr">
        <is>
          <t>Dear Joyson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Joyson is a one stop supplier of pharmaceuticals and medical devices to Singapore clinics.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3" ht="300" customHeight="1" s="104">
      <c r="A83" s="195" t="n">
        <v>79</v>
      </c>
      <c r="B83" s="162" t="inlineStr">
        <is>
          <t>Rainbow Care Pte Ltd</t>
        </is>
      </c>
      <c r="C83" s="195" t="inlineStr">
        <is>
          <t>Not started</t>
        </is>
      </c>
      <c r="D83" s="161" t="inlineStr">
        <is>
          <t>Home care: respiratory, beds, mobility, enteral nutrition, orthopaedic supports, rehabilitation; sales and rental</t>
        </is>
      </c>
      <c r="E83" s="161" t="inlineStr">
        <is>
          <t>Home care, nursing homes</t>
        </is>
      </c>
      <c r="F83" s="161" t="inlineStr">
        <is>
          <t>No ultrasound line identified</t>
        </is>
      </c>
      <c r="G83" s="161" t="inlineStr">
        <is>
          <t>Singapore (Ubi)</t>
        </is>
      </c>
      <c r="H83" s="163" t="inlineStr">
        <is>
          <t>https://www.rainbowcare.com.sg</t>
        </is>
      </c>
      <c r="I83" s="161" t="inlineStr">
        <is>
          <t>+65 6223 0904 / WhatsApp +65 8501 1878</t>
        </is>
      </c>
      <c r="J83" s="161" t="inlineStr">
        <is>
          <t>sales@rainbowcare.com.sg</t>
        </is>
      </c>
      <c r="K83" s="161" t="inlineStr">
        <is>
          <t>Blk 3007 Ubi Road 1 #02-410, Singapore 408701</t>
        </is>
      </c>
      <c r="L83" s="165" t="inlineStr">
        <is>
          <t>A</t>
        </is>
      </c>
      <c r="M83" s="161" t="inlineStr">
        <is>
          <t>Home care channel.</t>
        </is>
      </c>
      <c r="N83" s="161" t="inlineStr">
        <is>
          <t>SonoEye P3 + SonoAir 70</t>
        </is>
      </c>
      <c r="O83" s="197" t="n">
        <v>3</v>
      </c>
      <c r="P83" s="161" t="inlineStr">
        <is>
          <t>Tier 3 NEW.</t>
        </is>
      </c>
      <c r="Q83" s="161" t="inlineStr">
        <is>
          <t>Own site opened 7 Oct 2026</t>
        </is>
      </c>
      <c r="R83" s="161" t="inlineStr">
        <is>
          <t>NEW in v16</t>
        </is>
      </c>
      <c r="S83" s="161" t="inlineStr">
        <is>
          <t>Rainbow Care: CHISON pocket ultrasound for home care and community clinics</t>
        </is>
      </c>
      <c r="T83" s="161" t="inlineStr">
        <is>
          <t>Dear Rainbow 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Rainbow Care supplies and rents home care equipment to families and nursing homes across Singapore.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4" ht="300" customHeight="1" s="104">
      <c r="A84" s="195" t="n">
        <v>80</v>
      </c>
      <c r="B84" s="162" t="inlineStr">
        <is>
          <t>GEMS Technology International</t>
        </is>
      </c>
      <c r="C84" s="195" t="inlineStr">
        <is>
          <t>Not started</t>
        </is>
      </c>
      <c r="D84" s="161" t="inlineStr">
        <is>
          <t>Listed in SGMT under medical imaging and nuclear medicine devices; website not readable (old frames page)</t>
        </is>
      </c>
      <c r="E84" s="161" t="inlineStr">
        <is>
          <t>Radiology (to confirm)</t>
        </is>
      </c>
      <c r="F84" s="161" t="inlineStr">
        <is>
          <t>Not identified</t>
        </is>
      </c>
      <c r="G84" s="161" t="inlineStr">
        <is>
          <t>Singapore (Anson Road)</t>
        </is>
      </c>
      <c r="H84" s="163" t="inlineStr">
        <is>
          <t>https://www.gemstech.com.sg</t>
        </is>
      </c>
      <c r="I84" s="161" t="inlineStr">
        <is>
          <t>+65 6241 6483 / fax +65 6245 9540</t>
        </is>
      </c>
      <c r="J84" s="161" t="inlineStr">
        <is>
          <t>gemstech@gemstech.com.sg</t>
        </is>
      </c>
      <c r="K84" s="161" t="inlineStr">
        <is>
          <t>10 Anson Road #05-16, International Plaza, Singapore 077903</t>
        </is>
      </c>
      <c r="L84" s="170" t="inlineStr">
        <is>
          <t>C</t>
        </is>
      </c>
      <c r="M84" s="161" t="inlineStr">
        <is>
          <t>Imaging category listing with an outdated website; confirm it still trades.</t>
        </is>
      </c>
      <c r="N84" s="161" t="inlineStr">
        <is>
          <t>SonoMax 9 + SonoPort 8 + SonoEye P5</t>
        </is>
      </c>
      <c r="O84" s="197" t="n">
        <v>3</v>
      </c>
      <c r="P84" s="161" t="inlineStr">
        <is>
          <t>Tier 3 NEW: imaging category but unconfirmed activity.</t>
        </is>
      </c>
      <c r="Q84" s="161" t="inlineStr">
        <is>
          <t>Directory: PharmChoices Singapore supplier list (2026), own site not opened; SGMT imaging category</t>
        </is>
      </c>
      <c r="R84" s="161" t="inlineStr">
        <is>
          <t>NEW in v16</t>
        </is>
      </c>
      <c r="S84" s="161" t="inlineStr">
        <is>
          <t>GEMS Technology: CHISON ultrasound for the radiology departments you already supply</t>
        </is>
      </c>
      <c r="T84" s="161" t="inlineStr">
        <is>
          <t>Dear GEMS Technology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GEMS Technology is listed among Singapore's medical imaging equipment suppliers.
Ultrasound is the modality your radiology customers buy and replace most often, and it is sold into the same departments you already serve. CHISON would be a new imaging line with no overlap on your current card.
• SonoMax 9: flagship cart with automatic breast and thyroid lesion measurement
• SonoPort 8: mid tier cart for private imaging and O&amp;G rooms
• SonoEye P5: high frequency handheld for superficial and MSK work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5" ht="300" customHeight="1" s="104">
      <c r="A85" s="195" t="n">
        <v>81</v>
      </c>
      <c r="B85" s="162" t="inlineStr">
        <is>
          <t>Charles Wembley (S.E.A.) Co Pte Ltd</t>
        </is>
      </c>
      <c r="C85" s="195" t="inlineStr">
        <is>
          <t>Not started</t>
        </is>
      </c>
      <c r="D85" s="161" t="inlineStr">
        <is>
          <t>Ophthalmic and medical equipment: Heidelberg Engineering, Kowa, Roland Consult, Katena</t>
        </is>
      </c>
      <c r="E85" s="161" t="inlineStr">
        <is>
          <t>Ophthalmology</t>
        </is>
      </c>
      <c r="F85" s="161" t="inlineStr">
        <is>
          <t>No general imaging ultrasound identified</t>
        </is>
      </c>
      <c r="G85" s="161" t="inlineStr">
        <is>
          <t>Singapore (Toa Payoh)</t>
        </is>
      </c>
      <c r="H85" s="163" t="inlineStr">
        <is>
          <t>https://www.charleswembley.sg</t>
        </is>
      </c>
      <c r="I85" s="161" t="inlineStr">
        <is>
          <t>+65 6250 8833</t>
        </is>
      </c>
      <c r="J85" s="161" t="inlineStr">
        <is>
          <t>wendy@charleswembley.com.sg</t>
        </is>
      </c>
      <c r="K85" s="161" t="inlineStr">
        <is>
          <t>Blk 1004 Toa Payoh Industrial Park #04-1499, Singapore 319076</t>
        </is>
      </c>
      <c r="L85" s="165" t="inlineStr">
        <is>
          <t>A</t>
        </is>
      </c>
      <c r="M85" s="161" t="inlineStr">
        <is>
          <t>Ophthalmic niche; long shot.</t>
        </is>
      </c>
      <c r="N85" s="161" t="inlineStr">
        <is>
          <t>SonoEye P3 + SonoAir 70 + SonoBook 9</t>
        </is>
      </c>
      <c r="O85" s="197" t="n">
        <v>3</v>
      </c>
      <c r="P85" s="161" t="inlineStr">
        <is>
          <t>Tier 3 NEW.</t>
        </is>
      </c>
      <c r="Q85" s="161" t="inlineStr">
        <is>
          <t>Own site opened 7 Oct 2026</t>
        </is>
      </c>
      <c r="R85" s="161" t="inlineStr">
        <is>
          <t>NEW in v16</t>
        </is>
      </c>
      <c r="S85" s="161" t="inlineStr">
        <is>
          <t>Charles Wembley: a CHISON ultrasound line for the clinics you already supply</t>
        </is>
      </c>
      <c r="T85" s="161" t="inlineStr">
        <is>
          <t>Dear Charles Wembley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Charles Wembley supplies Heidelberg, Kowa and Roland diagnostic equipment to Singapore's eye specialists.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6" ht="300" customHeight="1" s="104">
      <c r="A86" s="195" t="n">
        <v>82</v>
      </c>
      <c r="B86" s="162" t="inlineStr">
        <is>
          <t>Medi SG Pte Ltd</t>
        </is>
      </c>
      <c r="C86" s="195" t="inlineStr">
        <is>
          <t>Not started</t>
        </is>
      </c>
      <c r="D86" s="161" t="inlineStr">
        <is>
          <t>Medical supplier; website certificate expired on 7 Oct 2026, line card not confirmed</t>
        </is>
      </c>
      <c r="E86" s="161" t="inlineStr">
        <is>
          <t>To confirm</t>
        </is>
      </c>
      <c r="F86" s="161" t="inlineStr">
        <is>
          <t>Not identified</t>
        </is>
      </c>
      <c r="G86" s="161" t="inlineStr">
        <is>
          <t>Singapore (Tannery Road)</t>
        </is>
      </c>
      <c r="H86" s="163" t="inlineStr">
        <is>
          <t>https://medi-sg.com</t>
        </is>
      </c>
      <c r="I86" s="161" t="inlineStr">
        <is>
          <t>+65 6842 3925 / fax +65 6842 3951</t>
        </is>
      </c>
      <c r="J86" s="161" t="inlineStr">
        <is>
          <t>info@medi-sg.com</t>
        </is>
      </c>
      <c r="K86" s="161" t="inlineStr">
        <is>
          <t>35 Tannery Road #04-09, Ruby Industrial Complex Tannery Block, Singapore 347740</t>
        </is>
      </c>
      <c r="L86" s="170" t="inlineStr">
        <is>
          <t>C</t>
        </is>
      </c>
      <c r="M86" s="161" t="inlineStr">
        <is>
          <t>Line card unknown.</t>
        </is>
      </c>
      <c r="N86" s="161" t="inlineStr">
        <is>
          <t>SonoEye P3 + SonoAir 70 + SonoBook 9</t>
        </is>
      </c>
      <c r="O86" s="197" t="n">
        <v>3</v>
      </c>
      <c r="P86" s="161" t="inlineStr">
        <is>
          <t>Tier 3 NEW.</t>
        </is>
      </c>
      <c r="Q86" s="161" t="inlineStr">
        <is>
          <t>Directory: PharmChoices Singapore supplier list (2026), own site not opened</t>
        </is>
      </c>
      <c r="R86" s="161" t="inlineStr">
        <is>
          <t>NEW in v16</t>
        </is>
      </c>
      <c r="S86" s="161" t="inlineStr">
        <is>
          <t>Medi SG: a CHISON ultrasound line for the clinics you already supply</t>
        </is>
      </c>
      <c r="T86" s="161" t="inlineStr">
        <is>
          <t>Dear Medi SG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Medi SG is listed among Singapore's medical equipment suppliers.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7" ht="300" customHeight="1" s="104">
      <c r="A87" s="195" t="n">
        <v>83</v>
      </c>
      <c r="B87" s="162" t="inlineStr">
        <is>
          <t>Mediwell Enterprise Pte Ltd</t>
        </is>
      </c>
      <c r="C87" s="195" t="inlineStr">
        <is>
          <t>Not started</t>
        </is>
      </c>
      <c r="D87" s="161" t="inlineStr">
        <is>
          <t>Medical equipment supplier (Medtron group mail domain); line card not confirmed</t>
        </is>
      </c>
      <c r="E87" s="161" t="inlineStr">
        <is>
          <t>To confirm</t>
        </is>
      </c>
      <c r="F87" s="161" t="inlineStr">
        <is>
          <t>Not identified</t>
        </is>
      </c>
      <c r="G87" s="161" t="inlineStr">
        <is>
          <t>Singapore (Middle Road)</t>
        </is>
      </c>
      <c r="H87" s="163" t="inlineStr">
        <is>
          <t>http://mediwellenterprise.com</t>
        </is>
      </c>
      <c r="I87" s="161" t="inlineStr">
        <is>
          <t>+65 6336 9100 / +65 6336 9923</t>
        </is>
      </c>
      <c r="J87" s="161" t="inlineStr">
        <is>
          <t>mediwell.info@medtron.com.sg</t>
        </is>
      </c>
      <c r="K87" s="161" t="inlineStr">
        <is>
          <t>190 Middle Road #12-05, Fortune Centre, Singapore 188979. Also mediwell.mktg@medtron.com.sg</t>
        </is>
      </c>
      <c r="L87" s="170" t="inlineStr">
        <is>
          <t>C</t>
        </is>
      </c>
      <c r="M87" s="161" t="inlineStr">
        <is>
          <t>Line card unknown.</t>
        </is>
      </c>
      <c r="N87" s="161" t="inlineStr">
        <is>
          <t>SonoEye P3 + SonoAir 70 + SonoBook 9</t>
        </is>
      </c>
      <c r="O87" s="197" t="n">
        <v>3</v>
      </c>
      <c r="P87" s="161" t="inlineStr">
        <is>
          <t>Tier 3 NEW.</t>
        </is>
      </c>
      <c r="Q87" s="161" t="inlineStr">
        <is>
          <t>Directory: PharmChoices Singapore supplier list (2026), own site not opened</t>
        </is>
      </c>
      <c r="R87" s="161" t="inlineStr">
        <is>
          <t>NEW in v16</t>
        </is>
      </c>
      <c r="S87" s="161" t="inlineStr">
        <is>
          <t>Mediwell: a CHISON ultrasound line for the clinics you already supply</t>
        </is>
      </c>
      <c r="T87" s="161" t="inlineStr">
        <is>
          <t>Dear Mediwell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Mediwell is listed among Singapore's medical equipment suppliers.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8" ht="300" customHeight="1" s="104">
      <c r="A88" s="195" t="n">
        <v>84</v>
      </c>
      <c r="B88" s="162" t="inlineStr">
        <is>
          <t>JJ Medic</t>
        </is>
      </c>
      <c r="C88" s="195" t="inlineStr">
        <is>
          <t>Not started</t>
        </is>
      </c>
      <c r="D88" s="161" t="inlineStr">
        <is>
          <t>Medical supplier; no website found</t>
        </is>
      </c>
      <c r="E88" s="161" t="inlineStr">
        <is>
          <t>To confirm</t>
        </is>
      </c>
      <c r="F88" s="161" t="inlineStr">
        <is>
          <t>Not identified</t>
        </is>
      </c>
      <c r="G88" s="161" t="inlineStr">
        <is>
          <t>Singapore (Boon Lay)</t>
        </is>
      </c>
      <c r="H88" s="161" t="inlineStr">
        <is>
          <t>Not found</t>
        </is>
      </c>
      <c r="I88" s="161" t="inlineStr">
        <is>
          <t>+65 6686 3533 / fax +65 6686 3433</t>
        </is>
      </c>
      <c r="J88" s="161" t="inlineStr">
        <is>
          <t>info@jjmedic.com</t>
        </is>
      </c>
      <c r="K88" s="161" t="inlineStr">
        <is>
          <t>18 Boon Lay Way #07-136, Tradehub 21, Singapore 609966</t>
        </is>
      </c>
      <c r="L88" s="170" t="inlineStr">
        <is>
          <t>C</t>
        </is>
      </c>
      <c r="M88" s="161" t="inlineStr">
        <is>
          <t>Line card unknown.</t>
        </is>
      </c>
      <c r="N88" s="161" t="inlineStr">
        <is>
          <t>SonoEye P3 + SonoAir 70 + SonoBook 9</t>
        </is>
      </c>
      <c r="O88" s="197" t="n">
        <v>3</v>
      </c>
      <c r="P88" s="161" t="inlineStr">
        <is>
          <t>Tier 3 NEW.</t>
        </is>
      </c>
      <c r="Q88" s="161" t="inlineStr">
        <is>
          <t>Directory: PharmChoices Singapore supplier list (2026), own site not opened</t>
        </is>
      </c>
      <c r="R88" s="161" t="inlineStr">
        <is>
          <t>NEW in v16</t>
        </is>
      </c>
      <c r="S88" s="161" t="inlineStr">
        <is>
          <t>JJ Medic: a CHISON ultrasound line for the clinics you already supply</t>
        </is>
      </c>
      <c r="T88" s="161" t="inlineStr">
        <is>
          <t>Dear JJ Medic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JJ Medic is listed among Singapore's medical equipment suppliers.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89" ht="300" customHeight="1" s="104">
      <c r="A89" s="195" t="n">
        <v>85</v>
      </c>
      <c r="B89" s="162" t="inlineStr">
        <is>
          <t>Seattle Technologies Pte Ltd</t>
        </is>
      </c>
      <c r="C89" s="195" t="inlineStr">
        <is>
          <t>Not started</t>
        </is>
      </c>
      <c r="D89" s="161" t="inlineStr">
        <is>
          <t>Medical equipment supplier; line card not confirmed</t>
        </is>
      </c>
      <c r="E89" s="161" t="inlineStr">
        <is>
          <t>To confirm</t>
        </is>
      </c>
      <c r="F89" s="161" t="inlineStr">
        <is>
          <t>Not identified</t>
        </is>
      </c>
      <c r="G89" s="161" t="inlineStr">
        <is>
          <t>Singapore (Ubi)</t>
        </is>
      </c>
      <c r="H89" s="163" t="inlineStr">
        <is>
          <t>http://www.seattle.com.sg</t>
        </is>
      </c>
      <c r="I89" s="161" t="inlineStr">
        <is>
          <t>+65 6749 1816 / fax +65 6749 2062</t>
        </is>
      </c>
      <c r="J89" s="161" t="inlineStr">
        <is>
          <t>enquiry@seattle.com.sg</t>
        </is>
      </c>
      <c r="K89" s="161" t="inlineStr">
        <is>
          <t>10 Ubi Crescent #07-57, Ubi Techpark, Singapore 408564</t>
        </is>
      </c>
      <c r="L89" s="170" t="inlineStr">
        <is>
          <t>C</t>
        </is>
      </c>
      <c r="M89" s="161" t="inlineStr">
        <is>
          <t>Line card unknown.</t>
        </is>
      </c>
      <c r="N89" s="161" t="inlineStr">
        <is>
          <t>SonoEye P3 + SonoAir 70 + SonoBook 9</t>
        </is>
      </c>
      <c r="O89" s="197" t="n">
        <v>3</v>
      </c>
      <c r="P89" s="161" t="inlineStr">
        <is>
          <t>Tier 3 NEW.</t>
        </is>
      </c>
      <c r="Q89" s="161" t="inlineStr">
        <is>
          <t>Directory: PharmChoices Singapore supplier list (2026), own site not opened</t>
        </is>
      </c>
      <c r="R89" s="161" t="inlineStr">
        <is>
          <t>NEW in v16</t>
        </is>
      </c>
      <c r="S89" s="161" t="inlineStr">
        <is>
          <t>Seattle Technologies: a CHISON ultrasound line for the clinics you already supply</t>
        </is>
      </c>
      <c r="T89" s="161" t="inlineStr">
        <is>
          <t>Dear Seattle Technologies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Seattle Technologies is listed among Singapore's medical equipment suppliers.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0" ht="300" customHeight="1" s="104">
      <c r="A90" s="195" t="n">
        <v>86</v>
      </c>
      <c r="B90" s="162" t="inlineStr">
        <is>
          <t>Walen Tec Asia Pte Ltd</t>
        </is>
      </c>
      <c r="C90" s="195" t="inlineStr">
        <is>
          <t>Not started</t>
        </is>
      </c>
      <c r="D90" s="161" t="inlineStr">
        <is>
          <t>Hospital equipment and supplies (SGMT category); site timed out on 7 Oct 2026</t>
        </is>
      </c>
      <c r="E90" s="161" t="inlineStr">
        <is>
          <t>Hospitals (to confirm)</t>
        </is>
      </c>
      <c r="F90" s="161" t="inlineStr">
        <is>
          <t>Not identified</t>
        </is>
      </c>
      <c r="G90" s="161" t="inlineStr">
        <is>
          <t>Singapore (Ubi)</t>
        </is>
      </c>
      <c r="H90" s="163" t="inlineStr">
        <is>
          <t>https://walentec.com</t>
        </is>
      </c>
      <c r="I90" s="161" t="inlineStr">
        <is>
          <t>+65 6636 2875</t>
        </is>
      </c>
      <c r="J90" s="161" t="inlineStr">
        <is>
          <t>sales@walentec.com.sg</t>
        </is>
      </c>
      <c r="K90" s="161" t="inlineStr">
        <is>
          <t>62 Ubi Road 1 #04-02, Oxley Bizhub 2, Singapore 408734</t>
        </is>
      </c>
      <c r="L90" s="170" t="inlineStr">
        <is>
          <t>C</t>
        </is>
      </c>
      <c r="M90" s="161" t="inlineStr">
        <is>
          <t>Line card unknown.</t>
        </is>
      </c>
      <c r="N90" s="161" t="inlineStr">
        <is>
          <t>SonoEye P3 + SonoAir 70 + SonoBook 9</t>
        </is>
      </c>
      <c r="O90" s="197" t="n">
        <v>3</v>
      </c>
      <c r="P90" s="161" t="inlineStr">
        <is>
          <t>Tier 3 NEW.</t>
        </is>
      </c>
      <c r="Q90" s="161" t="inlineStr">
        <is>
          <t>Directory: PharmChoices Singapore supplier list (2026), own site not opened; SGMT hospital equipment category</t>
        </is>
      </c>
      <c r="R90" s="161" t="inlineStr">
        <is>
          <t>NEW in v16</t>
        </is>
      </c>
      <c r="S90" s="161" t="inlineStr">
        <is>
          <t>Walen Tec Asia: a CHISON ultrasound line for the clinics you already supply</t>
        </is>
      </c>
      <c r="T90" s="161" t="inlineStr">
        <is>
          <t>Dear Walen Tec Asia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Walen Tec is listed among Singapore's hospital equipment and supplies distributors.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1" ht="300" customHeight="1" s="104">
      <c r="A91" s="195" t="n">
        <v>87</v>
      </c>
      <c r="B91" s="162" t="inlineStr">
        <is>
          <t>Yarrow Medical Holdings Pte Ltd</t>
        </is>
      </c>
      <c r="C91" s="195" t="inlineStr">
        <is>
          <t>Not started</t>
        </is>
      </c>
      <c r="D91" s="161" t="inlineStr">
        <is>
          <t>Medical supplier; no website found</t>
        </is>
      </c>
      <c r="E91" s="161" t="inlineStr">
        <is>
          <t>To confirm</t>
        </is>
      </c>
      <c r="F91" s="161" t="inlineStr">
        <is>
          <t>Not identified</t>
        </is>
      </c>
      <c r="G91" s="161" t="inlineStr">
        <is>
          <t>Singapore (Bedok)</t>
        </is>
      </c>
      <c r="H91" s="161" t="inlineStr">
        <is>
          <t>Not found</t>
        </is>
      </c>
      <c r="I91" s="161" t="inlineStr">
        <is>
          <t>+65 6243 8020</t>
        </is>
      </c>
      <c r="J91" s="161" t="inlineStr">
        <is>
          <t>yarrowmedical@singnet.com.sg</t>
        </is>
      </c>
      <c r="K91" s="161" t="inlineStr">
        <is>
          <t>514 Chai Chee Lane #02-11, Bedok Industrial Estate, Singapore 469029</t>
        </is>
      </c>
      <c r="L91" s="170" t="inlineStr">
        <is>
          <t>C</t>
        </is>
      </c>
      <c r="M91" s="161" t="inlineStr">
        <is>
          <t>Line card unknown.</t>
        </is>
      </c>
      <c r="N91" s="161" t="inlineStr">
        <is>
          <t>SonoEye P3 + SonoAir 70 + SonoBook 9</t>
        </is>
      </c>
      <c r="O91" s="197" t="n">
        <v>3</v>
      </c>
      <c r="P91" s="161" t="inlineStr">
        <is>
          <t>Tier 3 NEW.</t>
        </is>
      </c>
      <c r="Q91" s="161" t="inlineStr">
        <is>
          <t>Directory: PharmChoices Singapore supplier list (2026), own site not opened</t>
        </is>
      </c>
      <c r="R91" s="161" t="inlineStr">
        <is>
          <t>NEW in v16</t>
        </is>
      </c>
      <c r="S91" s="161" t="inlineStr">
        <is>
          <t>Yarrow Medical: a CHISON ultrasound line for the clinics you already supply</t>
        </is>
      </c>
      <c r="T91" s="161" t="inlineStr">
        <is>
          <t>Dear Yarrow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Yarrow Medical is listed among Singapore's medical equipment suppliers.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2" ht="300" customHeight="1" s="104">
      <c r="A92" s="195" t="n">
        <v>88</v>
      </c>
      <c r="B92" s="162" t="inlineStr">
        <is>
          <t>SG Homecare (Medical)</t>
        </is>
      </c>
      <c r="C92" s="195" t="inlineStr">
        <is>
          <t>Not started</t>
        </is>
      </c>
      <c r="D92" s="161" t="inlineStr">
        <is>
          <t>Home care medical equipment</t>
        </is>
      </c>
      <c r="E92" s="161" t="inlineStr">
        <is>
          <t>Home care</t>
        </is>
      </c>
      <c r="F92" s="161" t="inlineStr">
        <is>
          <t>Not identified</t>
        </is>
      </c>
      <c r="G92" s="161" t="inlineStr">
        <is>
          <t>Singapore (Macpherson)</t>
        </is>
      </c>
      <c r="H92" s="163" t="inlineStr">
        <is>
          <t>https://sghomecaremedical.com.sg</t>
        </is>
      </c>
      <c r="I92" s="161" t="inlineStr">
        <is>
          <t>+65 8058 8320</t>
        </is>
      </c>
      <c r="J92" s="161" t="inlineStr">
        <is>
          <t>enquiry@sghomecaremedical.com.sg</t>
        </is>
      </c>
      <c r="K92" s="161" t="inlineStr">
        <is>
          <t>5 Lorong Bakar Batu #05-03, Macpherson Industrial Complex, Singapore 348742</t>
        </is>
      </c>
      <c r="L92" s="170" t="inlineStr">
        <is>
          <t>C</t>
        </is>
      </c>
      <c r="M92" s="161" t="inlineStr">
        <is>
          <t>Home care channel.</t>
        </is>
      </c>
      <c r="N92" s="161" t="inlineStr">
        <is>
          <t>SonoEye P3 + SonoAir 70</t>
        </is>
      </c>
      <c r="O92" s="197" t="n">
        <v>3</v>
      </c>
      <c r="P92" s="161" t="inlineStr">
        <is>
          <t>Tier 3 NEW.</t>
        </is>
      </c>
      <c r="Q92" s="161" t="inlineStr">
        <is>
          <t>Directory: PharmChoices Singapore supplier list (2026), own site not opened</t>
        </is>
      </c>
      <c r="R92" s="161" t="inlineStr">
        <is>
          <t>NEW in v16</t>
        </is>
      </c>
      <c r="S92" s="161" t="inlineStr">
        <is>
          <t>SG Homecare: CHISON pocket ultrasound for home care and community clinics</t>
        </is>
      </c>
      <c r="T92" s="161" t="inlineStr">
        <is>
          <t>Dear SG Homecare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SG Homecare supplies home care medical equipment across Singapore.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3" ht="300" customHeight="1" s="104">
      <c r="A93" s="195" t="n">
        <v>89</v>
      </c>
      <c r="B93" s="162" t="inlineStr">
        <is>
          <t>Pharmex Healthcare</t>
        </is>
      </c>
      <c r="C93" s="195" t="inlineStr">
        <is>
          <t>Not started</t>
        </is>
      </c>
      <c r="D93" s="161" t="inlineStr">
        <is>
          <t>Medical supplies distributor and retail (medicalsupplies.com.sg)</t>
        </is>
      </c>
      <c r="E93" s="161" t="inlineStr">
        <is>
          <t>Clinics, consumers</t>
        </is>
      </c>
      <c r="F93" s="161" t="inlineStr">
        <is>
          <t>Not identified</t>
        </is>
      </c>
      <c r="G93" s="161" t="inlineStr">
        <is>
          <t>Singapore (Toa Payoh)</t>
        </is>
      </c>
      <c r="H93" s="163" t="inlineStr">
        <is>
          <t>https://www.medicalsupplies.com.sg</t>
        </is>
      </c>
      <c r="I93" s="161" t="inlineStr">
        <is>
          <t>+65 6908 1010</t>
        </is>
      </c>
      <c r="J93" s="161" t="inlineStr">
        <is>
          <t>ptpy@pharmex.com.sg</t>
        </is>
      </c>
      <c r="K93" s="161" t="inlineStr">
        <is>
          <t>200 Toa Payoh Lorong 2 #01-03, Toa Payoh West CC, Singapore 319642</t>
        </is>
      </c>
      <c r="L93" s="170" t="inlineStr">
        <is>
          <t>C</t>
        </is>
      </c>
      <c r="M93" s="161" t="inlineStr">
        <is>
          <t>Retail medical supplies.</t>
        </is>
      </c>
      <c r="N93" s="161" t="inlineStr">
        <is>
          <t>SonoEye P3 + SonoAir 70 + SonoBook 9</t>
        </is>
      </c>
      <c r="O93" s="197" t="n">
        <v>3</v>
      </c>
      <c r="P93" s="161" t="inlineStr">
        <is>
          <t>Tier 3 NEW.</t>
        </is>
      </c>
      <c r="Q93" s="161" t="inlineStr">
        <is>
          <t>Directory: PharmChoices Singapore supplier list (2026), own site not opened</t>
        </is>
      </c>
      <c r="R93" s="161" t="inlineStr">
        <is>
          <t>NEW in v16</t>
        </is>
      </c>
      <c r="S93" s="161" t="inlineStr">
        <is>
          <t>Pharmex: a CHISON ultrasound line for the clinics you already supply</t>
        </is>
      </c>
      <c r="T93" s="161" t="inlineStr">
        <is>
          <t>Dear Pharmex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Pharmex supplies medical products to clinics and the public across Singapore.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4" ht="300" customHeight="1" s="104">
      <c r="A94" s="195" t="n">
        <v>90</v>
      </c>
      <c r="B94" s="162" t="inlineStr">
        <is>
          <t>Pan-Malayan Pharmaceuticals Pte Ltd (Hyphens Pharma)</t>
        </is>
      </c>
      <c r="C94" s="195" t="inlineStr">
        <is>
          <t>Not started</t>
        </is>
      </c>
      <c r="D94" s="161" t="inlineStr">
        <is>
          <t>Pharmaceutical and medical products distributor; part of SGX listed Hyphens Pharma</t>
        </is>
      </c>
      <c r="E94" s="161" t="inlineStr">
        <is>
          <t>Hospitals, clinics, pharmacies</t>
        </is>
      </c>
      <c r="F94" s="161" t="inlineStr">
        <is>
          <t>Not identified</t>
        </is>
      </c>
      <c r="G94" s="161" t="inlineStr">
        <is>
          <t>Singapore (Tai Seng)</t>
        </is>
      </c>
      <c r="H94" s="163" t="inlineStr">
        <is>
          <t>https://www.panmalayan.com.sg</t>
        </is>
      </c>
      <c r="I94" s="161" t="inlineStr">
        <is>
          <t>+65 6296 5751</t>
        </is>
      </c>
      <c r="J94" s="161" t="inlineStr">
        <is>
          <t>enquiry@pom.com.sg</t>
        </is>
      </c>
      <c r="K94" s="161" t="inlineStr">
        <is>
          <t>16 Tai Seng Street, Level 4, Singapore 534138. SGMT gives connect@hyphens.com.sg</t>
        </is>
      </c>
      <c r="L94" s="170" t="inlineStr">
        <is>
          <t>C</t>
        </is>
      </c>
      <c r="M94" s="161" t="inlineStr">
        <is>
          <t>Pharma led; low priority.</t>
        </is>
      </c>
      <c r="N94" s="161" t="inlineStr">
        <is>
          <t>SonoEye P3 + SonoAir 70 + SonoBook 9</t>
        </is>
      </c>
      <c r="O94" s="197" t="n">
        <v>3</v>
      </c>
      <c r="P94" s="161" t="inlineStr">
        <is>
          <t>Tier 3 NEW.</t>
        </is>
      </c>
      <c r="Q94" s="161" t="inlineStr">
        <is>
          <t>Directory: PharmChoices Singapore supplier list (2026), own site not opened; SGMT</t>
        </is>
      </c>
      <c r="R94" s="161" t="inlineStr">
        <is>
          <t>NEW in v16</t>
        </is>
      </c>
      <c r="S94" s="161" t="inlineStr">
        <is>
          <t>Pan-Malayan Pharmaceuticals: a CHISON ultrasound line for the clinics you already supply</t>
        </is>
      </c>
      <c r="T94" s="161" t="inlineStr">
        <is>
          <t>Dear Pan-Malayan Pharmaceuticals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Pan-Malayan, part of Hyphens Pharma, distributes pharmaceutical and medical products to hospitals and clinics.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5" ht="300" customHeight="1" s="104">
      <c r="A95" s="195" t="n">
        <v>91</v>
      </c>
      <c r="B95" s="162" t="inlineStr">
        <is>
          <t>Pharmaforte Singapore Pte Ltd</t>
        </is>
      </c>
      <c r="C95" s="195" t="inlineStr">
        <is>
          <t>Not started</t>
        </is>
      </c>
      <c r="D95" s="161" t="inlineStr">
        <is>
          <t>Healthcare and pharmaceutical products distribution across South East Asia</t>
        </is>
      </c>
      <c r="E95" s="161" t="inlineStr">
        <is>
          <t>Hospitals, clinics</t>
        </is>
      </c>
      <c r="F95" s="161" t="inlineStr">
        <is>
          <t>Not identified</t>
        </is>
      </c>
      <c r="G95" s="161" t="inlineStr">
        <is>
          <t>Singapore (Tagore)</t>
        </is>
      </c>
      <c r="H95" s="163" t="inlineStr">
        <is>
          <t>https://pharmafortegroup.com</t>
        </is>
      </c>
      <c r="I95" s="161" t="inlineStr">
        <is>
          <t>+65 6452 8488</t>
        </is>
      </c>
      <c r="J95" s="161" t="inlineStr">
        <is>
          <t>enquiry@pharmaforte.com.sg</t>
        </is>
      </c>
      <c r="K95" s="161" t="inlineStr">
        <is>
          <t>6 Tagore Drive #03-11, Tagore Building, Singapore 787623</t>
        </is>
      </c>
      <c r="L95" s="170" t="inlineStr">
        <is>
          <t>C</t>
        </is>
      </c>
      <c r="M95" s="161" t="inlineStr">
        <is>
          <t>Pharma led regional platform.</t>
        </is>
      </c>
      <c r="N95" s="161" t="inlineStr">
        <is>
          <t>SonoEye P3 + SonoAir 70 + SonoBook 9</t>
        </is>
      </c>
      <c r="O95" s="197" t="n">
        <v>3</v>
      </c>
      <c r="P95" s="161" t="inlineStr">
        <is>
          <t>Tier 3 NEW.</t>
        </is>
      </c>
      <c r="Q95" s="161" t="inlineStr">
        <is>
          <t>Directory: PharmChoices Singapore supplier list (2026), own site not opened</t>
        </is>
      </c>
      <c r="R95" s="161" t="inlineStr">
        <is>
          <t>NEW in v16</t>
        </is>
      </c>
      <c r="S95" s="161" t="inlineStr">
        <is>
          <t>Pharmaforte: a CHISON ultrasound line for the clinics you already supply</t>
        </is>
      </c>
      <c r="T95" s="161" t="inlineStr">
        <is>
          <t>Dear Pharmaforte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Pharmaforte distributes healthcare and pharmaceutical products across South East Asia from Singapore.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6" ht="300" customHeight="1" s="104">
      <c r="A96" s="195" t="n">
        <v>92</v>
      </c>
      <c r="B96" s="162" t="inlineStr">
        <is>
          <t>First Aid Supplies Pte Ltd</t>
        </is>
      </c>
      <c r="C96" s="195" t="inlineStr">
        <is>
          <t>Not started</t>
        </is>
      </c>
      <c r="D96" s="161" t="inlineStr">
        <is>
          <t>First aid and emergency supplies</t>
        </is>
      </c>
      <c r="E96" s="161" t="inlineStr">
        <is>
          <t>Workplaces, schools, first responders</t>
        </is>
      </c>
      <c r="F96" s="161" t="inlineStr">
        <is>
          <t>Not identified</t>
        </is>
      </c>
      <c r="G96" s="161" t="inlineStr">
        <is>
          <t>Singapore (North Bridge Road)</t>
        </is>
      </c>
      <c r="H96" s="163" t="inlineStr">
        <is>
          <t>https://www.firstaid.com.sg</t>
        </is>
      </c>
      <c r="I96" s="161" t="inlineStr">
        <is>
          <t>+65 6292 0432</t>
        </is>
      </c>
      <c r="J96" s="161" t="inlineStr">
        <is>
          <t>sales@firstaid.com.sg</t>
        </is>
      </c>
      <c r="K96" s="161" t="inlineStr">
        <is>
          <t>800 North Bridge Road #01-01, Singapore 198768</t>
        </is>
      </c>
      <c r="L96" s="170" t="inlineStr">
        <is>
          <t>C</t>
        </is>
      </c>
      <c r="M96" s="161" t="inlineStr">
        <is>
          <t>First aid niche.</t>
        </is>
      </c>
      <c r="N96" s="161" t="inlineStr">
        <is>
          <t>SonoEye P3 + SonoAir 70</t>
        </is>
      </c>
      <c r="O96" s="197" t="n">
        <v>3</v>
      </c>
      <c r="P96" s="161" t="inlineStr">
        <is>
          <t>Tier 3 NEW.</t>
        </is>
      </c>
      <c r="Q96" s="161" t="inlineStr">
        <is>
          <t>Directory: PharmChoices Singapore supplier list (2026), own site not opened</t>
        </is>
      </c>
      <c r="R96" s="161" t="inlineStr">
        <is>
          <t>NEW in v16</t>
        </is>
      </c>
      <c r="S96" s="161" t="inlineStr">
        <is>
          <t>First Aid Supplies: CHISON pocket ultrasound for emergency and trauma teams</t>
        </is>
      </c>
      <c r="T96" s="161" t="inlineStr">
        <is>
          <t>Dear First Aid Supplies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First Aid Supplies equips workplaces and first responders across Singapore.
Pocket ultrasound for FAST and lung assessment fits the emergency and first responder customers you already supply.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7" ht="300" customHeight="1" s="104">
      <c r="A97" s="195" t="n">
        <v>93</v>
      </c>
      <c r="B97" s="162" t="inlineStr">
        <is>
          <t>Nova Diagnostics Pte Ltd</t>
        </is>
      </c>
      <c r="C97" s="195" t="inlineStr">
        <is>
          <t>Not started</t>
        </is>
      </c>
      <c r="D97" s="161" t="inlineStr">
        <is>
          <t>Diagnostics equipment supplier</t>
        </is>
      </c>
      <c r="E97" s="161" t="inlineStr">
        <is>
          <t>Laboratories, clinics</t>
        </is>
      </c>
      <c r="F97" s="161" t="inlineStr">
        <is>
          <t>Not identified</t>
        </is>
      </c>
      <c r="G97" s="161" t="inlineStr">
        <is>
          <t>Singapore (Senang Crescent)</t>
        </is>
      </c>
      <c r="H97" s="163" t="inlineStr">
        <is>
          <t>https://novadiagnostics.com.sg</t>
        </is>
      </c>
      <c r="I97" s="161" t="inlineStr">
        <is>
          <t>+65 6747 2913</t>
        </is>
      </c>
      <c r="J97" s="161" t="inlineStr">
        <is>
          <t>patrick@novadiagnostics.com.sg</t>
        </is>
      </c>
      <c r="K97" s="161" t="inlineStr">
        <is>
          <t>Bizhub 28, 28 Senang Crescent #03-12, Singapore 416601</t>
        </is>
      </c>
      <c r="L97" s="170" t="inlineStr">
        <is>
          <t>C</t>
        </is>
      </c>
      <c r="M97" s="161" t="inlineStr">
        <is>
          <t>IVD; low priority. Email is a named person's inbox from the directory.</t>
        </is>
      </c>
      <c r="N97" s="161" t="inlineStr">
        <is>
          <t>SonoEye P3 + SonoAir 70 + SonoBook 9</t>
        </is>
      </c>
      <c r="O97" s="197" t="n">
        <v>3</v>
      </c>
      <c r="P97" s="161" t="inlineStr">
        <is>
          <t>Tier 3 NEW.</t>
        </is>
      </c>
      <c r="Q97" s="161" t="inlineStr">
        <is>
          <t>Directory: PharmChoices Singapore supplier list (2026), own site not opened</t>
        </is>
      </c>
      <c r="R97" s="161" t="inlineStr">
        <is>
          <t>NEW in v16</t>
        </is>
      </c>
      <c r="S97" s="161" t="inlineStr">
        <is>
          <t>Nova Diagnostics: adding CHISON ultrasound to the institutions you already serve</t>
        </is>
      </c>
      <c r="T97" s="161" t="inlineStr">
        <is>
          <t>Dear Nova Diagnostics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Nova Diagnostics supplies diagnostic equipment to laboratories and clinics in Singapore.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8" ht="300" customHeight="1" s="104">
      <c r="A98" s="195" t="n">
        <v>94</v>
      </c>
      <c r="B98" s="162" t="inlineStr">
        <is>
          <t>Natsai VitalHealth Pte Ltd</t>
        </is>
      </c>
      <c r="C98" s="195" t="inlineStr">
        <is>
          <t>Not started</t>
        </is>
      </c>
      <c r="D98" s="161" t="inlineStr">
        <is>
          <t>Health products supplier</t>
        </is>
      </c>
      <c r="E98" s="161" t="inlineStr">
        <is>
          <t>Consumers, clinics</t>
        </is>
      </c>
      <c r="F98" s="161" t="inlineStr">
        <is>
          <t>Not identified</t>
        </is>
      </c>
      <c r="G98" s="161" t="inlineStr">
        <is>
          <t>Singapore (Ang Mo Kio)</t>
        </is>
      </c>
      <c r="H98" s="163" t="inlineStr">
        <is>
          <t>https://natsaivitalhealth.com</t>
        </is>
      </c>
      <c r="I98" s="161" t="inlineStr">
        <is>
          <t>+65 6452 9336 / +65 9189 4960</t>
        </is>
      </c>
      <c r="J98" s="161" t="inlineStr">
        <is>
          <t>sk@natsaivitalhealth.com</t>
        </is>
      </c>
      <c r="K98" s="161" t="inlineStr">
        <is>
          <t>8 Angklong Lane #01-03, Singapore 579981</t>
        </is>
      </c>
      <c r="L98" s="170" t="inlineStr">
        <is>
          <t>C</t>
        </is>
      </c>
      <c r="M98" s="161" t="inlineStr">
        <is>
          <t>Long shot.</t>
        </is>
      </c>
      <c r="N98" s="161" t="inlineStr">
        <is>
          <t>SonoEye P3 + SonoAir 70</t>
        </is>
      </c>
      <c r="O98" s="197" t="n">
        <v>3</v>
      </c>
      <c r="P98" s="161" t="inlineStr">
        <is>
          <t>Tier 3 NEW.</t>
        </is>
      </c>
      <c r="Q98" s="161" t="inlineStr">
        <is>
          <t>Directory: PharmChoices Singapore supplier list (2026), own site not opened</t>
        </is>
      </c>
      <c r="R98" s="161" t="inlineStr">
        <is>
          <t>NEW in v16</t>
        </is>
      </c>
      <c r="S98" s="161" t="inlineStr">
        <is>
          <t>Natsai VitalHealth: CHISON pocket ultrasound for home care and community clinics</t>
        </is>
      </c>
      <c r="T98" s="161" t="inlineStr">
        <is>
          <t>Dear Natsai VitalHealth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Natsai VitalHealth supplies health products to clinics and consumers in Singapore.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99" ht="300" customHeight="1" s="104">
      <c r="A99" s="195" t="n">
        <v>95</v>
      </c>
      <c r="B99" s="162" t="inlineStr">
        <is>
          <t>Mandarin Opto-Medic Co Pte Ltd</t>
        </is>
      </c>
      <c r="C99" s="195" t="inlineStr">
        <is>
          <t>Not started</t>
        </is>
      </c>
      <c r="D99" s="161" t="inlineStr">
        <is>
          <t>Ophthalmic devices; about 178 HSA registered products</t>
        </is>
      </c>
      <c r="E99" s="161" t="inlineStr">
        <is>
          <t>Ophthalmology</t>
        </is>
      </c>
      <c r="F99" s="161" t="inlineStr">
        <is>
          <t>Not identified</t>
        </is>
      </c>
      <c r="G99" s="161" t="inlineStr">
        <is>
          <t>Singapore (Kaki Bukit)</t>
        </is>
      </c>
      <c r="H99" s="163" t="inlineStr">
        <is>
          <t>https://www.mandarinoptomedic.com</t>
        </is>
      </c>
      <c r="I99" s="161" t="inlineStr">
        <is>
          <t>+65 6747 8777 / fax +65 6747 9444</t>
        </is>
      </c>
      <c r="J99" s="161" t="inlineStr">
        <is>
          <t>inquiry@mandarinoptomedic.com</t>
        </is>
      </c>
      <c r="K99" s="161" t="inlineStr">
        <is>
          <t>Kaki Bukit Crescent, Kaki Bukit Techpark 1, Singapore 416261</t>
        </is>
      </c>
      <c r="L99" s="170" t="inlineStr">
        <is>
          <t>C</t>
        </is>
      </c>
      <c r="M99" s="161" t="inlineStr">
        <is>
          <t>Large ophthalmic registrant; long shot for general imaging.</t>
        </is>
      </c>
      <c r="N99" s="161" t="inlineStr">
        <is>
          <t>SonoEye P3 + SonoAir 70 + SonoBook 9</t>
        </is>
      </c>
      <c r="O99" s="197" t="n">
        <v>3</v>
      </c>
      <c r="P99" s="161" t="inlineStr">
        <is>
          <t>Tier 3 NEW.</t>
        </is>
      </c>
      <c r="Q99" s="161" t="inlineStr">
        <is>
          <t>Directory: PharmChoices Singapore supplier list (2026), own site not opened; registry count from MedMatch</t>
        </is>
      </c>
      <c r="R99" s="161" t="inlineStr">
        <is>
          <t>NEW in v16</t>
        </is>
      </c>
      <c r="S99" s="161" t="inlineStr">
        <is>
          <t>Mandarin Opto-Medic: a CHISON ultrasound line for the clinics you already supply</t>
        </is>
      </c>
      <c r="T99" s="161" t="inlineStr">
        <is>
          <t>Dear Mandarin Opto-Medic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Mandarin Opto-Medic is one of Singapore's largest ophthalmic device distributors.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0" ht="300" customHeight="1" s="104">
      <c r="A100" s="195" t="n">
        <v>96</v>
      </c>
      <c r="B100" s="162" t="inlineStr">
        <is>
          <t>Greenstyle Pte Ltd (Rehabmart)</t>
        </is>
      </c>
      <c r="C100" s="195" t="inlineStr">
        <is>
          <t>Not started</t>
        </is>
      </c>
      <c r="D100" s="161" t="inlineStr">
        <is>
          <t>Rehabilitation and wellness products</t>
        </is>
      </c>
      <c r="E100" s="161" t="inlineStr">
        <is>
          <t>Rehabilitation, home care</t>
        </is>
      </c>
      <c r="F100" s="161" t="inlineStr">
        <is>
          <t>Not identified</t>
        </is>
      </c>
      <c r="G100" s="161" t="inlineStr">
        <is>
          <t>Singapore (Tagore)</t>
        </is>
      </c>
      <c r="H100" s="163" t="inlineStr">
        <is>
          <t>https://rehabmart.com.sg</t>
        </is>
      </c>
      <c r="I100" s="161" t="inlineStr">
        <is>
          <t>+65 6250 0555</t>
        </is>
      </c>
      <c r="J100" s="161" t="inlineStr">
        <is>
          <t>mailmail@rehabmart.sg</t>
        </is>
      </c>
      <c r="K100" s="161" t="inlineStr">
        <is>
          <t>23 Tagore Lane #04-19, Tagore 23 Warehouse, Singapore 787601</t>
        </is>
      </c>
      <c r="L100" s="170" t="inlineStr">
        <is>
          <t>C</t>
        </is>
      </c>
      <c r="M100" s="161" t="inlineStr">
        <is>
          <t>Rehab retail.</t>
        </is>
      </c>
      <c r="N100" s="161" t="inlineStr">
        <is>
          <t>SonoEye P5 + SonoAir 70 + SonoBook 9</t>
        </is>
      </c>
      <c r="O100" s="197" t="n">
        <v>3</v>
      </c>
      <c r="P100" s="161" t="inlineStr">
        <is>
          <t>Tier 3 NEW.</t>
        </is>
      </c>
      <c r="Q100" s="161" t="inlineStr">
        <is>
          <t>Directory: PharmChoices Singapore supplier list (2026), own site not opened</t>
        </is>
      </c>
      <c r="R100" s="161" t="inlineStr">
        <is>
          <t>NEW in v16</t>
        </is>
      </c>
      <c r="S100" s="161" t="inlineStr">
        <is>
          <t>Rehabmart: CHISON high frequency ultrasound for MSK and sports clinics</t>
        </is>
      </c>
      <c r="T100" s="161" t="inlineStr">
        <is>
          <t>Dear Rehabmart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Rehabmart supplies rehabilitation and wellness products across Singapore.
Orthopaedic, sports and rehabilitation clinicians use high frequency ultrasound for tendon, joint and injection work, so a scanner sits naturally beside what you already sell them.
• SonoEye P5: high frequency handheld for superficial and MSK work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1" ht="300" customHeight="1" s="104">
      <c r="A101" s="195" t="n">
        <v>97</v>
      </c>
      <c r="B101" s="162" t="inlineStr">
        <is>
          <t>Fu Kang Healthcare Supply Pte Ltd</t>
        </is>
      </c>
      <c r="C101" s="195" t="inlineStr">
        <is>
          <t>Not started</t>
        </is>
      </c>
      <c r="D101" s="161" t="inlineStr">
        <is>
          <t>Orthopaedic rehabilitation and sports supplies (rehabshop.com.sg)</t>
        </is>
      </c>
      <c r="E101" s="161" t="inlineStr">
        <is>
          <t>Rehabilitation, sports</t>
        </is>
      </c>
      <c r="F101" s="161" t="inlineStr">
        <is>
          <t>Not identified</t>
        </is>
      </c>
      <c r="G101" s="161" t="inlineStr">
        <is>
          <t>Singapore (Ubi)</t>
        </is>
      </c>
      <c r="H101" s="163" t="inlineStr">
        <is>
          <t>https://rehabshop.com.sg</t>
        </is>
      </c>
      <c r="I101" s="161" t="inlineStr">
        <is>
          <t>+65 9728 8210 (WhatsApp)</t>
        </is>
      </c>
      <c r="J101" s="161" t="inlineStr">
        <is>
          <t>sales@fukanghealthcare.com</t>
        </is>
      </c>
      <c r="K101" s="161" t="inlineStr">
        <is>
          <t>Blk 3006 Ubi Road 1 #03-362, Singapore 408700</t>
        </is>
      </c>
      <c r="L101" s="170" t="inlineStr">
        <is>
          <t>C</t>
        </is>
      </c>
      <c r="M101" s="161" t="inlineStr">
        <is>
          <t>Rehab retail.</t>
        </is>
      </c>
      <c r="N101" s="161" t="inlineStr">
        <is>
          <t>SonoEye P5 + SonoAir 70 + SonoBook 9</t>
        </is>
      </c>
      <c r="O101" s="197" t="n">
        <v>3</v>
      </c>
      <c r="P101" s="161" t="inlineStr">
        <is>
          <t>Tier 3 NEW.</t>
        </is>
      </c>
      <c r="Q101" s="161" t="inlineStr">
        <is>
          <t>Directory: PharmChoices Singapore supplier list (2026), own site not opened</t>
        </is>
      </c>
      <c r="R101" s="161" t="inlineStr">
        <is>
          <t>NEW in v16</t>
        </is>
      </c>
      <c r="S101" s="161" t="inlineStr">
        <is>
          <t>Fu Kang Healthcare: CHISON high frequency ultrasound for MSK and sports clinics</t>
        </is>
      </c>
      <c r="T101" s="161" t="inlineStr">
        <is>
          <t>Dear Fu Kang Healthcare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Fu Kang supplies orthopaedic rehabilitation and sports products in Singapore.
Orthopaedic, sports and rehabilitation clinicians use high frequency ultrasound for tendon, joint and injection work, so a scanner sits naturally beside what you already sell them.
• SonoEye P5: high frequency handheld for superficial and MSK work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2" ht="300" customHeight="1" s="104">
      <c r="A102" s="195" t="n">
        <v>98</v>
      </c>
      <c r="B102" s="162" t="inlineStr">
        <is>
          <t>Leedon Technology Pte Ltd</t>
        </is>
      </c>
      <c r="C102" s="195" t="inlineStr">
        <is>
          <t>Not started</t>
        </is>
      </c>
      <c r="D102" s="161" t="inlineStr">
        <is>
          <t>Hospital equipment and supplies (SGMT category); line card not confirmed</t>
        </is>
      </c>
      <c r="E102" s="161" t="inlineStr">
        <is>
          <t>To confirm</t>
        </is>
      </c>
      <c r="F102" s="161" t="inlineStr">
        <is>
          <t>Not identified</t>
        </is>
      </c>
      <c r="G102" s="161" t="inlineStr">
        <is>
          <t>Singapore (Toa Payoh)</t>
        </is>
      </c>
      <c r="H102" s="163" t="inlineStr">
        <is>
          <t>http://leedon.com</t>
        </is>
      </c>
      <c r="I102" s="161" t="inlineStr">
        <is>
          <t>+65 6284 8382 / +65 6258 3313</t>
        </is>
      </c>
      <c r="J102" s="161" t="inlineStr">
        <is>
          <t>leedon28@singnet.com.sg</t>
        </is>
      </c>
      <c r="K102" s="161" t="inlineStr">
        <is>
          <t>1003 Toa Payoh Industrial Park #03-1509, Singapore 319075</t>
        </is>
      </c>
      <c r="L102" s="170" t="inlineStr">
        <is>
          <t>C</t>
        </is>
      </c>
      <c r="M102" s="161" t="inlineStr">
        <is>
          <t>Line card unknown.</t>
        </is>
      </c>
      <c r="N102" s="161" t="inlineStr">
        <is>
          <t>SonoEye P3 + SonoAir 70 + SonoBook 9</t>
        </is>
      </c>
      <c r="O102" s="197" t="n">
        <v>3</v>
      </c>
      <c r="P102" s="161" t="inlineStr">
        <is>
          <t>Tier 3 NEW.</t>
        </is>
      </c>
      <c r="Q102" s="161" t="inlineStr">
        <is>
          <t>Directory: PharmChoices Singapore supplier list (2026), own site not opened; SGMT</t>
        </is>
      </c>
      <c r="R102" s="161" t="inlineStr">
        <is>
          <t>NEW in v16</t>
        </is>
      </c>
      <c r="S102" s="161" t="inlineStr">
        <is>
          <t>Leedon Technology: a CHISON ultrasound line for the clinics you already supply</t>
        </is>
      </c>
      <c r="T102" s="161" t="inlineStr">
        <is>
          <t>Dear Leedon Technology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Leedon is listed among Singapore's hospital equipment and supplies distributors.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3" ht="300" customHeight="1" s="104">
      <c r="A103" s="195" t="n">
        <v>99</v>
      </c>
      <c r="B103" s="162" t="inlineStr">
        <is>
          <t>DML Trading Pte Ltd</t>
        </is>
      </c>
      <c r="C103" s="195" t="inlineStr">
        <is>
          <t>Not started</t>
        </is>
      </c>
      <c r="D103" s="161" t="inlineStr">
        <is>
          <t>Hospital equipment and supplies (SGMT category); line card not confirmed</t>
        </is>
      </c>
      <c r="E103" s="161" t="inlineStr">
        <is>
          <t>To confirm</t>
        </is>
      </c>
      <c r="F103" s="161" t="inlineStr">
        <is>
          <t>Not identified</t>
        </is>
      </c>
      <c r="G103" s="161" t="inlineStr">
        <is>
          <t>Singapore</t>
        </is>
      </c>
      <c r="H103" s="161" t="inlineStr">
        <is>
          <t>Not found</t>
        </is>
      </c>
      <c r="I103" s="161" t="inlineStr">
        <is>
          <t>+65 6253 2461</t>
        </is>
      </c>
      <c r="J103" s="161" t="inlineStr">
        <is>
          <t>enquiry@dmltrading.com.sg</t>
        </is>
      </c>
      <c r="K103" s="161" t="inlineStr">
        <is>
          <t>Address not confirmed</t>
        </is>
      </c>
      <c r="L103" s="170" t="inlineStr">
        <is>
          <t>C</t>
        </is>
      </c>
      <c r="M103" s="161" t="inlineStr">
        <is>
          <t>Line card unknown.</t>
        </is>
      </c>
      <c r="N103" s="161" t="inlineStr">
        <is>
          <t>SonoEye P3 + SonoAir 70 + SonoBook 9</t>
        </is>
      </c>
      <c r="O103" s="197" t="n">
        <v>3</v>
      </c>
      <c r="P103" s="161" t="inlineStr">
        <is>
          <t>Tier 3 NEW.</t>
        </is>
      </c>
      <c r="Q103" s="161" t="inlineStr">
        <is>
          <t>Directory: Singapore MedTech (SGMT) member directory, own site not opened</t>
        </is>
      </c>
      <c r="R103" s="161" t="inlineStr">
        <is>
          <t>NEW in v16</t>
        </is>
      </c>
      <c r="S103" s="161" t="inlineStr">
        <is>
          <t>DML Trading: a CHISON ultrasound line for the clinics you already supply</t>
        </is>
      </c>
      <c r="T103" s="161" t="inlineStr">
        <is>
          <t>Dear DML Trading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DML Trading is listed among Singapore's hospital equipment and supplies distributors.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4" ht="300" customHeight="1" s="104">
      <c r="A104" s="195" t="n">
        <v>100</v>
      </c>
      <c r="B104" s="162" t="inlineStr">
        <is>
          <t>E-Mesh (S) Pte Ltd</t>
        </is>
      </c>
      <c r="C104" s="195" t="inlineStr">
        <is>
          <t>Not started</t>
        </is>
      </c>
      <c r="D104" s="161" t="inlineStr">
        <is>
          <t>Hospital equipment and supplies (SGMT category); line card not confirmed</t>
        </is>
      </c>
      <c r="E104" s="161" t="inlineStr">
        <is>
          <t>To confirm</t>
        </is>
      </c>
      <c r="F104" s="161" t="inlineStr">
        <is>
          <t>Not identified</t>
        </is>
      </c>
      <c r="G104" s="161" t="inlineStr">
        <is>
          <t>Singapore</t>
        </is>
      </c>
      <c r="H104" s="163" t="inlineStr">
        <is>
          <t>https://www.emesh.com.sg</t>
        </is>
      </c>
      <c r="I104" s="161" t="inlineStr">
        <is>
          <t>+65 6522 9632</t>
        </is>
      </c>
      <c r="J104" s="161" t="inlineStr">
        <is>
          <t>info@emesh.com.sg</t>
        </is>
      </c>
      <c r="K104" s="161" t="inlineStr">
        <is>
          <t>Address not confirmed</t>
        </is>
      </c>
      <c r="L104" s="170" t="inlineStr">
        <is>
          <t>C</t>
        </is>
      </c>
      <c r="M104" s="161" t="inlineStr">
        <is>
          <t>Line card unknown.</t>
        </is>
      </c>
      <c r="N104" s="161" t="inlineStr">
        <is>
          <t>SonoEye P3 + SonoAir 70 + SonoBook 9</t>
        </is>
      </c>
      <c r="O104" s="197" t="n">
        <v>3</v>
      </c>
      <c r="P104" s="161" t="inlineStr">
        <is>
          <t>Tier 3 NEW.</t>
        </is>
      </c>
      <c r="Q104" s="161" t="inlineStr">
        <is>
          <t>Directory: Singapore MedTech (SGMT) member directory, own site not opened</t>
        </is>
      </c>
      <c r="R104" s="161" t="inlineStr">
        <is>
          <t>NEW in v16</t>
        </is>
      </c>
      <c r="S104" s="161" t="inlineStr">
        <is>
          <t>E-Mesh: a CHISON ultrasound line for the clinics you already supply</t>
        </is>
      </c>
      <c r="T104" s="161" t="inlineStr">
        <is>
          <t>Dear E-Mesh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E-Mesh is listed among Singapore's hospital equipment and supplies distributors.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5" ht="300" customHeight="1" s="104">
      <c r="A105" s="195" t="n">
        <v>101</v>
      </c>
      <c r="B105" s="162" t="inlineStr">
        <is>
          <t>Kenda (S) Pte Ltd</t>
        </is>
      </c>
      <c r="C105" s="195" t="inlineStr">
        <is>
          <t>Not started</t>
        </is>
      </c>
      <c r="D105" s="161" t="inlineStr">
        <is>
          <t>Hospital equipment and supplies (SGMT category); line card not confirmed</t>
        </is>
      </c>
      <c r="E105" s="161" t="inlineStr">
        <is>
          <t>To confirm</t>
        </is>
      </c>
      <c r="F105" s="161" t="inlineStr">
        <is>
          <t>Not identified</t>
        </is>
      </c>
      <c r="G105" s="161" t="inlineStr">
        <is>
          <t>Singapore</t>
        </is>
      </c>
      <c r="H105" s="163" t="inlineStr">
        <is>
          <t>https://kenda.net</t>
        </is>
      </c>
      <c r="I105" s="161" t="inlineStr">
        <is>
          <t>+65 6543 1183</t>
        </is>
      </c>
      <c r="J105" s="161" t="inlineStr">
        <is>
          <t>kendasing@kenda.net</t>
        </is>
      </c>
      <c r="K105" s="161" t="inlineStr">
        <is>
          <t>Address not confirmed</t>
        </is>
      </c>
      <c r="L105" s="170" t="inlineStr">
        <is>
          <t>C</t>
        </is>
      </c>
      <c r="M105" s="161" t="inlineStr">
        <is>
          <t>Line card unknown.</t>
        </is>
      </c>
      <c r="N105" s="161" t="inlineStr">
        <is>
          <t>SonoEye P3 + SonoAir 70 + SonoBook 9</t>
        </is>
      </c>
      <c r="O105" s="197" t="n">
        <v>3</v>
      </c>
      <c r="P105" s="161" t="inlineStr">
        <is>
          <t>Tier 3 NEW.</t>
        </is>
      </c>
      <c r="Q105" s="161" t="inlineStr">
        <is>
          <t>Directory: Singapore MedTech (SGMT) member directory, own site not opened</t>
        </is>
      </c>
      <c r="R105" s="161" t="inlineStr">
        <is>
          <t>NEW in v16</t>
        </is>
      </c>
      <c r="S105" s="161" t="inlineStr">
        <is>
          <t>Kenda: a CHISON ultrasound line for the clinics you already supply</t>
        </is>
      </c>
      <c r="T105" s="161" t="inlineStr">
        <is>
          <t>Dear Kenda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Kenda is listed among Singapore's hospital equipment and supplies distributors.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6" ht="300" customHeight="1" s="104">
      <c r="A106" s="195" t="n">
        <v>102</v>
      </c>
      <c r="B106" s="162" t="inlineStr">
        <is>
          <t>Scientific &amp; Industrial Instrumentation Pte Ltd</t>
        </is>
      </c>
      <c r="C106" s="195" t="inlineStr">
        <is>
          <t>Not started</t>
        </is>
      </c>
      <c r="D106" s="161" t="inlineStr">
        <is>
          <t>Hospital equipment and supplies (SGMT category); scientific instrumentation</t>
        </is>
      </c>
      <c r="E106" s="161" t="inlineStr">
        <is>
          <t>Hospitals, laboratories</t>
        </is>
      </c>
      <c r="F106" s="161" t="inlineStr">
        <is>
          <t>Not identified</t>
        </is>
      </c>
      <c r="G106" s="161" t="inlineStr">
        <is>
          <t>Singapore</t>
        </is>
      </c>
      <c r="H106" s="163" t="inlineStr">
        <is>
          <t>https://www.sii.com.sg</t>
        </is>
      </c>
      <c r="I106" s="161" t="inlineStr">
        <is>
          <t>+65 6862 2866</t>
        </is>
      </c>
      <c r="J106" s="161" t="inlineStr">
        <is>
          <t>info@siisin.com.sg</t>
        </is>
      </c>
      <c r="K106" s="161" t="inlineStr">
        <is>
          <t>Address not confirmed</t>
        </is>
      </c>
      <c r="L106" s="170" t="inlineStr">
        <is>
          <t>C</t>
        </is>
      </c>
      <c r="M106" s="161" t="inlineStr">
        <is>
          <t>Instrumentation house.</t>
        </is>
      </c>
      <c r="N106" s="161" t="inlineStr">
        <is>
          <t>SonoEye P3 + SonoAir 70 + SonoBook 9</t>
        </is>
      </c>
      <c r="O106" s="197" t="n">
        <v>3</v>
      </c>
      <c r="P106" s="161" t="inlineStr">
        <is>
          <t>Tier 3 NEW.</t>
        </is>
      </c>
      <c r="Q106" s="161" t="inlineStr">
        <is>
          <t>Directory: Singapore MedTech (SGMT) member directory, own site not opened</t>
        </is>
      </c>
      <c r="R106" s="161" t="inlineStr">
        <is>
          <t>NEW in v16</t>
        </is>
      </c>
      <c r="S106" s="161" t="inlineStr">
        <is>
          <t>SII: adding CHISON ultrasound to the institutions you already serve</t>
        </is>
      </c>
      <c r="T106" s="161" t="inlineStr">
        <is>
          <t>Dear SII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SII is listed among Singapore's hospital equipment and instrumentation suppliers.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7" ht="300" customHeight="1" s="104">
      <c r="A107" s="195" t="n">
        <v>103</v>
      </c>
      <c r="B107" s="162" t="inlineStr">
        <is>
          <t>Omega Scientific Pte Ltd</t>
        </is>
      </c>
      <c r="C107" s="195" t="inlineStr">
        <is>
          <t>Not started</t>
        </is>
      </c>
      <c r="D107" s="161" t="inlineStr">
        <is>
          <t>Scientific and hospital equipment (SGMT hospital equipment category)</t>
        </is>
      </c>
      <c r="E107" s="161" t="inlineStr">
        <is>
          <t>Hospitals, laboratories</t>
        </is>
      </c>
      <c r="F107" s="161" t="inlineStr">
        <is>
          <t>Not identified</t>
        </is>
      </c>
      <c r="G107" s="161" t="inlineStr">
        <is>
          <t>Singapore (Kaki Bukit)</t>
        </is>
      </c>
      <c r="H107" s="163" t="inlineStr">
        <is>
          <t>https://www.omegascientific.com.sg</t>
        </is>
      </c>
      <c r="I107" s="161" t="inlineStr">
        <is>
          <t>+65 6744 6645 / +65 8950 1281</t>
        </is>
      </c>
      <c r="J107" s="161" t="inlineStr">
        <is>
          <t>info@omegascientific.com.sg</t>
        </is>
      </c>
      <c r="K107" s="161" t="inlineStr">
        <is>
          <t>31 Kaki Bukit Road 3 #06-12, Techlink, Singapore 417818</t>
        </is>
      </c>
      <c r="L107" s="170" t="inlineStr">
        <is>
          <t>C</t>
        </is>
      </c>
      <c r="M107" s="161" t="inlineStr">
        <is>
          <t>Scientific supplier.</t>
        </is>
      </c>
      <c r="N107" s="161" t="inlineStr">
        <is>
          <t>SonoEye P3 + SonoAir 70 + SonoBook 9</t>
        </is>
      </c>
      <c r="O107" s="197" t="n">
        <v>3</v>
      </c>
      <c r="P107" s="161" t="inlineStr">
        <is>
          <t>Tier 3 NEW.</t>
        </is>
      </c>
      <c r="Q107" s="161" t="inlineStr">
        <is>
          <t>Directory: PharmChoices Singapore supplier list (2026), own site not opened; SGMT</t>
        </is>
      </c>
      <c r="R107" s="161" t="inlineStr">
        <is>
          <t>NEW in v16</t>
        </is>
      </c>
      <c r="S107" s="161" t="inlineStr">
        <is>
          <t>Omega Scientific: adding CHISON ultrasound to the institutions you already serve</t>
        </is>
      </c>
      <c r="T107" s="161" t="inlineStr">
        <is>
          <t>Dear Omega Scientific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Omega Scientific supplies scientific and hospital equipment in Singapore.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8" ht="300" customHeight="1" s="104">
      <c r="A108" s="195" t="n">
        <v>104</v>
      </c>
      <c r="B108" s="162" t="inlineStr">
        <is>
          <t>Singapore Ambulance Service &amp; Training Pte Ltd</t>
        </is>
      </c>
      <c r="C108" s="195" t="inlineStr">
        <is>
          <t>Not started</t>
        </is>
      </c>
      <c r="D108" s="161" t="inlineStr">
        <is>
          <t>Private ambulance and medical transport, first aid and medical training</t>
        </is>
      </c>
      <c r="E108" s="161" t="inlineStr">
        <is>
          <t>Pre hospital care, medical transport, training</t>
        </is>
      </c>
      <c r="F108" s="161" t="inlineStr">
        <is>
          <t>Not identified</t>
        </is>
      </c>
      <c r="G108" s="161" t="inlineStr">
        <is>
          <t>Singapore (Yishun)</t>
        </is>
      </c>
      <c r="H108" s="163" t="inlineStr">
        <is>
          <t>https://www.singaporeambulance.com</t>
        </is>
      </c>
      <c r="I108" s="161" t="inlineStr">
        <is>
          <t>+65 6694 4466 / +65 6694 0110</t>
        </is>
      </c>
      <c r="J108" s="161" t="inlineStr">
        <is>
          <t>info@singaporeambulance.com</t>
        </is>
      </c>
      <c r="K108" s="161" t="inlineStr">
        <is>
          <t>1 Yishun Industrial Street 1 #08-30, A'Posh BizHub, Singapore 768160</t>
        </is>
      </c>
      <c r="L108" s="170" t="inlineStr">
        <is>
          <t>C</t>
        </is>
      </c>
      <c r="M108" s="161" t="inlineStr">
        <is>
          <t>More end user than dealer, but runs training courses. Pitch as both.</t>
        </is>
      </c>
      <c r="N108" s="161" t="inlineStr">
        <is>
          <t>SonoEye P3 + SonoAir 70</t>
        </is>
      </c>
      <c r="O108" s="197" t="n">
        <v>3</v>
      </c>
      <c r="P108" s="161" t="inlineStr">
        <is>
          <t>Tier 3 NEW.</t>
        </is>
      </c>
      <c r="Q108" s="161" t="inlineStr">
        <is>
          <t>Directory: PharmChoices Singapore supplier list (2026), own site not opened</t>
        </is>
      </c>
      <c r="R108" s="161" t="inlineStr">
        <is>
          <t>NEW in v16</t>
        </is>
      </c>
      <c r="S108" s="161" t="inlineStr">
        <is>
          <t>Singapore Ambulance Service: CHISON pocket ultrasound for emergency and trauma teams</t>
        </is>
      </c>
      <c r="T108" s="161" t="inlineStr">
        <is>
          <t>Dear Singapore Ambulance Service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Singapore Ambulance Service runs pre hospital transport and medical training, two settings where pocket ultrasound is spreading.
Pocket ultrasound for FAST and lung assessment fits the emergency and first responder customers you already supply.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09" ht="300" customHeight="1" s="104">
      <c r="A109" s="195" t="n">
        <v>105</v>
      </c>
      <c r="B109" s="162" t="inlineStr">
        <is>
          <t>Hygeian Medical Supplies (Pte) Ltd</t>
        </is>
      </c>
      <c r="C109" s="195" t="inlineStr">
        <is>
          <t>Not started</t>
        </is>
      </c>
      <c r="D109" s="161" t="inlineStr">
        <is>
          <t>Clinic supplies, surgical dressings and instruments, TCM and acupuncture needles and instruments, servicing</t>
        </is>
      </c>
      <c r="E109" s="161" t="inlineStr">
        <is>
          <t>General clinics, TCM and acupuncture practitioners</t>
        </is>
      </c>
      <c r="F109" s="161" t="inlineStr">
        <is>
          <t>No ultrasound line identified</t>
        </is>
      </c>
      <c r="G109" s="161" t="inlineStr">
        <is>
          <t>Singapore (Henderson Road)</t>
        </is>
      </c>
      <c r="H109" s="163" t="inlineStr">
        <is>
          <t>https://hygeian.com.sg</t>
        </is>
      </c>
      <c r="I109" s="161" t="inlineStr">
        <is>
          <t>+65 6270 2993 / fax +65 6339 5034</t>
        </is>
      </c>
      <c r="J109" s="161" t="inlineStr">
        <is>
          <t>mail@hygeian.com.sg</t>
        </is>
      </c>
      <c r="K109" s="161" t="inlineStr">
        <is>
          <t>203 Henderson Road #07-05, Henderson Industrial Park, Singapore 159546</t>
        </is>
      </c>
      <c r="L109" s="165" t="inlineStr">
        <is>
          <t>A</t>
        </is>
      </c>
      <c r="M109" s="161" t="inlineStr">
        <is>
          <t>Clinic and TCM supplies; long shot.</t>
        </is>
      </c>
      <c r="N109" s="161" t="inlineStr">
        <is>
          <t>SonoEye P3 + SonoAir 70 + SonoBook 9</t>
        </is>
      </c>
      <c r="O109" s="197" t="n">
        <v>3</v>
      </c>
      <c r="P109" s="161" t="inlineStr">
        <is>
          <t>Tier 3 NEW.</t>
        </is>
      </c>
      <c r="Q109" s="161" t="inlineStr">
        <is>
          <t>Own site opened 7 Oct 2026</t>
        </is>
      </c>
      <c r="R109" s="161" t="inlineStr">
        <is>
          <t>NEW in v16</t>
        </is>
      </c>
      <c r="S109" s="161" t="inlineStr">
        <is>
          <t>Hygeian Medical Supplies: a CHISON ultrasound line for the clinics you already supply</t>
        </is>
      </c>
      <c r="T109" s="161" t="inlineStr">
        <is>
          <t>Dear Hygeian Medical Supplies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Hygeian supplies general clinics and TCM practitioners with dressings, instruments and clinic supplies.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10" ht="300" customHeight="1" s="104">
      <c r="A110" s="195" t="n">
        <v>106</v>
      </c>
      <c r="B110" s="162" t="inlineStr">
        <is>
          <t>Integratif Medical Pte Ltd</t>
        </is>
      </c>
      <c r="C110" s="195" t="inlineStr">
        <is>
          <t>Not started</t>
        </is>
      </c>
      <c r="D110" s="161" t="inlineStr">
        <is>
          <t>Prosthetics, orthotics, knee braces, podiatry, scoliosis bracing, WalkAide</t>
        </is>
      </c>
      <c r="E110" s="161" t="inlineStr">
        <is>
          <t>Orthopaedics, podiatry, rehabilitation</t>
        </is>
      </c>
      <c r="F110" s="161" t="inlineStr">
        <is>
          <t>No ultrasound line identified</t>
        </is>
      </c>
      <c r="G110" s="161" t="inlineStr">
        <is>
          <t>Singapore (Lavender)</t>
        </is>
      </c>
      <c r="H110" s="163" t="inlineStr">
        <is>
          <t>https://www.integratif.com.sg</t>
        </is>
      </c>
      <c r="I110" s="161" t="inlineStr">
        <is>
          <t>+65 6224 8468</t>
        </is>
      </c>
      <c r="J110" s="161" t="inlineStr">
        <is>
          <t>enquiry@integratif.com.sg</t>
        </is>
      </c>
      <c r="K110" s="161" t="inlineStr">
        <is>
          <t>114 Lavender Street #03-80, CT Hub 2, Singapore 338729 (directory)</t>
        </is>
      </c>
      <c r="L110" s="170" t="inlineStr">
        <is>
          <t>C</t>
        </is>
      </c>
      <c r="M110" s="161" t="inlineStr">
        <is>
          <t>Orthotics clinic; long shot.</t>
        </is>
      </c>
      <c r="N110" s="161" t="inlineStr">
        <is>
          <t>SonoEye P5 + SonoAir 70 + SonoBook 9</t>
        </is>
      </c>
      <c r="O110" s="197" t="n">
        <v>3</v>
      </c>
      <c r="P110" s="161" t="inlineStr">
        <is>
          <t>Tier 3 NEW.</t>
        </is>
      </c>
      <c r="Q110" s="161" t="inlineStr">
        <is>
          <t>Own site opened (contact not shown); email from PharmChoices</t>
        </is>
      </c>
      <c r="R110" s="161" t="inlineStr">
        <is>
          <t>NEW in v16</t>
        </is>
      </c>
      <c r="S110" s="161" t="inlineStr">
        <is>
          <t>Integratif Medical: CHISON high frequency ultrasound for MSK and sports clinics</t>
        </is>
      </c>
      <c r="T110" s="161" t="inlineStr">
        <is>
          <t>Dear Integratif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Integratif works with orthopaedic, podiatry and rehabilitation patients across Singapore.
Orthopaedic, sports and rehabilitation clinicians use high frequency ultrasound for tendon, joint and injection work, so a scanner sits naturally beside what you already sell them.
• SonoEye P5: high frequency handheld for superficial and MSK work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11" ht="300" customHeight="1" s="104">
      <c r="A111" s="195" t="n">
        <v>107</v>
      </c>
      <c r="B111" s="162" t="inlineStr">
        <is>
          <t>Luen Cheong Hong (S) Pte Ltd</t>
        </is>
      </c>
      <c r="C111" s="195" t="inlineStr">
        <is>
          <t>Not started</t>
        </is>
      </c>
      <c r="D111" s="161" t="inlineStr">
        <is>
          <t>Class A medical devices only in Singapore: masks, PPE, elderly care, rehab and home care, vet and pet products</t>
        </is>
      </c>
      <c r="E111" s="161" t="inlineStr">
        <is>
          <t>Elderly care, home care</t>
        </is>
      </c>
      <c r="F111" s="161" t="inlineStr">
        <is>
          <t>No ultrasound line identified</t>
        </is>
      </c>
      <c r="G111" s="161" t="inlineStr">
        <is>
          <t>Singapore (Kembangan)</t>
        </is>
      </c>
      <c r="H111" s="163" t="inlineStr">
        <is>
          <t>https://www.luencheonghong.com</t>
        </is>
      </c>
      <c r="I111" s="161" t="inlineStr">
        <is>
          <t>Not published for Singapore</t>
        </is>
      </c>
      <c r="J111" s="161" t="inlineStr">
        <is>
          <t>lch@lchl.com.hk</t>
        </is>
      </c>
      <c r="K111" s="161" t="inlineStr">
        <is>
          <t>18 Jalan Masjid, Kembangan Plaza, Singapore 418944. Hong Kong parent</t>
        </is>
      </c>
      <c r="L111" s="165" t="inlineStr">
        <is>
          <t>A</t>
        </is>
      </c>
      <c r="M111" s="161" t="inlineStr">
        <is>
          <t>Class A only today; would need a licence change for imaging. Long shot.</t>
        </is>
      </c>
      <c r="N111" s="161" t="inlineStr">
        <is>
          <t>SonoEye P3 + SonoAir 70</t>
        </is>
      </c>
      <c r="O111" s="197" t="n">
        <v>3</v>
      </c>
      <c r="P111" s="161" t="inlineStr">
        <is>
          <t>Tier 3 NEW.</t>
        </is>
      </c>
      <c r="Q111" s="161" t="inlineStr">
        <is>
          <t>Own site opened 7 Oct 2026</t>
        </is>
      </c>
      <c r="R111" s="161" t="inlineStr">
        <is>
          <t>NEW in v16</t>
        </is>
      </c>
      <c r="S111" s="161" t="inlineStr">
        <is>
          <t>Luen Cheong Hong: CHISON pocket ultrasound for home care and community clinics</t>
        </is>
      </c>
      <c r="T111" s="161" t="inlineStr">
        <is>
          <t>Dear Luen Cheong Hong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Luen Cheong Hong supplies elderly care, rehabilitation and home care products in Singapore and Hong Kong.
Home care doctors, nursing homes and community clinics are starting to scan at the bedside, and a pocket handheld is light enough to go on every visit.
• SonoEye P3: pocket handheld for vascular access, nerve block and bedside scans
• SonoAir 70: light laptop for wards, theatres and clinics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12" ht="300" customHeight="1" s="104">
      <c r="A112" s="195" t="n">
        <v>108</v>
      </c>
      <c r="B112" s="162" t="inlineStr">
        <is>
          <t>Neotec Medical Industries (Singapore office)</t>
        </is>
      </c>
      <c r="C112" s="195" t="inlineStr">
        <is>
          <t>Not started</t>
        </is>
      </c>
      <c r="D112" s="161" t="inlineStr">
        <is>
          <t>Manufacturer of safety IV cannulas, stopcocks, extension lines, blood collection, needle free valves; 40+ years, 70+ countries</t>
        </is>
      </c>
      <c r="E112" s="161" t="inlineStr">
        <is>
          <t>Hospitals (vascular access, phlebotomy)</t>
        </is>
      </c>
      <c r="F112" s="161" t="inlineStr">
        <is>
          <t>No ultrasound line identified</t>
        </is>
      </c>
      <c r="G112" s="161" t="inlineStr">
        <is>
          <t>Singapore (Paya Lebar)</t>
        </is>
      </c>
      <c r="H112" s="163" t="inlineStr">
        <is>
          <t>https://www.neotecmedical.com</t>
        </is>
      </c>
      <c r="I112" s="161" t="inlineStr">
        <is>
          <t>+65 6274 4144</t>
        </is>
      </c>
      <c r="J112" s="161" t="inlineStr">
        <is>
          <t>info@neotecmedical.com</t>
        </is>
      </c>
      <c r="K112" s="161" t="inlineStr">
        <is>
          <t>60 Paya Lebar Road #04-11, Paya Lebar Square, Singapore 409051</t>
        </is>
      </c>
      <c r="L112" s="165" t="inlineStr">
        <is>
          <t>A</t>
        </is>
      </c>
      <c r="M112" s="161" t="inlineStr">
        <is>
          <t>A manufacturer's sales office, not a dealer. Ultrasound guided cannulation makes it a co-selling conversation.</t>
        </is>
      </c>
      <c r="N112" s="161" t="inlineStr">
        <is>
          <t>SonoEye P3 + SonoAir 70 + SonoBook 9</t>
        </is>
      </c>
      <c r="O112" s="197" t="n">
        <v>3</v>
      </c>
      <c r="P112" s="161" t="inlineStr">
        <is>
          <t>Tier 3 NEW (complementary line).</t>
        </is>
      </c>
      <c r="Q112" s="161" t="inlineStr">
        <is>
          <t>Own site opened 7 Oct 2026</t>
        </is>
      </c>
      <c r="R112" s="161" t="inlineStr">
        <is>
          <t>NEW in v16</t>
        </is>
      </c>
      <c r="S112" s="161" t="inlineStr">
        <is>
          <t>Neotec Medical: CHISON point of care ultrasound for theatre and ICU</t>
        </is>
      </c>
      <c r="T112" s="161" t="inlineStr">
        <is>
          <t>Dear Neotec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Neotec's IV cannulas go into the same vascular access procedures that hospitals now do under ultrasound guidance.
Ultrasound guided vascular access, nerve block and lung scanning are now routine in theatre and ICU, and a compact system sells to the same anaesthetists and intensivists you already see.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13" ht="300" customHeight="1" s="104">
      <c r="A113" s="195" t="n">
        <v>109</v>
      </c>
      <c r="B113" s="162" t="inlineStr">
        <is>
          <t>STERIL Medical Pte Ltd</t>
        </is>
      </c>
      <c r="C113" s="195" t="inlineStr">
        <is>
          <t>Not started</t>
        </is>
      </c>
      <c r="D113" s="161" t="inlineStr">
        <is>
          <t>Singapore manufacturer since 1988 (ISO 13485): dressing and procedure sets, disinfectants, plastics, drapes, tubing and catheters, endoscope repair. Clients include Changi General Hospital, Tan Tock Seng Hospital, Novena Medical Centre</t>
        </is>
      </c>
      <c r="E113" s="161" t="inlineStr">
        <is>
          <t>Hospitals, clinics, nursing homes</t>
        </is>
      </c>
      <c r="F113" s="161" t="inlineStr">
        <is>
          <t>No ultrasound line identified</t>
        </is>
      </c>
      <c r="G113" s="161" t="inlineStr">
        <is>
          <t>Singapore (Loyang)</t>
        </is>
      </c>
      <c r="H113" s="163" t="inlineStr">
        <is>
          <t>https://www.sterilmedical.com</t>
        </is>
      </c>
      <c r="I113" s="161" t="inlineStr">
        <is>
          <t>+65 6545 4218</t>
        </is>
      </c>
      <c r="J113" s="161" t="inlineStr">
        <is>
          <t>sales@sterilmedical.com</t>
        </is>
      </c>
      <c r="K113" s="161" t="inlineStr">
        <is>
          <t>30 Loyang Way #07-19/23, Loyang Industrial Estate, Singapore 508769</t>
        </is>
      </c>
      <c r="L113" s="165" t="inlineStr">
        <is>
          <t>A</t>
        </is>
      </c>
      <c r="M113" s="161" t="inlineStr">
        <is>
          <t>Local manufacturer with direct hospital accounts; complementary only.</t>
        </is>
      </c>
      <c r="N113" s="161" t="inlineStr">
        <is>
          <t>SonoEye P3 + SonoAir 70 + SonoBook 9</t>
        </is>
      </c>
      <c r="O113" s="197" t="n">
        <v>3</v>
      </c>
      <c r="P113" s="161" t="inlineStr">
        <is>
          <t>Tier 3 NEW (complementary line).</t>
        </is>
      </c>
      <c r="Q113" s="161" t="inlineStr">
        <is>
          <t>Own site opened 7 Oct 2026</t>
        </is>
      </c>
      <c r="R113" s="161" t="inlineStr">
        <is>
          <t>NEW in v16</t>
        </is>
      </c>
      <c r="S113" s="161" t="inlineStr">
        <is>
          <t>STERIL Medical: a CHISON ultrasound line for the clinics you already supply</t>
        </is>
      </c>
      <c r="T113" s="161" t="inlineStr">
        <is>
          <t>Dear STERIL Medical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STERIL supplies procedure sets and repairs endoscopes for Changi General, Tan Tock Seng and Novena Medical Centre.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14" ht="300" customHeight="1" s="104">
      <c r="A114" s="195" t="n">
        <v>110</v>
      </c>
      <c r="B114" s="162" t="inlineStr">
        <is>
          <t>QMT Industrial &amp; Safety Pte Ltd</t>
        </is>
      </c>
      <c r="C114" s="195" t="inlineStr">
        <is>
          <t>Not started</t>
        </is>
      </c>
      <c r="D114" s="161" t="inlineStr">
        <is>
          <t>Medical PPE supplier (SGMT cleanroom equipment and supplies)</t>
        </is>
      </c>
      <c r="E114" s="161" t="inlineStr">
        <is>
          <t>Hospitals, clinics</t>
        </is>
      </c>
      <c r="F114" s="161" t="inlineStr">
        <is>
          <t>Not identified</t>
        </is>
      </c>
      <c r="G114" s="161" t="inlineStr">
        <is>
          <t>Singapore</t>
        </is>
      </c>
      <c r="H114" s="163" t="inlineStr">
        <is>
          <t>https://qmtsafety.com</t>
        </is>
      </c>
      <c r="I114" s="161" t="inlineStr">
        <is>
          <t>+65 6295 6896 / +65 6567 3896</t>
        </is>
      </c>
      <c r="J114" s="161" t="inlineStr">
        <is>
          <t>sales@qmtsafety.com</t>
        </is>
      </c>
      <c r="K114" s="161" t="inlineStr">
        <is>
          <t>Address not confirmed</t>
        </is>
      </c>
      <c r="L114" s="170" t="inlineStr">
        <is>
          <t>C</t>
        </is>
      </c>
      <c r="M114" s="161" t="inlineStr">
        <is>
          <t>PPE only; long shot.</t>
        </is>
      </c>
      <c r="N114" s="161" t="inlineStr">
        <is>
          <t>SonoEye P3 + SonoAir 70 + SonoBook 9</t>
        </is>
      </c>
      <c r="O114" s="197" t="n">
        <v>3</v>
      </c>
      <c r="P114" s="161" t="inlineStr">
        <is>
          <t>Tier 3 NEW.</t>
        </is>
      </c>
      <c r="Q114" s="161" t="inlineStr">
        <is>
          <t>Directory: Singapore MedTech (SGMT) member directory, own site not opened</t>
        </is>
      </c>
      <c r="R114" s="161" t="inlineStr">
        <is>
          <t>NEW in v16</t>
        </is>
      </c>
      <c r="S114" s="161" t="inlineStr">
        <is>
          <t>QMT: a CHISON ultrasound line for the clinics you already supply</t>
        </is>
      </c>
      <c r="T114" s="161" t="inlineStr">
        <is>
          <t>Dear QMT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QMT supplies medical PPE to Singapore hospitals and clinics.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15" ht="300" customHeight="1" s="104">
      <c r="A115" s="195" t="n">
        <v>111</v>
      </c>
      <c r="B115" s="162" t="inlineStr">
        <is>
          <t>Premier Diagnostics Pte Ltd</t>
        </is>
      </c>
      <c r="C115" s="195" t="inlineStr">
        <is>
          <t>Not started</t>
        </is>
      </c>
      <c r="D115" s="161" t="inlineStr">
        <is>
          <t>Diagnostic equipment and services (Malaysian group website)</t>
        </is>
      </c>
      <c r="E115" s="161" t="inlineStr">
        <is>
          <t>Laboratories, clinics</t>
        </is>
      </c>
      <c r="F115" s="161" t="inlineStr">
        <is>
          <t>Not identified</t>
        </is>
      </c>
      <c r="G115" s="161" t="inlineStr">
        <is>
          <t>Singapore (Chinatown)</t>
        </is>
      </c>
      <c r="H115" s="163" t="inlineStr">
        <is>
          <t>https://www.premierdiagnostics.com.my</t>
        </is>
      </c>
      <c r="I115" s="161" t="inlineStr">
        <is>
          <t>+65 6223 3128</t>
        </is>
      </c>
      <c r="J115" s="161" t="inlineStr">
        <is>
          <t>pdsingapore8@gmail.com</t>
        </is>
      </c>
      <c r="K115" s="161" t="inlineStr">
        <is>
          <t>101A Upper Cross Street #13-25, People's Park Centre, Singapore 058358</t>
        </is>
      </c>
      <c r="L115" s="170" t="inlineStr">
        <is>
          <t>C</t>
        </is>
      </c>
      <c r="M115" s="161" t="inlineStr">
        <is>
          <t>Long shot.</t>
        </is>
      </c>
      <c r="N115" s="161" t="inlineStr">
        <is>
          <t>SonoEye P3 + SonoAir 70 + SonoBook 9</t>
        </is>
      </c>
      <c r="O115" s="197" t="n">
        <v>3</v>
      </c>
      <c r="P115" s="161" t="inlineStr">
        <is>
          <t>Tier 3 NEW.</t>
        </is>
      </c>
      <c r="Q115" s="161" t="inlineStr">
        <is>
          <t>Directory: PharmChoices Singapore supplier list (2026), own site not opened</t>
        </is>
      </c>
      <c r="R115" s="161" t="inlineStr">
        <is>
          <t>NEW in v16</t>
        </is>
      </c>
      <c r="S115" s="161" t="inlineStr">
        <is>
          <t>Premier Diagnostics: adding CHISON ultrasound to the institutions you already serve</t>
        </is>
      </c>
      <c r="T115" s="161" t="inlineStr">
        <is>
          <t>Dear Premier Diagnostics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Premier Diagnostics supplies diagnostic equipment and services in Singapore and Malaysia.
Imaging is a separate budget in the same hospitals and clinics you already sell to, so a first ultrasound line needs no new customer list.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16" ht="300" customHeight="1" s="104">
      <c r="A116" s="195" t="n">
        <v>112</v>
      </c>
      <c r="B116" s="162" t="inlineStr">
        <is>
          <t>Opto Systems (S) Pte Ltd</t>
        </is>
      </c>
      <c r="C116" s="195" t="inlineStr">
        <is>
          <t>Not started</t>
        </is>
      </c>
      <c r="D116" s="161" t="inlineStr">
        <is>
          <t>Optical and ophthalmic equipment supplier</t>
        </is>
      </c>
      <c r="E116" s="161" t="inlineStr">
        <is>
          <t>Ophthalmology, optometry</t>
        </is>
      </c>
      <c r="F116" s="161" t="inlineStr">
        <is>
          <t>Not identified</t>
        </is>
      </c>
      <c r="G116" s="161" t="inlineStr">
        <is>
          <t>Singapore (Kallang)</t>
        </is>
      </c>
      <c r="H116" s="163" t="inlineStr">
        <is>
          <t>http://www.optosystems.com.sg</t>
        </is>
      </c>
      <c r="I116" s="161" t="inlineStr">
        <is>
          <t>+65 6296 2881</t>
        </is>
      </c>
      <c r="J116" s="161" t="inlineStr">
        <is>
          <t>sales@optosystems.com.sg</t>
        </is>
      </c>
      <c r="K116" s="161" t="inlineStr">
        <is>
          <t>Block 30 Kallang Place #06-06, Singapore 339159</t>
        </is>
      </c>
      <c r="L116" s="170" t="inlineStr">
        <is>
          <t>C</t>
        </is>
      </c>
      <c r="M116" s="161" t="inlineStr">
        <is>
          <t>Ophthalmic niche; long shot.</t>
        </is>
      </c>
      <c r="N116" s="161" t="inlineStr">
        <is>
          <t>SonoEye P3 + SonoAir 70 + SonoBook 9</t>
        </is>
      </c>
      <c r="O116" s="197" t="n">
        <v>3</v>
      </c>
      <c r="P116" s="161" t="inlineStr">
        <is>
          <t>Tier 3 NEW.</t>
        </is>
      </c>
      <c r="Q116" s="161" t="inlineStr">
        <is>
          <t>Directory: PharmChoices Singapore supplier list (2026), own site not opened</t>
        </is>
      </c>
      <c r="R116" s="161" t="inlineStr">
        <is>
          <t>NEW in v16</t>
        </is>
      </c>
      <c r="S116" s="161" t="inlineStr">
        <is>
          <t>Opto Systems: a CHISON ultrasound line for the clinics you already supply</t>
        </is>
      </c>
      <c r="T116" s="161" t="inlineStr">
        <is>
          <t>Dear Opto Systems team,
I am Casper Tan, Senior Regional Sales Manager at AstraMed Healthcare, the Singapore subsidiary of CHISON Medical Technologies. CHISON has built diagnostic ultrasound in Wuxi since 1996, sells in over 100 countries, holds US FDA 510(k) clearance and CE marking, and is listed on the Shanghai STAR Market (688358). We are now appointing dealers for Singapore.
Opto Systems supplies optical and ophthalmic equipment in Singapore.
GPs and specialist clinics are adding point of care ultrasound, and they prefer to buy it from a supplier who already delivers to them.
• SonoEye P3: pocket handheld for vascular access, nerve block and bedside scans
• SonoAir 70: light laptop for wards, theatres and clinics
• SonoBook 9: laptop system with biopsy guidance
AstraMed holds the HSA registration, so the regulatory work stays with us. You would own the customer, the demonstration and the service; we provide application training, a demonstration unit and local probe and parts stock.
Would a twenty minute call in the next two weeks be worth your time? I will send the catalogue and dealer terms beforehand.
Best regards,
Casper Tan
Senior Regional Sales Manager
AstraMed Healthcare Pte Ltd, a subsidiary of CHISON Medical Technologies
casper@astramed.sg | +65 8719 0121
If this is not relevant to you, reply "remove" and I will not write again.</t>
        </is>
      </c>
    </row>
    <row r="117" ht="60" customHeight="1" s="104">
      <c r="A117" s="195" t="n">
        <v>113</v>
      </c>
      <c r="B117" s="162" t="inlineStr">
        <is>
          <t>Zuellig Pharma (Singapore)</t>
        </is>
      </c>
      <c r="C117" s="195" t="inlineStr">
        <is>
          <t>Not started</t>
        </is>
      </c>
      <c r="D117" s="161" t="inlineStr">
        <is>
          <t>Healthcare distribution and logistics at scale</t>
        </is>
      </c>
      <c r="E117" s="161" t="inlineStr">
        <is>
          <t>Hospitals, clinics, pharmacies</t>
        </is>
      </c>
      <c r="F117" s="161" t="inlineStr">
        <is>
          <t>Not applicable</t>
        </is>
      </c>
      <c r="G117" s="161" t="inlineStr">
        <is>
          <t>Singapore</t>
        </is>
      </c>
      <c r="H117" s="163" t="inlineStr">
        <is>
          <t>https://www.zuelligpharma.com</t>
        </is>
      </c>
      <c r="I117" s="161" t="inlineStr">
        <is>
          <t>+65 6305 0800</t>
        </is>
      </c>
      <c r="J117" s="161" t="inlineStr">
        <is>
          <t>Not published, enquiry form</t>
        </is>
      </c>
      <c r="K117" s="161" t="inlineStr">
        <is>
          <t>See Singapore End-Users tab</t>
        </is>
      </c>
      <c r="L117" s="168" t="inlineStr">
        <is>
          <t>B</t>
        </is>
      </c>
      <c r="M117" s="161" t="inlineStr">
        <is>
          <t>Logistics partner rather than a dealer.</t>
        </is>
      </c>
      <c r="N117" s="161" t="inlineStr">
        <is>
          <t>SonoEye P3 + SonoAir 70 + SonoBook 9</t>
        </is>
      </c>
      <c r="O117" s="197" t="n">
        <v>3</v>
      </c>
      <c r="P117" s="161" t="inlineStr">
        <is>
          <t>Tier 3: logistics option.</t>
        </is>
      </c>
      <c r="Q117" s="161" t="inlineStr">
        <is>
          <t>Carried from v15 End-Users tab</t>
        </is>
      </c>
      <c r="R117" s="161" t="inlineStr">
        <is>
          <t>NEW on this tab (was on Singapore End-Users as a logistics partner)</t>
        </is>
      </c>
      <c r="S117" s="175" t="n"/>
      <c r="T117" s="175" t="inlineStr">
        <is>
          <t>No email drafted: no confirmed inbox and no company specific hook yet. Call first, then write.</t>
        </is>
      </c>
    </row>
    <row r="118" ht="60" customHeight="1" s="104">
      <c r="A118" s="195" t="n">
        <v>114</v>
      </c>
      <c r="B118" s="162" t="inlineStr">
        <is>
          <t>Meditech Asia Alliance Pte Ltd</t>
        </is>
      </c>
      <c r="C118" s="195" t="inlineStr">
        <is>
          <t>Not started</t>
        </is>
      </c>
      <c r="D118" s="161" t="inlineStr">
        <is>
          <t>Medical equipment supplier; SGMT lists it under medical imaging and nuclear medicine devices</t>
        </is>
      </c>
      <c r="E118" s="161" t="inlineStr">
        <is>
          <t>Radiology (to confirm)</t>
        </is>
      </c>
      <c r="F118" s="161" t="inlineStr">
        <is>
          <t>Not identified</t>
        </is>
      </c>
      <c r="G118" s="161" t="inlineStr">
        <is>
          <t>Singapore (Chai Chee)</t>
        </is>
      </c>
      <c r="H118" s="163" t="inlineStr">
        <is>
          <t>https://meditechasia.com</t>
        </is>
      </c>
      <c r="I118" s="161" t="inlineStr">
        <is>
          <t>+65 6230 9110 / +65 6521 6783 / fax +65 6722 8638</t>
        </is>
      </c>
      <c r="J118" s="161" t="inlineStr">
        <is>
          <t>Not published on the pages read</t>
        </is>
      </c>
      <c r="K118" s="161" t="inlineStr">
        <is>
          <t>506 Chai Chee Lane #07-02, BoxPark @ Chai Chee, Singapore 469026</t>
        </is>
      </c>
      <c r="L118" s="168" t="inlineStr">
        <is>
          <t>B</t>
        </is>
      </c>
      <c r="M118" s="161" t="inlineStr">
        <is>
          <t>Imaging category; call to qualify.</t>
        </is>
      </c>
      <c r="N118" s="161" t="inlineStr">
        <is>
          <t>SonoMax 9 + SonoPort 8 + SonoEye P5</t>
        </is>
      </c>
      <c r="O118" s="197" t="n">
        <v>3</v>
      </c>
      <c r="P118" s="161" t="inlineStr">
        <is>
          <t>Tier 3 NEW.</t>
        </is>
      </c>
      <c r="Q118" s="161" t="inlineStr">
        <is>
          <t>Own site opened (no contact block); SGMT imaging category</t>
        </is>
      </c>
      <c r="R118" s="161" t="inlineStr">
        <is>
          <t>NEW in v16</t>
        </is>
      </c>
      <c r="S118" s="175" t="n"/>
      <c r="T118" s="175" t="inlineStr">
        <is>
          <t>No email drafted: no confirmed inbox and no company specific hook yet. Call first, then write.</t>
        </is>
      </c>
    </row>
    <row r="119" ht="60" customHeight="1" s="104">
      <c r="A119" s="195" t="n">
        <v>115</v>
      </c>
      <c r="B119" s="162" t="inlineStr">
        <is>
          <t>Medical Plus Pte Ltd</t>
        </is>
      </c>
      <c r="C119" s="195" t="inlineStr">
        <is>
          <t>Not started</t>
        </is>
      </c>
      <c r="D119" s="161" t="inlineStr">
        <is>
          <t>SGMT category: medical imaging and nuclear medicine devices</t>
        </is>
      </c>
      <c r="E119" s="161" t="inlineStr">
        <is>
          <t>Radiology (to confirm)</t>
        </is>
      </c>
      <c r="F119" s="161" t="inlineStr">
        <is>
          <t>Not identified</t>
        </is>
      </c>
      <c r="G119" s="161" t="inlineStr">
        <is>
          <t>Singapore</t>
        </is>
      </c>
      <c r="H119" s="161" t="inlineStr">
        <is>
          <t>Not found</t>
        </is>
      </c>
      <c r="I119" s="161" t="inlineStr">
        <is>
          <t>+65 6271 6558</t>
        </is>
      </c>
      <c r="J119" s="161" t="inlineStr">
        <is>
          <t>NOT CONFIRMED</t>
        </is>
      </c>
      <c r="K119" s="161" t="inlineStr">
        <is>
          <t>Address not confirmed</t>
        </is>
      </c>
      <c r="L119" s="172" t="inlineStr">
        <is>
          <t>D</t>
        </is>
      </c>
      <c r="M119" s="161" t="inlineStr">
        <is>
          <t>Imaging category listing only. Confirm it trades.</t>
        </is>
      </c>
      <c r="N119" s="161" t="inlineStr">
        <is>
          <t>SonoMax 9 + SonoPort 8 + SonoEye P5</t>
        </is>
      </c>
      <c r="O119" s="197" t="n">
        <v>3</v>
      </c>
      <c r="P119" s="161" t="inlineStr">
        <is>
          <t>Tier 3 NEW, VERIFY FIRST.</t>
        </is>
      </c>
      <c r="Q119" s="161" t="inlineStr">
        <is>
          <t>Directory: Singapore MedTech (SGMT) member directory, own site not opened</t>
        </is>
      </c>
      <c r="R119" s="196" t="inlineStr">
        <is>
          <t>NEW in v16</t>
        </is>
      </c>
      <c r="S119" s="175" t="n"/>
      <c r="T119" s="175" t="inlineStr">
        <is>
          <t>No email drafted: no confirmed inbox and no company specific hook yet. Call first, then write.</t>
        </is>
      </c>
    </row>
    <row r="120" ht="60" customHeight="1" s="104">
      <c r="A120" s="195" t="n">
        <v>116</v>
      </c>
      <c r="B120" s="162" t="inlineStr">
        <is>
          <t>MediOne (S) Pte Ltd</t>
        </is>
      </c>
      <c r="C120" s="195" t="inlineStr">
        <is>
          <t>Not started</t>
        </is>
      </c>
      <c r="D120" s="161" t="inlineStr">
        <is>
          <t>SGMT category: medical imaging and nuclear medicine devices</t>
        </is>
      </c>
      <c r="E120" s="161" t="inlineStr">
        <is>
          <t>Radiology (to confirm)</t>
        </is>
      </c>
      <c r="F120" s="161" t="inlineStr">
        <is>
          <t>Not identified</t>
        </is>
      </c>
      <c r="G120" s="161" t="inlineStr">
        <is>
          <t>Singapore</t>
        </is>
      </c>
      <c r="H120" s="161" t="inlineStr">
        <is>
          <t>Not found</t>
        </is>
      </c>
      <c r="I120" s="161" t="inlineStr">
        <is>
          <t>+65 6636 9516</t>
        </is>
      </c>
      <c r="J120" s="161" t="inlineStr">
        <is>
          <t>NOT CONFIRMED</t>
        </is>
      </c>
      <c r="K120" s="161" t="inlineStr">
        <is>
          <t>Address not confirmed</t>
        </is>
      </c>
      <c r="L120" s="172" t="inlineStr">
        <is>
          <t>D</t>
        </is>
      </c>
      <c r="M120" s="161" t="inlineStr">
        <is>
          <t>Imaging category listing only. Confirm it trades.</t>
        </is>
      </c>
      <c r="N120" s="161" t="inlineStr">
        <is>
          <t>SonoMax 9 + SonoPort 8 + SonoEye P5</t>
        </is>
      </c>
      <c r="O120" s="197" t="n">
        <v>3</v>
      </c>
      <c r="P120" s="161" t="inlineStr">
        <is>
          <t>Tier 3 NEW, VERIFY FIRST.</t>
        </is>
      </c>
      <c r="Q120" s="161" t="inlineStr">
        <is>
          <t>Directory: Singapore MedTech (SGMT) member directory, own site not opened</t>
        </is>
      </c>
      <c r="R120" s="196" t="inlineStr">
        <is>
          <t>NEW in v16</t>
        </is>
      </c>
      <c r="S120" s="175" t="n"/>
      <c r="T120" s="175" t="inlineStr">
        <is>
          <t>No email drafted: no confirmed inbox and no company specific hook yet. Call first, then write.</t>
        </is>
      </c>
    </row>
    <row r="121" ht="60" customHeight="1" s="104">
      <c r="A121" s="195" t="n">
        <v>117</v>
      </c>
      <c r="B121" s="162" t="inlineStr">
        <is>
          <t>SG Medical Imaging Pte Ltd</t>
        </is>
      </c>
      <c r="C121" s="195" t="inlineStr">
        <is>
          <t>Not started</t>
        </is>
      </c>
      <c r="D121" s="161" t="inlineStr">
        <is>
          <t>SGMT category: medical imaging and nuclear medicine devices</t>
        </is>
      </c>
      <c r="E121" s="161" t="inlineStr">
        <is>
          <t>Radiology (to confirm)</t>
        </is>
      </c>
      <c r="F121" s="161" t="inlineStr">
        <is>
          <t>Not identified</t>
        </is>
      </c>
      <c r="G121" s="161" t="inlineStr">
        <is>
          <t>Singapore</t>
        </is>
      </c>
      <c r="H121" s="161" t="inlineStr">
        <is>
          <t>Not found</t>
        </is>
      </c>
      <c r="I121" s="161" t="inlineStr">
        <is>
          <t>+65 6635 8377</t>
        </is>
      </c>
      <c r="J121" s="161" t="inlineStr">
        <is>
          <t>NOT CONFIRMED</t>
        </is>
      </c>
      <c r="K121" s="161" t="inlineStr">
        <is>
          <t>Address not confirmed</t>
        </is>
      </c>
      <c r="L121" s="172" t="inlineStr">
        <is>
          <t>D</t>
        </is>
      </c>
      <c r="M121" s="161" t="inlineStr">
        <is>
          <t>Imaging category listing only. Confirm it trades.</t>
        </is>
      </c>
      <c r="N121" s="161" t="inlineStr">
        <is>
          <t>SonoMax 9 + SonoPort 8 + SonoEye P5</t>
        </is>
      </c>
      <c r="O121" s="197" t="n">
        <v>3</v>
      </c>
      <c r="P121" s="161" t="inlineStr">
        <is>
          <t>Tier 3 NEW, VERIFY FIRST.</t>
        </is>
      </c>
      <c r="Q121" s="161" t="inlineStr">
        <is>
          <t>Directory: Singapore MedTech (SGMT) member directory, own site not opened</t>
        </is>
      </c>
      <c r="R121" s="196" t="inlineStr">
        <is>
          <t>NEW in v16</t>
        </is>
      </c>
      <c r="S121" s="175" t="n"/>
      <c r="T121" s="175" t="inlineStr">
        <is>
          <t>No email drafted: no confirmed inbox and no company specific hook yet. Call first, then write.</t>
        </is>
      </c>
    </row>
    <row r="122" ht="60" customHeight="1" s="104">
      <c r="A122" s="195" t="n">
        <v>118</v>
      </c>
      <c r="B122" s="162" t="inlineStr">
        <is>
          <t>Medical Imaging Systems Pte Ltd</t>
        </is>
      </c>
      <c r="C122" s="195" t="inlineStr">
        <is>
          <t>Not started</t>
        </is>
      </c>
      <c r="D122" s="161" t="inlineStr">
        <is>
          <t>Registered activity: manufacture and repair of irradiation and electromedical equipment (imaging service). Incorporated 2008; revenue band SGD 1 to 10 million</t>
        </is>
      </c>
      <c r="E122" s="161" t="inlineStr">
        <is>
          <t>Radiology (service)</t>
        </is>
      </c>
      <c r="F122" s="161" t="inlineStr">
        <is>
          <t>Not identified</t>
        </is>
      </c>
      <c r="G122" s="161" t="inlineStr">
        <is>
          <t>Singapore (Sin Ming)</t>
        </is>
      </c>
      <c r="H122" s="161" t="inlineStr">
        <is>
          <t>Not found</t>
        </is>
      </c>
      <c r="I122" s="161" t="inlineStr">
        <is>
          <t>NOT CONFIRMED</t>
        </is>
      </c>
      <c r="J122" s="161" t="inlineStr">
        <is>
          <t>NOT CONFIRMED</t>
        </is>
      </c>
      <c r="K122" s="161" t="inlineStr">
        <is>
          <t>28 Sin Ming Lane #02-143, Midview City, Singapore 573972</t>
        </is>
      </c>
      <c r="L122" s="172" t="inlineStr">
        <is>
          <t>D</t>
        </is>
      </c>
      <c r="M122" s="161" t="inlineStr">
        <is>
          <t>An imaging service company could be the service partner a dealer needs. Find a contact.</t>
        </is>
      </c>
      <c r="N122" s="161" t="inlineStr">
        <is>
          <t>SonoMax 9 + SonoPort 8 + SonoEye P5</t>
        </is>
      </c>
      <c r="O122" s="197" t="n">
        <v>3</v>
      </c>
      <c r="P122" s="161" t="inlineStr">
        <is>
          <t>Tier 3 NEW, VERIFY FIRST.</t>
        </is>
      </c>
      <c r="Q122" s="161" t="inlineStr">
        <is>
          <t>ACRA based profile (SGPGrid)</t>
        </is>
      </c>
      <c r="R122" s="196" t="inlineStr">
        <is>
          <t>NEW in v16</t>
        </is>
      </c>
      <c r="S122" s="175" t="n"/>
      <c r="T122" s="175" t="inlineStr">
        <is>
          <t>No email drafted: no confirmed inbox and no company specific hook yet. Call first, then write.</t>
        </is>
      </c>
    </row>
    <row r="123" ht="60" customHeight="1" s="104">
      <c r="A123" s="195" t="n">
        <v>119</v>
      </c>
      <c r="B123" s="162" t="inlineStr">
        <is>
          <t>Nuven Medica (Asia Pacific) Pte Ltd</t>
        </is>
      </c>
      <c r="C123" s="195" t="inlineStr">
        <is>
          <t>Not started</t>
        </is>
      </c>
      <c r="D123" s="161" t="inlineStr">
        <is>
          <t>SGMT category: medical imaging and nuclear medicine devices</t>
        </is>
      </c>
      <c r="E123" s="161" t="inlineStr">
        <is>
          <t>Radiology (to confirm)</t>
        </is>
      </c>
      <c r="F123" s="161" t="inlineStr">
        <is>
          <t>Not identified</t>
        </is>
      </c>
      <c r="G123" s="161" t="inlineStr">
        <is>
          <t>Singapore (Ubi)</t>
        </is>
      </c>
      <c r="H123" s="163" t="inlineStr">
        <is>
          <t>http://nuvenmedica.com</t>
        </is>
      </c>
      <c r="I123" s="161" t="inlineStr">
        <is>
          <t>+65 8940 2900 / +65 6634 2361</t>
        </is>
      </c>
      <c r="J123" s="161" t="inlineStr">
        <is>
          <t>NOT CONFIRMED</t>
        </is>
      </c>
      <c r="K123" s="161" t="inlineStr">
        <is>
          <t>Warehouse: 8 Ubi Road 2 #05-19, Zervex Building, Singapore 408538</t>
        </is>
      </c>
      <c r="L123" s="170" t="inlineStr">
        <is>
          <t>C</t>
        </is>
      </c>
      <c r="M123" s="161" t="inlineStr">
        <is>
          <t>Imaging category; call to qualify.</t>
        </is>
      </c>
      <c r="N123" s="161" t="inlineStr">
        <is>
          <t>SonoMax 9 + SonoPort 8 + SonoEye P5</t>
        </is>
      </c>
      <c r="O123" s="197" t="n">
        <v>3</v>
      </c>
      <c r="P123" s="161" t="inlineStr">
        <is>
          <t>Tier 3 NEW.</t>
        </is>
      </c>
      <c r="Q123" s="161" t="inlineStr">
        <is>
          <t>Directory: PharmChoices Singapore supplier list (2026), own site not opened; SGMT imaging category</t>
        </is>
      </c>
      <c r="R123" s="161" t="inlineStr">
        <is>
          <t>NEW in v16</t>
        </is>
      </c>
      <c r="S123" s="175" t="n"/>
      <c r="T123" s="175" t="inlineStr">
        <is>
          <t>No email drafted: no confirmed inbox and no company specific hook yet. Call first, then write.</t>
        </is>
      </c>
    </row>
    <row r="124" ht="60" customHeight="1" s="104">
      <c r="A124" s="195" t="n">
        <v>120</v>
      </c>
      <c r="B124" s="162" t="inlineStr">
        <is>
          <t>Unison Collaborative Pte Ltd</t>
        </is>
      </c>
      <c r="C124" s="195" t="inlineStr">
        <is>
          <t>Not started</t>
        </is>
      </c>
      <c r="D124" s="161" t="inlineStr">
        <is>
          <t>HSA registry: diagnostics and IVD, surgical (electrosurgery, endoscopes), imaging and radiology; 46 principals including Tauns, Actim, Savyon, Medikro</t>
        </is>
      </c>
      <c r="E124" s="161" t="inlineStr">
        <is>
          <t>Laboratories, surgery</t>
        </is>
      </c>
      <c r="F124" s="161" t="inlineStr">
        <is>
          <t>Not identified</t>
        </is>
      </c>
      <c r="G124" s="161" t="inlineStr">
        <is>
          <t>Singapore (Orchard)</t>
        </is>
      </c>
      <c r="H124" s="163" t="inlineStr">
        <is>
          <t>https://ucbiosciences.com</t>
        </is>
      </c>
      <c r="I124" s="161" t="inlineStr">
        <is>
          <t>NOT CONFIRMED</t>
        </is>
      </c>
      <c r="J124" s="161" t="inlineStr">
        <is>
          <t>NOT CONFIRMED</t>
        </is>
      </c>
      <c r="K124" s="161" t="inlineStr">
        <is>
          <t>400 Orchard Road #12-05, Orchard Towers, Singapore 238875 (registry address)</t>
        </is>
      </c>
      <c r="L124" s="170" t="inlineStr">
        <is>
          <t>C</t>
        </is>
      </c>
      <c r="M124" s="161" t="inlineStr">
        <is>
          <t>Registry shows an imaging category; contact not found.</t>
        </is>
      </c>
      <c r="N124" s="161" t="inlineStr">
        <is>
          <t>SonoEye P3 + SonoAir 70 + SonoBook 9</t>
        </is>
      </c>
      <c r="O124" s="197" t="n">
        <v>3</v>
      </c>
      <c r="P124" s="161" t="inlineStr">
        <is>
          <t>Tier 3 NEW.</t>
        </is>
      </c>
      <c r="Q124" s="161" t="inlineStr">
        <is>
          <t>HSA registry view (MedMatch, data verified Jun 2026)</t>
        </is>
      </c>
      <c r="R124" s="161" t="inlineStr">
        <is>
          <t>NEW in v16</t>
        </is>
      </c>
      <c r="S124" s="175" t="n"/>
      <c r="T124" s="175" t="inlineStr">
        <is>
          <t>No email drafted: no confirmed inbox and no company specific hook yet. Call first, then write.</t>
        </is>
      </c>
    </row>
    <row r="125" ht="42" customHeight="1" s="104">
      <c r="A125" s="195" t="n">
        <v>121</v>
      </c>
      <c r="B125" s="198" t="inlineStr">
        <is>
          <t>APP Systems Services Pte Ltd</t>
        </is>
      </c>
      <c r="C125" s="195" t="inlineStr">
        <is>
          <t>Not started</t>
        </is>
      </c>
      <c r="D125" s="161" t="inlineStr">
        <is>
          <t>Semiconductor manufacturing, vacuum technology, optics, industrial processes, research engineering, CBRNe, smart cities. Since 1982</t>
        </is>
      </c>
      <c r="E125" s="161" t="inlineStr">
        <is>
          <t>None in healthcare</t>
        </is>
      </c>
      <c r="F125" s="161" t="inlineStr">
        <is>
          <t>Not applicable</t>
        </is>
      </c>
      <c r="G125" s="161" t="inlineStr">
        <is>
          <t>Singapore (Toh Guan)</t>
        </is>
      </c>
      <c r="H125" s="163" t="inlineStr">
        <is>
          <t>https://appsystems.com.sg</t>
        </is>
      </c>
      <c r="I125" s="161" t="inlineStr">
        <is>
          <t>+65 6425 6611 / fax +65 6560 6616</t>
        </is>
      </c>
      <c r="J125" s="161" t="inlineStr">
        <is>
          <t>Not applicable</t>
        </is>
      </c>
      <c r="K125" s="161" t="inlineStr">
        <is>
          <t>11 Toh Guan Road East #03-01, APP Enterprise Building, Singapore 608603</t>
        </is>
      </c>
      <c r="L125" s="165" t="inlineStr">
        <is>
          <t>A</t>
        </is>
      </c>
      <c r="M125" s="161" t="inlineStr">
        <is>
          <t>EXCLUDED. v15 described APP as a healthcare IT and clinical systems integrator at Tier 1. Their own site shows semiconductor, vacuum and industrial equipment only. Not a medical device channel.</t>
        </is>
      </c>
      <c r="N125" s="161" t="inlineStr">
        <is>
          <t>Not applicable</t>
        </is>
      </c>
      <c r="O125" s="199" t="inlineStr">
        <is>
          <t>EXCLUDED</t>
        </is>
      </c>
      <c r="P125" s="161" t="inlineStr">
        <is>
          <t>Removed from outreach after opening their own site. Kept here so the correction is visible.</t>
        </is>
      </c>
      <c r="Q125" s="161" t="inlineStr">
        <is>
          <t>Own site opened 7 Oct 2026</t>
        </is>
      </c>
      <c r="R125" s="161" t="inlineStr">
        <is>
          <t>EXCLUDED in v16</t>
        </is>
      </c>
      <c r="S125" s="175" t="n"/>
      <c r="T125" s="175" t="inlineStr">
        <is>
          <t>No outreach email. Excluded in v16: not a medical device channel (see fit note).</t>
        </is>
      </c>
    </row>
    <row r="126" ht="42" customHeight="1" s="104">
      <c r="A126" s="195" t="n">
        <v>122</v>
      </c>
      <c r="B126" s="198" t="inlineStr">
        <is>
          <t>Asiateck Medicare Pte Ltd / Asiateck Ind Supplier Pte Ltd</t>
        </is>
      </c>
      <c r="C126" s="195" t="inlineStr">
        <is>
          <t>Not started</t>
        </is>
      </c>
      <c r="D126" s="161" t="inlineStr">
        <is>
          <t>Passenger and goods lifts, stairlifts, Kardex vertical storage, plus ceiling and mobile patient hoists</t>
        </is>
      </c>
      <c r="E126" s="161" t="inlineStr">
        <is>
          <t>Building projects, care homes (hoists)</t>
        </is>
      </c>
      <c r="F126" s="161" t="inlineStr">
        <is>
          <t>Not applicable</t>
        </is>
      </c>
      <c r="G126" s="161" t="inlineStr">
        <is>
          <t>Singapore (Henderson Road)</t>
        </is>
      </c>
      <c r="H126" s="163" t="inlineStr">
        <is>
          <t>https://www.asiateck.com.sg</t>
        </is>
      </c>
      <c r="I126" s="161" t="inlineStr">
        <is>
          <t>+65 6841 5683</t>
        </is>
      </c>
      <c r="J126" s="161" t="inlineStr">
        <is>
          <t>Not applicable</t>
        </is>
      </c>
      <c r="K126" s="161" t="inlineStr">
        <is>
          <t>201 Henderson Road #04-09/10, Singapore 159545 (own site; v15 showed Ang Mo Kio)</t>
        </is>
      </c>
      <c r="L126" s="165" t="inlineStr">
        <is>
          <t>A</t>
        </is>
      </c>
      <c r="M126" s="161" t="inlineStr">
        <is>
          <t>EXCLUDED. v15 held Asiateck at Tier 1. Their own site is a lift and vertical storage company with a patient hoist sideline (projects include Marina Bay Sands and Resorts World). Not an imaging channel.</t>
        </is>
      </c>
      <c r="N126" s="161" t="inlineStr">
        <is>
          <t>Not applicable</t>
        </is>
      </c>
      <c r="O126" s="199" t="inlineStr">
        <is>
          <t>EXCLUDED</t>
        </is>
      </c>
      <c r="P126" s="161" t="inlineStr">
        <is>
          <t>Removed from outreach after opening their own site.</t>
        </is>
      </c>
      <c r="Q126" s="161" t="inlineStr">
        <is>
          <t>Own site opened 7 Oct 2026</t>
        </is>
      </c>
      <c r="R126" s="161" t="inlineStr">
        <is>
          <t>EXCLUDED in v16</t>
        </is>
      </c>
      <c r="S126" s="175" t="n"/>
      <c r="T126" s="175" t="inlineStr">
        <is>
          <t>No outreach email. Excluded in v16: not a medical device channel (see fit note).</t>
        </is>
      </c>
    </row>
    <row r="127" ht="42" customHeight="1" s="104">
      <c r="A127" s="195" t="n">
        <v>123</v>
      </c>
      <c r="B127" s="198" t="inlineStr">
        <is>
          <t>Advance Triton Pte Ltd</t>
        </is>
      </c>
      <c r="C127" s="195" t="inlineStr">
        <is>
          <t>Not started</t>
        </is>
      </c>
      <c r="D127" s="161" t="inlineStr">
        <is>
          <t>Disposables: chef and kitchen hats, industrial gloves, biodegradable bags, gowns, gauze</t>
        </is>
      </c>
      <c r="E127" s="161" t="inlineStr">
        <is>
          <t>Food service, general disposables</t>
        </is>
      </c>
      <c r="F127" s="161" t="inlineStr">
        <is>
          <t>Not applicable</t>
        </is>
      </c>
      <c r="G127" s="161" t="inlineStr">
        <is>
          <t>Singapore (Tagore)</t>
        </is>
      </c>
      <c r="H127" s="163" t="inlineStr">
        <is>
          <t>https://www.advancetriton.com</t>
        </is>
      </c>
      <c r="I127" s="161" t="inlineStr">
        <is>
          <t>+65 6358 4923</t>
        </is>
      </c>
      <c r="J127" s="161" t="inlineStr">
        <is>
          <t>Not applicable</t>
        </is>
      </c>
      <c r="K127" s="161" t="inlineStr">
        <is>
          <t>421 Tagore Industrial Avenue #03-29, Tagore 8, Singapore 787805</t>
        </is>
      </c>
      <c r="L127" s="168" t="inlineStr">
        <is>
          <t>B</t>
        </is>
      </c>
      <c r="M127" s="161" t="inlineStr">
        <is>
          <t>EXCLUDED. v15 held it at Tier 2. Own site sells disposable hats, gloves and gowns. Not a device channel.</t>
        </is>
      </c>
      <c r="N127" s="161" t="inlineStr">
        <is>
          <t>Not applicable</t>
        </is>
      </c>
      <c r="O127" s="199" t="inlineStr">
        <is>
          <t>EXCLUDED</t>
        </is>
      </c>
      <c r="P127" s="161" t="inlineStr">
        <is>
          <t>Removed from outreach after opening their own site.</t>
        </is>
      </c>
      <c r="Q127" s="161" t="inlineStr">
        <is>
          <t>Own site opened 7 Oct 2026</t>
        </is>
      </c>
      <c r="R127" s="161" t="inlineStr">
        <is>
          <t>EXCLUDED in v16</t>
        </is>
      </c>
      <c r="S127" s="175" t="n"/>
      <c r="T127" s="175" t="inlineStr">
        <is>
          <t>No outreach email. Excluded in v16: not a medical device channel (see fit note).</t>
        </is>
      </c>
    </row>
    <row r="128" ht="42" customHeight="1" s="104">
      <c r="A128" s="195" t="n">
        <v>124</v>
      </c>
      <c r="B128" s="198" t="inlineStr">
        <is>
          <t>Alliance BioMed Pte Ltd</t>
        </is>
      </c>
      <c r="C128" s="195" t="inlineStr">
        <is>
          <t>Not started</t>
        </is>
      </c>
      <c r="D128" s="161" t="inlineStr">
        <is>
          <t>COVID 19 test kits, saliva collection kits, lab automation and contract manufacturing. Subsidiary of AMT (contract manufacturer)</t>
        </is>
      </c>
      <c r="E128" s="161" t="inlineStr">
        <is>
          <t>Laboratories, contract manufacturing clients</t>
        </is>
      </c>
      <c r="F128" s="161" t="inlineStr">
        <is>
          <t>Not applicable</t>
        </is>
      </c>
      <c r="G128" s="161" t="inlineStr">
        <is>
          <t>Singapore (Tuas)</t>
        </is>
      </c>
      <c r="H128" s="163" t="inlineStr">
        <is>
          <t>https://alliance-biomed.com</t>
        </is>
      </c>
      <c r="I128" s="161" t="inlineStr">
        <is>
          <t>+65 6865 5700</t>
        </is>
      </c>
      <c r="J128" s="161" t="inlineStr">
        <is>
          <t>Not applicable</t>
        </is>
      </c>
      <c r="K128" s="161" t="inlineStr">
        <is>
          <t>3 Tuas Lane, Singapore 638612</t>
        </is>
      </c>
      <c r="L128" s="168" t="inlineStr">
        <is>
          <t>B</t>
        </is>
      </c>
      <c r="M128" s="161" t="inlineStr">
        <is>
          <t>EXCLUDED. v15 held it at Tier 1. Own site shows test kits, lab automation and contract manufacturing, not distribution of clinical equipment.</t>
        </is>
      </c>
      <c r="N128" s="161" t="inlineStr">
        <is>
          <t>Not applicable</t>
        </is>
      </c>
      <c r="O128" s="199" t="inlineStr">
        <is>
          <t>EXCLUDED</t>
        </is>
      </c>
      <c r="P128" s="161" t="inlineStr">
        <is>
          <t>Removed from outreach after opening their own site.</t>
        </is>
      </c>
      <c r="Q128" s="161" t="inlineStr">
        <is>
          <t>Own site opened 7 Oct 2026</t>
        </is>
      </c>
      <c r="R128" s="161" t="inlineStr">
        <is>
          <t>EXCLUDED in v16</t>
        </is>
      </c>
      <c r="S128" s="175" t="n"/>
      <c r="T128" s="175" t="inlineStr">
        <is>
          <t>No outreach email. Excluded in v16: not a medical device channel (see fit note).</t>
        </is>
      </c>
    </row>
    <row r="129" ht="42" customHeight="1" s="104">
      <c r="A129" s="195" t="n">
        <v>125</v>
      </c>
      <c r="B129" s="162" t="inlineStr">
        <is>
          <t>HSA Medical Device Register (data.gov.sg)</t>
        </is>
      </c>
      <c r="C129" s="195" t="inlineStr">
        <is>
          <t>Not started</t>
        </is>
      </c>
      <c r="D129" s="161" t="inlineStr">
        <is>
          <t>Official listing of medical devices registered with HSA. Search a competitor brand to see its Singapore registrant.</t>
        </is>
      </c>
      <c r="E129" s="161" t="inlineStr">
        <is>
          <t>Not applicable</t>
        </is>
      </c>
      <c r="F129" s="161" t="inlineStr">
        <is>
          <t>Resource</t>
        </is>
      </c>
      <c r="G129" s="161" t="inlineStr">
        <is>
          <t>Online</t>
        </is>
      </c>
      <c r="H129" s="163" t="inlineStr">
        <is>
          <t>https://data.gov.sg/datasets/d_8cfe111e0a5a5cf5b598e78851e58ad4/view</t>
        </is>
      </c>
      <c r="I129" s="161" t="inlineStr">
        <is>
          <t>Not applicable</t>
        </is>
      </c>
      <c r="J129" s="161" t="inlineStr">
        <is>
          <t>Not applicable</t>
        </is>
      </c>
      <c r="K129" s="161" t="inlineStr">
        <is>
          <t>Also searchable in HSA MEDICS</t>
        </is>
      </c>
      <c r="L129" s="165" t="inlineStr">
        <is>
          <t>A</t>
        </is>
      </c>
      <c r="M129" s="161" t="inlineStr">
        <is>
          <t>Use it to confirm each dealer's registered principals before the first call.</t>
        </is>
      </c>
      <c r="N129" s="161" t="inlineStr">
        <is>
          <t>Not applicable</t>
        </is>
      </c>
      <c r="O129" s="197" t="inlineStr">
        <is>
          <t>RESOURCE</t>
        </is>
      </c>
      <c r="P129" s="161" t="inlineStr">
        <is>
          <t>Resource.</t>
        </is>
      </c>
      <c r="Q129" s="161" t="inlineStr">
        <is>
          <t>Carried from v15</t>
        </is>
      </c>
      <c r="R129" s="161" t="inlineStr">
        <is>
          <t>Kept</t>
        </is>
      </c>
      <c r="S129" s="175" t="n"/>
      <c r="T129" s="175" t="inlineStr">
        <is>
          <t>No outreach email. This row is a registry or directory used to source and check dealers.</t>
        </is>
      </c>
    </row>
    <row r="130" ht="42" customHeight="1" s="104">
      <c r="A130" s="195" t="n">
        <v>126</v>
      </c>
      <c r="B130" s="162" t="inlineStr">
        <is>
          <t>MedMatch Singapore distributor view (derived from the HSA register)</t>
        </is>
      </c>
      <c r="C130" s="195" t="inlineStr">
        <is>
          <t>Not started</t>
        </is>
      </c>
      <c r="D130" s="161" t="inlineStr">
        <is>
          <t>Ranks Singapore registrants by number of registered devices and shows each one's principals and categories (24 pages).</t>
        </is>
      </c>
      <c r="E130" s="161" t="inlineStr">
        <is>
          <t>Not applicable</t>
        </is>
      </c>
      <c r="F130" s="161" t="inlineStr">
        <is>
          <t>Resource</t>
        </is>
      </c>
      <c r="G130" s="161" t="inlineStr">
        <is>
          <t>Online</t>
        </is>
      </c>
      <c r="H130" s="163" t="inlineStr">
        <is>
          <t>https://www.med-match.ai/distributors/singapore</t>
        </is>
      </c>
      <c r="I130" s="161" t="inlineStr">
        <is>
          <t>Not applicable</t>
        </is>
      </c>
      <c r="J130" s="161" t="inlineStr">
        <is>
          <t>Not applicable</t>
        </is>
      </c>
      <c r="K130" s="161" t="inlineStr">
        <is>
          <t>Third party site; data verified June 2026</t>
        </is>
      </c>
      <c r="L130" s="170" t="inlineStr">
        <is>
          <t>C</t>
        </is>
      </c>
      <c r="M130" s="161" t="inlineStr">
        <is>
          <t>This is where AJJ's CHISON registration and Arqon's imaging lines were found. Pages 3 to 24 are still unworked.</t>
        </is>
      </c>
      <c r="N130" s="161" t="inlineStr">
        <is>
          <t>Not applicable</t>
        </is>
      </c>
      <c r="O130" s="197" t="inlineStr">
        <is>
          <t>RESOURCE</t>
        </is>
      </c>
      <c r="P130" s="161" t="inlineStr">
        <is>
          <t>Resource.</t>
        </is>
      </c>
      <c r="Q130" s="161" t="inlineStr">
        <is>
          <t>Opened 7 Oct 2026</t>
        </is>
      </c>
      <c r="R130" s="161" t="inlineStr">
        <is>
          <t>NEW in v16</t>
        </is>
      </c>
      <c r="S130" s="175" t="n"/>
      <c r="T130" s="175" t="inlineStr">
        <is>
          <t>No outreach email. This row is a registry or directory used to source and check dealers.</t>
        </is>
      </c>
    </row>
    <row r="131" ht="42" customHeight="1" s="104">
      <c r="A131" s="195" t="n">
        <v>127</v>
      </c>
      <c r="B131" s="162" t="inlineStr">
        <is>
          <t>PharmChoices: Medical Equipment Suppliers in Singapore (2026)</t>
        </is>
      </c>
      <c r="C131" s="195" t="inlineStr">
        <is>
          <t>Not started</t>
        </is>
      </c>
      <c r="D131" s="161" t="inlineStr">
        <is>
          <t>222 Singapore suppliers with phone and email, 8 pages. Source of most directory emails on this tab.</t>
        </is>
      </c>
      <c r="E131" s="161" t="inlineStr">
        <is>
          <t>Not applicable</t>
        </is>
      </c>
      <c r="F131" s="161" t="inlineStr">
        <is>
          <t>Resource</t>
        </is>
      </c>
      <c r="G131" s="161" t="inlineStr">
        <is>
          <t>Online</t>
        </is>
      </c>
      <c r="H131" s="163" t="inlineStr">
        <is>
          <t>https://pharmchoices.com/list-of-medical-equipment-suppliers-in-singapore/</t>
        </is>
      </c>
      <c r="I131" s="161" t="inlineStr">
        <is>
          <t>Not applicable</t>
        </is>
      </c>
      <c r="J131" s="161" t="inlineStr">
        <is>
          <t>Not applicable</t>
        </is>
      </c>
      <c r="K131" s="161" t="inlineStr">
        <is>
          <t>Third party directory</t>
        </is>
      </c>
      <c r="L131" s="170" t="inlineStr">
        <is>
          <t>C</t>
        </is>
      </c>
      <c r="M131" s="161" t="inlineStr">
        <is>
          <t>All 8 pages screened; lab, dental, optical, hearing and multinational subsidiaries left out.</t>
        </is>
      </c>
      <c r="N131" s="161" t="inlineStr">
        <is>
          <t>Not applicable</t>
        </is>
      </c>
      <c r="O131" s="197" t="inlineStr">
        <is>
          <t>RESOURCE</t>
        </is>
      </c>
      <c r="P131" s="161" t="inlineStr">
        <is>
          <t>Resource.</t>
        </is>
      </c>
      <c r="Q131" s="161" t="inlineStr">
        <is>
          <t>Opened 7 Oct 2026</t>
        </is>
      </c>
      <c r="R131" s="161" t="inlineStr">
        <is>
          <t>NEW in v16</t>
        </is>
      </c>
      <c r="S131" s="175" t="n"/>
      <c r="T131" s="175" t="inlineStr">
        <is>
          <t>No outreach email. This row is a registry or directory used to source and check dealers.</t>
        </is>
      </c>
    </row>
    <row r="132" ht="42" customHeight="1" s="104">
      <c r="A132" s="195" t="n">
        <v>128</v>
      </c>
      <c r="B132" s="162" t="inlineStr">
        <is>
          <t>Singapore MedTech (SGMT) member directory</t>
        </is>
      </c>
      <c r="C132" s="195" t="inlineStr">
        <is>
          <t>Not started</t>
        </is>
      </c>
      <c r="D132" s="161" t="inlineStr">
        <is>
          <t>Member directory with categories including hospital equipment and supplies (all 6 pages screened in v16) and medical imaging and nuclear medicine devices.</t>
        </is>
      </c>
      <c r="E132" s="161" t="inlineStr">
        <is>
          <t>Not applicable</t>
        </is>
      </c>
      <c r="F132" s="161" t="inlineStr">
        <is>
          <t>Resource</t>
        </is>
      </c>
      <c r="G132" s="161" t="inlineStr">
        <is>
          <t>Singapore</t>
        </is>
      </c>
      <c r="H132" s="163" t="inlineStr">
        <is>
          <t>https://www.singaporemedtech.com/company-listing/</t>
        </is>
      </c>
      <c r="I132" s="161" t="inlineStr">
        <is>
          <t>Not applicable</t>
        </is>
      </c>
      <c r="J132" s="161" t="inlineStr">
        <is>
          <t>Not applicable</t>
        </is>
      </c>
      <c r="K132" s="161" t="inlineStr">
        <is>
          <t>Diagnostic equipment category timed out on 7 Oct 2026; screen it next</t>
        </is>
      </c>
      <c r="L132" s="165" t="inlineStr">
        <is>
          <t>A</t>
        </is>
      </c>
      <c r="M132" s="161" t="inlineStr">
        <is>
          <t>Use the category pages to replenish the list.</t>
        </is>
      </c>
      <c r="N132" s="161" t="inlineStr">
        <is>
          <t>Not applicable</t>
        </is>
      </c>
      <c r="O132" s="197" t="inlineStr">
        <is>
          <t>RESOURCE</t>
        </is>
      </c>
      <c r="P132" s="161" t="inlineStr">
        <is>
          <t>Resource.</t>
        </is>
      </c>
      <c r="Q132" s="161" t="inlineStr">
        <is>
          <t>Carried from v15, rescreened</t>
        </is>
      </c>
      <c r="R132" s="161" t="inlineStr">
        <is>
          <t>Kept</t>
        </is>
      </c>
      <c r="S132" s="175" t="n"/>
      <c r="T132" s="175" t="inlineStr">
        <is>
          <t>No outreach email. This row is a registry or directory used to source and check dealers.</t>
        </is>
      </c>
    </row>
    <row r="133" ht="42" customHeight="1" s="104">
      <c r="A133" s="195" t="n">
        <v>129</v>
      </c>
      <c r="B133" s="162" t="inlineStr">
        <is>
          <t>Singapore End-Users tab (in this workbook)</t>
        </is>
      </c>
      <c r="C133" s="195" t="inlineStr">
        <is>
          <t>Not started</t>
        </is>
      </c>
      <c r="D133" s="161" t="inlineStr">
        <is>
          <t>Hospital, clinic group and imaging centre accounts: the pull through map to show a candidate dealer.</t>
        </is>
      </c>
      <c r="E133" s="161" t="inlineStr">
        <is>
          <t>Not applicable</t>
        </is>
      </c>
      <c r="F133" s="161" t="inlineStr">
        <is>
          <t>Resource</t>
        </is>
      </c>
      <c r="G133" s="161" t="inlineStr">
        <is>
          <t>Singapore</t>
        </is>
      </c>
      <c r="H133" s="161" t="inlineStr">
        <is>
          <t>See the Singapore End-Users tab</t>
        </is>
      </c>
      <c r="I133" s="161" t="inlineStr">
        <is>
          <t>See that tab</t>
        </is>
      </c>
      <c r="J133" s="161" t="inlineStr">
        <is>
          <t>Not applicable</t>
        </is>
      </c>
      <c r="K133" s="161" t="inlineStr">
        <is>
          <t>Its nine optional sub dealer rows are now also on this tab</t>
        </is>
      </c>
      <c r="L133" s="195" t="inlineStr">
        <is>
          <t>N/A</t>
        </is>
      </c>
      <c r="M133" s="161" t="inlineStr">
        <is>
          <t>Show a dealer which accounts the appointment is worth.</t>
        </is>
      </c>
      <c r="N133" s="161" t="inlineStr">
        <is>
          <t>Not applicable</t>
        </is>
      </c>
      <c r="O133" s="197" t="inlineStr">
        <is>
          <t>RESOURCE</t>
        </is>
      </c>
      <c r="P133" s="161" t="inlineStr">
        <is>
          <t>Resource.</t>
        </is>
      </c>
      <c r="Q133" s="161" t="inlineStr">
        <is>
          <t>Carried from v15</t>
        </is>
      </c>
      <c r="R133" s="161" t="inlineStr">
        <is>
          <t>Kept</t>
        </is>
      </c>
      <c r="S133" s="175" t="n"/>
      <c r="T133" s="175" t="inlineStr">
        <is>
          <t>No outreach email. This row is a registry or directory used to source and check dealers.</t>
        </is>
      </c>
    </row>
    <row r="134" ht="42" customHeight="1" s="104">
      <c r="A134" s="195" t="n">
        <v>130</v>
      </c>
      <c r="B134" s="162" t="inlineStr">
        <is>
          <t>Shimadzu (Asia Pacific) Pte Ltd</t>
        </is>
      </c>
      <c r="C134" s="195" t="inlineStr">
        <is>
          <t>Not started</t>
        </is>
      </c>
      <c r="D134" s="161" t="inlineStr">
        <is>
          <t>Manufacturer: X ray, fluoroscopy and angiography systems, analytical instruments. Regional HQ in Singapore</t>
        </is>
      </c>
      <c r="E134" s="161" t="inlineStr">
        <is>
          <t>Radiology</t>
        </is>
      </c>
      <c r="F134" s="161" t="inlineStr">
        <is>
          <t>No ultrasound in its current medical range</t>
        </is>
      </c>
      <c r="G134" s="161" t="inlineStr">
        <is>
          <t>Singapore</t>
        </is>
      </c>
      <c r="H134" s="163" t="inlineStr">
        <is>
          <t>https://www.shimadzu.com.sg</t>
        </is>
      </c>
      <c r="I134" s="161" t="inlineStr">
        <is>
          <t>Not confirmed</t>
        </is>
      </c>
      <c r="J134" s="161" t="inlineStr">
        <is>
          <t>Not applicable</t>
        </is>
      </c>
      <c r="K134" s="161" t="inlineStr">
        <is>
          <t>Listed in Kompass X ray equipment category</t>
        </is>
      </c>
      <c r="L134" s="170" t="inlineStr">
        <is>
          <t>C</t>
        </is>
      </c>
      <c r="M134" s="161" t="inlineStr">
        <is>
          <t>Manufacturer, not a dealer. Its Singapore dealers (QST is one) are the target; a co-selling conversation is possible later.</t>
        </is>
      </c>
      <c r="N134" s="161" t="inlineStr">
        <is>
          <t>Not applicable</t>
        </is>
      </c>
      <c r="O134" s="200" t="inlineStr">
        <is>
          <t>MFR</t>
        </is>
      </c>
      <c r="P134" s="161" t="inlineStr">
        <is>
          <t>MFR.</t>
        </is>
      </c>
      <c r="Q134" s="161" t="inlineStr">
        <is>
          <t>Kompass Singapore X ray equipment listing</t>
        </is>
      </c>
      <c r="R134" s="161" t="inlineStr">
        <is>
          <t>NEW in v16</t>
        </is>
      </c>
      <c r="S134" s="175" t="n"/>
      <c r="T134" s="175" t="inlineStr">
        <is>
          <t>No outreach email. Manufacturer, not a dealer: a co-selling conversation at most.</t>
        </is>
      </c>
    </row>
    <row r="135" ht="42" customHeight="1" s="104">
      <c r="A135" s="195" t="n">
        <v>131</v>
      </c>
      <c r="B135" s="162" t="inlineStr">
        <is>
          <t>Carestream Health Singapore Pte Ltd</t>
        </is>
      </c>
      <c r="C135" s="195" t="inlineStr">
        <is>
          <t>Not started</t>
        </is>
      </c>
      <c r="D135" s="161" t="inlineStr">
        <is>
          <t>Manufacturer: digital radiography and detectors</t>
        </is>
      </c>
      <c r="E135" s="161" t="inlineStr">
        <is>
          <t>Radiology</t>
        </is>
      </c>
      <c r="F135" s="161" t="inlineStr">
        <is>
          <t>No ultrasound</t>
        </is>
      </c>
      <c r="G135" s="161" t="inlineStr">
        <is>
          <t>Singapore</t>
        </is>
      </c>
      <c r="H135" s="163" t="inlineStr">
        <is>
          <t>https://www.carestream.com</t>
        </is>
      </c>
      <c r="I135" s="161" t="inlineStr">
        <is>
          <t>+65 6501 5007</t>
        </is>
      </c>
      <c r="J135" s="161" t="inlineStr">
        <is>
          <t>Not applicable</t>
        </is>
      </c>
      <c r="K135" s="161" t="inlineStr">
        <is>
          <t>SGMT imaging category</t>
        </is>
      </c>
      <c r="L135" s="170" t="inlineStr">
        <is>
          <t>C</t>
        </is>
      </c>
      <c r="M135" s="161" t="inlineStr">
        <is>
          <t>Manufacturer. Its local dealers are worth mapping; not an outreach target itself.</t>
        </is>
      </c>
      <c r="N135" s="161" t="inlineStr">
        <is>
          <t>Not applicable</t>
        </is>
      </c>
      <c r="O135" s="200" t="inlineStr">
        <is>
          <t>MFR</t>
        </is>
      </c>
      <c r="P135" s="161" t="inlineStr">
        <is>
          <t>MFR.</t>
        </is>
      </c>
      <c r="Q135" s="161" t="inlineStr">
        <is>
          <t>Directory: Singapore MedTech (SGMT) member directory, own site not opened</t>
        </is>
      </c>
      <c r="R135" s="161" t="inlineStr">
        <is>
          <t>NEW in v16</t>
        </is>
      </c>
      <c r="S135" s="175" t="n"/>
      <c r="T135" s="175" t="inlineStr">
        <is>
          <t>No outreach email. Manufacturer, not a dealer: a co-selling conversation at most.</t>
        </is>
      </c>
    </row>
    <row r="136" ht="42" customHeight="1" s="104">
      <c r="A136" s="195" t="n">
        <v>132</v>
      </c>
      <c r="B136" s="162" t="inlineStr">
        <is>
          <t>GE HealthCare Singapore</t>
        </is>
      </c>
      <c r="C136" s="195" t="inlineStr">
        <is>
          <t>Not started</t>
        </is>
      </c>
      <c r="D136" s="161" t="inlineStr">
        <is>
          <t>Global brand subsidiary. Incumbent in Singapore hospital imaging</t>
        </is>
      </c>
      <c r="E136" s="161" t="inlineStr">
        <is>
          <t>All</t>
        </is>
      </c>
      <c r="F136" s="161" t="inlineStr">
        <is>
          <t>Competitor</t>
        </is>
      </c>
      <c r="G136" s="161" t="inlineStr">
        <is>
          <t>Singapore</t>
        </is>
      </c>
      <c r="H136" s="163" t="inlineStr">
        <is>
          <t>https://www.gehealthcare.com</t>
        </is>
      </c>
      <c r="I136" s="161" t="inlineStr">
        <is>
          <t>Not applicable</t>
        </is>
      </c>
      <c r="J136" s="161" t="inlineStr">
        <is>
          <t>Not applicable</t>
        </is>
      </c>
      <c r="K136" s="161" t="inlineStr">
        <is>
          <t>Brand subsidiary</t>
        </is>
      </c>
      <c r="L136" s="170" t="inlineStr">
        <is>
          <t>C</t>
        </is>
      </c>
      <c r="M136" s="161" t="inlineStr">
        <is>
          <t>Benchmark only.</t>
        </is>
      </c>
      <c r="N136" s="161" t="inlineStr">
        <is>
          <t>Not applicable</t>
        </is>
      </c>
      <c r="O136" s="172" t="inlineStr">
        <is>
          <t>REF</t>
        </is>
      </c>
      <c r="P136" s="161" t="inlineStr">
        <is>
          <t>REF.</t>
        </is>
      </c>
      <c r="Q136" s="161" t="inlineStr">
        <is>
          <t>Carried from v15</t>
        </is>
      </c>
      <c r="R136" s="161" t="inlineStr">
        <is>
          <t>Kept</t>
        </is>
      </c>
      <c r="S136" s="175" t="n"/>
      <c r="T136" s="175" t="inlineStr">
        <is>
          <t>No outreach email. This row is a competitor, brand subsidiary or competitor channel, kept for benchmarking only.</t>
        </is>
      </c>
    </row>
    <row r="137" ht="42" customHeight="1" s="104">
      <c r="A137" s="195" t="n">
        <v>133</v>
      </c>
      <c r="B137" s="162" t="inlineStr">
        <is>
          <t>Philips Singapore</t>
        </is>
      </c>
      <c r="C137" s="195" t="inlineStr">
        <is>
          <t>Not started</t>
        </is>
      </c>
      <c r="D137" s="161" t="inlineStr">
        <is>
          <t>Global brand subsidiary. Incumbent in Singapore hospital imaging</t>
        </is>
      </c>
      <c r="E137" s="161" t="inlineStr">
        <is>
          <t>All</t>
        </is>
      </c>
      <c r="F137" s="161" t="inlineStr">
        <is>
          <t>Competitor</t>
        </is>
      </c>
      <c r="G137" s="161" t="inlineStr">
        <is>
          <t>Singapore</t>
        </is>
      </c>
      <c r="H137" s="163" t="inlineStr">
        <is>
          <t>https://www.philips.com.sg</t>
        </is>
      </c>
      <c r="I137" s="161" t="inlineStr">
        <is>
          <t>Not applicable</t>
        </is>
      </c>
      <c r="J137" s="161" t="inlineStr">
        <is>
          <t>Not applicable</t>
        </is>
      </c>
      <c r="K137" s="161" t="inlineStr">
        <is>
          <t>Brand subsidiary</t>
        </is>
      </c>
      <c r="L137" s="170" t="inlineStr">
        <is>
          <t>C</t>
        </is>
      </c>
      <c r="M137" s="161" t="inlineStr">
        <is>
          <t>Benchmark only.</t>
        </is>
      </c>
      <c r="N137" s="161" t="inlineStr">
        <is>
          <t>Not applicable</t>
        </is>
      </c>
      <c r="O137" s="172" t="inlineStr">
        <is>
          <t>REF</t>
        </is>
      </c>
      <c r="P137" s="161" t="inlineStr">
        <is>
          <t>REF.</t>
        </is>
      </c>
      <c r="Q137" s="161" t="inlineStr">
        <is>
          <t>Carried from v15</t>
        </is>
      </c>
      <c r="R137" s="161" t="inlineStr">
        <is>
          <t>Kept</t>
        </is>
      </c>
      <c r="S137" s="175" t="n"/>
      <c r="T137" s="175" t="inlineStr">
        <is>
          <t>No outreach email. This row is a competitor, brand subsidiary or competitor channel, kept for benchmarking only.</t>
        </is>
      </c>
    </row>
    <row r="138" ht="42" customHeight="1" s="104">
      <c r="A138" s="195" t="n">
        <v>134</v>
      </c>
      <c r="B138" s="162" t="inlineStr">
        <is>
          <t>Siemens Healthineers Singapore</t>
        </is>
      </c>
      <c r="C138" s="195" t="inlineStr">
        <is>
          <t>Not started</t>
        </is>
      </c>
      <c r="D138" s="161" t="inlineStr">
        <is>
          <t>Global brand subsidiary; largest HSA registrant by product count</t>
        </is>
      </c>
      <c r="E138" s="161" t="inlineStr">
        <is>
          <t>All</t>
        </is>
      </c>
      <c r="F138" s="161" t="inlineStr">
        <is>
          <t>Competitor</t>
        </is>
      </c>
      <c r="G138" s="161" t="inlineStr">
        <is>
          <t>Singapore</t>
        </is>
      </c>
      <c r="H138" s="163" t="inlineStr">
        <is>
          <t>https://www.siemens-healthineers.com/sg</t>
        </is>
      </c>
      <c r="I138" s="161" t="inlineStr">
        <is>
          <t>Not applicable</t>
        </is>
      </c>
      <c r="J138" s="161" t="inlineStr">
        <is>
          <t>Not applicable</t>
        </is>
      </c>
      <c r="K138" s="161" t="inlineStr">
        <is>
          <t>Brand subsidiary</t>
        </is>
      </c>
      <c r="L138" s="170" t="inlineStr">
        <is>
          <t>C</t>
        </is>
      </c>
      <c r="M138" s="161" t="inlineStr">
        <is>
          <t>Benchmark only.</t>
        </is>
      </c>
      <c r="N138" s="161" t="inlineStr">
        <is>
          <t>Not applicable</t>
        </is>
      </c>
      <c r="O138" s="172" t="inlineStr">
        <is>
          <t>REF</t>
        </is>
      </c>
      <c r="P138" s="161" t="inlineStr">
        <is>
          <t>REF.</t>
        </is>
      </c>
      <c r="Q138" s="161" t="inlineStr">
        <is>
          <t>Carried from v15</t>
        </is>
      </c>
      <c r="R138" s="161" t="inlineStr">
        <is>
          <t>Kept</t>
        </is>
      </c>
      <c r="S138" s="175" t="n"/>
      <c r="T138" s="175" t="inlineStr">
        <is>
          <t>No outreach email. This row is a competitor, brand subsidiary or competitor channel, kept for benchmarking only.</t>
        </is>
      </c>
    </row>
    <row r="139" ht="42" customHeight="1" s="104">
      <c r="A139" s="195" t="n">
        <v>135</v>
      </c>
      <c r="B139" s="162" t="inlineStr">
        <is>
          <t>Samsung Medison / Samsung Healthcare Singapore</t>
        </is>
      </c>
      <c r="C139" s="195" t="inlineStr">
        <is>
          <t>Not started</t>
        </is>
      </c>
      <c r="D139" s="161" t="inlineStr">
        <is>
          <t>Competitor ultrasound brand. Quest Asia Technologies (AJJ group) states it is the sole HSA registered Samsung Medison distributor since 2019; Scanmed also lists Samsung</t>
        </is>
      </c>
      <c r="E139" s="161" t="inlineStr">
        <is>
          <t>All</t>
        </is>
      </c>
      <c r="F139" s="161" t="inlineStr">
        <is>
          <t>Competitor</t>
        </is>
      </c>
      <c r="G139" s="161" t="inlineStr">
        <is>
          <t>Singapore</t>
        </is>
      </c>
      <c r="H139" s="163" t="inlineStr">
        <is>
          <t>https://www.samsungmedison.com</t>
        </is>
      </c>
      <c r="I139" s="161" t="inlineStr">
        <is>
          <t>Not applicable</t>
        </is>
      </c>
      <c r="J139" s="161" t="inlineStr">
        <is>
          <t>Not applicable</t>
        </is>
      </c>
      <c r="K139" s="161" t="inlineStr">
        <is>
          <t>Reaches Singapore through distributors</t>
        </is>
      </c>
      <c r="L139" s="170" t="inlineStr">
        <is>
          <t>C</t>
        </is>
      </c>
      <c r="M139" s="161" t="inlineStr">
        <is>
          <t>Benchmark only.</t>
        </is>
      </c>
      <c r="N139" s="161" t="inlineStr">
        <is>
          <t>Not applicable</t>
        </is>
      </c>
      <c r="O139" s="172" t="inlineStr">
        <is>
          <t>REF</t>
        </is>
      </c>
      <c r="P139" s="161" t="inlineStr">
        <is>
          <t>REF.</t>
        </is>
      </c>
      <c r="Q139" s="161" t="inlineStr">
        <is>
          <t>Carried from v15; SGX release 14 Aug 2023</t>
        </is>
      </c>
      <c r="R139" s="161" t="inlineStr">
        <is>
          <t>Kept, note added</t>
        </is>
      </c>
      <c r="S139" s="175" t="n"/>
      <c r="T139" s="175" t="inlineStr">
        <is>
          <t>No outreach email. This row is a competitor, brand subsidiary or competitor channel, kept for benchmarking only.</t>
        </is>
      </c>
    </row>
    <row r="140" ht="42" customHeight="1" s="104">
      <c r="A140" s="195" t="n">
        <v>136</v>
      </c>
      <c r="B140" s="162" t="inlineStr">
        <is>
          <t>Quest Asia Technologies Pte Ltd (QAT)</t>
        </is>
      </c>
      <c r="C140" s="195" t="inlineStr">
        <is>
          <t>Not started</t>
        </is>
      </c>
      <c r="D140" s="161" t="inlineStr">
        <is>
          <t>Diagnostic imaging solutions provider since 2017; sole HSA registered distributor of Samsung Medison ultrasound since 2019; 70% owned by AJJ Healthcare since Aug 2023. Also exhibits Samsung vet ultrasound</t>
        </is>
      </c>
      <c r="E140" s="161" t="inlineStr">
        <is>
          <t>Hospitals, clinics, vet</t>
        </is>
      </c>
      <c r="F140" s="161" t="inlineStr">
        <is>
          <t>Competitor channel (Samsung Medison)</t>
        </is>
      </c>
      <c r="G140" s="161" t="inlineStr">
        <is>
          <t>Singapore (Commonwealth)</t>
        </is>
      </c>
      <c r="H140" s="163" t="inlineStr">
        <is>
          <t>https://www.ajjmedtech.com.sg</t>
        </is>
      </c>
      <c r="I140" s="161" t="inlineStr">
        <is>
          <t>Not applicable</t>
        </is>
      </c>
      <c r="J140" s="161" t="inlineStr">
        <is>
          <t>Not applicable</t>
        </is>
      </c>
      <c r="K140" s="161" t="inlineStr">
        <is>
          <t>8 Commonwealth Lane #02-04, Grande Building, Singapore 149555</t>
        </is>
      </c>
      <c r="L140" s="170" t="inlineStr">
        <is>
          <t>C</t>
        </is>
      </c>
      <c r="M140" s="161" t="inlineStr">
        <is>
          <t>Competitor channel. Read together with the AJJ row.</t>
        </is>
      </c>
      <c r="N140" s="161" t="inlineStr">
        <is>
          <t>Not applicable</t>
        </is>
      </c>
      <c r="O140" s="172" t="inlineStr">
        <is>
          <t>REF</t>
        </is>
      </c>
      <c r="P140" s="161" t="inlineStr">
        <is>
          <t>REF.</t>
        </is>
      </c>
      <c r="Q140" s="161" t="inlineStr">
        <is>
          <t>SGX press release 14 Aug 2023; VetShow exhibitor page</t>
        </is>
      </c>
      <c r="R140" s="161" t="inlineStr">
        <is>
          <t>NEW in v16</t>
        </is>
      </c>
      <c r="S140" s="175" t="n"/>
      <c r="T140" s="175" t="inlineStr">
        <is>
          <t>No outreach email. This row is a competitor, brand subsidiary or competitor channel, kept for benchmarking only.</t>
        </is>
      </c>
    </row>
    <row r="141" ht="42" customHeight="1" s="104">
      <c r="A141" s="195" t="n">
        <v>137</v>
      </c>
      <c r="B141" s="162" t="inlineStr">
        <is>
          <t>Mindray Singapore</t>
        </is>
      </c>
      <c r="C141" s="195" t="inlineStr">
        <is>
          <t>Not started</t>
        </is>
      </c>
      <c r="D141" s="161" t="inlineStr">
        <is>
          <t>Competitor ultrasound and monitoring brand</t>
        </is>
      </c>
      <c r="E141" s="161" t="inlineStr">
        <is>
          <t>All</t>
        </is>
      </c>
      <c r="F141" s="161" t="inlineStr">
        <is>
          <t>Competitor</t>
        </is>
      </c>
      <c r="G141" s="161" t="inlineStr">
        <is>
          <t>Singapore</t>
        </is>
      </c>
      <c r="H141" s="163" t="inlineStr">
        <is>
          <t>https://www.mindray.com</t>
        </is>
      </c>
      <c r="I141" s="161" t="inlineStr">
        <is>
          <t>Not applicable</t>
        </is>
      </c>
      <c r="J141" s="161" t="inlineStr">
        <is>
          <t>Not applicable</t>
        </is>
      </c>
      <c r="K141" s="161" t="inlineStr">
        <is>
          <t>Subsidiaries and appointed distributors</t>
        </is>
      </c>
      <c r="L141" s="170" t="inlineStr">
        <is>
          <t>C</t>
        </is>
      </c>
      <c r="M141" s="161" t="inlineStr">
        <is>
          <t>Benchmark only.</t>
        </is>
      </c>
      <c r="N141" s="161" t="inlineStr">
        <is>
          <t>Not applicable</t>
        </is>
      </c>
      <c r="O141" s="172" t="inlineStr">
        <is>
          <t>REF</t>
        </is>
      </c>
      <c r="P141" s="161" t="inlineStr">
        <is>
          <t>REF.</t>
        </is>
      </c>
      <c r="Q141" s="161" t="inlineStr">
        <is>
          <t>Carried from v15</t>
        </is>
      </c>
      <c r="R141" s="161" t="inlineStr">
        <is>
          <t>Kept</t>
        </is>
      </c>
      <c r="S141" s="175" t="n"/>
      <c r="T141" s="175" t="inlineStr">
        <is>
          <t>No outreach email. This row is a competitor, brand subsidiary or competitor channel, kept for benchmarking only.</t>
        </is>
      </c>
    </row>
    <row r="142" ht="42" customHeight="1" s="104">
      <c r="A142" s="195" t="n">
        <v>138</v>
      </c>
      <c r="B142" s="162" t="inlineStr">
        <is>
          <t>SonoScape Medical Singapore Pte Ltd</t>
        </is>
      </c>
      <c r="C142" s="195" t="inlineStr">
        <is>
          <t>Not started</t>
        </is>
      </c>
      <c r="D142" s="161" t="inlineStr">
        <is>
          <t>SonoScape's own Singapore company (UEN 202030620R, incorporated 2020)</t>
        </is>
      </c>
      <c r="E142" s="161" t="inlineStr">
        <is>
          <t>All</t>
        </is>
      </c>
      <c r="F142" s="161" t="inlineStr">
        <is>
          <t>Competitor</t>
        </is>
      </c>
      <c r="G142" s="161" t="inlineStr">
        <is>
          <t>Singapore</t>
        </is>
      </c>
      <c r="H142" s="163" t="inlineStr">
        <is>
          <t>https://www.sonoscape.com</t>
        </is>
      </c>
      <c r="I142" s="161" t="inlineStr">
        <is>
          <t>Not applicable</t>
        </is>
      </c>
      <c r="J142" s="161" t="inlineStr">
        <is>
          <t>Not applicable</t>
        </is>
      </c>
      <c r="K142" s="161" t="inlineStr">
        <is>
          <t>ACRA record via companieshouse.sg</t>
        </is>
      </c>
      <c r="L142" s="170" t="inlineStr">
        <is>
          <t>C</t>
        </is>
      </c>
      <c r="M142" s="161" t="inlineStr">
        <is>
          <t>Benchmark only; see the SonoScape event register.</t>
        </is>
      </c>
      <c r="N142" s="161" t="inlineStr">
        <is>
          <t>Not applicable</t>
        </is>
      </c>
      <c r="O142" s="172" t="inlineStr">
        <is>
          <t>REF</t>
        </is>
      </c>
      <c r="P142" s="161" t="inlineStr">
        <is>
          <t>REF.</t>
        </is>
      </c>
      <c r="Q142" s="161" t="inlineStr">
        <is>
          <t>companieshouse.sg</t>
        </is>
      </c>
      <c r="R142" s="161" t="inlineStr">
        <is>
          <t>NEW in v16</t>
        </is>
      </c>
      <c r="S142" s="175" t="n"/>
      <c r="T142" s="175" t="inlineStr">
        <is>
          <t>No outreach email. This row is a competitor, brand subsidiary or competitor channel, kept for benchmarking only.</t>
        </is>
      </c>
    </row>
    <row r="143" ht="42" customHeight="1" s="104">
      <c r="A143" s="195" t="n">
        <v>139</v>
      </c>
      <c r="B143" s="162" t="inlineStr">
        <is>
          <t>Fujifilm Healthcare Asia Pacific Pte Ltd</t>
        </is>
      </c>
      <c r="C143" s="195" t="inlineStr">
        <is>
          <t>Not started</t>
        </is>
      </c>
      <c r="D143" s="161" t="inlineStr">
        <is>
          <t>Fujifilm (incl. former Hitachi Aloka and Sonosite); about 138 HSA registered products</t>
        </is>
      </c>
      <c r="E143" s="161" t="inlineStr">
        <is>
          <t>All</t>
        </is>
      </c>
      <c r="F143" s="161" t="inlineStr">
        <is>
          <t>Competitor</t>
        </is>
      </c>
      <c r="G143" s="161" t="inlineStr">
        <is>
          <t>Singapore</t>
        </is>
      </c>
      <c r="H143" s="163" t="inlineStr">
        <is>
          <t>https://www.fujifilm.com/sg</t>
        </is>
      </c>
      <c r="I143" s="161" t="inlineStr">
        <is>
          <t>Not applicable</t>
        </is>
      </c>
      <c r="J143" s="161" t="inlineStr">
        <is>
          <t>Not applicable</t>
        </is>
      </c>
      <c r="K143" s="161" t="inlineStr">
        <is>
          <t>Brand subsidiary</t>
        </is>
      </c>
      <c r="L143" s="170" t="inlineStr">
        <is>
          <t>C</t>
        </is>
      </c>
      <c r="M143" s="161" t="inlineStr">
        <is>
          <t>Benchmark only. Bluestone is its Sonosite channel.</t>
        </is>
      </c>
      <c r="N143" s="161" t="inlineStr">
        <is>
          <t>Not applicable</t>
        </is>
      </c>
      <c r="O143" s="172" t="inlineStr">
        <is>
          <t>REF</t>
        </is>
      </c>
      <c r="P143" s="161" t="inlineStr">
        <is>
          <t>REF.</t>
        </is>
      </c>
      <c r="Q143" s="161" t="inlineStr">
        <is>
          <t>HSA registry view (MedMatch, data verified Jun 2026)</t>
        </is>
      </c>
      <c r="R143" s="161" t="inlineStr">
        <is>
          <t>NEW in v16</t>
        </is>
      </c>
      <c r="S143" s="175" t="n"/>
      <c r="T143" s="175" t="inlineStr">
        <is>
          <t>No outreach email. This row is a competitor, brand subsidiary or competitor channel, kept for benchmarking only.</t>
        </is>
      </c>
    </row>
    <row r="144" ht="42" customHeight="1" s="104">
      <c r="A144" s="195" t="n">
        <v>140</v>
      </c>
      <c r="B144" s="162" t="inlineStr">
        <is>
          <t>Canon Medical Systems Asia Pte Ltd</t>
        </is>
      </c>
      <c r="C144" s="195" t="inlineStr">
        <is>
          <t>Not started</t>
        </is>
      </c>
      <c r="D144" s="161" t="inlineStr">
        <is>
          <t>Brand subsidiary, Henderson Road</t>
        </is>
      </c>
      <c r="E144" s="161" t="inlineStr">
        <is>
          <t>All</t>
        </is>
      </c>
      <c r="F144" s="161" t="inlineStr">
        <is>
          <t>Competitor</t>
        </is>
      </c>
      <c r="G144" s="161" t="inlineStr">
        <is>
          <t>Singapore</t>
        </is>
      </c>
      <c r="H144" s="163" t="inlineStr">
        <is>
          <t>https://sg.medical.canon</t>
        </is>
      </c>
      <c r="I144" s="161" t="inlineStr">
        <is>
          <t>+65 6272 9766</t>
        </is>
      </c>
      <c r="J144" s="161" t="inlineStr">
        <is>
          <t>Not applicable</t>
        </is>
      </c>
      <c r="K144" s="161" t="inlineStr">
        <is>
          <t>Block 211 Henderson Road #08-02, Singapore 159552</t>
        </is>
      </c>
      <c r="L144" s="170" t="inlineStr">
        <is>
          <t>C</t>
        </is>
      </c>
      <c r="M144" s="161" t="inlineStr">
        <is>
          <t>Benchmark only. QST lists Canon as a principal.</t>
        </is>
      </c>
      <c r="N144" s="161" t="inlineStr">
        <is>
          <t>Not applicable</t>
        </is>
      </c>
      <c r="O144" s="172" t="inlineStr">
        <is>
          <t>REF</t>
        </is>
      </c>
      <c r="P144" s="161" t="inlineStr">
        <is>
          <t>REF.</t>
        </is>
      </c>
      <c r="Q144" s="161" t="inlineStr">
        <is>
          <t>Directory: PharmChoices Singapore supplier list (2026), own site not opened</t>
        </is>
      </c>
      <c r="R144" s="161" t="inlineStr">
        <is>
          <t>NEW in v16</t>
        </is>
      </c>
      <c r="S144" s="175" t="n"/>
      <c r="T144" s="175" t="inlineStr">
        <is>
          <t>No outreach email. This row is a competitor, brand subsidiary or competitor channel, kept for benchmarking only.</t>
        </is>
      </c>
    </row>
    <row r="145" ht="42" customHeight="1" s="104">
      <c r="A145" s="195" t="n">
        <v>141</v>
      </c>
      <c r="B145" s="162" t="inlineStr">
        <is>
          <t>AGFA HealthCare Singapore</t>
        </is>
      </c>
      <c r="C145" s="195" t="inlineStr">
        <is>
          <t>Not started</t>
        </is>
      </c>
      <c r="D145" s="161" t="inlineStr">
        <is>
          <t>Imaging informatics and radiography brand subsidiary</t>
        </is>
      </c>
      <c r="E145" s="161" t="inlineStr">
        <is>
          <t>Radiology</t>
        </is>
      </c>
      <c r="F145" s="161" t="inlineStr">
        <is>
          <t>Competitor adjacent</t>
        </is>
      </c>
      <c r="G145" s="161" t="inlineStr">
        <is>
          <t>Singapore</t>
        </is>
      </c>
      <c r="H145" s="163" t="inlineStr">
        <is>
          <t>https://www.agfahealthcare.com</t>
        </is>
      </c>
      <c r="I145" s="161" t="inlineStr">
        <is>
          <t>+65 6214 0622</t>
        </is>
      </c>
      <c r="J145" s="161" t="inlineStr">
        <is>
          <t>Not applicable</t>
        </is>
      </c>
      <c r="K145" s="161" t="inlineStr">
        <is>
          <t>62 Ubi Road 1 #08-22, Oxley Bizhub 2, Singapore 408734</t>
        </is>
      </c>
      <c r="L145" s="170" t="inlineStr">
        <is>
          <t>C</t>
        </is>
      </c>
      <c r="M145" s="161" t="inlineStr">
        <is>
          <t>Benchmark only.</t>
        </is>
      </c>
      <c r="N145" s="161" t="inlineStr">
        <is>
          <t>Not applicable</t>
        </is>
      </c>
      <c r="O145" s="172" t="inlineStr">
        <is>
          <t>REF</t>
        </is>
      </c>
      <c r="P145" s="161" t="inlineStr">
        <is>
          <t>REF.</t>
        </is>
      </c>
      <c r="Q145" s="161" t="inlineStr">
        <is>
          <t>Carried from v15</t>
        </is>
      </c>
      <c r="R145" s="161" t="inlineStr">
        <is>
          <t>Kept</t>
        </is>
      </c>
      <c r="S145" s="175" t="n"/>
      <c r="T145" s="175" t="inlineStr">
        <is>
          <t>No outreach email. This row is a competitor, brand subsidiary or competitor channel, kept for benchmarking only.</t>
        </is>
      </c>
    </row>
    <row r="146" ht="42" customHeight="1" s="104">
      <c r="A146" s="195" t="n">
        <v>142</v>
      </c>
      <c r="B146" s="162" t="inlineStr">
        <is>
          <t>B. Braun Singapore, Abbott Singapore, 3M Singapore</t>
        </is>
      </c>
      <c r="C146" s="195" t="inlineStr">
        <is>
          <t>Not started</t>
        </is>
      </c>
      <c r="D146" s="161" t="inlineStr">
        <is>
          <t>Multinational device and diagnostics subsidiaries</t>
        </is>
      </c>
      <c r="E146" s="161" t="inlineStr">
        <is>
          <t>All</t>
        </is>
      </c>
      <c r="F146" s="161" t="inlineStr">
        <is>
          <t>Not applicable</t>
        </is>
      </c>
      <c r="G146" s="161" t="inlineStr">
        <is>
          <t>Singapore</t>
        </is>
      </c>
      <c r="H146" s="161" t="inlineStr">
        <is>
          <t>Not applicable</t>
        </is>
      </c>
      <c r="I146" s="161" t="inlineStr">
        <is>
          <t>Not applicable</t>
        </is>
      </c>
      <c r="J146" s="161" t="inlineStr">
        <is>
          <t>Not applicable</t>
        </is>
      </c>
      <c r="K146" s="161" t="inlineStr">
        <is>
          <t>Brand subsidiaries</t>
        </is>
      </c>
      <c r="L146" s="170" t="inlineStr">
        <is>
          <t>C</t>
        </is>
      </c>
      <c r="M146" s="161" t="inlineStr">
        <is>
          <t>Not outreach targets.</t>
        </is>
      </c>
      <c r="N146" s="161" t="inlineStr">
        <is>
          <t>Not applicable</t>
        </is>
      </c>
      <c r="O146" s="172" t="inlineStr">
        <is>
          <t>REF</t>
        </is>
      </c>
      <c r="P146" s="161" t="inlineStr">
        <is>
          <t>REF.</t>
        </is>
      </c>
      <c r="Q146" s="161" t="inlineStr">
        <is>
          <t>Carried from v15</t>
        </is>
      </c>
      <c r="R146" s="161" t="inlineStr">
        <is>
          <t>Kept</t>
        </is>
      </c>
      <c r="S146" s="175" t="n"/>
      <c r="T146" s="175" t="inlineStr">
        <is>
          <t>No outreach email. This row is a competitor, brand subsidiary or competitor channel, kept for benchmarking only.</t>
        </is>
      </c>
    </row>
    <row r="148" ht="15" customHeight="1" s="104">
      <c r="B148" s="176" t="inlineStr">
        <is>
          <t>COUNTS</t>
        </is>
      </c>
      <c r="E148" s="176" t="inlineStr">
        <is>
          <t>CONTACT CONFIDENCE</t>
        </is>
      </c>
    </row>
    <row r="149" ht="15" customHeight="1" s="104">
      <c r="B149" s="178" t="inlineStr">
        <is>
          <t>Tier 1 (contact first)</t>
        </is>
      </c>
      <c r="C149" s="177">
        <f>COUNTIF(O5:O146,1)</f>
        <v/>
      </c>
      <c r="E149" s="178" t="inlineStr">
        <is>
          <t>A  verified direct (phone/email off their own page)</t>
        </is>
      </c>
      <c r="F149" s="177">
        <f>COUNTIF(L5:L146,"A")</f>
        <v/>
      </c>
    </row>
    <row r="150" ht="15" customHeight="1" s="104">
      <c r="B150" s="178" t="inlineStr">
        <is>
          <t>Tier 2 (qualify first)</t>
        </is>
      </c>
      <c r="C150" s="177">
        <f>COUNTIF(O5:O146,2)</f>
        <v/>
      </c>
      <c r="E150" s="178" t="inlineStr">
        <is>
          <t>B  verified partial (site live, form or phone only)</t>
        </is>
      </c>
      <c r="F150" s="177">
        <f>COUNTIF(L5:L146,"B")</f>
        <v/>
      </c>
    </row>
    <row r="151" ht="15" customHeight="1" s="104">
      <c r="B151" s="178" t="inlineStr">
        <is>
          <t>Tier 3 (long tail)</t>
        </is>
      </c>
      <c r="C151" s="177">
        <f>COUNTIF(O5:O146,3)</f>
        <v/>
      </c>
      <c r="E151" s="178" t="inlineStr">
        <is>
          <t>C  directory or registry data, own page not confirmed</t>
        </is>
      </c>
      <c r="F151" s="177">
        <f>COUNTIF(L5:L146,"C")</f>
        <v/>
      </c>
    </row>
    <row r="152" ht="15" customHeight="1" s="104">
      <c r="B152" s="178" t="inlineStr">
        <is>
          <t>EXCLUDED (not a device channel)</t>
        </is>
      </c>
      <c r="C152" s="177">
        <f>COUNTIF(O5:O146,"EXCLUDED")</f>
        <v/>
      </c>
      <c r="E152" s="178" t="inlineStr">
        <is>
          <t>D  not verified, confirm the company trades first</t>
        </is>
      </c>
      <c r="F152" s="177">
        <f>COUNTIF(L5:L146,"D")</f>
        <v/>
      </c>
    </row>
    <row r="153" ht="15" customHeight="1" s="104">
      <c r="B153" s="178" t="inlineStr">
        <is>
          <t>RESOURCE / MFR / REF</t>
        </is>
      </c>
      <c r="C153" s="177">
        <f>COUNTIF(O5:O146,"RESOURCE")+COUNTIF(O5:O146,"MFR")+COUNTIF(O5:O146,"REF")</f>
        <v/>
      </c>
    </row>
    <row r="154" ht="15" customHeight="1" s="104">
      <c r="B154" s="177" t="inlineStr">
        <is>
          <t>Dealer targets with an email ready (Tier 1 to 3)</t>
        </is>
      </c>
      <c r="C154" s="177">
        <f>SUMPRODUCT(ISNUMBER(MATCH(O5:O146,{1,2,3},0))*ISNUMBER(SEARCH("@",J5:J146)))</f>
        <v/>
      </c>
    </row>
    <row r="155" ht="15" customHeight="1" s="104">
      <c r="B155" s="178" t="inlineStr">
        <is>
          <t>TOTAL ROWS</t>
        </is>
      </c>
      <c r="C155" s="177">
        <f>COUNTA(B5:B146)</f>
        <v/>
      </c>
    </row>
  </sheetData>
  <autoFilter ref="A4:T146"/>
  <conditionalFormatting sqref="C5:C146">
    <cfRule type="cellIs" rank="0" priority="2" equalAverage="0" operator="equal" aboveAverage="0" dxfId="22" text="" percent="0" bottom="0">
      <formula>"Not started"</formula>
    </cfRule>
    <cfRule type="cellIs" rank="0" priority="3" equalAverage="0" operator="equal" aboveAverage="0" dxfId="23" text="" percent="0" bottom="0">
      <formula>"Contacted"</formula>
    </cfRule>
    <cfRule type="cellIs" rank="0" priority="4" equalAverage="0" operator="equal" aboveAverage="0" dxfId="24" text="" percent="0" bottom="0">
      <formula>"Meeting booked"</formula>
    </cfRule>
    <cfRule type="cellIs" rank="0" priority="5" equalAverage="0" operator="equal" aboveAverage="0" dxfId="25" text="" percent="0" bottom="0">
      <formula>"Meeting held"</formula>
    </cfRule>
    <cfRule type="cellIs" rank="0" priority="6" equalAverage="0" operator="equal" aboveAverage="0" dxfId="26" text="" percent="0" bottom="0">
      <formula>"Evaluation placed"</formula>
    </cfRule>
    <cfRule type="cellIs" rank="0" priority="7" equalAverage="0" operator="equal" aboveAverage="0" dxfId="27" text="" percent="0" bottom="0">
      <formula>"Quoted"</formula>
    </cfRule>
    <cfRule type="cellIs" rank="0" priority="8" equalAverage="0" operator="equal" aboveAverage="0" dxfId="28" text="" percent="0" bottom="0">
      <formula>"Won"</formula>
    </cfRule>
    <cfRule type="cellIs" rank="0" priority="9" equalAverage="0" operator="equal" aboveAverage="0" dxfId="29" text="" percent="0" bottom="0">
      <formula>"Declined"</formula>
    </cfRule>
    <cfRule type="cellIs" rank="0" priority="10" equalAverage="0" operator="equal" aboveAverage="0" dxfId="30" text="" percent="0" bottom="0">
      <formula>"Parked"</formula>
    </cfRule>
  </conditionalFormatting>
  <dataValidations count="1">
    <dataValidation sqref="C5:C146" showDropDown="0" showInputMessage="0" showErrorMessage="0" allowBlank="1" type="list" errorStyle="stop" operator="between">
      <formula1>"Not started,Contacted,Meeting booked,Meeting held,Evaluation placed,Quoted,Won,Declined,Parked"</formula1>
      <formula2>0</formula2>
    </dataValidation>
  </dataValidations>
  <hyperlinks>
    <hyperlink xmlns:r="http://schemas.openxmlformats.org/officeDocument/2006/relationships" ref="H5" display="https://singmed.com.sg" r:id="rId1"/>
    <hyperlink xmlns:r="http://schemas.openxmlformats.org/officeDocument/2006/relationships" ref="H6" display="https://www.amssg.com" r:id="rId2"/>
    <hyperlink xmlns:r="http://schemas.openxmlformats.org/officeDocument/2006/relationships" ref="H7" display="https://myasiamed.com" r:id="rId3"/>
    <hyperlink xmlns:r="http://schemas.openxmlformats.org/officeDocument/2006/relationships" ref="H8" display="https://medaid.com.sg" r:id="rId4"/>
    <hyperlink xmlns:r="http://schemas.openxmlformats.org/officeDocument/2006/relationships" ref="H9" display="https://smitechasia.com.sg" r:id="rId5"/>
    <hyperlink xmlns:r="http://schemas.openxmlformats.org/officeDocument/2006/relationships" ref="H10" display="https://www.somnotec.net" r:id="rId6"/>
    <hyperlink xmlns:r="http://schemas.openxmlformats.org/officeDocument/2006/relationships" ref="H11" display="https://www.transmedicgroup.com" r:id="rId7"/>
    <hyperlink xmlns:r="http://schemas.openxmlformats.org/officeDocument/2006/relationships" ref="H12" display="https://iemedics.com" r:id="rId8"/>
    <hyperlink xmlns:r="http://schemas.openxmlformats.org/officeDocument/2006/relationships" ref="H13" display="https://www.equipmedical.com.sg" r:id="rId9"/>
    <hyperlink xmlns:r="http://schemas.openxmlformats.org/officeDocument/2006/relationships" ref="H14" display="https://www.starmedical.com" r:id="rId10"/>
    <hyperlink xmlns:r="http://schemas.openxmlformats.org/officeDocument/2006/relationships" ref="H15" display="https://www.junnimed.com" r:id="rId11"/>
    <hyperlink xmlns:r="http://schemas.openxmlformats.org/officeDocument/2006/relationships" ref="H16" display="https://www.optimalmedical.com.sg" r:id="rId12"/>
    <hyperlink xmlns:r="http://schemas.openxmlformats.org/officeDocument/2006/relationships" ref="H17" display="https://medquest.com.sg" r:id="rId13"/>
    <hyperlink xmlns:r="http://schemas.openxmlformats.org/officeDocument/2006/relationships" ref="H18" display="https://eo.com.sg" r:id="rId14"/>
    <hyperlink xmlns:r="http://schemas.openxmlformats.org/officeDocument/2006/relationships" ref="H19" display="https://arqon.com" r:id="rId15"/>
    <hyperlink xmlns:r="http://schemas.openxmlformats.org/officeDocument/2006/relationships" ref="H20" display="https://www.easmed.com" r:id="rId16"/>
    <hyperlink xmlns:r="http://schemas.openxmlformats.org/officeDocument/2006/relationships" ref="H21" display="https://www.ajjmedtech.com.sg" r:id="rId17"/>
    <hyperlink xmlns:r="http://schemas.openxmlformats.org/officeDocument/2006/relationships" ref="H22" display="http://www.goldlite.com.sg" r:id="rId18"/>
    <hyperlink xmlns:r="http://schemas.openxmlformats.org/officeDocument/2006/relationships" ref="H23" display="https://www.qsttech.com" r:id="rId19"/>
    <hyperlink xmlns:r="http://schemas.openxmlformats.org/officeDocument/2006/relationships" ref="H24" display="https://www.scanmed.com.sg" r:id="rId20"/>
    <hyperlink xmlns:r="http://schemas.openxmlformats.org/officeDocument/2006/relationships" ref="H25" display="https://www.medicare.com.sg" r:id="rId21"/>
    <hyperlink xmlns:r="http://schemas.openxmlformats.org/officeDocument/2006/relationships" ref="H26" display="https://www.radiancemed.com.sg" r:id="rId22"/>
    <hyperlink xmlns:r="http://schemas.openxmlformats.org/officeDocument/2006/relationships" ref="H27" display="https://bluestone-corp.com" r:id="rId23"/>
    <hyperlink xmlns:r="http://schemas.openxmlformats.org/officeDocument/2006/relationships" ref="H28" display="https://www.fortunascientific.com.sg" r:id="rId24"/>
    <hyperlink xmlns:r="http://schemas.openxmlformats.org/officeDocument/2006/relationships" ref="H29" display="https://www.idsmed.com" r:id="rId25"/>
    <hyperlink xmlns:r="http://schemas.openxmlformats.org/officeDocument/2006/relationships" ref="H30" display="http://www.radiationprotection.com.sg" r:id="rId26"/>
    <hyperlink xmlns:r="http://schemas.openxmlformats.org/officeDocument/2006/relationships" ref="H31" display="http://www.ppm-medical.com.sg" r:id="rId27"/>
    <hyperlink xmlns:r="http://schemas.openxmlformats.org/officeDocument/2006/relationships" ref="H32" display="https://www.danmedik.com" r:id="rId28"/>
    <hyperlink xmlns:r="http://schemas.openxmlformats.org/officeDocument/2006/relationships" ref="H33" display="https://www.ksurgical.com" r:id="rId29"/>
    <hyperlink xmlns:r="http://schemas.openxmlformats.org/officeDocument/2006/relationships" ref="H34" display="http://www.genymedical.com" r:id="rId30"/>
    <hyperlink xmlns:r="http://schemas.openxmlformats.org/officeDocument/2006/relationships" ref="H35" display="https://v2uhealth.com" r:id="rId31"/>
    <hyperlink xmlns:r="http://schemas.openxmlformats.org/officeDocument/2006/relationships" ref="H36" display="https://bmec.asia" r:id="rId32"/>
    <hyperlink xmlns:r="http://schemas.openxmlformats.org/officeDocument/2006/relationships" ref="H37" display="https://innomed.asia" r:id="rId33"/>
    <hyperlink xmlns:r="http://schemas.openxmlformats.org/officeDocument/2006/relationships" ref="H38" display="https://www.donshudar.com" r:id="rId34"/>
    <hyperlink xmlns:r="http://schemas.openxmlformats.org/officeDocument/2006/relationships" ref="H39" display="https://novatech.sg" r:id="rId35"/>
    <hyperlink xmlns:r="http://schemas.openxmlformats.org/officeDocument/2006/relationships" ref="H40" display="https://unimed.com.sg" r:id="rId36"/>
    <hyperlink xmlns:r="http://schemas.openxmlformats.org/officeDocument/2006/relationships" ref="H41" display="https://www.lifeline.com.sg" r:id="rId37"/>
    <hyperlink xmlns:r="http://schemas.openxmlformats.org/officeDocument/2006/relationships" ref="H42" display="https://lozon.com.sg" r:id="rId38"/>
    <hyperlink xmlns:r="http://schemas.openxmlformats.org/officeDocument/2006/relationships" ref="H43" display="https://sagehealthcare.sg" r:id="rId39"/>
    <hyperlink xmlns:r="http://schemas.openxmlformats.org/officeDocument/2006/relationships" ref="H44" display="https://www.asiamedical.com.sg" r:id="rId40"/>
    <hyperlink xmlns:r="http://schemas.openxmlformats.org/officeDocument/2006/relationships" ref="H45" display="https://ksa.kromax.com" r:id="rId41"/>
    <hyperlink xmlns:r="http://schemas.openxmlformats.org/officeDocument/2006/relationships" ref="H46" display="https://kingsmed.com.sg" r:id="rId42"/>
    <hyperlink xmlns:r="http://schemas.openxmlformats.org/officeDocument/2006/relationships" ref="H47" display="https://devicetechnologies.asia" r:id="rId43"/>
    <hyperlink xmlns:r="http://schemas.openxmlformats.org/officeDocument/2006/relationships" ref="H49" display="https://www.dksh.com" r:id="rId44"/>
    <hyperlink xmlns:r="http://schemas.openxmlformats.org/officeDocument/2006/relationships" ref="H50" display="https://umedic.com.sg" r:id="rId45"/>
    <hyperlink xmlns:r="http://schemas.openxmlformats.org/officeDocument/2006/relationships" ref="H51" display="https://www.aerasmedical.com" r:id="rId46"/>
    <hyperlink xmlns:r="http://schemas.openxmlformats.org/officeDocument/2006/relationships" ref="H52" display="https://www.absolutems.com.sg" r:id="rId47"/>
    <hyperlink xmlns:r="http://schemas.openxmlformats.org/officeDocument/2006/relationships" ref="H53" display="https://biomedglobal.com" r:id="rId48"/>
    <hyperlink xmlns:r="http://schemas.openxmlformats.org/officeDocument/2006/relationships" ref="H54" display="https://www.biomediaholdings.com" r:id="rId49"/>
    <hyperlink xmlns:r="http://schemas.openxmlformats.org/officeDocument/2006/relationships" ref="H55" display="https://www.ri.com.sg" r:id="rId50"/>
    <hyperlink xmlns:r="http://schemas.openxmlformats.org/officeDocument/2006/relationships" ref="H56" display="https://www.alleights.com" r:id="rId51"/>
    <hyperlink xmlns:r="http://schemas.openxmlformats.org/officeDocument/2006/relationships" ref="H57" display="http://www.apexpharmacy.com.sg" r:id="rId52"/>
    <hyperlink xmlns:r="http://schemas.openxmlformats.org/officeDocument/2006/relationships" ref="H58" display="https://alcare.sg" r:id="rId53"/>
    <hyperlink xmlns:r="http://schemas.openxmlformats.org/officeDocument/2006/relationships" ref="H59" display="https://www.yms.com.sg" r:id="rId54"/>
    <hyperlink xmlns:r="http://schemas.openxmlformats.org/officeDocument/2006/relationships" ref="H60" display="https://alphamed.com.sg" r:id="rId55"/>
    <hyperlink xmlns:r="http://schemas.openxmlformats.org/officeDocument/2006/relationships" ref="H61" display="https://assistedliving.com.sg" r:id="rId56"/>
    <hyperlink xmlns:r="http://schemas.openxmlformats.org/officeDocument/2006/relationships" ref="H62" display="https://anachem.com.sg" r:id="rId57"/>
    <hyperlink xmlns:r="http://schemas.openxmlformats.org/officeDocument/2006/relationships" ref="H63" display="https://aptcare.org" r:id="rId58"/>
    <hyperlink xmlns:r="http://schemas.openxmlformats.org/officeDocument/2006/relationships" ref="H64" display="https://www.alpha-healthasia.com" r:id="rId59"/>
    <hyperlink xmlns:r="http://schemas.openxmlformats.org/officeDocument/2006/relationships" ref="H65" display="https://www.astameyer.sg" r:id="rId60"/>
    <hyperlink xmlns:r="http://schemas.openxmlformats.org/officeDocument/2006/relationships" ref="H66" display="https://nainamohamed.com" r:id="rId61"/>
    <hyperlink xmlns:r="http://schemas.openxmlformats.org/officeDocument/2006/relationships" ref="H67" display="https://neoasiagroup.com" r:id="rId62"/>
    <hyperlink xmlns:r="http://schemas.openxmlformats.org/officeDocument/2006/relationships" ref="H68" display="https://practicalmediscience.sg" r:id="rId63"/>
    <hyperlink xmlns:r="http://schemas.openxmlformats.org/officeDocument/2006/relationships" ref="H69" display="https://www.its-sciencemedical.com" r:id="rId64"/>
    <hyperlink xmlns:r="http://schemas.openxmlformats.org/officeDocument/2006/relationships" ref="H70" display="http://medvance.com.sg" r:id="rId65"/>
    <hyperlink xmlns:r="http://schemas.openxmlformats.org/officeDocument/2006/relationships" ref="H71" display="http://metrohealth.com.sg" r:id="rId66"/>
    <hyperlink xmlns:r="http://schemas.openxmlformats.org/officeDocument/2006/relationships" ref="H72" display="http://www.biomedix.com.sg" r:id="rId67"/>
    <hyperlink xmlns:r="http://schemas.openxmlformats.org/officeDocument/2006/relationships" ref="H73" display="https://www.htmmedico.com.sg" r:id="rId68"/>
    <hyperlink xmlns:r="http://schemas.openxmlformats.org/officeDocument/2006/relationships" ref="H74" display="https://www.medpromedicalsupplies.com" r:id="rId69"/>
    <hyperlink xmlns:r="http://schemas.openxmlformats.org/officeDocument/2006/relationships" ref="H75" display="https://www.globalhealthcare.sg" r:id="rId70"/>
    <hyperlink xmlns:r="http://schemas.openxmlformats.org/officeDocument/2006/relationships" ref="H76" display="https://www.e-xclusif.com" r:id="rId71"/>
    <hyperlink xmlns:r="http://schemas.openxmlformats.org/officeDocument/2006/relationships" ref="H77" display="https://www.bovis.com.sg" r:id="rId72"/>
    <hyperlink xmlns:r="http://schemas.openxmlformats.org/officeDocument/2006/relationships" ref="H78" display="https://bestech.com.sg" r:id="rId73"/>
    <hyperlink xmlns:r="http://schemas.openxmlformats.org/officeDocument/2006/relationships" ref="H79" display="https://www.medicare-l-tac.com.sg" r:id="rId74"/>
    <hyperlink xmlns:r="http://schemas.openxmlformats.org/officeDocument/2006/relationships" ref="H80" display="https://zowacare.com" r:id="rId75"/>
    <hyperlink xmlns:r="http://schemas.openxmlformats.org/officeDocument/2006/relationships" ref="H81" display="https://labivf.com" r:id="rId76"/>
    <hyperlink xmlns:r="http://schemas.openxmlformats.org/officeDocument/2006/relationships" ref="H82" display="https://www.joysonpl.com" r:id="rId77"/>
    <hyperlink xmlns:r="http://schemas.openxmlformats.org/officeDocument/2006/relationships" ref="H83" display="https://www.rainbowcare.com.sg" r:id="rId78"/>
    <hyperlink xmlns:r="http://schemas.openxmlformats.org/officeDocument/2006/relationships" ref="H84" display="https://www.gemstech.com.sg" r:id="rId79"/>
    <hyperlink xmlns:r="http://schemas.openxmlformats.org/officeDocument/2006/relationships" ref="H85" display="https://www.charleswembley.sg" r:id="rId80"/>
    <hyperlink xmlns:r="http://schemas.openxmlformats.org/officeDocument/2006/relationships" ref="H86" display="https://medi-sg.com" r:id="rId81"/>
    <hyperlink xmlns:r="http://schemas.openxmlformats.org/officeDocument/2006/relationships" ref="H87" display="http://mediwellenterprise.com" r:id="rId82"/>
    <hyperlink xmlns:r="http://schemas.openxmlformats.org/officeDocument/2006/relationships" ref="H89" display="http://www.seattle.com.sg" r:id="rId83"/>
    <hyperlink xmlns:r="http://schemas.openxmlformats.org/officeDocument/2006/relationships" ref="H90" display="https://walentec.com" r:id="rId84"/>
    <hyperlink xmlns:r="http://schemas.openxmlformats.org/officeDocument/2006/relationships" ref="H92" display="https://sghomecaremedical.com.sg" r:id="rId85"/>
    <hyperlink xmlns:r="http://schemas.openxmlformats.org/officeDocument/2006/relationships" ref="H93" display="https://www.medicalsupplies.com.sg" r:id="rId86"/>
    <hyperlink xmlns:r="http://schemas.openxmlformats.org/officeDocument/2006/relationships" ref="H94" display="https://www.panmalayan.com.sg" r:id="rId87"/>
    <hyperlink xmlns:r="http://schemas.openxmlformats.org/officeDocument/2006/relationships" ref="H95" display="https://pharmafortegroup.com" r:id="rId88"/>
    <hyperlink xmlns:r="http://schemas.openxmlformats.org/officeDocument/2006/relationships" ref="H96" display="https://www.firstaid.com.sg" r:id="rId89"/>
    <hyperlink xmlns:r="http://schemas.openxmlformats.org/officeDocument/2006/relationships" ref="H97" display="https://novadiagnostics.com.sg" r:id="rId90"/>
    <hyperlink xmlns:r="http://schemas.openxmlformats.org/officeDocument/2006/relationships" ref="H98" display="https://natsaivitalhealth.com" r:id="rId91"/>
    <hyperlink xmlns:r="http://schemas.openxmlformats.org/officeDocument/2006/relationships" ref="H99" display="https://www.mandarinoptomedic.com" r:id="rId92"/>
    <hyperlink xmlns:r="http://schemas.openxmlformats.org/officeDocument/2006/relationships" ref="H100" display="https://rehabmart.com.sg" r:id="rId93"/>
    <hyperlink xmlns:r="http://schemas.openxmlformats.org/officeDocument/2006/relationships" ref="H101" display="https://rehabshop.com.sg" r:id="rId94"/>
    <hyperlink xmlns:r="http://schemas.openxmlformats.org/officeDocument/2006/relationships" ref="H102" display="http://leedon.com" r:id="rId95"/>
    <hyperlink xmlns:r="http://schemas.openxmlformats.org/officeDocument/2006/relationships" ref="H104" display="https://www.emesh.com.sg" r:id="rId96"/>
    <hyperlink xmlns:r="http://schemas.openxmlformats.org/officeDocument/2006/relationships" ref="H105" display="https://kenda.net" r:id="rId97"/>
    <hyperlink xmlns:r="http://schemas.openxmlformats.org/officeDocument/2006/relationships" ref="H106" display="https://www.sii.com.sg" r:id="rId98"/>
    <hyperlink xmlns:r="http://schemas.openxmlformats.org/officeDocument/2006/relationships" ref="H107" display="https://www.omegascientific.com.sg" r:id="rId99"/>
    <hyperlink xmlns:r="http://schemas.openxmlformats.org/officeDocument/2006/relationships" ref="H108" display="https://www.singaporeambulance.com" r:id="rId100"/>
    <hyperlink xmlns:r="http://schemas.openxmlformats.org/officeDocument/2006/relationships" ref="H109" display="https://hygeian.com.sg" r:id="rId101"/>
    <hyperlink xmlns:r="http://schemas.openxmlformats.org/officeDocument/2006/relationships" ref="H110" display="https://www.integratif.com.sg" r:id="rId102"/>
    <hyperlink xmlns:r="http://schemas.openxmlformats.org/officeDocument/2006/relationships" ref="H111" display="https://www.luencheonghong.com" r:id="rId103"/>
    <hyperlink xmlns:r="http://schemas.openxmlformats.org/officeDocument/2006/relationships" ref="H112" display="https://www.neotecmedical.com" r:id="rId104"/>
    <hyperlink xmlns:r="http://schemas.openxmlformats.org/officeDocument/2006/relationships" ref="H113" display="https://www.sterilmedical.com" r:id="rId105"/>
    <hyperlink xmlns:r="http://schemas.openxmlformats.org/officeDocument/2006/relationships" ref="H114" display="https://qmtsafety.com" r:id="rId106"/>
    <hyperlink xmlns:r="http://schemas.openxmlformats.org/officeDocument/2006/relationships" ref="H115" display="https://www.premierdiagnostics.com.my" r:id="rId107"/>
    <hyperlink xmlns:r="http://schemas.openxmlformats.org/officeDocument/2006/relationships" ref="H116" display="http://www.optosystems.com.sg" r:id="rId108"/>
    <hyperlink xmlns:r="http://schemas.openxmlformats.org/officeDocument/2006/relationships" ref="H117" display="https://www.zuelligpharma.com" r:id="rId109"/>
    <hyperlink xmlns:r="http://schemas.openxmlformats.org/officeDocument/2006/relationships" ref="H118" display="https://meditechasia.com" r:id="rId110"/>
    <hyperlink xmlns:r="http://schemas.openxmlformats.org/officeDocument/2006/relationships" ref="H123" display="http://nuvenmedica.com" r:id="rId111"/>
    <hyperlink xmlns:r="http://schemas.openxmlformats.org/officeDocument/2006/relationships" ref="H124" display="https://ucbiosciences.com" r:id="rId112"/>
    <hyperlink xmlns:r="http://schemas.openxmlformats.org/officeDocument/2006/relationships" ref="H125" display="https://appsystems.com.sg" r:id="rId113"/>
    <hyperlink xmlns:r="http://schemas.openxmlformats.org/officeDocument/2006/relationships" ref="H126" display="https://www.asiateck.com.sg" r:id="rId114"/>
    <hyperlink xmlns:r="http://schemas.openxmlformats.org/officeDocument/2006/relationships" ref="H127" display="https://www.advancetriton.com" r:id="rId115"/>
    <hyperlink xmlns:r="http://schemas.openxmlformats.org/officeDocument/2006/relationships" ref="H128" display="https://alliance-biomed.com" r:id="rId116"/>
    <hyperlink xmlns:r="http://schemas.openxmlformats.org/officeDocument/2006/relationships" ref="H129" display="https://data.gov.sg/datasets/d_8cfe111e0a5a5cf5b598e78851e58ad4/view" r:id="rId117"/>
    <hyperlink xmlns:r="http://schemas.openxmlformats.org/officeDocument/2006/relationships" ref="H130" display="https://www.med-match.ai/distributors/singapore" r:id="rId118"/>
    <hyperlink xmlns:r="http://schemas.openxmlformats.org/officeDocument/2006/relationships" ref="H131" display="https://pharmchoices.com/list-of-medical-equipment-suppliers-in-singapore/" r:id="rId119"/>
    <hyperlink xmlns:r="http://schemas.openxmlformats.org/officeDocument/2006/relationships" ref="H132" display="https://www.singaporemedtech.com/company-listing/" r:id="rId120"/>
    <hyperlink xmlns:r="http://schemas.openxmlformats.org/officeDocument/2006/relationships" ref="H134" display="https://www.shimadzu.com.sg" r:id="rId121"/>
    <hyperlink xmlns:r="http://schemas.openxmlformats.org/officeDocument/2006/relationships" ref="H135" display="https://www.carestream.com" r:id="rId122"/>
    <hyperlink xmlns:r="http://schemas.openxmlformats.org/officeDocument/2006/relationships" ref="H136" display="https://www.gehealthcare.com" r:id="rId123"/>
    <hyperlink xmlns:r="http://schemas.openxmlformats.org/officeDocument/2006/relationships" ref="H137" display="https://www.philips.com.sg" r:id="rId124"/>
    <hyperlink xmlns:r="http://schemas.openxmlformats.org/officeDocument/2006/relationships" ref="H138" display="https://www.siemens-healthineers.com/sg" r:id="rId125"/>
    <hyperlink xmlns:r="http://schemas.openxmlformats.org/officeDocument/2006/relationships" ref="H139" display="https://www.samsungmedison.com" r:id="rId126"/>
    <hyperlink xmlns:r="http://schemas.openxmlformats.org/officeDocument/2006/relationships" ref="H140" display="https://www.ajjmedtech.com.sg" r:id="rId127"/>
    <hyperlink xmlns:r="http://schemas.openxmlformats.org/officeDocument/2006/relationships" ref="H141" display="https://www.mindray.com" r:id="rId128"/>
    <hyperlink xmlns:r="http://schemas.openxmlformats.org/officeDocument/2006/relationships" ref="H142" display="https://www.sonoscape.com" r:id="rId129"/>
    <hyperlink xmlns:r="http://schemas.openxmlformats.org/officeDocument/2006/relationships" ref="H143" display="https://www.fujifilm.com/sg" r:id="rId130"/>
    <hyperlink xmlns:r="http://schemas.openxmlformats.org/officeDocument/2006/relationships" ref="H144" display="https://sg.medical.canon" r:id="rId131"/>
    <hyperlink xmlns:r="http://schemas.openxmlformats.org/officeDocument/2006/relationships" ref="H145" display="https://www.agfahealthcare.com" r:id="rId13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00B050"/>
    <outlinePr summaryBelow="1" summaryRight="1"/>
    <pageSetUpPr fitToPage="0"/>
  </sheetPr>
  <dimension ref="A1:N65"/>
  <sheetViews>
    <sheetView showFormulas="0" showGridLines="1"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6796875" defaultRowHeight="14.25" zeroHeight="0" outlineLevelRow="0"/>
  <cols>
    <col width="4" customWidth="1" style="103" min="1" max="1"/>
    <col width="28" customWidth="1" style="103" min="2" max="2"/>
    <col width="16" customWidth="1" style="103" min="3" max="3"/>
    <col width="20" customWidth="1" style="103" min="4" max="4"/>
    <col width="26" customWidth="1" style="103" min="5" max="5"/>
    <col width="20" customWidth="1" style="103" min="6" max="7"/>
    <col width="32" customWidth="1" style="103" min="8" max="8"/>
    <col width="30" customWidth="1" style="103" min="9" max="9"/>
    <col width="7" customWidth="1" style="103" min="10" max="10"/>
    <col width="44" customWidth="1" style="103" min="11" max="11"/>
    <col width="18" customWidth="1" style="103" min="12" max="12"/>
    <col width="52" customWidth="1" style="103" min="13" max="13"/>
    <col width="100" customWidth="1" style="103" min="14" max="14"/>
  </cols>
  <sheetData>
    <row r="1" ht="18" customHeight="1" s="104">
      <c r="A1" s="117" t="inlineStr">
        <is>
          <t>Singapore, Pull Through End-User Account Map (61)</t>
        </is>
      </c>
    </row>
    <row r="2" ht="14.25" customHeight="1" s="104">
      <c r="A2" s="118" t="inlineStr">
        <is>
          <t>MODEL CHANGED IN v5: Singapore now goes to market through appointed dealers, so this tab is the PULL THROUGH account map, not the direct sale list. AstraMed still holds the HSA registrant role and the device listing. Use these named accounts to show a candidate dealer on the Singapore Dealers tab what the appointment is worth.</t>
        </is>
      </c>
    </row>
    <row r="4" ht="25.5" customHeight="1" s="104">
      <c r="A4" s="119" t="inlineStr">
        <is>
          <t>#</t>
        </is>
      </c>
      <c r="B4" s="119" t="inlineStr">
        <is>
          <t>Organisation</t>
        </is>
      </c>
      <c r="C4" s="119" t="inlineStr">
        <is>
          <t>Pipeline stage</t>
        </is>
      </c>
      <c r="D4" s="119" t="inlineStr">
        <is>
          <t>Type</t>
        </is>
      </c>
      <c r="E4" s="119" t="inlineStr">
        <is>
          <t>Scale / footprint</t>
        </is>
      </c>
      <c r="F4" s="119" t="inlineStr">
        <is>
          <t>Website</t>
        </is>
      </c>
      <c r="G4" s="119" t="inlineStr">
        <is>
          <t>Phone / contact</t>
        </is>
      </c>
      <c r="H4" s="119" t="inlineStr">
        <is>
          <t>CHISON angle</t>
        </is>
      </c>
      <c r="I4" s="119" t="inlineStr">
        <is>
          <t>CHISON product focus</t>
        </is>
      </c>
      <c r="J4" s="119" t="inlineStr">
        <is>
          <t>Tier</t>
        </is>
      </c>
      <c r="K4" s="119" t="inlineStr">
        <is>
          <t>Priority rationale</t>
        </is>
      </c>
      <c r="L4" s="119" t="inlineStr">
        <is>
          <t>Source</t>
        </is>
      </c>
      <c r="M4" s="141" t="inlineStr">
        <is>
          <t>Email Title</t>
        </is>
      </c>
      <c r="N4" s="141" t="inlineStr">
        <is>
          <t>Email Body</t>
        </is>
      </c>
    </row>
    <row r="5" ht="39.75" customHeight="1" s="104">
      <c r="A5" s="121" t="n">
        <v>1</v>
      </c>
      <c r="B5" s="122" t="inlineStr">
        <is>
          <t>Raffles Medical Group</t>
        </is>
      </c>
      <c r="C5" s="123" t="inlineStr">
        <is>
          <t>Not started</t>
        </is>
      </c>
      <c r="D5" s="121" t="inlineStr">
        <is>
          <t>Private integrated group</t>
        </is>
      </c>
      <c r="E5" s="121" t="inlineStr">
        <is>
          <t>~74 clinics + Raffles Hospital</t>
        </is>
      </c>
      <c r="F5" s="121" t="inlineStr">
        <is>
          <t>rafflesmedicalgroup.com</t>
        </is>
      </c>
      <c r="G5" s="121" t="inlineStr">
        <is>
          <t>via website</t>
        </is>
      </c>
      <c r="H5" s="121" t="inlineStr">
        <is>
          <t>POCUS across GP network + O&amp;G/cardiac at hospital</t>
        </is>
      </c>
      <c r="I5" s="121" t="inlineStr">
        <is>
          <t>SonoEye P3 per-GP + SonoAir 30 in flagship clinics; SonoMax 7 for Raffles Hospital O&amp;G/cardiac</t>
        </is>
      </c>
      <c r="J5" s="144" t="inlineStr">
        <is>
          <t>1</t>
        </is>
      </c>
      <c r="K5" s="121" t="inlineStr">
        <is>
          <t>Tier 1 — Private integrated group, ~74 clinics + Raffles Hospital · verified domain.</t>
        </is>
      </c>
      <c r="L5" s="121" t="inlineStr">
        <is>
          <t>Verified (count from search)</t>
        </is>
      </c>
      <c r="M5" s="145" t="inlineStr">
        <is>
          <t>Standardising ultrasound across Raffles Medical Group: CHISON SonoEye P3 and SonoAir 30</t>
        </is>
      </c>
      <c r="N5" s="108" t="inlineStr">
        <is>
          <t>Dear Raffles Medical Group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Private integrated group, ~74 clinics and Raffles Hospital.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SonoEye P3: pocket handheld for emergency, intensive care and bedside point-of-care scanning
• SonoAir 30: lightweight laptop for mobile and multi-site work
• SonoMax 7: the flagship cart, carrying a full radiology, obstetric and cardiac workload
Standardised across sites, one platform means one training programme, one service contract and one set of consumables, giving you a complete handheld to cart ladder under one supplier agreement.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6" ht="39.75" customHeight="1" s="104">
      <c r="A6" s="121" t="n">
        <v>2</v>
      </c>
      <c r="B6" s="122" t="inlineStr">
        <is>
          <t>Healthway Medical</t>
        </is>
      </c>
      <c r="C6" s="123" t="inlineStr">
        <is>
          <t>Not started</t>
        </is>
      </c>
      <c r="D6" s="121" t="inlineStr">
        <is>
          <t>Largest private GP chain</t>
        </is>
      </c>
      <c r="E6" s="121" t="inlineStr">
        <is>
          <t>~50+ family clinics + specialists</t>
        </is>
      </c>
      <c r="F6" s="121" t="inlineStr">
        <is>
          <t>healthwaymedical.com</t>
        </is>
      </c>
      <c r="G6" s="121" t="inlineStr">
        <is>
          <t>via website</t>
        </is>
      </c>
      <c r="H6" s="121" t="inlineStr">
        <is>
          <t>Biggest GP-unit potential in SG</t>
        </is>
      </c>
      <c r="I6" s="121" t="inlineStr">
        <is>
          <t>Chain rollout: SonoEye P3 + SonoAir 30 hub clinics; SonoAI standard reporting</t>
        </is>
      </c>
      <c r="J6" s="144" t="inlineStr">
        <is>
          <t>1</t>
        </is>
      </c>
      <c r="K6" s="121" t="inlineStr">
        <is>
          <t>Tier 1 — Largest private GP chain, ~50+ family clinics + specialists · verified domain.</t>
        </is>
      </c>
      <c r="L6" s="121" t="inlineStr">
        <is>
          <t>From search</t>
        </is>
      </c>
      <c r="M6" s="145" t="inlineStr">
        <is>
          <t>Standardising ultrasound across Healthway Medical: CHISON SonoEye P3 and SonoAir 30</t>
        </is>
      </c>
      <c r="N6" s="108" t="inlineStr">
        <is>
          <t>Dear Healthway Medical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Largest private GP chain, ~50 and family clinics and specialists.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SonoEye P3: pocket handheld for emergency, intensive care and bedside point-of-care scanning
• SonoAir 30: lightweight laptop for mobile and multi-site work
• SonoAI: AI-assisted measurement and structured reporting, built into the newer platforms
Standardised across sites, one platform means one training programme, one service contract and one set of consumables,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7" ht="39.75" customHeight="1" s="104">
      <c r="A7" s="121" t="n">
        <v>3</v>
      </c>
      <c r="B7" s="122" t="inlineStr">
        <is>
          <t>Parkway Shenton (IHH)</t>
        </is>
      </c>
      <c r="C7" s="123" t="inlineStr">
        <is>
          <t>Not started</t>
        </is>
      </c>
      <c r="D7" s="121" t="inlineStr">
        <is>
          <t>Corporate GP chain</t>
        </is>
      </c>
      <c r="E7" s="121" t="inlineStr">
        <is>
          <t>38+ clinics</t>
        </is>
      </c>
      <c r="F7" s="121" t="inlineStr">
        <is>
          <t>parkwayshenton.com.sg</t>
        </is>
      </c>
      <c r="G7" s="121" t="inlineStr">
        <is>
          <t>via website</t>
        </is>
      </c>
      <c r="H7" s="121" t="inlineStr">
        <is>
          <t>Corporate/occupational POCUS + screening</t>
        </is>
      </c>
      <c r="I7" s="121" t="inlineStr">
        <is>
          <t>SonoAir 70 + EBit 50 screening lanes (abdomen/thyroid/breast)</t>
        </is>
      </c>
      <c r="J7" s="144" t="inlineStr">
        <is>
          <t>1</t>
        </is>
      </c>
      <c r="K7" s="121" t="inlineStr">
        <is>
          <t>Tier 1 — Corporate GP chain, 38+ clinics · verified domain.</t>
        </is>
      </c>
      <c r="L7" s="121" t="inlineStr">
        <is>
          <t>Verified site</t>
        </is>
      </c>
      <c r="M7" s="145" t="inlineStr">
        <is>
          <t>Standardising ultrasound across Parkway Shenton (IHH): CHISON SonoAir 70 and EBit 50</t>
        </is>
      </c>
      <c r="N7" s="108" t="inlineStr">
        <is>
          <t>Dear Parkway Shenton (IHH)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Corporate GP chain, 38 and clinics.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SonoAir 70: the lightest laptop scanner in its class
• EBit 50: the value laptop that opens price-sensitive clinic accounts
Standardised across sites, one platform means one training programme, one service contract and one set of consumables, giving you a focused portable offer.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8" ht="39.75" customHeight="1" s="104">
      <c r="A8" s="121" t="n">
        <v>4</v>
      </c>
      <c r="B8" s="122" t="inlineStr">
        <is>
          <t>HMI OneCare</t>
        </is>
      </c>
      <c r="C8" s="123" t="inlineStr">
        <is>
          <t>Not started</t>
        </is>
      </c>
      <c r="D8" s="121" t="inlineStr">
        <is>
          <t>GP chain (HMI group)</t>
        </is>
      </c>
      <c r="E8" s="121" t="inlineStr">
        <is>
          <t>38 clinics</t>
        </is>
      </c>
      <c r="F8" s="121" t="inlineStr">
        <is>
          <t>onecaremedical.com.sg</t>
        </is>
      </c>
      <c r="G8" s="121" t="inlineStr">
        <is>
          <t>via website</t>
        </is>
      </c>
      <c r="H8" s="121" t="inlineStr">
        <is>
          <t>Chain-wide handheld standardisation play</t>
        </is>
      </c>
      <c r="I8" s="121" t="inlineStr">
        <is>
          <t>SonoEye P3 per-doctor + SonoAir 30 shared room; SonoAI reporting</t>
        </is>
      </c>
      <c r="J8" s="144" t="inlineStr">
        <is>
          <t>1</t>
        </is>
      </c>
      <c r="K8" s="121" t="inlineStr">
        <is>
          <t>Tier 1 — GP chain (HMI group), 38 clinics · verified domain.</t>
        </is>
      </c>
      <c r="L8" s="121" t="inlineStr">
        <is>
          <t>Verified site</t>
        </is>
      </c>
      <c r="M8" s="145" t="inlineStr">
        <is>
          <t>Standardising ultrasound across HMI OneCare: CHISON SonoEye P3 and SonoAir 30</t>
        </is>
      </c>
      <c r="N8" s="108" t="inlineStr">
        <is>
          <t>Dear HMI OneCare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GP chain (HMI group), 38 clinics.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SonoEye P3: pocket handheld for emergency, intensive care and bedside point-of-care scanning
• SonoAir 30: lightweight laptop for mobile and multi-site work
• SonoAI: AI-assisted measurement and structured reporting, built into the newer platforms
Standardised across sites, one platform means one training programme, one service contract and one set of consumables,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9" ht="39.75" customHeight="1" s="104">
      <c r="A9" s="121" t="n">
        <v>5</v>
      </c>
      <c r="B9" s="122" t="inlineStr">
        <is>
          <t>Singapore Medical Group</t>
        </is>
      </c>
      <c r="C9" s="123" t="inlineStr">
        <is>
          <t>Not started</t>
        </is>
      </c>
      <c r="D9" s="121" t="inlineStr">
        <is>
          <t>Specialist + imaging group</t>
        </is>
      </c>
      <c r="E9" s="121" t="inlineStr">
        <is>
          <t>40+ clinics (O&amp;G, paeds, imaging)</t>
        </is>
      </c>
      <c r="F9" s="121" t="inlineStr">
        <is>
          <t>smg.sg</t>
        </is>
      </c>
      <c r="G9" s="121" t="inlineStr">
        <is>
          <t>via website</t>
        </is>
      </c>
      <c r="H9" s="121" t="inlineStr">
        <is>
          <t>O&amp;G carts (SonoMax) + Lifescan imaging arm</t>
        </is>
      </c>
      <c r="I9" s="121" t="inlineStr">
        <is>
          <t>SonoMax 7 OB/GYN (4D + SonoAI); QBit 5/CBit 6 for satellite rooms</t>
        </is>
      </c>
      <c r="J9" s="144" t="inlineStr">
        <is>
          <t>1</t>
        </is>
      </c>
      <c r="K9" s="121" t="inlineStr">
        <is>
          <t>Tier 1 — Specialist + imaging group, 40+ clinics (O&amp;G, paeds, imaging) · verified domain.</t>
        </is>
      </c>
      <c r="L9" s="121" t="inlineStr">
        <is>
          <t>From search</t>
        </is>
      </c>
      <c r="M9" s="145" t="inlineStr">
        <is>
          <t>A reference-site proposal for Singapore Medical Group: CHISON SonoMax 7 and SonoAI</t>
        </is>
      </c>
      <c r="N9" s="108" t="inlineStr">
        <is>
          <t>Dear Singapore Medical Group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are one of the few buyers in Singapore whose radiologists will judge a system on the image alone: Specialist + imaging group, 40 and clinics (O&amp;G, paeds, imaging). That is precisely why I am approaching you.
Where CHISON fits: I will not claim that we outperform a tertiary flagship. The argument is diagnostic-grade imaging at a fraction of the capital cost, which changes what a satellite site or a second reading room can be equipped with:
• SonoMax 7: the flagship cart, carrying a full radiology, obstetric and cardiac workload
• SonoAI: AI-assisted measurement and structured reporting, built into the newer platforms
• QBit 5: the value console that wins tenders on price-per-exam
What I would propose is a reference-site arrangement, offering preferential terms in exchange for a candid clinical assessment. A focused cart offer.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10" ht="39.75" customHeight="1" s="104">
      <c r="A10" s="121" t="n">
        <v>6</v>
      </c>
      <c r="B10" s="122" t="inlineStr">
        <is>
          <t>Minmed Group</t>
        </is>
      </c>
      <c r="C10" s="123" t="inlineStr">
        <is>
          <t>Not started</t>
        </is>
      </c>
      <c r="D10" s="121" t="inlineStr">
        <is>
          <t>GP + health screening chain</t>
        </is>
      </c>
      <c r="E10" s="121" t="inlineStr">
        <is>
          <t>Multi-site GP + screening centres</t>
        </is>
      </c>
      <c r="F10" s="121" t="inlineStr">
        <is>
          <t>minmed.sg</t>
        </is>
      </c>
      <c r="G10" s="121" t="inlineStr">
        <is>
          <t>via website</t>
        </is>
      </c>
      <c r="H10" s="121" t="inlineStr">
        <is>
          <t>Screening workflows = portable US volume</t>
        </is>
      </c>
      <c r="I10" s="121" t="inlineStr">
        <is>
          <t>SonoAir 70 + EBit 50 screening lanes (abdomen/thyroid/breast)</t>
        </is>
      </c>
      <c r="J10" s="147" t="inlineStr">
        <is>
          <t>2</t>
        </is>
      </c>
      <c r="K10" s="121" t="inlineStr">
        <is>
          <t>Tier 2 — GP + health screening chain, Multi-site GP + screening centres · verified domain.</t>
        </is>
      </c>
      <c r="L10" s="121" t="inlineStr">
        <is>
          <t>Verified site</t>
        </is>
      </c>
      <c r="M10" s="145" t="inlineStr">
        <is>
          <t>Standardising ultrasound across Minmed Group: CHISON SonoAir 70 and EBit 50</t>
        </is>
      </c>
      <c r="N10" s="108" t="inlineStr">
        <is>
          <t>Dear Minmed Group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GP + health screening chain, multi-site GP and screening centres.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SonoAir 70: the lightest laptop scanner in its class
• EBit 50: the value laptop that opens price-sensitive clinic accounts
Standardised across sites, one platform means one training programme, one service contract and one set of consumables, giving you a focused portable offer.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11" ht="39.75" customHeight="1" s="104">
      <c r="A11" s="121" t="n">
        <v>7</v>
      </c>
      <c r="B11" s="122" t="inlineStr">
        <is>
          <t>Fullerton Health</t>
        </is>
      </c>
      <c r="C11" s="123" t="inlineStr">
        <is>
          <t>Not started</t>
        </is>
      </c>
      <c r="D11" s="121" t="inlineStr">
        <is>
          <t>Corporate healthcare network</t>
        </is>
      </c>
      <c r="E11" s="121" t="inlineStr">
        <is>
          <t>Large panel/occupational network</t>
        </is>
      </c>
      <c r="F11" s="121" t="inlineStr">
        <is>
          <t>fullertonhealth.com</t>
        </is>
      </c>
      <c r="G11" s="121" t="inlineStr">
        <is>
          <t>via website</t>
        </is>
      </c>
      <c r="H11" s="121" t="inlineStr">
        <is>
          <t>Occupational health POCUS; regional HQ in SG</t>
        </is>
      </c>
      <c r="I11" s="121" t="inlineStr">
        <is>
          <t>SonoEye P3 per-doctor + SonoAir 30 shared room; SonoAI reporting</t>
        </is>
      </c>
      <c r="J11" s="147" t="inlineStr">
        <is>
          <t>2</t>
        </is>
      </c>
      <c r="K11" s="121" t="inlineStr">
        <is>
          <t>Tier 2 — Corporate healthcare network, Large panel/occupational network · verified domain.</t>
        </is>
      </c>
      <c r="L11" s="121" t="inlineStr">
        <is>
          <t>Knowledge — verify</t>
        </is>
      </c>
      <c r="M11" s="145" t="inlineStr">
        <is>
          <t>Standardising ultrasound across Fullerton Health: CHISON SonoEye P3 and SonoAir 30</t>
        </is>
      </c>
      <c r="N11" s="108" t="inlineStr">
        <is>
          <t>Dear Fullerton Health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Corporate healthcare network, large panel/occupational network.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SonoEye P3: pocket handheld for emergency, intensive care and bedside point-of-care scanning
• SonoAir 30: lightweight laptop for mobile and multi-site work
• SonoAI: AI-assisted measurement and structured reporting, built into the newer platforms
Standardised across sites, one platform means one training programme, one service contract and one set of consumables,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12" ht="39.75" customHeight="1" s="104">
      <c r="A12" s="121" t="n">
        <v>8</v>
      </c>
      <c r="B12" s="122" t="inlineStr">
        <is>
          <t>Alliance Healthcare</t>
        </is>
      </c>
      <c r="C12" s="123" t="inlineStr">
        <is>
          <t>Not started</t>
        </is>
      </c>
      <c r="D12" s="121" t="inlineStr">
        <is>
          <t>GP + specialist operator</t>
        </is>
      </c>
      <c r="E12" s="121" t="inlineStr">
        <is>
          <t>17 GP + 5 specialist clinics</t>
        </is>
      </c>
      <c r="F12" s="121" t="inlineStr">
        <is>
          <t>alliancehealthcare.com.sg</t>
        </is>
      </c>
      <c r="G12" s="121" t="inlineStr">
        <is>
          <t>via website</t>
        </is>
      </c>
      <c r="H12" s="121" t="inlineStr">
        <is>
          <t>Single decision point, mid-size rollout</t>
        </is>
      </c>
      <c r="I12" s="121" t="inlineStr">
        <is>
          <t>SonoEye P3 per-doctor + SonoAir 30 shared room; SonoAI reporting</t>
        </is>
      </c>
      <c r="J12" s="147" t="inlineStr">
        <is>
          <t>2</t>
        </is>
      </c>
      <c r="K12" s="121" t="inlineStr">
        <is>
          <t>Tier 2 — GP + specialist operator, 17 GP + 5 specialist clinics · verified domain.</t>
        </is>
      </c>
      <c r="L12" s="121" t="inlineStr">
        <is>
          <t>From search</t>
        </is>
      </c>
      <c r="M12" s="145" t="inlineStr">
        <is>
          <t>Standardising ultrasound across Alliance Healthcare: CHISON SonoEye P3 and SonoAir 30</t>
        </is>
      </c>
      <c r="N12" s="108" t="inlineStr">
        <is>
          <t>Dear Alliance Healthcare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GP + specialist operator, 17 GP and 5 specialist clinics.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SonoEye P3: pocket handheld for emergency, intensive care and bedside point-of-care scanning
• SonoAir 30: lightweight laptop for mobile and multi-site work
• SonoAI: AI-assisted measurement and structured reporting, built into the newer platforms
Standardised across sites, one platform means one training programme, one service contract and one set of consumables,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13" ht="39.75" customHeight="1" s="104">
      <c r="A13" s="121" t="n">
        <v>9</v>
      </c>
      <c r="B13" s="122" t="inlineStr">
        <is>
          <t>Beyond Medical Group</t>
        </is>
      </c>
      <c r="C13" s="123" t="inlineStr">
        <is>
          <t>Not started</t>
        </is>
      </c>
      <c r="D13" s="121" t="inlineStr">
        <is>
          <t>Multi-specialty group</t>
        </is>
      </c>
      <c r="E13" s="121" t="inlineStr">
        <is>
          <t>~25 centres</t>
        </is>
      </c>
      <c r="F13" s="121" t="inlineStr">
        <is>
          <t>beyondmedical.com.sg</t>
        </is>
      </c>
      <c r="G13" s="121" t="inlineStr">
        <is>
          <t>via website</t>
        </is>
      </c>
      <c r="H13" s="121" t="inlineStr">
        <is>
          <t>Specialist/aesthetic mix; MSK &amp; women's health</t>
        </is>
      </c>
      <c r="I13" s="121" t="inlineStr">
        <is>
          <t>SonoMax 7 OB/GYN (4D + SonoAI); QBit 5/CBit 6 for satellite rooms</t>
        </is>
      </c>
      <c r="J13" s="147" t="inlineStr">
        <is>
          <t>2</t>
        </is>
      </c>
      <c r="K13" s="121" t="inlineStr">
        <is>
          <t>Tier 2 — Multi-specialty group, ~25 centres · verified domain.</t>
        </is>
      </c>
      <c r="L13" s="121" t="inlineStr">
        <is>
          <t>From search</t>
        </is>
      </c>
      <c r="M13" s="145" t="inlineStr">
        <is>
          <t>Standardising ultrasound across Beyond Medical Group: CHISON SonoMax 7 and SonoAI</t>
        </is>
      </c>
      <c r="N13" s="108" t="inlineStr">
        <is>
          <t>Dear Beyond Medical Group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Multi-specialty group, ~25 centres.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SonoMax 7: the flagship cart, carrying a full radiology, obstetric and cardiac workload
• SonoAI: AI-assisted measurement and structured reporting, built into the newer platforms
• QBit 5: the value console that wins tenders on price-per-exam
Standardised across sites, one platform means one training programme, one service contract and one set of consumables, giving you a focused cart offer.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14" ht="39.75" customHeight="1" s="104">
      <c r="A14" s="121" t="n">
        <v>10</v>
      </c>
      <c r="B14" s="122" t="inlineStr">
        <is>
          <t>Doctor Anywhere</t>
        </is>
      </c>
      <c r="C14" s="123" t="inlineStr">
        <is>
          <t>Not started</t>
        </is>
      </c>
      <c r="D14" s="121" t="inlineStr">
        <is>
          <t>Telehealth + physical clinics</t>
        </is>
      </c>
      <c r="E14" s="121" t="inlineStr">
        <is>
          <t>Regional telehealth, SG clinic network</t>
        </is>
      </c>
      <c r="F14" s="121" t="inlineStr">
        <is>
          <t>doctoranywhere.com</t>
        </is>
      </c>
      <c r="G14" s="121" t="inlineStr">
        <is>
          <t>via website</t>
        </is>
      </c>
      <c r="H14" s="121" t="inlineStr">
        <is>
          <t>Tele-triage + handheld US hybrid model</t>
        </is>
      </c>
      <c r="I14" s="121" t="inlineStr">
        <is>
          <t>SonoEye P3/P5 phone-paired kit</t>
        </is>
      </c>
      <c r="J14" s="147" t="inlineStr">
        <is>
          <t>2</t>
        </is>
      </c>
      <c r="K14" s="121" t="inlineStr">
        <is>
          <t>Tier 2 — Telehealth + physical clinics, Regional telehealth, SG clinic network · verified domain.</t>
        </is>
      </c>
      <c r="L14" s="121" t="inlineStr">
        <is>
          <t>Knowledge — verify</t>
        </is>
      </c>
      <c r="M14" s="145" t="inlineStr">
        <is>
          <t>Standardising ultrasound across Doctor Anywhere: CHISON SonoEye P3 and SonoAir 30</t>
        </is>
      </c>
      <c r="N14" s="108" t="inlineStr">
        <is>
          <t>Dear Doctor Anywhere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Telehealth + physical clinics, regional telehealth, SG clinic network.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SonoEye P3: pocket handheld for emergency, intensive care and bedside point-of-care scanning
• SonoAir 30: lightweight laptop for mobile and multi-site work
Standardised across sites, one platform means one training programme, one service contract and one set of consumables,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15" ht="39.75" customHeight="1" s="104">
      <c r="A15" s="121" t="n">
        <v>11</v>
      </c>
      <c r="B15" s="122" t="inlineStr">
        <is>
          <t>Speedoc</t>
        </is>
      </c>
      <c r="C15" s="123" t="inlineStr">
        <is>
          <t>Not started</t>
        </is>
      </c>
      <c r="D15" s="121" t="inlineStr">
        <is>
          <t>Home-care / mobile medicine</t>
        </is>
      </c>
      <c r="E15" s="121" t="inlineStr">
        <is>
          <t>House-call doctors islandwide</t>
        </is>
      </c>
      <c r="F15" s="121" t="inlineStr">
        <is>
          <t>speedoc.com</t>
        </is>
      </c>
      <c r="G15" s="121" t="inlineStr">
        <is>
          <t>via website</t>
        </is>
      </c>
      <c r="H15" s="121" t="inlineStr">
        <is>
          <t>Handheld US is core kit for home visits — SonoEye pitch</t>
        </is>
      </c>
      <c r="I15" s="121" t="inlineStr">
        <is>
          <t>SonoEye P3/P5 — phone-paired house-call kit (core product, nothing else needed)</t>
        </is>
      </c>
      <c r="J15" s="144" t="inlineStr">
        <is>
          <t>1</t>
        </is>
      </c>
      <c r="K15" s="121" t="inlineStr">
        <is>
          <t>Tier 1 — Home-care / mobile medicine, House-call doctors islandwide · verified domain.</t>
        </is>
      </c>
      <c r="L15" s="121" t="inlineStr">
        <is>
          <t>Knowledge — verify</t>
        </is>
      </c>
      <c r="M15" s="145" t="inlineStr">
        <is>
          <t>Standardising ultrasound across Speedoc: CHISON SonoEye P3 and SonoAir 30</t>
        </is>
      </c>
      <c r="N15" s="108" t="inlineStr">
        <is>
          <t>Dear Speedoc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Home-care / mobile medicine, house-call doctors islandwide.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SonoEye P3: pocket handheld for emergency, intensive care and bedside point-of-care scanning
• SonoAir 30: lightweight laptop for mobile and multi-site work
Standardised across sites, one platform means one training programme, one service contract and one set of consumables,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16" ht="39.75" customHeight="1" s="104">
      <c r="A16" s="121" t="n">
        <v>12</v>
      </c>
      <c r="B16" s="122" t="inlineStr">
        <is>
          <t>DTAP Clinic Group</t>
        </is>
      </c>
      <c r="C16" s="123" t="inlineStr">
        <is>
          <t>Not started</t>
        </is>
      </c>
      <c r="D16" s="121" t="inlineStr">
        <is>
          <t>Men's health / GP chain</t>
        </is>
      </c>
      <c r="E16" s="121" t="inlineStr">
        <is>
          <t>Multiple clinics (SG + regional)</t>
        </is>
      </c>
      <c r="F16" s="121" t="inlineStr">
        <is>
          <t>dtapclinic.com</t>
        </is>
      </c>
      <c r="G16" s="121" t="inlineStr">
        <is>
          <t>via website</t>
        </is>
      </c>
      <c r="H16" s="121" t="inlineStr">
        <is>
          <t>MSK/urology POCUS niche</t>
        </is>
      </c>
      <c r="I16" s="121" t="inlineStr">
        <is>
          <t>SonoBook 9 high-freq linear (MSK) + SonoEye P5</t>
        </is>
      </c>
      <c r="J16" s="148" t="inlineStr">
        <is>
          <t>3</t>
        </is>
      </c>
      <c r="K16" s="121" t="inlineStr">
        <is>
          <t>Tier 3 — Men's health / GP chain, Multiple clinics (SG + regional) · verified domain.</t>
        </is>
      </c>
      <c r="L16" s="121" t="inlineStr">
        <is>
          <t>Knowledge — verify</t>
        </is>
      </c>
      <c r="M16" s="145" t="inlineStr">
        <is>
          <t>Standardising ultrasound across DTAP Clinic Group: CHISON SonoBook 9 and SonoEye P5</t>
        </is>
      </c>
      <c r="N16" s="108" t="inlineStr">
        <is>
          <t>Dear DTAP Clinic Group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Men's health / GP chain, multiple clinics (SG and regional).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SonoBook 9: the workhorse laptop and our volume seller across Asia
• SonoEye P5: phone and tablet connected high-frequency handheld for musculoskeletal work, vascular access and small parts
Standardised across sites, one platform means one training programme, one service contract and one set of consumables,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17" ht="39.75" customHeight="1" s="104">
      <c r="A17" s="121" t="n">
        <v>13</v>
      </c>
      <c r="B17" s="122" t="inlineStr">
        <is>
          <t>OneCare/other PCN HQs (10 PCNs)</t>
        </is>
      </c>
      <c r="C17" s="123" t="inlineStr">
        <is>
          <t>Not started</t>
        </is>
      </c>
      <c r="D17" s="121" t="inlineStr">
        <is>
          <t>Primary Care Networks</t>
        </is>
      </c>
      <c r="E17" s="121" t="inlineStr">
        <is>
          <t>1,000+ CHAS GPs organised in 10 PCNs</t>
        </is>
      </c>
      <c r="F17" s="121" t="inlineStr">
        <is>
          <t>primarycarepages.sg</t>
        </is>
      </c>
      <c r="G17" s="121" t="inlineStr">
        <is>
          <t>via website</t>
        </is>
      </c>
      <c r="H17" s="121" t="inlineStr">
        <is>
          <t>PCN HQ endorsement → long-tail GP sales</t>
        </is>
      </c>
      <c r="I17" s="121" t="inlineStr">
        <is>
          <t>SonoEye P3 per-doctor + SonoAir 30 shared room; SonoAI reporting</t>
        </is>
      </c>
      <c r="J17" s="147" t="inlineStr">
        <is>
          <t>2</t>
        </is>
      </c>
      <c r="K17" s="121" t="inlineStr">
        <is>
          <t>Tier 2 — Primary Care Networks, 1,000+ CHAS GPs organised in 10 PCNs · verified domain.</t>
        </is>
      </c>
      <c r="L17" s="121" t="inlineStr">
        <is>
          <t>From search</t>
        </is>
      </c>
      <c r="M17" s="145" t="inlineStr">
        <is>
          <t>Standardising ultrasound across OneCare/other PCN HQs (10 PCNs): CHISON SonoEye P3 and SonoAir 30</t>
        </is>
      </c>
      <c r="N17" s="108" t="inlineStr">
        <is>
          <t>Dear OneCare/other PCN HQs (10 PCNs)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Primary Care Networks, 1,000 and CHAS GPs organised in 10 PCNs.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SonoEye P3: pocket handheld for emergency, intensive care and bedside point-of-care scanning
• SonoAir 30: lightweight laptop for mobile and multi-site work
• SonoAI: AI-assisted measurement and structured reporting, built into the newer platforms
Standardised across sites, one platform means one training programme, one service contract and one set of consumables,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18" ht="39.75" customHeight="1" s="104">
      <c r="A18" s="121" t="n">
        <v>14</v>
      </c>
      <c r="B18" s="122" t="inlineStr">
        <is>
          <t>GP+ Co-operative</t>
        </is>
      </c>
      <c r="C18" s="123" t="inlineStr">
        <is>
          <t>Not started</t>
        </is>
      </c>
      <c r="D18" s="121" t="inlineStr">
        <is>
          <t>GP co-op network</t>
        </is>
      </c>
      <c r="E18" s="121" t="inlineStr">
        <is>
          <t>Co-op of private GPs</t>
        </is>
      </c>
      <c r="F18" s="121" t="inlineStr">
        <is>
          <t>gpplus.coop</t>
        </is>
      </c>
      <c r="G18" s="121" t="inlineStr">
        <is>
          <t>via website</t>
        </is>
      </c>
      <c r="H18" s="121" t="inlineStr">
        <is>
          <t>Group-purchasing route to independents</t>
        </is>
      </c>
      <c r="I18" s="121" t="inlineStr">
        <is>
          <t>SonoEye P3 per-doctor + SonoAir 30 shared room; SonoAI reporting</t>
        </is>
      </c>
      <c r="J18" s="147" t="inlineStr">
        <is>
          <t>2</t>
        </is>
      </c>
      <c r="K18" s="121" t="inlineStr">
        <is>
          <t>Tier 2 — GP co-op network, Co-op of private GPs · verified domain.</t>
        </is>
      </c>
      <c r="L18" s="121" t="inlineStr">
        <is>
          <t>From search</t>
        </is>
      </c>
      <c r="M18" s="145" t="inlineStr">
        <is>
          <t>Standardising ultrasound across GP+ Co-operative: CHISON SonoEye P3 and SonoAir 30</t>
        </is>
      </c>
      <c r="N18" s="108" t="inlineStr">
        <is>
          <t>Dear GP+ Co-operative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scale combined with a single decision point: GP co-op network, co-op of private GPs. That is the difference between selling one scanner and standardising a fleet.
Where CHISON fits: point-of-care ultrasound is what your GPs are increasingly asked for, covering early pregnancy dating, abdominal and musculoskeletal triage and vascular access. At chain scale the economics finally work:
• SonoEye P3: pocket handheld for emergency, intensive care and bedside point-of-care scanning
• SonoAir 30: lightweight laptop for mobile and multi-site work
• SonoAI: AI-assisted measurement and structured reporting, built into the newer platforms
Standardised across sites, one platform means one training programme, one service contract and one set of consumables,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19" ht="39.75" customHeight="1" s="104">
      <c r="A19" s="121" t="n">
        <v>15</v>
      </c>
      <c r="B19" s="122" t="inlineStr">
        <is>
          <t>Mount Elizabeth Hospital (Orchard)</t>
        </is>
      </c>
      <c r="C19" s="123" t="inlineStr">
        <is>
          <t>Not started</t>
        </is>
      </c>
      <c r="D19" s="121" t="inlineStr">
        <is>
          <t>Private tertiary (IHH)</t>
        </is>
      </c>
      <c r="E19" s="121" t="inlineStr">
        <is>
          <t>Flagship tertiary</t>
        </is>
      </c>
      <c r="F19" s="121" t="inlineStr">
        <is>
          <t>mountelizabeth.com.sg</t>
        </is>
      </c>
      <c r="G19" s="121" t="inlineStr">
        <is>
          <t>via website</t>
        </is>
      </c>
      <c r="H19" s="121" t="inlineStr">
        <is>
          <t>Cardiac/O&amp;G/radiology carts; biomedical eng dept</t>
        </is>
      </c>
      <c r="I19" s="121" t="inlineStr">
        <is>
          <t>SonoMax 7 OB/GYN (4D + SonoAI); QBit 5/CBit 6 for satellite rooms</t>
        </is>
      </c>
      <c r="J19" s="147" t="inlineStr">
        <is>
          <t>2</t>
        </is>
      </c>
      <c r="K19" s="121" t="inlineStr">
        <is>
          <t>Tier 2 — Private tertiary (IHH), Flagship tertiary · verified domain.</t>
        </is>
      </c>
      <c r="L19" s="121" t="inlineStr">
        <is>
          <t>Knowledge — verify</t>
        </is>
      </c>
      <c r="M19" s="145" t="inlineStr">
        <is>
          <t>Ultrasound for Mount Elizabeth Hospital (Orchard): CHISON SonoMax 7 and SonoAI, HSA-registered and locally serviced</t>
        </is>
      </c>
      <c r="N19" s="108" t="inlineStr">
        <is>
          <t>Dear Mount Elizabeth Hospital (Orchard)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Yours is a specialist-driven private hospital: Private tertiary (IHH), flagship tertiary. Clinicians influence the purchase there, and cycles move considerably faster than in the public sector.
Where CHISON fits: the range is positioned to give departmental image quality without a tertiary-brand price tag, which matters when a specialist suite or a smaller department is funding the purchase itself:
• SonoMax 7: the flagship cart, carrying a full radiology, obstetric and cardiac workload
• SonoAI: AI-assisted measurement and structured reporting, built into the newer platforms
• QBit 5: the value console that wins tenders on price-per-exam
For a private hospital the argument is a straightforward one: comparable diagnostic capability at a materially lower capital cost, with a focused cart offer, so that departments and specialist suites can be equipped from the same line.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20" ht="39.75" customHeight="1" s="104">
      <c r="A20" s="121" t="n">
        <v>16</v>
      </c>
      <c r="B20" s="122" t="inlineStr">
        <is>
          <t>Mount Elizabeth Novena</t>
        </is>
      </c>
      <c r="C20" s="123" t="inlineStr">
        <is>
          <t>Not started</t>
        </is>
      </c>
      <c r="D20" s="121" t="inlineStr">
        <is>
          <t>Private tertiary (IHH)</t>
        </is>
      </c>
      <c r="E20" s="121" t="inlineStr">
        <is>
          <t>Tertiary + specialist suites</t>
        </is>
      </c>
      <c r="F20" s="121" t="inlineStr">
        <is>
          <t>mountelizabeth.com.sg</t>
        </is>
      </c>
      <c r="G20" s="121" t="inlineStr">
        <is>
          <t>via website</t>
        </is>
      </c>
      <c r="H20" s="121" t="inlineStr">
        <is>
          <t>Specialist suites buy own units — retail-like motion</t>
        </is>
      </c>
      <c r="I20" s="121" t="inlineStr">
        <is>
          <t>SonoMax 7 (cardiac/women's health) + SonoPort dept fleet; SonoEye wards</t>
        </is>
      </c>
      <c r="J20" s="147" t="inlineStr">
        <is>
          <t>2</t>
        </is>
      </c>
      <c r="K20" s="121" t="inlineStr">
        <is>
          <t>Tier 2 — Private tertiary (IHH), Tertiary + specialist suites · verified domain.</t>
        </is>
      </c>
      <c r="L20" s="121" t="inlineStr">
        <is>
          <t>Knowledge — verify</t>
        </is>
      </c>
      <c r="M20" s="145" t="inlineStr">
        <is>
          <t>Ultrasound for Mount Elizabeth Novena: CHISON SonoMax 7 and SonoPort, HSA-registered and locally serviced</t>
        </is>
      </c>
      <c r="N20" s="108" t="inlineStr">
        <is>
          <t>Dear Mount Elizabeth Novena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Yours is a specialist-driven private hospital: Private tertiary (IHH), tertiary and specialist suites. Clinicians influence the purchase there, and cycles move considerably faster than in the public sector.
Where CHISON fits: the range is positioned to give departmental image quality without a tertiary-brand price tag, which matters when a specialist suite or a smaller department is funding the purchase itself:
• SonoMax 7: the flagship cart, carrying a full radiology, obstetric and cardiac workload
• SonoPort: our new-generation intelligent cart, launched April 2026
• SonoEye: pocket handheld for bedside point-of-care scanning
For a private hospital the argument is a straightforward one: comparable diagnostic capability at a materially lower capital cost, with both ends of the range, from bedside handheld to hospital cart, so that departments and specialist suites can be equipped from the same line.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21" ht="39.75" customHeight="1" s="104">
      <c r="A21" s="121" t="n">
        <v>17</v>
      </c>
      <c r="B21" s="122" t="inlineStr">
        <is>
          <t>Gleneagles Hospital</t>
        </is>
      </c>
      <c r="C21" s="123" t="inlineStr">
        <is>
          <t>Not started</t>
        </is>
      </c>
      <c r="D21" s="121" t="inlineStr">
        <is>
          <t>Private tertiary (IHH)</t>
        </is>
      </c>
      <c r="E21" s="121" t="inlineStr">
        <is>
          <t>Tertiary</t>
        </is>
      </c>
      <c r="F21" s="121" t="inlineStr">
        <is>
          <t>gleneagles.com.sg</t>
        </is>
      </c>
      <c r="G21" s="121" t="inlineStr">
        <is>
          <t>via website</t>
        </is>
      </c>
      <c r="H21" s="121" t="inlineStr">
        <is>
          <t>Same as Mount E</t>
        </is>
      </c>
      <c r="I21" s="121" t="inlineStr">
        <is>
          <t>SonoMax 7 (cardiac/women's health) + SonoPort dept fleet; SonoEye wards</t>
        </is>
      </c>
      <c r="J21" s="147" t="inlineStr">
        <is>
          <t>2</t>
        </is>
      </c>
      <c r="K21" s="121" t="inlineStr">
        <is>
          <t>Tier 2 — Private tertiary (IHH), Tertiary · verified domain.</t>
        </is>
      </c>
      <c r="L21" s="121" t="inlineStr">
        <is>
          <t>Knowledge — verify</t>
        </is>
      </c>
      <c r="M21" s="145" t="inlineStr">
        <is>
          <t>Ultrasound for Gleneagles Hospital: CHISON SonoMax 7 and SonoPort, HSA-registered and locally serviced</t>
        </is>
      </c>
      <c r="N21" s="108" t="inlineStr">
        <is>
          <t>Dear Gleneagles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Yours is a specialist-driven private hospital: Private tertiary (IHH), tertiary. Clinicians influence the purchase there, and cycles move considerably faster than in the public sector.
Where CHISON fits: the range is positioned to give departmental image quality without a tertiary-brand price tag, which matters when a specialist suite or a smaller department is funding the purchase itself:
• SonoMax 7: the flagship cart, carrying a full radiology, obstetric and cardiac workload
• SonoPort: our new-generation intelligent cart, launched April 2026
• SonoEye: pocket handheld for bedside point-of-care scanning
For a private hospital the argument is a straightforward one: comparable diagnostic capability at a materially lower capital cost, with both ends of the range, from bedside handheld to hospital cart, so that departments and specialist suites can be equipped from the same line.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22" ht="39.75" customHeight="1" s="104">
      <c r="A22" s="121" t="n">
        <v>18</v>
      </c>
      <c r="B22" s="122" t="inlineStr">
        <is>
          <t>Parkway East Hospital</t>
        </is>
      </c>
      <c r="C22" s="123" t="inlineStr">
        <is>
          <t>Not started</t>
        </is>
      </c>
      <c r="D22" s="121" t="inlineStr">
        <is>
          <t>Private hospital (IHH)</t>
        </is>
      </c>
      <c r="E22" s="121" t="inlineStr">
        <is>
          <t>Community hospital</t>
        </is>
      </c>
      <c r="F22" s="121" t="inlineStr">
        <is>
          <t>parkwayeast.com.sg</t>
        </is>
      </c>
      <c r="G22" s="121" t="inlineStr">
        <is>
          <t>via website</t>
        </is>
      </c>
      <c r="H22" s="121" t="inlineStr">
        <is>
          <t>Smaller depts, faster cycles</t>
        </is>
      </c>
      <c r="I22" s="121" t="inlineStr">
        <is>
          <t>SonoMax 7 (cardiac/women's health) + SonoPort dept fleet; SonoEye wards</t>
        </is>
      </c>
      <c r="J22" s="147" t="inlineStr">
        <is>
          <t>2</t>
        </is>
      </c>
      <c r="K22" s="121" t="inlineStr">
        <is>
          <t>Tier 2 — Private hospital (IHH), Community hospital · verified domain.</t>
        </is>
      </c>
      <c r="L22" s="121" t="inlineStr">
        <is>
          <t>Knowledge — verify</t>
        </is>
      </c>
      <c r="M22" s="145" t="inlineStr">
        <is>
          <t>Ultrasound for Parkway East Hospital: CHISON SonoMax 7 and SonoPort, HSA-registered and locally serviced</t>
        </is>
      </c>
      <c r="N22" s="108" t="inlineStr">
        <is>
          <t>Dear Parkway East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Yours is a specialist-driven private hospital: Private hospital (IHH), community hospital. Clinicians influence the purchase there, and cycles move considerably faster than in the public sector.
Where CHISON fits: the range is positioned to give departmental image quality without a tertiary-brand price tag, which matters when a specialist suite or a smaller department is funding the purchase itself:
• SonoMax 7: the flagship cart, carrying a full radiology, obstetric and cardiac workload
• SonoPort: our new-generation intelligent cart, launched April 2026
• SonoEye: pocket handheld for bedside point-of-care scanning
For a private hospital the argument is a straightforward one: comparable diagnostic capability at a materially lower capital cost, with both ends of the range, from bedside handheld to hospital cart, so that departments and specialist suites can be equipped from the same line.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23" ht="39.75" customHeight="1" s="104">
      <c r="A23" s="121" t="n">
        <v>19</v>
      </c>
      <c r="B23" s="122" t="inlineStr">
        <is>
          <t>Raffles Hospital</t>
        </is>
      </c>
      <c r="C23" s="123" t="inlineStr">
        <is>
          <t>Not started</t>
        </is>
      </c>
      <c r="D23" s="121" t="inlineStr">
        <is>
          <t>Private tertiary</t>
        </is>
      </c>
      <c r="E23" s="121" t="inlineStr">
        <is>
          <t>Flagship of RMG</t>
        </is>
      </c>
      <c r="F23" s="121" t="inlineStr">
        <is>
          <t>rafflesmedicalgroup.com</t>
        </is>
      </c>
      <c r="G23" s="121" t="inlineStr">
        <is>
          <t>via website</t>
        </is>
      </c>
      <c r="H23" s="121" t="inlineStr">
        <is>
          <t>Bundle with RMG clinic deal</t>
        </is>
      </c>
      <c r="I23" s="121" t="inlineStr">
        <is>
          <t>SonoMax 7 (cardiac/women's health) + SonoPort dept fleet; SonoEye wards</t>
        </is>
      </c>
      <c r="J23" s="147" t="inlineStr">
        <is>
          <t>2</t>
        </is>
      </c>
      <c r="K23" s="121" t="inlineStr">
        <is>
          <t>Tier 2 — Private tertiary, Flagship of RMG · verified domain.</t>
        </is>
      </c>
      <c r="L23" s="121" t="inlineStr">
        <is>
          <t>Knowledge — verify</t>
        </is>
      </c>
      <c r="M23" s="145" t="inlineStr">
        <is>
          <t>Ultrasound for Raffles Hospital: CHISON SonoMax 7 and SonoPort, HSA-registered and locally serviced</t>
        </is>
      </c>
      <c r="N23" s="108" t="inlineStr">
        <is>
          <t>Dear Raffles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Yours is a specialist-driven private hospital: Private tertiary, flagship of RMG. Clinicians influence the purchase there, and cycles move considerably faster than in the public sector.
Where CHISON fits: the range is positioned to give departmental image quality without a tertiary-brand price tag, which matters when a specialist suite or a smaller department is funding the purchase itself:
• SonoMax 7: the flagship cart, carrying a full radiology, obstetric and cardiac workload
• SonoPort: our new-generation intelligent cart, launched April 2026
• SonoEye: pocket handheld for bedside point-of-care scanning
For a private hospital the argument is a straightforward one: comparable diagnostic capability at a materially lower capital cost, with both ends of the range, from bedside handheld to hospital cart, so that departments and specialist suites can be equipped from the same line.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24" ht="39.75" customHeight="1" s="104">
      <c r="A24" s="121" t="n">
        <v>20</v>
      </c>
      <c r="B24" s="122" t="inlineStr">
        <is>
          <t>Farrer Park Hospital</t>
        </is>
      </c>
      <c r="C24" s="123" t="inlineStr">
        <is>
          <t>Not started</t>
        </is>
      </c>
      <c r="D24" s="121" t="inlineStr">
        <is>
          <t>Private tertiary</t>
        </is>
      </c>
      <c r="E24" s="121" t="inlineStr">
        <is>
          <t>Independent private hospital</t>
        </is>
      </c>
      <c r="F24" s="121" t="inlineStr">
        <is>
          <t>farrerpark.com</t>
        </is>
      </c>
      <c r="G24" s="121" t="inlineStr">
        <is>
          <t>via website</t>
        </is>
      </c>
      <c r="H24" s="121" t="inlineStr">
        <is>
          <t>Specialist-driven purchases</t>
        </is>
      </c>
      <c r="I24" s="121" t="inlineStr">
        <is>
          <t>SonoMax 7 (cardiac/women's health) + SonoPort dept fleet; SonoEye wards</t>
        </is>
      </c>
      <c r="J24" s="147" t="inlineStr">
        <is>
          <t>2</t>
        </is>
      </c>
      <c r="K24" s="121" t="inlineStr">
        <is>
          <t>Tier 2 — Private tertiary, Independent private hospital · verified domain.</t>
        </is>
      </c>
      <c r="L24" s="121" t="inlineStr">
        <is>
          <t>Knowledge — verify</t>
        </is>
      </c>
      <c r="M24" s="145" t="inlineStr">
        <is>
          <t>Ultrasound for Farrer Park Hospital: CHISON SonoMax 7 and SonoPort, HSA-registered and locally serviced</t>
        </is>
      </c>
      <c r="N24" s="108" t="inlineStr">
        <is>
          <t>Dear Farrer Park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Yours is a specialist-driven private hospital: Private tertiary, independent private hospital. Clinicians influence the purchase there, and cycles move considerably faster than in the public sector.
Where CHISON fits: the range is positioned to give departmental image quality without a tertiary-brand price tag, which matters when a specialist suite or a smaller department is funding the purchase itself:
• SonoMax 7: the flagship cart, carrying a full radiology, obstetric and cardiac workload
• SonoPort: our new-generation intelligent cart, launched April 2026
• SonoEye: pocket handheld for bedside point-of-care scanning
For a private hospital the argument is a straightforward one: comparable diagnostic capability at a materially lower capital cost, with both ends of the range, from bedside handheld to hospital cart, so that departments and specialist suites can be equipped from the same line.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25" ht="39.75" customHeight="1" s="104">
      <c r="A25" s="121" t="n">
        <v>21</v>
      </c>
      <c r="B25" s="122" t="inlineStr">
        <is>
          <t>Thomson Medical Centre</t>
        </is>
      </c>
      <c r="C25" s="123" t="inlineStr">
        <is>
          <t>Not started</t>
        </is>
      </c>
      <c r="D25" s="121" t="inlineStr">
        <is>
          <t>Private O&amp;G-focused hospital</t>
        </is>
      </c>
      <c r="E25" s="121" t="inlineStr">
        <is>
          <t>O&amp;G flagship + fertility</t>
        </is>
      </c>
      <c r="F25" s="121" t="inlineStr">
        <is>
          <t>thomsonmedical.com</t>
        </is>
      </c>
      <c r="G25" s="121" t="inlineStr">
        <is>
          <t>via website</t>
        </is>
      </c>
      <c r="H25" s="121" t="inlineStr">
        <is>
          <t>Core OB imaging buyer — strong CHISON fit</t>
        </is>
      </c>
      <c r="I25" s="121" t="inlineStr">
        <is>
          <t>SonoMax 7 OB flagship (4D + SonoAI OB) + QBit 5 for Thomson Women's satellites</t>
        </is>
      </c>
      <c r="J25" s="144" t="inlineStr">
        <is>
          <t>1</t>
        </is>
      </c>
      <c r="K25" s="121" t="inlineStr">
        <is>
          <t>Tier 1 — Private O&amp;G-focused hospital, O&amp;G flagship + fertility · verified domain.</t>
        </is>
      </c>
      <c r="L25" s="121" t="inlineStr">
        <is>
          <t>Knowledge — verify</t>
        </is>
      </c>
      <c r="M25" s="145" t="inlineStr">
        <is>
          <t>Obstetric imaging at Thomson Medical Centre: CHISON SonoMax 7 and SonoAI</t>
        </is>
      </c>
      <c r="N25" s="108" t="inlineStr">
        <is>
          <t>Dear Thomson Medical Centre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Obstetric and gynaecological scanning is the highest-volume ultrasound work there is, and Thomson Medical Centre sits at the centre of it: O&amp;G flagship and fertility.
Where CHISON fits: obstetrics is the application CHISON has built for since 1996. Fetal biometry, growth and follicle-tracking packages are core to the platform rather than an addition to it:
• SonoMax 7: the flagship cart, carrying a full radiology, obstetric and cardiac workload
• SonoAI: AI-assisted measurement and structured reporting, built into the newer platforms
• QBit 5: the value console that wins tenders on price-per-exam
In practical terms you would have a focused cart offer, so that a group practice can equip consulting rooms and a main scanning room from one platform, on one service contract.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26" ht="39.75" customHeight="1" s="104">
      <c r="A26" s="121" t="n">
        <v>22</v>
      </c>
      <c r="B26" s="122" t="inlineStr">
        <is>
          <t>Mount Alvernia Hospital</t>
        </is>
      </c>
      <c r="C26" s="123" t="inlineStr">
        <is>
          <t>Not started</t>
        </is>
      </c>
      <c r="D26" s="121" t="inlineStr">
        <is>
          <t>Private not-for-profit</t>
        </is>
      </c>
      <c r="E26" s="121" t="inlineStr">
        <is>
          <t>General + maternity</t>
        </is>
      </c>
      <c r="F26" s="121" t="inlineStr">
        <is>
          <t>mtalvernia.sg</t>
        </is>
      </c>
      <c r="G26" s="121" t="inlineStr">
        <is>
          <t>via website</t>
        </is>
      </c>
      <c r="H26" s="121" t="inlineStr">
        <is>
          <t>Maternity + outpatient specialist centres</t>
        </is>
      </c>
      <c r="I26" s="121" t="inlineStr">
        <is>
          <t>SonoMax 7 (cardiac/women's health) + SonoPort dept fleet; SonoEye wards</t>
        </is>
      </c>
      <c r="J26" s="147" t="inlineStr">
        <is>
          <t>2</t>
        </is>
      </c>
      <c r="K26" s="121" t="inlineStr">
        <is>
          <t>Tier 2 — Private not-for-profit, General + maternity · verified domain.</t>
        </is>
      </c>
      <c r="L26" s="121" t="inlineStr">
        <is>
          <t>Knowledge — verify</t>
        </is>
      </c>
      <c r="M26" s="145" t="inlineStr">
        <is>
          <t>Ultrasound for Mount Alvernia Hospital: CHISON SonoMax 7 and SonoPort, HSA-registered and locally serviced</t>
        </is>
      </c>
      <c r="N26" s="108" t="inlineStr">
        <is>
          <t>Dear Mount Alvernia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Yours is a specialist-driven private hospital: Private not-for-profit, general and maternity. Clinicians influence the purchase there, and cycles move considerably faster than in the public sector.
Where CHISON fits: the range is positioned to give departmental image quality without a tertiary-brand price tag, which matters when a specialist suite or a smaller department is funding the purchase itself:
• SonoMax 7: the flagship cart, carrying a full radiology, obstetric and cardiac workload
• SonoPort: our new-generation intelligent cart, launched April 2026
• SonoEye: pocket handheld for bedside point-of-care scanning
For a private hospital the argument is a straightforward one: comparable diagnostic capability at a materially lower capital cost, with both ends of the range, from bedside handheld to hospital cart, so that departments and specialist suites can be equipped from the same line.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27" ht="39.75" customHeight="1" s="104">
      <c r="A27" s="121" t="n">
        <v>23</v>
      </c>
      <c r="B27" s="122" t="inlineStr">
        <is>
          <t>Crawfurd Hospital</t>
        </is>
      </c>
      <c r="C27" s="123" t="inlineStr">
        <is>
          <t>Not started</t>
        </is>
      </c>
      <c r="D27" s="121" t="inlineStr">
        <is>
          <t>Private hospital (newer)</t>
        </is>
      </c>
      <c r="E27" s="121" t="inlineStr">
        <is>
          <t>Boutique private hospital</t>
        </is>
      </c>
      <c r="F27" s="121" t="inlineStr">
        <is>
          <t>crawfurdhospital.com.sg</t>
        </is>
      </c>
      <c r="G27" s="121" t="inlineStr">
        <is>
          <t>via website</t>
        </is>
      </c>
      <c r="H27" s="121" t="inlineStr">
        <is>
          <t>New builds = open vendor slates</t>
        </is>
      </c>
      <c r="I27" s="121" t="inlineStr">
        <is>
          <t>SonoMax 7 (cardiac/women's health) + SonoPort dept fleet; SonoEye wards</t>
        </is>
      </c>
      <c r="J27" s="147" t="inlineStr">
        <is>
          <t>2</t>
        </is>
      </c>
      <c r="K27" s="121" t="inlineStr">
        <is>
          <t>Tier 2 — Private hospital (newer), Boutique private hospital · verified domain.</t>
        </is>
      </c>
      <c r="L27" s="121" t="inlineStr">
        <is>
          <t>Knowledge — verify</t>
        </is>
      </c>
      <c r="M27" s="145" t="inlineStr">
        <is>
          <t>Ultrasound for Crawfurd Hospital: CHISON SonoMax 7 and SonoPort, HSA-registered and locally serviced</t>
        </is>
      </c>
      <c r="N27" s="108" t="inlineStr">
        <is>
          <t>Dear Crawfurd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Yours is a specialist-driven private hospital: Private hospital (newer), boutique private hospital. Clinicians influence the purchase there, and cycles move considerably faster than in the public sector.
Where CHISON fits: the range is positioned to give departmental image quality without a tertiary-brand price tag, which matters when a specialist suite or a smaller department is funding the purchase itself:
• SonoMax 7: the flagship cart, carrying a full radiology, obstetric and cardiac workload
• SonoPort: our new-generation intelligent cart, launched April 2026
• SonoEye: pocket handheld for bedside point-of-care scanning
For a private hospital the argument is a straightforward one: comparable diagnostic capability at a materially lower capital cost, with both ends of the range, from bedside handheld to hospital cart, so that departments and specialist suites can be equipped from the same line.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28" ht="39.75" customHeight="1" s="104">
      <c r="A28" s="121" t="n">
        <v>24</v>
      </c>
      <c r="B28" s="122" t="inlineStr">
        <is>
          <t>StarMed Specialist Centre</t>
        </is>
      </c>
      <c r="C28" s="123" t="inlineStr">
        <is>
          <t>Not started</t>
        </is>
      </c>
      <c r="D28" s="121" t="inlineStr">
        <is>
          <t>Ambulatory specialist centre</t>
        </is>
      </c>
      <c r="E28" s="121" t="inlineStr">
        <is>
          <t>Day surgery + specialist outpatient</t>
        </is>
      </c>
      <c r="F28" s="121" t="inlineStr">
        <is>
          <t>starmedspecialist.com</t>
        </is>
      </c>
      <c r="G28" s="121" t="inlineStr">
        <is>
          <t>via website</t>
        </is>
      </c>
      <c r="H28" s="121" t="inlineStr">
        <is>
          <t>Ambulatory imaging fit</t>
        </is>
      </c>
      <c r="I28" s="121" t="inlineStr">
        <is>
          <t>SonoMax 7 premium + XBit 90 second rooms — reference-site play</t>
        </is>
      </c>
      <c r="J28" s="147" t="inlineStr">
        <is>
          <t>2</t>
        </is>
      </c>
      <c r="K28" s="121" t="inlineStr">
        <is>
          <t>Tier 2 — Ambulatory specialist centre, Day surgery + specialist outpatient · verified domain.</t>
        </is>
      </c>
      <c r="L28" s="121" t="inlineStr">
        <is>
          <t>Knowledge — verify</t>
        </is>
      </c>
      <c r="M28" s="145" t="inlineStr">
        <is>
          <t>Ultrasound for StarMed Specialist Centre: CHISON SonoMax 7 and XBit 90, HSA-registered and locally serviced</t>
        </is>
      </c>
      <c r="N28" s="108" t="inlineStr">
        <is>
          <t>Dear StarMed Specialist Centre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Yours is a specialist-driven private hospital: Ambulatory specialist centre, day surgery and specialist outpatient. Clinicians influence the purchase there, and cycles move considerably faster than in the public sector.
Where CHISON fits: the range is positioned to give departmental image quality without a tertiary-brand price tag, which matters when a specialist suite or a smaller department is funding the purchase itself:
• SonoMax 7: the flagship cart, carrying a full radiology, obstetric and cardiac workload
• XBit 90: premium cart for departments that want high-end imaging without a high-end budget
For a private hospital the argument is a straightforward one: comparable diagnostic capability at a materially lower capital cost, with a focused cart offer, so that departments and specialist suites can be equipped from the same line.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29" ht="39.75" customHeight="1" s="104">
      <c r="A29" s="121" t="n">
        <v>25</v>
      </c>
      <c r="B29" s="122" t="inlineStr">
        <is>
          <t>Singapore O&amp;G Ltd (SOG)</t>
        </is>
      </c>
      <c r="C29" s="123" t="inlineStr">
        <is>
          <t>Not started</t>
        </is>
      </c>
      <c r="D29" s="121" t="inlineStr">
        <is>
          <t>Listed O&amp;G specialist group</t>
        </is>
      </c>
      <c r="E29" s="121" t="inlineStr">
        <is>
          <t>Network of O&amp;G practices</t>
        </is>
      </c>
      <c r="F29" s="121" t="inlineStr">
        <is>
          <t>sog.com.sg</t>
        </is>
      </c>
      <c r="G29" s="121" t="inlineStr">
        <is>
          <t>via website</t>
        </is>
      </c>
      <c r="H29" s="121" t="inlineStr">
        <is>
          <t>Per-practice OB unit sales</t>
        </is>
      </c>
      <c r="I29" s="121" t="inlineStr">
        <is>
          <t>SonoMax 7 OB/GYN (4D + SonoAI); QBit 5/CBit 6 for satellite rooms</t>
        </is>
      </c>
      <c r="J29" s="144" t="inlineStr">
        <is>
          <t>1</t>
        </is>
      </c>
      <c r="K29" s="121" t="inlineStr">
        <is>
          <t>Tier 1 — Listed O&amp;G specialist group, Network of O&amp;G practices · verified domain.</t>
        </is>
      </c>
      <c r="L29" s="121" t="inlineStr">
        <is>
          <t>Knowledge — verify</t>
        </is>
      </c>
      <c r="M29" s="145" t="inlineStr">
        <is>
          <t>Obstetric imaging at Singapore O&amp;G Ltd (SOG): CHISON SonoMax 7 and SonoAI</t>
        </is>
      </c>
      <c r="N29" s="108" t="inlineStr">
        <is>
          <t>Dear Singapore O&amp;G Ltd (SOG)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Obstetric and gynaecological scanning is the highest-volume ultrasound work there is, and Singapore O&amp;G Ltd (SOG) sits at the centre of it: network of O&amp;G practices.
Where CHISON fits: obstetrics is the application CHISON has built for since 1996. Fetal biometry, growth and follicle-tracking packages are core to the platform rather than an addition to it:
• SonoMax 7: the flagship cart, carrying a full radiology, obstetric and cardiac workload
• SonoAI: AI-assisted measurement and structured reporting, built into the newer platforms
• QBit 5: the value console that wins tenders on price-per-exam
In practical terms you would have a focused cart offer, so that a group practice can equip consulting rooms and a main scanning room from one platform, on one service contract.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30" ht="39.75" customHeight="1" s="104">
      <c r="A30" s="121" t="n">
        <v>26</v>
      </c>
      <c r="B30" s="122" t="inlineStr">
        <is>
          <t>Thomson Women's Clinics</t>
        </is>
      </c>
      <c r="C30" s="123" t="inlineStr">
        <is>
          <t>Not started</t>
        </is>
      </c>
      <c r="D30" s="121" t="inlineStr">
        <is>
          <t>O&amp;G clinic chain (Thomson)</t>
        </is>
      </c>
      <c r="E30" s="121" t="inlineStr">
        <is>
          <t>Multiple TWC branches</t>
        </is>
      </c>
      <c r="F30" s="121" t="inlineStr">
        <is>
          <t>thomsonmedical.com</t>
        </is>
      </c>
      <c r="G30" s="121" t="inlineStr">
        <is>
          <t>via website</t>
        </is>
      </c>
      <c r="H30" s="121" t="inlineStr">
        <is>
          <t>Chain OB units</t>
        </is>
      </c>
      <c r="I30" s="121" t="inlineStr">
        <is>
          <t>SonoMax 7 OB/GYN (4D + SonoAI); QBit 5/CBit 6 for satellite rooms</t>
        </is>
      </c>
      <c r="J30" s="144" t="inlineStr">
        <is>
          <t>1</t>
        </is>
      </c>
      <c r="K30" s="121" t="inlineStr">
        <is>
          <t>Tier 1 — O&amp;G clinic chain (Thomson), Multiple TWC branches · verified domain.</t>
        </is>
      </c>
      <c r="L30" s="121" t="inlineStr">
        <is>
          <t>Knowledge — verify</t>
        </is>
      </c>
      <c r="M30" s="145" t="inlineStr">
        <is>
          <t>Obstetric imaging at Thomson Women's Clinics: CHISON SonoMax 7 and SonoAI</t>
        </is>
      </c>
      <c r="N30" s="108" t="inlineStr">
        <is>
          <t>Dear Thomson Women's Clinics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Obstetric and gynaecological scanning is the highest-volume ultrasound work there is, and Thomson Women's Clinics sits at the centre of it: multiple TWC branches.
Where CHISON fits: obstetrics is the application CHISON has built for since 1996. Fetal biometry, growth and follicle-tracking packages are core to the platform rather than an addition to it:
• SonoMax 7: the flagship cart, carrying a full radiology, obstetric and cardiac workload
• SonoAI: AI-assisted measurement and structured reporting, built into the newer platforms
• QBit 5: the value console that wins tenders on price-per-exam
In practical terms you would have a focused cart offer, so that a group practice can equip consulting rooms and a main scanning room from one platform, on one service contract.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31" ht="39.75" customHeight="1" s="104">
      <c r="A31" s="121" t="n">
        <v>27</v>
      </c>
      <c r="B31" s="122" t="inlineStr">
        <is>
          <t>Astra Women's Specialists (SMG)</t>
        </is>
      </c>
      <c r="C31" s="123" t="inlineStr">
        <is>
          <t>Not started</t>
        </is>
      </c>
      <c r="D31" s="121" t="inlineStr">
        <is>
          <t>O&amp;G chain within SMG</t>
        </is>
      </c>
      <c r="E31" s="121" t="inlineStr">
        <is>
          <t>Multiple branches</t>
        </is>
      </c>
      <c r="F31" s="121" t="inlineStr">
        <is>
          <t>smg.sg</t>
        </is>
      </c>
      <c r="G31" s="121" t="inlineStr">
        <is>
          <t>via website</t>
        </is>
      </c>
      <c r="H31" s="121" t="inlineStr">
        <is>
          <t>Part of SMG conversation</t>
        </is>
      </c>
      <c r="I31" s="121" t="inlineStr">
        <is>
          <t>SonoMax 7 OB/GYN (4D + SonoAI); QBit 5/CBit 6 for satellite rooms</t>
        </is>
      </c>
      <c r="J31" s="147" t="inlineStr">
        <is>
          <t>2</t>
        </is>
      </c>
      <c r="K31" s="121" t="inlineStr">
        <is>
          <t>Tier 2 — O&amp;G chain within SMG, Multiple branches · verified domain.</t>
        </is>
      </c>
      <c r="L31" s="121" t="inlineStr">
        <is>
          <t>Knowledge — verify</t>
        </is>
      </c>
      <c r="M31" s="145" t="inlineStr">
        <is>
          <t>Obstetric imaging at Astra Women's Specialists (SMG): CHISON SonoMax 7 and SonoAI</t>
        </is>
      </c>
      <c r="N31" s="108" t="inlineStr">
        <is>
          <t>Dear Astra Women's Specialists (SMG)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Obstetric and gynaecological scanning is the highest-volume ultrasound work there is, and Astra Women's Specialists (SMG) sits at the centre of it: multiple branches.
Where CHISON fits: obstetrics is the application CHISON has built for since 1996. Fetal biometry, growth and follicle-tracking packages are core to the platform rather than an addition to it:
• SonoMax 7: the flagship cart, carrying a full radiology, obstetric and cardiac workload
• SonoAI: AI-assisted measurement and structured reporting, built into the newer platforms
• QBit 5: the value console that wins tenders on price-per-exam
In practical terms you would have a focused cart offer, so that a group practice can equip consulting rooms and a main scanning room from one platform, on one service contract.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32" ht="39.75" customHeight="1" s="104">
      <c r="A32" s="121" t="n">
        <v>28</v>
      </c>
      <c r="B32" s="122" t="inlineStr">
        <is>
          <t>Thomson Fertility Centre</t>
        </is>
      </c>
      <c r="C32" s="123" t="inlineStr">
        <is>
          <t>Not started</t>
        </is>
      </c>
      <c r="D32" s="121" t="inlineStr">
        <is>
          <t>IVF centre</t>
        </is>
      </c>
      <c r="E32" s="121" t="inlineStr">
        <is>
          <t>Fertility imaging</t>
        </is>
      </c>
      <c r="F32" s="121" t="inlineStr">
        <is>
          <t>thomsonfertility.com.sg</t>
        </is>
      </c>
      <c r="G32" s="121" t="inlineStr">
        <is>
          <t>via website</t>
        </is>
      </c>
      <c r="H32" s="121" t="inlineStr">
        <is>
          <t>Follicle-tracking US volume</t>
        </is>
      </c>
      <c r="I32" s="121" t="inlineStr">
        <is>
          <t>SonoMax 7 OB/GYN (4D + SonoAI); QBit 5/CBit 6 for satellite rooms</t>
        </is>
      </c>
      <c r="J32" s="147" t="inlineStr">
        <is>
          <t>2</t>
        </is>
      </c>
      <c r="K32" s="121" t="inlineStr">
        <is>
          <t>Tier 2 — IVF centre, Fertility imaging · verified domain.</t>
        </is>
      </c>
      <c r="L32" s="121" t="inlineStr">
        <is>
          <t>Knowledge — verify</t>
        </is>
      </c>
      <c r="M32" s="145" t="inlineStr">
        <is>
          <t>Obstetric imaging at Thomson Fertility Centre: CHISON SonoMax 7 and SonoAI</t>
        </is>
      </c>
      <c r="N32" s="108" t="inlineStr">
        <is>
          <t>Dear Thomson Fertility Centre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Obstetric and gynaecological scanning is the highest-volume ultrasound work there is, and Thomson Fertility Centre sits at the centre of it: fertility imaging.
Where CHISON fits: obstetrics is the application CHISON has built for since 1996. Fetal biometry, growth and follicle-tracking packages are core to the platform rather than an addition to it:
• SonoMax 7: the flagship cart, carrying a full radiology, obstetric and cardiac workload
• SonoAI: AI-assisted measurement and structured reporting, built into the newer platforms
• QBit 5: the value console that wins tenders on price-per-exam
In practical terms you would have a focused cart offer, so that a group practice can equip consulting rooms and a main scanning room from one platform, on one service contract.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33" ht="39.75" customHeight="1" s="104">
      <c r="A33" s="121" t="n">
        <v>29</v>
      </c>
      <c r="B33" s="122" t="inlineStr">
        <is>
          <t>Virtus Fertility Centre</t>
        </is>
      </c>
      <c r="C33" s="123" t="inlineStr">
        <is>
          <t>Not started</t>
        </is>
      </c>
      <c r="D33" s="121" t="inlineStr">
        <is>
          <t>IVF centre (Virtus Health)</t>
        </is>
      </c>
      <c r="E33" s="121" t="inlineStr">
        <is>
          <t>Fertility imaging</t>
        </is>
      </c>
      <c r="F33" s="121" t="inlineStr">
        <is>
          <t>virtusfertilitycentre.com.sg</t>
        </is>
      </c>
      <c r="G33" s="121" t="inlineStr">
        <is>
          <t>via website</t>
        </is>
      </c>
      <c r="H33" s="121" t="inlineStr">
        <is>
          <t>Same</t>
        </is>
      </c>
      <c r="I33" s="121" t="inlineStr">
        <is>
          <t>SonoMax 7 OB/GYN (4D + SonoAI); QBit 5/CBit 6 for satellite rooms</t>
        </is>
      </c>
      <c r="J33" s="147" t="inlineStr">
        <is>
          <t>2</t>
        </is>
      </c>
      <c r="K33" s="121" t="inlineStr">
        <is>
          <t>Tier 2 — IVF centre (Virtus Health), Fertility imaging · verified domain.</t>
        </is>
      </c>
      <c r="L33" s="121" t="inlineStr">
        <is>
          <t>Knowledge — verify</t>
        </is>
      </c>
      <c r="M33" s="145" t="inlineStr">
        <is>
          <t>Obstetric imaging at Virtus Fertility Centre: CHISON SonoMax 7 and SonoAI</t>
        </is>
      </c>
      <c r="N33" s="108" t="inlineStr">
        <is>
          <t>Dear Virtus Fertility Centre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Obstetric and gynaecological scanning is the highest-volume ultrasound work there is, and Virtus Fertility Centre sits at the centre of it: fertility imaging.
Where CHISON fits: obstetrics is the application CHISON has built for since 1996. Fetal biometry, growth and follicle-tracking packages are core to the platform rather than an addition to it:
• SonoMax 7: the flagship cart, carrying a full radiology, obstetric and cardiac workload
• SonoAI: AI-assisted measurement and structured reporting, built into the newer platforms
• QBit 5: the value console that wins tenders on price-per-exam
In practical terms you would have a focused cart offer, so that a group practice can equip consulting rooms and a main scanning room from one platform, on one service contract.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34" ht="39.75" customHeight="1" s="104">
      <c r="A34" s="121" t="n">
        <v>30</v>
      </c>
      <c r="B34" s="122" t="inlineStr">
        <is>
          <t>Lifescan Imaging (SMG)</t>
        </is>
      </c>
      <c r="C34" s="123" t="inlineStr">
        <is>
          <t>Not started</t>
        </is>
      </c>
      <c r="D34" s="121" t="inlineStr">
        <is>
          <t>Private imaging chain</t>
        </is>
      </c>
      <c r="E34" s="121" t="inlineStr">
        <is>
          <t>Multiple imaging centres</t>
        </is>
      </c>
      <c r="F34" s="121" t="inlineStr">
        <is>
          <t>lifescanimaging.com.sg</t>
        </is>
      </c>
      <c r="G34" s="121" t="inlineStr">
        <is>
          <t>via website</t>
        </is>
      </c>
      <c r="H34" s="121" t="inlineStr">
        <is>
          <t>Radiologist-grade demo/reference site</t>
        </is>
      </c>
      <c r="I34" s="121" t="inlineStr">
        <is>
          <t>SonoMax 7 premium + XBit 90 second rooms — reference-site play</t>
        </is>
      </c>
      <c r="J34" s="147" t="inlineStr">
        <is>
          <t>2</t>
        </is>
      </c>
      <c r="K34" s="121" t="inlineStr">
        <is>
          <t>Tier 2 — Private imaging chain, Multiple imaging centres · verified domain.</t>
        </is>
      </c>
      <c r="L34" s="121" t="inlineStr">
        <is>
          <t>Knowledge — verify</t>
        </is>
      </c>
      <c r="M34" s="145" t="inlineStr">
        <is>
          <t>A reference-site proposal for Lifescan Imaging (SMG): CHISON SonoMax 7 and XBit 90</t>
        </is>
      </c>
      <c r="N34" s="108" t="inlineStr">
        <is>
          <t>Dear Lifescan Imaging (SMG)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are one of the few buyers in Singapore whose radiologists will judge a system on the image alone: Private imaging chain, multiple imaging centres. That is precisely why I am approaching you.
Where CHISON fits: I will not claim that we outperform a tertiary flagship. The argument is diagnostic-grade imaging at a fraction of the capital cost, which changes what a satellite site or a second reading room can be equipped with:
• SonoMax 7: the flagship cart, carrying a full radiology, obstetric and cardiac workload
• XBit 90: premium cart for departments that want high-end imaging without a high-end budget
What I would propose is a reference-site arrangement, offering preferential terms in exchange for a candid clinical assessment. A focused cart offer.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35" ht="39.75" customHeight="1" s="104">
      <c r="A35" s="121" t="n">
        <v>31</v>
      </c>
      <c r="B35" s="122" t="inlineStr">
        <is>
          <t>Medi-Rad Associates (IHH)</t>
        </is>
      </c>
      <c r="C35" s="123" t="inlineStr">
        <is>
          <t>Not started</t>
        </is>
      </c>
      <c r="D35" s="121" t="inlineStr">
        <is>
          <t>Radiology chain</t>
        </is>
      </c>
      <c r="E35" s="121" t="inlineStr">
        <is>
          <t>Parkway radiology network</t>
        </is>
      </c>
      <c r="F35" s="121" t="inlineStr">
        <is>
          <t>parkwayradiology.com.sg</t>
        </is>
      </c>
      <c r="G35" s="121" t="inlineStr">
        <is>
          <t>via website</t>
        </is>
      </c>
      <c r="H35" s="121" t="inlineStr">
        <is>
          <t>Reference-site + refurb cycles</t>
        </is>
      </c>
      <c r="I35" s="121" t="inlineStr">
        <is>
          <t>SonoMax 7 premium + XBit 90 second rooms — reference-site play</t>
        </is>
      </c>
      <c r="J35" s="147" t="inlineStr">
        <is>
          <t>2</t>
        </is>
      </c>
      <c r="K35" s="121" t="inlineStr">
        <is>
          <t>Tier 2 — Radiology chain, Parkway radiology network · verified domain.</t>
        </is>
      </c>
      <c r="L35" s="121" t="inlineStr">
        <is>
          <t>Knowledge — verify</t>
        </is>
      </c>
      <c r="M35" s="145" t="inlineStr">
        <is>
          <t>A reference-site proposal for Medi-Rad Associates (IHH): CHISON SonoMax 7 and XBit 90</t>
        </is>
      </c>
      <c r="N35" s="108" t="inlineStr">
        <is>
          <t>Dear Medi-Rad Associates (IHH)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are one of the few buyers in Singapore whose radiologists will judge a system on the image alone: Radiology chain, Parkway radiology network. That is precisely why I am approaching you.
Where CHISON fits: I will not claim that we outperform a tertiary flagship. The argument is diagnostic-grade imaging at a fraction of the capital cost, which changes what a satellite site or a second reading room can be equipped with:
• SonoMax 7: the flagship cart, carrying a full radiology, obstetric and cardiac workload
• XBit 90: premium cart for departments that want high-end imaging without a high-end budget
What I would propose is a reference-site arrangement, offering preferential terms in exchange for a candid clinical assessment. A focused cart offer.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36" ht="39.75" customHeight="1" s="104">
      <c r="A36" s="121" t="n">
        <v>32</v>
      </c>
      <c r="B36" s="122" t="inlineStr">
        <is>
          <t>RadLink Diagnostic Imaging</t>
        </is>
      </c>
      <c r="C36" s="123" t="inlineStr">
        <is>
          <t>Not started</t>
        </is>
      </c>
      <c r="D36" s="121" t="inlineStr">
        <is>
          <t>Imaging/PET chain</t>
        </is>
      </c>
      <c r="E36" s="121" t="inlineStr">
        <is>
          <t>Leading private imaging</t>
        </is>
      </c>
      <c r="F36" s="121" t="inlineStr">
        <is>
          <t>radlink.com.sg</t>
        </is>
      </c>
      <c r="G36" s="121" t="inlineStr">
        <is>
          <t>via website</t>
        </is>
      </c>
      <c r="H36" s="121" t="inlineStr">
        <is>
          <t>Premium US reference site</t>
        </is>
      </c>
      <c r="I36" s="121" t="inlineStr">
        <is>
          <t>SonoMax 7 premium + XBit 90 second rooms — reference-site play</t>
        </is>
      </c>
      <c r="J36" s="147" t="inlineStr">
        <is>
          <t>2</t>
        </is>
      </c>
      <c r="K36" s="121" t="inlineStr">
        <is>
          <t>Tier 2 — Imaging/PET chain, Leading private imaging · verified domain.</t>
        </is>
      </c>
      <c r="L36" s="121" t="inlineStr">
        <is>
          <t>From search</t>
        </is>
      </c>
      <c r="M36" s="145" t="inlineStr">
        <is>
          <t>A reference-site proposal for RadLink Diagnostic Imaging: CHISON SonoMax 7 and XBit 90</t>
        </is>
      </c>
      <c r="N36" s="108" t="inlineStr">
        <is>
          <t>Dear RadLink Diagnostic Imaging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are one of the few buyers in Singapore whose radiologists will judge a system on the image alone: Imaging/PET chain, leading private imaging. That is precisely why I am approaching you.
Where CHISON fits: I will not claim that we outperform a tertiary flagship. The argument is diagnostic-grade imaging at a fraction of the capital cost, which changes what a satellite site or a second reading room can be equipped with:
• SonoMax 7: the flagship cart, carrying a full radiology, obstetric and cardiac workload
• XBit 90: premium cart for departments that want high-end imaging without a high-end budget
What I would propose is a reference-site arrangement, offering preferential terms in exchange for a candid clinical assessment. A focused cart offer.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37" ht="39.75" customHeight="1" s="104">
      <c r="A37" s="121" t="n">
        <v>33</v>
      </c>
      <c r="B37" s="122" t="inlineStr">
        <is>
          <t>SGH — Singapore General Hospital</t>
        </is>
      </c>
      <c r="C37" s="123" t="inlineStr">
        <is>
          <t>Not started</t>
        </is>
      </c>
      <c r="D37" s="121" t="inlineStr">
        <is>
          <t>Public tertiary (SingHealth)</t>
        </is>
      </c>
      <c r="E37" s="121" t="inlineStr">
        <is>
          <t>Largest hospital</t>
        </is>
      </c>
      <c r="F37" s="121" t="inlineStr">
        <is>
          <t>sgh.com.sg</t>
        </is>
      </c>
      <c r="G37" s="121" t="inlineStr">
        <is>
          <t>GeBIZ tenders</t>
        </is>
      </c>
      <c r="H37" s="121" t="inlineStr">
        <is>
          <t>Tender-based; POCUS in ED/ICU/anesthesia</t>
        </is>
      </c>
      <c r="I37" s="121" t="inlineStr">
        <is>
          <t>Tender bundle: SonoPort/SonoMax 7 + SonoTouch (ED/ICU) + SonoEye fleet</t>
        </is>
      </c>
      <c r="J37" s="147" t="inlineStr">
        <is>
          <t>2</t>
        </is>
      </c>
      <c r="K37" s="121" t="inlineStr">
        <is>
          <t>Tier 2 — Public tertiary (SingHealth), Largest hospital · verified domain + direct phone.</t>
        </is>
      </c>
      <c r="L37" s="121" t="inlineStr">
        <is>
          <t>Knowledge — verify</t>
        </is>
      </c>
      <c r="M37" s="145" t="inlineStr">
        <is>
          <t>CHISON ultrasound for SGH, Singapore General Hospital: HSA-registered and tender-ready</t>
        </is>
      </c>
      <c r="N37" s="108" t="inlineStr">
        <is>
          <t>Dear SGH, Singapore General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scale is the point here: Public tertiary (SingHealth), largest hospital. In a public setting the purchase runs through tender rather than through a conversation.
Where CHISON fits: emergency, intensive care and anaesthesia are where scanner numbers grow fastest, and on a price-per-exam basis this is where the range is genuinely strong:
• SonoPort: our new-generation intelligent cart, launched April 2026
• SonoMax 7: the flagship cart, carrying a full radiology, obstetric and cardiac workload
• SonoTouch: all-touch point-of-care console
We are HSA-registered and respond to GeBIZ tenders directly, with local service and probe stock held here. A complete handheld to cart ladder under one supplier agreement, so that a single specification can cover both the departmental and the point-of-care requirement.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38" ht="39.75" customHeight="1" s="104">
      <c r="A38" s="121" t="n">
        <v>34</v>
      </c>
      <c r="B38" s="122" t="inlineStr">
        <is>
          <t>National University Hospital</t>
        </is>
      </c>
      <c r="C38" s="123" t="inlineStr">
        <is>
          <t>Not started</t>
        </is>
      </c>
      <c r="D38" s="121" t="inlineStr">
        <is>
          <t>Public tertiary (NUHS)</t>
        </is>
      </c>
      <c r="E38" s="121" t="inlineStr">
        <is>
          <t>Academic medical centre</t>
        </is>
      </c>
      <c r="F38" s="121" t="inlineStr">
        <is>
          <t>nuh.com.sg</t>
        </is>
      </c>
      <c r="G38" s="121" t="inlineStr">
        <is>
          <t>GeBIZ tenders</t>
        </is>
      </c>
      <c r="H38" s="121" t="inlineStr">
        <is>
          <t>Same + teaching angle</t>
        </is>
      </c>
      <c r="I38" s="121" t="inlineStr">
        <is>
          <t>Tender bundle: SonoPort/SonoMax 7 + SonoTouch (ED/ICU) + SonoEye fleet</t>
        </is>
      </c>
      <c r="J38" s="147" t="inlineStr">
        <is>
          <t>2</t>
        </is>
      </c>
      <c r="K38" s="121" t="inlineStr">
        <is>
          <t>Tier 2 — Public tertiary (NUHS), Academic medical centre · verified domain + direct phone.</t>
        </is>
      </c>
      <c r="L38" s="121" t="inlineStr">
        <is>
          <t>Knowledge — verify</t>
        </is>
      </c>
      <c r="M38" s="145" t="inlineStr">
        <is>
          <t>CHISON ultrasound for National University Hospital: HSA-registered and tender-ready</t>
        </is>
      </c>
      <c r="N38" s="108" t="inlineStr">
        <is>
          <t>Dear National University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scale is the point here: Public tertiary (NUHS), academic medical centre. In a public setting the purchase runs through tender rather than through a conversation.
Where CHISON fits: emergency, intensive care and anaesthesia are where scanner numbers grow fastest, and on a price-per-exam basis this is where the range is genuinely strong:
• SonoPort: our new-generation intelligent cart, launched April 2026
• SonoMax 7: the flagship cart, carrying a full radiology, obstetric and cardiac workload
• SonoTouch: all-touch point-of-care console
We are HSA-registered and respond to GeBIZ tenders directly, with local service and probe stock held here. A complete handheld to cart ladder under one supplier agreement, so that a single specification can cover both the departmental and the point-of-care requirement.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39" ht="39.75" customHeight="1" s="104">
      <c r="A39" s="121" t="n">
        <v>35</v>
      </c>
      <c r="B39" s="122" t="inlineStr">
        <is>
          <t>Tan Tock Seng Hospital</t>
        </is>
      </c>
      <c r="C39" s="123" t="inlineStr">
        <is>
          <t>Not started</t>
        </is>
      </c>
      <c r="D39" s="121" t="inlineStr">
        <is>
          <t>Public tertiary (NHG)</t>
        </is>
      </c>
      <c r="E39" s="121" t="inlineStr">
        <is>
          <t>Major acute hospital</t>
        </is>
      </c>
      <c r="F39" s="121" t="inlineStr">
        <is>
          <t>ttsh.com.sg</t>
        </is>
      </c>
      <c r="G39" s="121" t="inlineStr">
        <is>
          <t>GeBIZ tenders</t>
        </is>
      </c>
      <c r="H39" s="121" t="inlineStr">
        <is>
          <t>Same</t>
        </is>
      </c>
      <c r="I39" s="121" t="inlineStr">
        <is>
          <t>Tender bundle: SonoPort/SonoMax 7 + SonoTouch (ED/ICU) + SonoEye fleet</t>
        </is>
      </c>
      <c r="J39" s="147" t="inlineStr">
        <is>
          <t>2</t>
        </is>
      </c>
      <c r="K39" s="121" t="inlineStr">
        <is>
          <t>Tier 2 — Public tertiary (NHG), Major acute hospital · verified domain + direct phone.</t>
        </is>
      </c>
      <c r="L39" s="121" t="inlineStr">
        <is>
          <t>Knowledge — verify</t>
        </is>
      </c>
      <c r="M39" s="145" t="inlineStr">
        <is>
          <t>CHISON ultrasound for Tan Tock Seng Hospital: HSA-registered and tender-ready</t>
        </is>
      </c>
      <c r="N39" s="108" t="inlineStr">
        <is>
          <t>Dear Tan Tock Seng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scale is the point here: Public tertiary (NHG), major acute hospital. In a public setting the purchase runs through tender rather than through a conversation.
Where CHISON fits: emergency, intensive care and anaesthesia are where scanner numbers grow fastest, and on a price-per-exam basis this is where the range is genuinely strong:
• SonoPort: our new-generation intelligent cart, launched April 2026
• SonoMax 7: the flagship cart, carrying a full radiology, obstetric and cardiac workload
• SonoTouch: all-touch point-of-care console
We are HSA-registered and respond to GeBIZ tenders directly, with local service and probe stock held here. A complete handheld to cart ladder under one supplier agreement, so that a single specification can cover both the departmental and the point-of-care requirement.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0" ht="39.75" customHeight="1" s="104">
      <c r="A40" s="121" t="n">
        <v>36</v>
      </c>
      <c r="B40" s="122" t="inlineStr">
        <is>
          <t>Changi General Hospital</t>
        </is>
      </c>
      <c r="C40" s="123" t="inlineStr">
        <is>
          <t>Not started</t>
        </is>
      </c>
      <c r="D40" s="121" t="inlineStr">
        <is>
          <t>Public acute (SingHealth)</t>
        </is>
      </c>
      <c r="E40" s="121" t="inlineStr">
        <is>
          <t>Eastern cluster</t>
        </is>
      </c>
      <c r="F40" s="121" t="inlineStr">
        <is>
          <t>cgh.com.sg</t>
        </is>
      </c>
      <c r="G40" s="121" t="inlineStr">
        <is>
          <t>GeBIZ tenders</t>
        </is>
      </c>
      <c r="H40" s="121" t="inlineStr">
        <is>
          <t>Sports medicine + ED POCUS</t>
        </is>
      </c>
      <c r="I40" s="121" t="inlineStr">
        <is>
          <t>Tender bundle: SonoPort/SonoMax 7 + SonoTouch (ED/ICU) + SonoEye fleet</t>
        </is>
      </c>
      <c r="J40" s="147" t="inlineStr">
        <is>
          <t>2</t>
        </is>
      </c>
      <c r="K40" s="121" t="inlineStr">
        <is>
          <t>Tier 2 — Public acute (SingHealth), Eastern cluster · verified domain + direct phone.</t>
        </is>
      </c>
      <c r="L40" s="121" t="inlineStr">
        <is>
          <t>Knowledge — verify</t>
        </is>
      </c>
      <c r="M40" s="145" t="inlineStr">
        <is>
          <t>CHISON ultrasound for Changi General Hospital: HSA-registered and tender-ready</t>
        </is>
      </c>
      <c r="N40" s="108" t="inlineStr">
        <is>
          <t>Dear Changi General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scale is the point here: Public acute (SingHealth), eastern cluster. In a public setting the purchase runs through tender rather than through a conversation.
Where CHISON fits: emergency, intensive care and anaesthesia are where scanner numbers grow fastest, and on a price-per-exam basis this is where the range is genuinely strong:
• SonoPort: our new-generation intelligent cart, launched April 2026
• SonoMax 7: the flagship cart, carrying a full radiology, obstetric and cardiac workload
• SonoTouch: all-touch point-of-care console
We are HSA-registered and respond to GeBIZ tenders directly, with local service and probe stock held here. A complete handheld to cart ladder under one supplier agreement, so that a single specification can cover both the departmental and the point-of-care requirement.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1" ht="39.75" customHeight="1" s="104">
      <c r="A41" s="121" t="n">
        <v>37</v>
      </c>
      <c r="B41" s="122" t="inlineStr">
        <is>
          <t>Khoo Teck Puat Hospital</t>
        </is>
      </c>
      <c r="C41" s="123" t="inlineStr">
        <is>
          <t>Not started</t>
        </is>
      </c>
      <c r="D41" s="121" t="inlineStr">
        <is>
          <t>Public acute (NHG)</t>
        </is>
      </c>
      <c r="E41" s="121" t="inlineStr">
        <is>
          <t>Northern cluster</t>
        </is>
      </c>
      <c r="F41" s="121" t="inlineStr">
        <is>
          <t>ktph.com.sg</t>
        </is>
      </c>
      <c r="G41" s="121" t="inlineStr">
        <is>
          <t>GeBIZ tenders</t>
        </is>
      </c>
      <c r="H41" s="121" t="inlineStr">
        <is>
          <t>Same</t>
        </is>
      </c>
      <c r="I41" s="121" t="inlineStr">
        <is>
          <t>Tender bundle: SonoPort/SonoMax 7 + SonoTouch (ED/ICU) + SonoEye fleet</t>
        </is>
      </c>
      <c r="J41" s="148" t="inlineStr">
        <is>
          <t>3</t>
        </is>
      </c>
      <c r="K41" s="121" t="inlineStr">
        <is>
          <t>Tier 3 — Public acute (NHG), Northern cluster · verified domain + direct phone.</t>
        </is>
      </c>
      <c r="L41" s="121" t="inlineStr">
        <is>
          <t>Knowledge — verify</t>
        </is>
      </c>
      <c r="M41" s="145" t="inlineStr">
        <is>
          <t>CHISON ultrasound for Khoo Teck Puat Hospital: HSA-registered and tender-ready</t>
        </is>
      </c>
      <c r="N41" s="108" t="inlineStr">
        <is>
          <t>Dear Khoo Teck Puat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scale is the point here: Public acute (NHG), northern cluster. In a public setting the purchase runs through tender rather than through a conversation.
Where CHISON fits: emergency, intensive care and anaesthesia are where scanner numbers grow fastest, and on a price-per-exam basis this is where the range is genuinely strong:
• SonoPort: our new-generation intelligent cart, launched April 2026
• SonoMax 7: the flagship cart, carrying a full radiology, obstetric and cardiac workload
• SonoTouch: all-touch point-of-care console
We are HSA-registered and respond to GeBIZ tenders directly, with local service and probe stock held here. A complete handheld to cart ladder under one supplier agreement, so that a single specification can cover both the departmental and the point-of-care requirement.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2" ht="39.75" customHeight="1" s="104">
      <c r="A42" s="121" t="n">
        <v>38</v>
      </c>
      <c r="B42" s="122" t="inlineStr">
        <is>
          <t>Ng Teng Fong General Hospital</t>
        </is>
      </c>
      <c r="C42" s="123" t="inlineStr">
        <is>
          <t>Not started</t>
        </is>
      </c>
      <c r="D42" s="121" t="inlineStr">
        <is>
          <t>Public acute (NUHS)</t>
        </is>
      </c>
      <c r="E42" s="121" t="inlineStr">
        <is>
          <t>Western cluster</t>
        </is>
      </c>
      <c r="F42" s="121" t="inlineStr">
        <is>
          <t>ntfgh.com.sg</t>
        </is>
      </c>
      <c r="G42" s="121" t="inlineStr">
        <is>
          <t>GeBIZ tenders</t>
        </is>
      </c>
      <c r="H42" s="121" t="inlineStr">
        <is>
          <t>Same</t>
        </is>
      </c>
      <c r="I42" s="121" t="inlineStr">
        <is>
          <t>Tender bundle: SonoPort/SonoMax 7 + SonoTouch (ED/ICU) + SonoEye fleet</t>
        </is>
      </c>
      <c r="J42" s="148" t="inlineStr">
        <is>
          <t>3</t>
        </is>
      </c>
      <c r="K42" s="121" t="inlineStr">
        <is>
          <t>Tier 3 — Public acute (NUHS), Western cluster · verified domain + direct phone.</t>
        </is>
      </c>
      <c r="L42" s="121" t="inlineStr">
        <is>
          <t>Knowledge — verify</t>
        </is>
      </c>
      <c r="M42" s="145" t="inlineStr">
        <is>
          <t>CHISON ultrasound for Ng Teng Fong General Hospital: HSA-registered and tender-ready</t>
        </is>
      </c>
      <c r="N42" s="108" t="inlineStr">
        <is>
          <t>Dear Ng Teng Fong General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scale is the point here: Public acute (NUHS), western cluster. In a public setting the purchase runs through tender rather than through a conversation.
Where CHISON fits: emergency, intensive care and anaesthesia are where scanner numbers grow fastest, and on a price-per-exam basis this is where the range is genuinely strong:
• SonoPort: our new-generation intelligent cart, launched April 2026
• SonoMax 7: the flagship cart, carrying a full radiology, obstetric and cardiac workload
• SonoTouch: all-touch point-of-care console
We are HSA-registered and respond to GeBIZ tenders directly, with local service and probe stock held here. A complete handheld to cart ladder under one supplier agreement, so that a single specification can cover both the departmental and the point-of-care requirement.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3" ht="39.75" customHeight="1" s="104">
      <c r="A43" s="121" t="n">
        <v>39</v>
      </c>
      <c r="B43" s="122" t="inlineStr">
        <is>
          <t>Sengkang General Hospital</t>
        </is>
      </c>
      <c r="C43" s="123" t="inlineStr">
        <is>
          <t>Not started</t>
        </is>
      </c>
      <c r="D43" s="121" t="inlineStr">
        <is>
          <t>Public acute (SingHealth)</t>
        </is>
      </c>
      <c r="E43" s="121" t="inlineStr">
        <is>
          <t>Northeast cluster</t>
        </is>
      </c>
      <c r="F43" s="121" t="inlineStr">
        <is>
          <t>skh.com.sg</t>
        </is>
      </c>
      <c r="G43" s="121" t="inlineStr">
        <is>
          <t>GeBIZ tenders</t>
        </is>
      </c>
      <c r="H43" s="121" t="inlineStr">
        <is>
          <t>Same</t>
        </is>
      </c>
      <c r="I43" s="121" t="inlineStr">
        <is>
          <t>Tender bundle: SonoPort/SonoMax 7 + SonoTouch (ED/ICU) + SonoEye fleet</t>
        </is>
      </c>
      <c r="J43" s="148" t="inlineStr">
        <is>
          <t>3</t>
        </is>
      </c>
      <c r="K43" s="121" t="inlineStr">
        <is>
          <t>Tier 3 — Public acute (SingHealth), Northeast cluster · verified domain + direct phone.</t>
        </is>
      </c>
      <c r="L43" s="121" t="inlineStr">
        <is>
          <t>Knowledge — verify</t>
        </is>
      </c>
      <c r="M43" s="145" t="inlineStr">
        <is>
          <t>CHISON ultrasound for Sengkang General Hospital: HSA-registered and tender-ready</t>
        </is>
      </c>
      <c r="N43" s="108" t="inlineStr">
        <is>
          <t>Dear Sengkang General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scale is the point here: Public acute (SingHealth), northeast cluster. In a public setting the purchase runs through tender rather than through a conversation.
Where CHISON fits: emergency, intensive care and anaesthesia are where scanner numbers grow fastest, and on a price-per-exam basis this is where the range is genuinely strong:
• SonoPort: our new-generation intelligent cart, launched April 2026
• SonoMax 7: the flagship cart, carrying a full radiology, obstetric and cardiac workload
• SonoTouch: all-touch point-of-care console
We are HSA-registered and respond to GeBIZ tenders directly, with local service and probe stock held here. A complete handheld to cart ladder under one supplier agreement, so that a single specification can cover both the departmental and the point-of-care requirement.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4" ht="39.75" customHeight="1" s="104">
      <c r="A44" s="121" t="n">
        <v>40</v>
      </c>
      <c r="B44" s="122" t="inlineStr">
        <is>
          <t>KK Women's &amp; Children's Hospital</t>
        </is>
      </c>
      <c r="C44" s="123" t="inlineStr">
        <is>
          <t>Not started</t>
        </is>
      </c>
      <c r="D44" s="121" t="inlineStr">
        <is>
          <t>Public O&amp;G/paeds tertiary</t>
        </is>
      </c>
      <c r="E44" s="121" t="inlineStr">
        <is>
          <t>National women's hospital</t>
        </is>
      </c>
      <c r="F44" s="121" t="inlineStr">
        <is>
          <t>kkh.com.sg</t>
        </is>
      </c>
      <c r="G44" s="121" t="inlineStr">
        <is>
          <t>GeBIZ tenders</t>
        </is>
      </c>
      <c r="H44" s="121" t="inlineStr">
        <is>
          <t>Highest OB US volume in SG</t>
        </is>
      </c>
      <c r="I44" s="121" t="inlineStr">
        <is>
          <t>Tender: SonoMax 7 + CBit 6 OB/GYN fleet — highest OB volume in SG</t>
        </is>
      </c>
      <c r="J44" s="147" t="inlineStr">
        <is>
          <t>2</t>
        </is>
      </c>
      <c r="K44" s="121" t="inlineStr">
        <is>
          <t>Tier 2 — Public O&amp;G/paeds tertiary, National women's hospital · verified domain + direct phone.</t>
        </is>
      </c>
      <c r="L44" s="121" t="inlineStr">
        <is>
          <t>Knowledge — verify</t>
        </is>
      </c>
      <c r="M44" s="145" t="inlineStr">
        <is>
          <t>Obstetric imaging at KK Women's &amp; Children's Hospital: CHISON SonoMax 7 and CBit 6</t>
        </is>
      </c>
      <c r="N44" s="108" t="inlineStr">
        <is>
          <t>Dear KK Women's &amp; Children's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Obstetric and gynaecological scanning is the highest-volume ultrasound work there is, and KK Women's &amp; Children's Hospital sits at the centre of it: National women's hospital.
Where CHISON fits: obstetrics is the application CHISON has built for since 1996. Fetal biometry, growth and follicle-tracking packages are core to the platform rather than an addition to it:
• SonoMax 7: the flagship cart, carrying a full radiology, obstetric and cardiac workload
• CBit 6: mid-range cart built for cardiology, women's health and general radiology
In practical terms you would have a focused cart offer, so that a group practice can equip consulting rooms and a main scanning room from one platform, on one service contract.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5" ht="39.75" customHeight="1" s="104">
      <c r="A45" s="121" t="n">
        <v>41</v>
      </c>
      <c r="B45" s="122" t="inlineStr">
        <is>
          <t>Alexandra Hospital</t>
        </is>
      </c>
      <c r="C45" s="123" t="inlineStr">
        <is>
          <t>Not started</t>
        </is>
      </c>
      <c r="D45" s="121" t="inlineStr">
        <is>
          <t>Public (NUHS)</t>
        </is>
      </c>
      <c r="E45" s="121" t="inlineStr">
        <is>
          <t>Integrated general hospital</t>
        </is>
      </c>
      <c r="F45" s="121" t="inlineStr">
        <is>
          <t>ah.com.sg</t>
        </is>
      </c>
      <c r="G45" s="121" t="inlineStr">
        <is>
          <t>GeBIZ tenders</t>
        </is>
      </c>
      <c r="H45" s="121" t="inlineStr">
        <is>
          <t>Pilot-friendly culture</t>
        </is>
      </c>
      <c r="I45" s="121" t="inlineStr">
        <is>
          <t>Tender bundle: SonoPort/SonoMax 7 + SonoTouch (ED/ICU) + SonoEye fleet</t>
        </is>
      </c>
      <c r="J45" s="148" t="inlineStr">
        <is>
          <t>3</t>
        </is>
      </c>
      <c r="K45" s="121" t="inlineStr">
        <is>
          <t>Tier 3 — Public (NUHS), Integrated general hospital · verified domain + direct phone.</t>
        </is>
      </c>
      <c r="L45" s="121" t="inlineStr">
        <is>
          <t>Knowledge — verify</t>
        </is>
      </c>
      <c r="M45" s="145" t="inlineStr">
        <is>
          <t>CHISON ultrasound for Alexandra Hospital: HSA-registered and tender-ready</t>
        </is>
      </c>
      <c r="N45" s="108" t="inlineStr">
        <is>
          <t>Dear Alexandra Hospital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scale is the point here: Public (NUHS), integrated general hospital. In a public setting the purchase runs through tender rather than through a conversation.
Where CHISON fits: emergency, intensive care and anaesthesia are where scanner numbers grow fastest, and on a price-per-exam basis this is where the range is genuinely strong:
• SonoPort: our new-generation intelligent cart, launched April 2026
• SonoMax 7: the flagship cart, carrying a full radiology, obstetric and cardiac workload
• SonoTouch: all-touch point-of-care console
We are HSA-registered and respond to GeBIZ tenders directly, with local service and probe stock held here. A complete handheld to cart ladder under one supplier agreement, so that a single specification can cover both the departmental and the point-of-care requirement.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6" ht="39.75" customHeight="1" s="104">
      <c r="A46" s="121" t="n">
        <v>42</v>
      </c>
      <c r="B46" s="122" t="inlineStr">
        <is>
          <t>SingHealth Polyclinics</t>
        </is>
      </c>
      <c r="C46" s="123" t="inlineStr">
        <is>
          <t>Not started</t>
        </is>
      </c>
      <c r="D46" s="121" t="inlineStr">
        <is>
          <t>Public primary care</t>
        </is>
      </c>
      <c r="E46" s="121" t="inlineStr">
        <is>
          <t>10+ polyclinics</t>
        </is>
      </c>
      <c r="F46" s="121" t="inlineStr">
        <is>
          <t>polyclinic.singhealth.com.sg</t>
        </is>
      </c>
      <c r="G46" s="121" t="inlineStr">
        <is>
          <t>GeBIZ tenders</t>
        </is>
      </c>
      <c r="H46" s="121" t="inlineStr">
        <is>
          <t>Primary-care POCUS at scale (Healthier SG tailwind)</t>
        </is>
      </c>
      <c r="I46" s="121" t="inlineStr">
        <is>
          <t>SonoAir 30 + SonoEye P3 (chronic-care POCUS)</t>
        </is>
      </c>
      <c r="J46" s="147" t="inlineStr">
        <is>
          <t>2</t>
        </is>
      </c>
      <c r="K46" s="121" t="inlineStr">
        <is>
          <t>Tier 2 — Public primary care, 10+ polyclinics · verified domain + direct phone.</t>
        </is>
      </c>
      <c r="L46" s="121" t="inlineStr">
        <is>
          <t>Knowledge — verify</t>
        </is>
      </c>
      <c r="M46" s="145" t="inlineStr">
        <is>
          <t>Primary-care ultrasound at scale: CHISON SonoAir 30 and SonoEye P3 for your polyclinic network</t>
        </is>
      </c>
      <c r="N46" s="108" t="inlineStr">
        <is>
          <t>Dear SingHealth Polyclinics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Primary care is where ultrasound volume is going under Healthier SG, and your network, 10 and polyclinics, is the largest single opportunity to do that consistently rather than clinic by clinic.
Where CHISON fits: for primary care the requirement is robust, quick to learn and affordable per site rather than feature-maximal:
• SonoAir 30: lightweight laptop for mobile and multi-site work
• SonoEye P3: pocket handheld for emergency, intensive care and bedside point-of-care scanning
Across a network that means one training programme, one service contract and one consumable specification, with two portable formats at two very different budgets should some sites require more capability than others.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7" ht="39.75" customHeight="1" s="104">
      <c r="A47" s="121" t="n">
        <v>43</v>
      </c>
      <c r="B47" s="122" t="inlineStr">
        <is>
          <t>NHG Polyclinics</t>
        </is>
      </c>
      <c r="C47" s="123" t="inlineStr">
        <is>
          <t>Not started</t>
        </is>
      </c>
      <c r="D47" s="121" t="inlineStr">
        <is>
          <t>Public primary care</t>
        </is>
      </c>
      <c r="E47" s="121" t="inlineStr">
        <is>
          <t>Multiple polyclinics</t>
        </is>
      </c>
      <c r="F47" s="121" t="inlineStr">
        <is>
          <t>nhgp.com.sg</t>
        </is>
      </c>
      <c r="G47" s="121" t="inlineStr">
        <is>
          <t>GeBIZ tenders</t>
        </is>
      </c>
      <c r="H47" s="121" t="inlineStr">
        <is>
          <t>Same</t>
        </is>
      </c>
      <c r="I47" s="121" t="inlineStr">
        <is>
          <t>SonoAir 30 + SonoEye P3 (chronic-care POCUS)</t>
        </is>
      </c>
      <c r="J47" s="147" t="inlineStr">
        <is>
          <t>2</t>
        </is>
      </c>
      <c r="K47" s="121" t="inlineStr">
        <is>
          <t>Tier 2 — Public primary care, Multiple polyclinics · verified domain + direct phone.</t>
        </is>
      </c>
      <c r="L47" s="121" t="inlineStr">
        <is>
          <t>Knowledge — verify</t>
        </is>
      </c>
      <c r="M47" s="145" t="inlineStr">
        <is>
          <t>Primary-care ultrasound at scale: CHISON SonoAir 30 and SonoEye P3 for your polyclinic network</t>
        </is>
      </c>
      <c r="N47" s="108" t="inlineStr">
        <is>
          <t>Dear NHG Polyclinics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Primary care is where ultrasound volume is going under Healthier SG, and your network, multiple polyclinics, is the largest single opportunity to do that consistently rather than clinic by clinic.
Where CHISON fits: for primary care the requirement is robust, quick to learn and affordable per site rather than feature-maximal:
• SonoAir 30: lightweight laptop for mobile and multi-site work
• SonoEye P3: pocket handheld for emergency, intensive care and bedside point-of-care scanning
Across a network that means one training programme, one service contract and one consumable specification, with two portable formats at two very different budgets should some sites require more capability than others.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8" ht="39.75" customHeight="1" s="104">
      <c r="A48" s="121" t="n">
        <v>44</v>
      </c>
      <c r="B48" s="122" t="inlineStr">
        <is>
          <t>National University Polyclinics</t>
        </is>
      </c>
      <c r="C48" s="123" t="inlineStr">
        <is>
          <t>Not started</t>
        </is>
      </c>
      <c r="D48" s="121" t="inlineStr">
        <is>
          <t>Public primary care</t>
        </is>
      </c>
      <c r="E48" s="121" t="inlineStr">
        <is>
          <t>Multiple polyclinics</t>
        </is>
      </c>
      <c r="F48" s="121" t="inlineStr">
        <is>
          <t>nup.com.sg</t>
        </is>
      </c>
      <c r="G48" s="121" t="inlineStr">
        <is>
          <t>GeBIZ tenders</t>
        </is>
      </c>
      <c r="H48" s="121" t="inlineStr">
        <is>
          <t>Same</t>
        </is>
      </c>
      <c r="I48" s="121" t="inlineStr">
        <is>
          <t>SonoAir 30 + SonoEye P3 (chronic-care POCUS)</t>
        </is>
      </c>
      <c r="J48" s="147" t="inlineStr">
        <is>
          <t>2</t>
        </is>
      </c>
      <c r="K48" s="121" t="inlineStr">
        <is>
          <t>Tier 2 — Public primary care, Multiple polyclinics · verified domain + direct phone.</t>
        </is>
      </c>
      <c r="L48" s="121" t="inlineStr">
        <is>
          <t>Knowledge — verify</t>
        </is>
      </c>
      <c r="M48" s="145" t="inlineStr">
        <is>
          <t>Primary-care ultrasound at scale: CHISON SonoAir 30 and SonoEye P3 for your polyclinic network</t>
        </is>
      </c>
      <c r="N48" s="108" t="inlineStr">
        <is>
          <t>Dear National University Polyclinics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Primary care is where ultrasound volume is going under Healthier SG, and your network, multiple polyclinics, is the largest single opportunity to do that consistently rather than clinic by clinic.
Where CHISON fits: for primary care the requirement is robust, quick to learn and affordable per site rather than feature-maximal:
• SonoAir 30: lightweight laptop for mobile and multi-site work
• SonoEye P3: pocket handheld for emergency, intensive care and bedside point-of-care scanning
Across a network that means one training programme, one service contract and one consumable specification, with two portable formats at two very different budgets should some sites require more capability than others.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49" ht="39.75" customHeight="1" s="104">
      <c r="A49" s="121" t="n">
        <v>45</v>
      </c>
      <c r="B49" s="122" t="inlineStr">
        <is>
          <t>Duke-NUS Medical School</t>
        </is>
      </c>
      <c r="C49" s="123" t="inlineStr">
        <is>
          <t>Not started</t>
        </is>
      </c>
      <c r="D49" s="121" t="inlineStr">
        <is>
          <t>Medical school</t>
        </is>
      </c>
      <c r="E49" s="121" t="inlineStr">
        <is>
          <t>Simulation/education</t>
        </is>
      </c>
      <c r="F49" s="121" t="inlineStr">
        <is>
          <t>duke-nus.edu.sg</t>
        </is>
      </c>
      <c r="G49" s="121" t="inlineStr">
        <is>
          <t>via website</t>
        </is>
      </c>
      <c r="H49" s="121" t="inlineStr">
        <is>
          <t>Training units + KOL development (Gina's 40%)</t>
        </is>
      </c>
      <c r="I49" s="121" t="inlineStr">
        <is>
          <t>SonoEye P3 education fleet + SonoAI teaching</t>
        </is>
      </c>
      <c r="J49" s="144" t="inlineStr">
        <is>
          <t>1</t>
        </is>
      </c>
      <c r="K49" s="121" t="inlineStr">
        <is>
          <t>Tier 1 — Medical school, Simulation/education · verified domain.</t>
        </is>
      </c>
      <c r="L49" s="121" t="inlineStr">
        <is>
          <t>Knowledge — verify</t>
        </is>
      </c>
      <c r="M49" s="145" t="inlineStr">
        <is>
          <t>Teaching fleet and point-of-care curriculum support: CHISON SonoEye P3 and SonoAir 30</t>
        </is>
      </c>
      <c r="N49" s="108" t="inlineStr">
        <is>
          <t>Dear Duke-NUS Medical School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position is the one that compounds: Medical school, simulation/education. Clinicians buy the platform they trained on.
Where CHISON fits: in teaching, unit cost, durability and the number of students who actually get hands on a probe matter considerably more than a flagship feature set:
• SonoEye P3: pocket handheld for emergency, intensive care and bedside point-of-care scanning
• SonoAir 30: lightweight laptop for mobile and multi-site work
• SonoAI: AI-assisted measurement and structured reporting, built into the newer platforms
We would look at education pricing for a teaching fleet, on-site application training for faculty, and support for hands-on workshops,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50" ht="39.75" customHeight="1" s="104">
      <c r="A50" s="121" t="n">
        <v>46</v>
      </c>
      <c r="B50" s="122" t="inlineStr">
        <is>
          <t>NUS Yong Loo Lin School of Medicine</t>
        </is>
      </c>
      <c r="C50" s="123" t="inlineStr">
        <is>
          <t>Not started</t>
        </is>
      </c>
      <c r="D50" s="121" t="inlineStr">
        <is>
          <t>Medical school (CenMED)</t>
        </is>
      </c>
      <c r="E50" s="121" t="inlineStr">
        <is>
          <t>Largest med school</t>
        </is>
      </c>
      <c r="F50" s="121" t="inlineStr">
        <is>
          <t>medicine.nus.edu.sg</t>
        </is>
      </c>
      <c r="G50" s="121" t="inlineStr">
        <is>
          <t>via website</t>
        </is>
      </c>
      <c r="H50" s="121" t="inlineStr">
        <is>
          <t>POCUS curriculum partnerships</t>
        </is>
      </c>
      <c r="I50" s="121" t="inlineStr">
        <is>
          <t>SonoEye P3 education fleet + SonoAI teaching</t>
        </is>
      </c>
      <c r="J50" s="144" t="inlineStr">
        <is>
          <t>1</t>
        </is>
      </c>
      <c r="K50" s="121" t="inlineStr">
        <is>
          <t>Tier 1 — Medical school (CenMED), Largest med school · verified domain.</t>
        </is>
      </c>
      <c r="L50" s="121" t="inlineStr">
        <is>
          <t>Knowledge — verify</t>
        </is>
      </c>
      <c r="M50" s="145" t="inlineStr">
        <is>
          <t>Teaching fleet and point-of-care curriculum support: CHISON SonoEye P3 and SonoAir 30</t>
        </is>
      </c>
      <c r="N50" s="108" t="inlineStr">
        <is>
          <t>Dear NUS Yong Loo Lin School of Medicine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position is the one that compounds: Medical school (CenMED), largest med school. Clinicians buy the platform they trained on.
Where CHISON fits: in teaching, unit cost, durability and the number of students who actually get hands on a probe matter considerably more than a flagship feature set:
• SonoEye P3: pocket handheld for emergency, intensive care and bedside point-of-care scanning
• SonoAir 30: lightweight laptop for mobile and multi-site work
• SonoAI: AI-assisted measurement and structured reporting, built into the newer platforms
We would look at education pricing for a teaching fleet, on-site application training for faculty, and support for hands-on workshops,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51" ht="39.75" customHeight="1" s="104">
      <c r="A51" s="121" t="n">
        <v>47</v>
      </c>
      <c r="B51" s="122" t="inlineStr">
        <is>
          <t>NTU Lee Kong Chian School of Medicine</t>
        </is>
      </c>
      <c r="C51" s="123" t="inlineStr">
        <is>
          <t>Not started</t>
        </is>
      </c>
      <c r="D51" s="121" t="inlineStr">
        <is>
          <t>Medical school</t>
        </is>
      </c>
      <c r="E51" s="121" t="inlineStr">
        <is>
          <t>Simulation-heavy curriculum</t>
        </is>
      </c>
      <c r="F51" s="121" t="inlineStr">
        <is>
          <t>ntu.edu.sg/medicine</t>
        </is>
      </c>
      <c r="G51" s="121" t="inlineStr">
        <is>
          <t>via website</t>
        </is>
      </c>
      <c r="H51" s="121" t="inlineStr">
        <is>
          <t>Builds on your NTU KOL groundwork</t>
        </is>
      </c>
      <c r="I51" s="121" t="inlineStr">
        <is>
          <t>SonoEye P3 education fleet + SonoAI teaching</t>
        </is>
      </c>
      <c r="J51" s="144" t="inlineStr">
        <is>
          <t>1</t>
        </is>
      </c>
      <c r="K51" s="121" t="inlineStr">
        <is>
          <t>Tier 1 — Medical school, Simulation-heavy curriculum · verified domain.</t>
        </is>
      </c>
      <c r="L51" s="121" t="inlineStr">
        <is>
          <t>Knowledge — verify</t>
        </is>
      </c>
      <c r="M51" s="145" t="inlineStr">
        <is>
          <t>Teaching fleet and point-of-care curriculum support: CHISON SonoEye P3 and SonoAir 30</t>
        </is>
      </c>
      <c r="N51" s="108" t="inlineStr">
        <is>
          <t>Dear NTU Lee Kong Chian School of Medicine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position is the one that compounds: Medical school, simulation-heavy curriculum. Clinicians buy the platform they trained on.
Where CHISON fits: in teaching, unit cost, durability and the number of students who actually get hands on a probe matter considerably more than a flagship feature set:
• SonoEye P3: pocket handheld for emergency, intensive care and bedside point-of-care scanning
• SonoAir 30: lightweight laptop for mobile and multi-site work
• SonoAI: AI-assisted measurement and structured reporting, built into the newer platforms
We would look at education pricing for a teaching fleet, on-site application training for faculty, and support for hands-on workshops,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Could I arrange a short demonstration at your premises, thirty minutes at a time that suits your clinicians? There is no obligation, and it is the fastest way to judge the image quality against what you use today.
Best regards,
Casper Tan
Senior Regional Sales Manager
AstraMed Healthcare, a subsidiary of CHISON Medical Technologies</t>
        </is>
      </c>
    </row>
    <row r="52" ht="39.75" customHeight="1" s="104">
      <c r="A52" s="121" t="n">
        <v>48</v>
      </c>
      <c r="B52" s="122" t="inlineStr">
        <is>
          <t>SingHealth Academy / SIMS simulation</t>
        </is>
      </c>
      <c r="C52" s="123" t="inlineStr">
        <is>
          <t>Not started</t>
        </is>
      </c>
      <c r="D52" s="121" t="inlineStr">
        <is>
          <t>Cluster education arm</t>
        </is>
      </c>
      <c r="E52" s="121" t="inlineStr">
        <is>
          <t>Simulation institutes</t>
        </is>
      </c>
      <c r="F52" s="121" t="inlineStr">
        <is>
          <t>singhealthacademy.edu.sg</t>
        </is>
      </c>
      <c r="G52" s="121" t="inlineStr">
        <is>
          <t>via website</t>
        </is>
      </c>
      <c r="H52" s="121" t="inlineStr">
        <is>
          <t>Institutional training fleet sales</t>
        </is>
      </c>
      <c r="I52" s="121" t="inlineStr">
        <is>
          <t>SonoEye P3 education fleet + SonoAI teaching</t>
        </is>
      </c>
      <c r="J52" s="147" t="inlineStr">
        <is>
          <t>2</t>
        </is>
      </c>
      <c r="K52" s="121" t="inlineStr">
        <is>
          <t>Tier 2 — Cluster education arm, Simulation institutes · verified domain.</t>
        </is>
      </c>
      <c r="L52" s="121" t="inlineStr">
        <is>
          <t>Knowledge — verify</t>
        </is>
      </c>
      <c r="M52" s="145" t="inlineStr">
        <is>
          <t>Teaching fleet and point-of-care curriculum support: CHISON SonoEye P3 and SonoAir 30</t>
        </is>
      </c>
      <c r="N52" s="108" t="inlineStr">
        <is>
          <t>Dear SingHealth Academy / SIMS simulation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position is the one that compounds: Cluster education arm, simulation institutes. Clinicians buy the platform they trained on.
Where CHISON fits: in teaching, unit cost, durability and the number of students who actually get hands on a probe matter considerably more than a flagship feature set:
• SonoEye P3: pocket handheld for emergency, intensive care and bedside point-of-care scanning
• SonoAir 30: lightweight laptop for mobile and multi-site work
• SonoAI: AI-assisted measurement and structured reporting, built into the newer platforms
We would look at education pricing for a teaching fleet, on-site application training for faculty, and support for hands-on workshops,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53" ht="39.75" customHeight="1" s="104">
      <c r="A53" s="121" t="n">
        <v>49</v>
      </c>
      <c r="B53" s="122" t="inlineStr">
        <is>
          <t>MHC Asia Group</t>
        </is>
      </c>
      <c r="C53" s="123" t="inlineStr">
        <is>
          <t>Not started</t>
        </is>
      </c>
      <c r="D53" s="121" t="inlineStr">
        <is>
          <t>TPA / panel network</t>
        </is>
      </c>
      <c r="E53" s="121" t="inlineStr">
        <is>
          <t>Large corporate GP panel</t>
        </is>
      </c>
      <c r="F53" s="121" t="inlineStr">
        <is>
          <t>mhcasia.com</t>
        </is>
      </c>
      <c r="G53" s="121" t="inlineStr">
        <is>
          <t>via website</t>
        </is>
      </c>
      <c r="H53" s="121" t="inlineStr">
        <is>
          <t>Panel endorsement → member-clinic bundle deals</t>
        </is>
      </c>
      <c r="I53" s="121" t="inlineStr">
        <is>
          <t>SonoEye P3 per-doctor + SonoAir 30 shared room; SonoAI reporting</t>
        </is>
      </c>
      <c r="J53" s="148" t="inlineStr">
        <is>
          <t>3</t>
        </is>
      </c>
      <c r="K53" s="121" t="inlineStr">
        <is>
          <t>Tier 3 — TPA / panel network, Large corporate GP panel · verified domain.</t>
        </is>
      </c>
      <c r="L53" s="121" t="inlineStr">
        <is>
          <t>Knowledge — verify</t>
        </is>
      </c>
      <c r="M53" s="145" t="inlineStr">
        <is>
          <t>A member-clinic ultrasound programme: CHISON SonoEye P3 and SonoAir 30</t>
        </is>
      </c>
      <c r="N53" s="108" t="inlineStr">
        <is>
          <t>Dear MHC Asia Group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leverage is the panel itself: TPA / panel network, large corporate GP panel. A single endorsement reaches clinics that would each otherwise take a separate sales cycle.
Where CHISON fits: a panel-wide programme lets independent member clinics buy at a price normally reserved for chains:
• SonoEye P3: pocket handheld for emergency, intensive care and bedside point-of-care scanning
• SonoAir 30: lightweight laptop for mobile and multi-site work
• SonoAI: AI-assisted measurement and structured reporting, built into the newer platforms
The structure we would propose is panel pricing, a bundled training day and a single service contact for member clinics,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54" ht="39.75" customHeight="1" s="104">
      <c r="A54" s="121" t="n">
        <v>50</v>
      </c>
      <c r="B54" s="122" t="inlineStr">
        <is>
          <t>IHP (Integrated Health Plans)</t>
        </is>
      </c>
      <c r="C54" s="123" t="inlineStr">
        <is>
          <t>Not started</t>
        </is>
      </c>
      <c r="D54" s="121" t="inlineStr">
        <is>
          <t>TPA / panel network</t>
        </is>
      </c>
      <c r="E54" s="121" t="inlineStr">
        <is>
          <t>Large corporate panel</t>
        </is>
      </c>
      <c r="F54" s="121" t="inlineStr">
        <is>
          <t>ihp.com.sg</t>
        </is>
      </c>
      <c r="G54" s="121" t="inlineStr">
        <is>
          <t>via website</t>
        </is>
      </c>
      <c r="H54" s="121" t="inlineStr">
        <is>
          <t>Same</t>
        </is>
      </c>
      <c r="I54" s="121" t="inlineStr">
        <is>
          <t>SonoEye P3 per-doctor + SonoAir 30 shared room; SonoAI reporting</t>
        </is>
      </c>
      <c r="J54" s="148" t="inlineStr">
        <is>
          <t>3</t>
        </is>
      </c>
      <c r="K54" s="121" t="inlineStr">
        <is>
          <t>Tier 3 — TPA / panel network, Large corporate panel · verified domain.</t>
        </is>
      </c>
      <c r="L54" s="121" t="inlineStr">
        <is>
          <t>Knowledge — verify</t>
        </is>
      </c>
      <c r="M54" s="145" t="inlineStr">
        <is>
          <t>A member-clinic ultrasound programme: CHISON SonoEye P3 and SonoAir 30</t>
        </is>
      </c>
      <c r="N54" s="108" t="inlineStr">
        <is>
          <t>Dear IHP (Integrated Health Plans)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leverage is the panel itself: TPA / panel network, large corporate panel. A single endorsement reaches clinics that would each otherwise take a separate sales cycle.
Where CHISON fits: a panel-wide programme lets independent member clinics buy at a price normally reserved for chains:
• SonoEye P3: pocket handheld for emergency, intensive care and bedside point-of-care scanning
• SonoAir 30: lightweight laptop for mobile and multi-site work
• SonoAI: AI-assisted measurement and structured reporting, built into the newer platforms
The structure we would propose is panel pricing, a bundled training day and a single service contact for member clinics, giving you two portable formats at two very different budgets.
We hold the HSA registration and sell direct, so you deal with one accountable party. Delivery, application training for your clinicians, service and probe replacement all come from us locally rather than from an overseas principal.
If it is useful, I would be glad to arrange a hands-on demonstration at your premises so that your clinicians can judge the image quality themselves.
Best regards,
Casper Tan
Senior Regional Sales Manager
AstraMed Healthcare, a subsidiary of CHISON Medical Technologies</t>
        </is>
      </c>
    </row>
    <row r="55" ht="39.75" customHeight="1" s="104">
      <c r="A55" s="121" t="n">
        <v>51</v>
      </c>
      <c r="B55" s="122" t="inlineStr">
        <is>
          <t>SMA / College of Family Physicians</t>
        </is>
      </c>
      <c r="C55" s="123" t="inlineStr">
        <is>
          <t>Not started</t>
        </is>
      </c>
      <c r="D55" s="121" t="inlineStr">
        <is>
          <t>Professional bodies</t>
        </is>
      </c>
      <c r="E55" s="121" t="inlineStr">
        <is>
          <t>GP education bodies</t>
        </is>
      </c>
      <c r="F55" s="121" t="inlineStr">
        <is>
          <t>sma.org.sg / cfps.org.sg</t>
        </is>
      </c>
      <c r="G55" s="121" t="inlineStr">
        <is>
          <t>via website</t>
        </is>
      </c>
      <c r="H55" s="121" t="inlineStr">
        <is>
          <t>POCUS CME workshops = demand generation</t>
        </is>
      </c>
      <c r="I55" s="121" t="inlineStr">
        <is>
          <t>— (channel resource — no product pitch)</t>
        </is>
      </c>
      <c r="J55" s="148" t="inlineStr">
        <is>
          <t>3-Resource</t>
        </is>
      </c>
      <c r="K55" s="121" t="inlineStr">
        <is>
          <t>Resource — procurement portal or professional body used to reach accounts, not an account itself.</t>
        </is>
      </c>
      <c r="L55" s="121" t="inlineStr">
        <is>
          <t>Knowledge — verify</t>
        </is>
      </c>
      <c r="M55" s="145" t="inlineStr">
        <is>
          <t>Sponsorship enquiry: hands-on point-of-care ultrasound workshops for your members</t>
        </is>
      </c>
      <c r="N55" s="108" t="inlineStr">
        <is>
          <t>Dear SMA / College of Family Physicians,
I am Casper Tan, Senior Regional Sales Manager at AstraMed Healthcare, the CHISON Medical Technologies subsidiary responsible for Singapore.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Point-of-care ultrasound is moving quickly into primary care here, and the real barrier for most general practitioners is scanning time rather than lecture content.
We would like to sponsor hands-on point-of-care ultrasound workshops for your members. We would provide the scanners, being SonoEye P3 handhelds and SonoAir 30 portables, together with the phantoms and the logistics. Your faculty would set the curriculum, and the teaching would stay free of commercial content.
Could you tell me who handles education partnerships and whether there is a sponsorship framework and calendar we should work to?
Best regards,
Casper Tan
Senior Regional Sales Manager
AstraMed Healthcare, a subsidiary of CHISON Medical Technologies</t>
        </is>
      </c>
    </row>
    <row r="56" ht="39.75" customHeight="1" s="104">
      <c r="A56" s="121" t="n">
        <v>52</v>
      </c>
      <c r="B56" s="122" t="inlineStr">
        <is>
          <t>GeBIZ (gov procurement portal)</t>
        </is>
      </c>
      <c r="C56" s="123" t="inlineStr">
        <is>
          <t>Not started</t>
        </is>
      </c>
      <c r="D56" s="121" t="inlineStr">
        <is>
          <t>Tender platform</t>
        </is>
      </c>
      <c r="E56" s="121" t="inlineStr">
        <is>
          <t>All public tenders</t>
        </is>
      </c>
      <c r="F56" s="121" t="inlineStr">
        <is>
          <t>gebiz.gov.sg</t>
        </is>
      </c>
      <c r="G56" s="121" t="inlineStr">
        <is>
          <t>—</t>
        </is>
      </c>
      <c r="H56" s="121" t="inlineStr">
        <is>
          <t>Monitor 'ultrasound' tenders weekly</t>
        </is>
      </c>
      <c r="I56" s="121" t="inlineStr">
        <is>
          <t>— (channel resource — no product pitch)</t>
        </is>
      </c>
      <c r="J56" s="148" t="inlineStr">
        <is>
          <t>3-Resource</t>
        </is>
      </c>
      <c r="K56" s="121" t="inlineStr">
        <is>
          <t>Resource — procurement portal or professional body used to reach accounts, not an account itself.</t>
        </is>
      </c>
      <c r="L56" s="121" t="inlineStr">
        <is>
          <t>Knowledge — verify</t>
        </is>
      </c>
      <c r="M56" s="145" t="inlineStr">
        <is>
          <t>Supplier registration and tender notification enquiry: AstraMed Healthcare</t>
        </is>
      </c>
      <c r="N56" s="108" t="inlineStr">
        <is>
          <t>Dear GeBIZ Support,
I am Casper Tan, Senior Regional Sales Manager at AstraMed Healthcare, the CHISON Medical Technologies subsidiary responsible for Singapore. We hold the HSA registration for the diagnostic ultrasound range and supply it here directly.
We would like to make sure we are correctly registered as a supplier and are notified of relevant opportunities. Could you confirm the current registration requirements for a medical device supplier, and how to set up alerts for the product categories covering diagnostic ultrasound and medical imaging equipment?
If there is a supplier briefing or guide for companies new to the portal, I would be glad to receive it.
Best regards,
Casper Tan
Senior Regional Sales Manager
AstraMed Healthcare, a subsidiary of CHISON Medical Technologies</t>
        </is>
      </c>
    </row>
    <row r="57" ht="39.75" customHeight="1" s="104">
      <c r="A57" s="121" t="n">
        <v>53</v>
      </c>
      <c r="B57" s="122" t="inlineStr">
        <is>
          <t>Scanmed Technology</t>
        </is>
      </c>
      <c r="C57" s="123" t="inlineStr">
        <is>
          <t>Not started</t>
        </is>
      </c>
      <c r="D57" s="121" t="inlineStr">
        <is>
          <t>Optional sub-dealer / service partner</t>
        </is>
      </c>
      <c r="E57" s="121" t="inlineStr">
        <is>
          <t>Ultrasound-focused distributor since 1993</t>
        </is>
      </c>
      <c r="F57" s="121" t="inlineStr">
        <is>
          <t>scanmed.com.sg</t>
        </is>
      </c>
      <c r="G57" s="121" t="inlineStr">
        <is>
          <t>+65 6872 3660</t>
        </is>
      </c>
      <c r="H57" s="121" t="inlineStr">
        <is>
          <t>Direct model still needs service depth — candidate service/installed-base partner, or competitor-for-share; set posture early</t>
        </is>
      </c>
      <c r="I57" s="121" t="inlineStr">
        <is>
          <t>Service/sub-dealer talk: SonoBook 9 + SonoEye P3 (their ultrasound install-base skills transfer directly)</t>
        </is>
      </c>
      <c r="J57" s="147" t="inlineStr">
        <is>
          <t>2</t>
        </is>
      </c>
      <c r="K57" s="121" t="inlineStr">
        <is>
          <t>Tier 2 — Optional sub-dealer / service partner, Ultrasound-focused distributor since 1993 · verified domain + direct phone.</t>
        </is>
      </c>
      <c r="L57" s="121" t="inlineStr">
        <is>
          <t>Prior list v3 ✓site</t>
        </is>
      </c>
      <c r="M57" s="145" t="inlineStr">
        <is>
          <t>Sub-distribution and service partnership: CHISON ultrasound in Singapore</t>
        </is>
      </c>
      <c r="N57" s="108" t="inlineStr">
        <is>
          <t>Dear Scanmed Technology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exactly what a direct model still requires locally: Optional sub-dealer / service partner, ultrasound-focused distributor since 1993. We hold the HSA registration and sell direct, but coverage and service depth are where a partner earns their margin.
Where CHISON fits your portfolio: we are looking for sub-distribution and field service on the following, rather than handing over the whole market:
• SonoBook 9: the workhorse laptop and our volume seller across Asia
• SonoEye P3: pocket handheld for emergency, intensive care and bedside point-of-care scanning
Two portable formats at two very different budgets, so that you can quote at clinic level and at department level from the same line.
Commercially the split is clean. We hold the HSA registration and the manufacturer relationship, you take defined accounts or a defined service scope, and we train your engineers on the platform. No registration burden sits on your side.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58" ht="39.75" customHeight="1" s="104">
      <c r="A58" s="121" t="n">
        <v>54</v>
      </c>
      <c r="B58" s="122" t="inlineStr">
        <is>
          <t>idsMED Singapore</t>
        </is>
      </c>
      <c r="C58" s="123" t="inlineStr">
        <is>
          <t>Not started</t>
        </is>
      </c>
      <c r="D58" s="121" t="inlineStr">
        <is>
          <t>Optional sub-dealer / service partner</t>
        </is>
      </c>
      <c r="E58" s="121" t="inlineStr">
        <is>
          <t>Regional device distribution group (US, monitoring, surgical)</t>
        </is>
      </c>
      <c r="F58" s="121" t="inlineStr">
        <is>
          <t>idsmed.com</t>
        </is>
      </c>
      <c r="G58" s="121" t="inlineStr">
        <is>
          <t>+65 6296 1233</t>
        </is>
      </c>
      <c r="H58" s="121" t="inlineStr">
        <is>
          <t>Possible sub-distribution for public tenders</t>
        </is>
      </c>
      <c r="I58" s="121" t="inlineStr">
        <is>
          <t>Tender partner scope: SonoPort/SonoMax 7 + SonoTouch fleets (public-sector bids)</t>
        </is>
      </c>
      <c r="J58" s="147" t="inlineStr">
        <is>
          <t>2</t>
        </is>
      </c>
      <c r="K58" s="121" t="inlineStr">
        <is>
          <t>Tier 2 — Optional sub-dealer / service partner, Regional device distribution group (US, monitoring, surgical) · verified domain + direct phone.</t>
        </is>
      </c>
      <c r="L58" s="121" t="inlineStr">
        <is>
          <t>Prior list v3 ✓site</t>
        </is>
      </c>
      <c r="M58" s="145" t="inlineStr">
        <is>
          <t>Sub-distribution and service partnership: CHISON ultrasound in Singapore</t>
        </is>
      </c>
      <c r="N58" s="108" t="inlineStr">
        <is>
          <t>Dear idsMED Singapore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exactly what a direct model still requires locally: Optional sub-dealer / service partner, regional device distribution group (US, monitoring, surgical). We hold the HSA registration and sell direct, but coverage and service depth are where a partner earns their margin.
Where CHISON fits your portfolio: we are looking for sub-distribution and field service on the following, rather than handing over the whole market:
• SonoPort: our new-generation intelligent cart, launched April 2026
• SonoMax 7: the flagship cart, carrying a full radiology, obstetric and cardiac workload
• SonoTouch: all-touch point-of-care console
A portable and a cart option from the same brand, so that you can quote at clinic level and at department level from the same line.
Commercially the split is clean. We hold the HSA registration and the manufacturer relationship, you take defined accounts or a defined service scope, and we train your engineers on the platform. No registration burden sits on your side.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59" ht="39.75" customHeight="1" s="104">
      <c r="A59" s="121" t="n">
        <v>55</v>
      </c>
      <c r="B59" s="122" t="inlineStr">
        <is>
          <t>DKSH Healthcare Singapore</t>
        </is>
      </c>
      <c r="C59" s="123" t="inlineStr">
        <is>
          <t>Not started</t>
        </is>
      </c>
      <c r="D59" s="121" t="inlineStr">
        <is>
          <t>Optional logistics / market-expansion partner</t>
        </is>
      </c>
      <c r="E59" s="121" t="inlineStr">
        <is>
          <t>Devices + pharma distribution platform</t>
        </is>
      </c>
      <c r="F59" s="121" t="inlineStr">
        <is>
          <t>dksh.com/sg-en</t>
        </is>
      </c>
      <c r="G59" s="121" t="inlineStr">
        <is>
          <t>+65 6477 3855</t>
        </is>
      </c>
      <c r="H59" s="121" t="inlineStr">
        <is>
          <t>3PL &amp; expansion services if AstraMed stays lean</t>
        </is>
      </c>
      <c r="I59" s="121" t="inlineStr">
        <is>
          <t>SonoEye P3 + SonoAir 30 (default primary-care set)</t>
        </is>
      </c>
      <c r="J59" s="148" t="inlineStr">
        <is>
          <t>3</t>
        </is>
      </c>
      <c r="K59" s="121" t="inlineStr">
        <is>
          <t>Tier 3 — Optional logistics / market-expansion partner, Devices + pharma distribution platform · verified domain + direct phone.</t>
        </is>
      </c>
      <c r="L59" s="121" t="inlineStr">
        <is>
          <t>Prior list v3 ✓site</t>
        </is>
      </c>
      <c r="M59" s="145" t="inlineStr">
        <is>
          <t>Sub-distribution and service partnership: CHISON ultrasound in Singapore</t>
        </is>
      </c>
      <c r="N59" s="108" t="inlineStr">
        <is>
          <t>Dear DKSH Healthcare Singapore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exactly what a direct model still requires locally: Optional logistics / market-expansion partner, devices and pharma distribution platform. We hold the HSA registration and sell direct, but coverage and service depth are where a partner earns their margin.
Where CHISON fits your portfolio: we are looking for sub-distribution and field service on the following, rather than handing over the whole market:
• SonoEye P3: pocket handheld for emergency, intensive care and bedside point-of-care scanning
• SonoAir 30: lightweight laptop for mobile and multi-site work
Two portable formats at two very different budgets, so that you can quote at clinic level and at department level from the same line.
Commercially the split is clean. We hold the HSA registration and the manufacturer relationship, you take defined accounts or a defined service scope, and we train your engineers on the platform. No registration burden sits on your side.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60" ht="39.75" customHeight="1" s="104">
      <c r="A60" s="121" t="n">
        <v>56</v>
      </c>
      <c r="B60" s="122" t="inlineStr">
        <is>
          <t>Medicare (S) Pte Ltd</t>
        </is>
      </c>
      <c r="C60" s="123" t="inlineStr">
        <is>
          <t>Not started</t>
        </is>
      </c>
      <c r="D60" s="121" t="inlineStr">
        <is>
          <t>Optional sub-dealer</t>
        </is>
      </c>
      <c r="E60" s="121" t="inlineStr">
        <is>
          <t>Ultrasound + aesthetics device distributor</t>
        </is>
      </c>
      <c r="F60" s="121" t="inlineStr">
        <is>
          <t>medicare.com.sg</t>
        </is>
      </c>
      <c r="G60" s="121" t="inlineStr">
        <is>
          <t>+65 6241 3300</t>
        </is>
      </c>
      <c r="H60" s="121" t="inlineStr">
        <is>
          <t>Aesthetic/GP channel reach</t>
        </is>
      </c>
      <c r="I60" s="121" t="inlineStr">
        <is>
          <t>SonoEye P3 per-doctor + SonoAir 30 shared room; SonoAI reporting</t>
        </is>
      </c>
      <c r="J60" s="148" t="inlineStr">
        <is>
          <t>3</t>
        </is>
      </c>
      <c r="K60" s="121" t="inlineStr">
        <is>
          <t>Tier 3 — Optional sub-dealer, Ultrasound + aesthetics device distributor · verified domain + direct phone.</t>
        </is>
      </c>
      <c r="L60" s="121" t="inlineStr">
        <is>
          <t>Prior list v3 ✓site</t>
        </is>
      </c>
      <c r="M60" s="145" t="inlineStr">
        <is>
          <t>Sub-distribution and service partnership: CHISON ultrasound in Singapore</t>
        </is>
      </c>
      <c r="N60" s="108" t="inlineStr">
        <is>
          <t>Dear Medicare (S) Pte Ltd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exactly what a direct model still requires locally: Optional sub-dealer, ultrasound and aesthetics device distributor. We hold the HSA registration and sell direct, but coverage and service depth are where a partner earns their margin.
Where CHISON fits your portfolio: we are looking for sub-distribution and field service on the following, rather than handing over the whole market:
• SonoEye P3: pocket handheld for emergency, intensive care and bedside point-of-care scanning
• SonoAir 30: lightweight laptop for mobile and multi-site work
• SonoAI: AI-assisted measurement and structured reporting, built into the newer platforms
Two portable formats at two very different budgets, so that you can quote at clinic level and at department level from the same line.
Commercially the split is clean. We hold the HSA registration and the manufacturer relationship, you take defined accounts or a defined service scope, and we train your engineers on the platform. No registration burden sits on your side.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61" ht="39.75" customHeight="1" s="104">
      <c r="A61" s="121" t="n">
        <v>57</v>
      </c>
      <c r="B61" s="122" t="inlineStr">
        <is>
          <t>Singmed Healthcare Systems</t>
        </is>
      </c>
      <c r="C61" s="123" t="inlineStr">
        <is>
          <t>Not started</t>
        </is>
      </c>
      <c r="D61" s="121" t="inlineStr">
        <is>
          <t>Optional sub-dealer</t>
        </is>
      </c>
      <c r="E61" s="121" t="inlineStr">
        <is>
          <t>One-stop medical equipment (est. 1996)</t>
        </is>
      </c>
      <c r="F61" s="121" t="inlineStr">
        <is>
          <t>singmed.com.sg</t>
        </is>
      </c>
      <c r="G61" s="121" t="inlineStr">
        <is>
          <t>+65 6468 8100</t>
        </is>
      </c>
      <c r="H61" s="121" t="inlineStr">
        <is>
          <t>Clinic equipment bundler</t>
        </is>
      </c>
      <c r="I61" s="121" t="inlineStr">
        <is>
          <t>SonoEye P3 per-doctor + SonoAir 30 shared room; SonoAI reporting</t>
        </is>
      </c>
      <c r="J61" s="148" t="inlineStr">
        <is>
          <t>3</t>
        </is>
      </c>
      <c r="K61" s="121" t="inlineStr">
        <is>
          <t>Tier 3 — Optional sub-dealer, One-stop medical equipment (est. 1996) · verified domain + direct phone.</t>
        </is>
      </c>
      <c r="L61" s="121" t="inlineStr">
        <is>
          <t>Prior list v3 ✓site</t>
        </is>
      </c>
      <c r="M61" s="145" t="inlineStr">
        <is>
          <t>Sub-distribution and service partnership: CHISON ultrasound in Singapore</t>
        </is>
      </c>
      <c r="N61" s="108" t="inlineStr">
        <is>
          <t>Dear Singmed Healthcare Systems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exactly what a direct model still requires locally: Optional sub-dealer, one-stop medical equipment (est. 1996). We hold the HSA registration and sell direct, but coverage and service depth are where a partner earns their margin.
Where CHISON fits your portfolio: we are looking for sub-distribution and field service on the following, rather than handing over the whole market:
• SonoEye P3: pocket handheld for emergency, intensive care and bedside point-of-care scanning
• SonoAir 30: lightweight laptop for mobile and multi-site work
• SonoAI: AI-assisted measurement and structured reporting, built into the newer platforms
Two portable formats at two very different budgets, so that you can quote at clinic level and at department level from the same line.
Commercially the split is clean. We hold the HSA registration and the manufacturer relationship, you take defined accounts or a defined service scope, and we train your engineers on the platform. No registration burden sits on your side.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62" ht="39.75" customHeight="1" s="104">
      <c r="A62" s="121" t="n">
        <v>58</v>
      </c>
      <c r="B62" s="122" t="inlineStr">
        <is>
          <t>Easmed</t>
        </is>
      </c>
      <c r="C62" s="123" t="inlineStr">
        <is>
          <t>Not started</t>
        </is>
      </c>
      <c r="D62" s="121" t="inlineStr">
        <is>
          <t>Optional sub-dealer</t>
        </is>
      </c>
      <c r="E62" s="121" t="inlineStr">
        <is>
          <t>Vascular/imaging/ENT devices, SEA footprint</t>
        </is>
      </c>
      <c r="F62" s="121" t="inlineStr">
        <is>
          <t>easmed.com</t>
        </is>
      </c>
      <c r="G62" s="121" t="inlineStr">
        <is>
          <t>+65 6732 7218</t>
        </is>
      </c>
      <c r="H62" s="121" t="inlineStr">
        <is>
          <t>Specialist-channel reach (ENT/vascular)</t>
        </is>
      </c>
      <c r="I62" s="121" t="inlineStr">
        <is>
          <t>SonoMax 7 premium + XBit 90 second rooms — reference-site play</t>
        </is>
      </c>
      <c r="J62" s="148" t="inlineStr">
        <is>
          <t>3</t>
        </is>
      </c>
      <c r="K62" s="121" t="inlineStr">
        <is>
          <t>Tier 3 — Optional sub-dealer, Vascular/imaging/ENT devices, SEA footprint · verified domain + direct phone.</t>
        </is>
      </c>
      <c r="L62" s="121" t="inlineStr">
        <is>
          <t>Prior list v3 ✓site</t>
        </is>
      </c>
      <c r="M62" s="145" t="inlineStr">
        <is>
          <t>Sub-distribution and service partnership: CHISON ultrasound in Singapore</t>
        </is>
      </c>
      <c r="N62" s="108" t="inlineStr">
        <is>
          <t>Dear Easmed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exactly what a direct model still requires locally: Optional sub-dealer, Vascular/imaging/ENT devices, SEA footprint. We hold the HSA registration and sell direct, but coverage and service depth are where a partner earns their margin.
Where CHISON fits your portfolio: we are looking for sub-distribution and field service on the following, rather than handing over the whole market:
• SonoMax 7: the flagship cart, carrying a full radiology, obstetric and cardiac workload
• XBit 90: premium cart for departments that want high-end imaging without a high-end budget
A focused cart offer, so that you can quote at clinic level and at department level from the same line.
Commercially the split is clean. We hold the HSA registration and the manufacturer relationship, you take defined accounts or a defined service scope, and we train your engineers on the platform. No registration burden sits on your side.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63" ht="39.75" customHeight="1" s="104">
      <c r="A63" s="121" t="n">
        <v>59</v>
      </c>
      <c r="B63" s="122" t="inlineStr">
        <is>
          <t>The Innomed Group</t>
        </is>
      </c>
      <c r="C63" s="123" t="inlineStr">
        <is>
          <t>Not started</t>
        </is>
      </c>
      <c r="D63" s="121" t="inlineStr">
        <is>
          <t>Optional sub-dealer</t>
        </is>
      </c>
      <c r="E63" s="121" t="inlineStr">
        <is>
          <t>Advanced medical equipment distributor</t>
        </is>
      </c>
      <c r="F63" s="121" t="inlineStr">
        <is>
          <t>innomed.com.sg</t>
        </is>
      </c>
      <c r="G63" s="121" t="inlineStr">
        <is>
          <t>+65 6273 0700</t>
        </is>
      </c>
      <c r="H63" s="121" t="inlineStr">
        <is>
          <t>Specialist equipment channel</t>
        </is>
      </c>
      <c r="I63" s="121" t="inlineStr">
        <is>
          <t>SonoEye P3 + SonoAir 30 (default primary-care set)</t>
        </is>
      </c>
      <c r="J63" s="148" t="inlineStr">
        <is>
          <t>3</t>
        </is>
      </c>
      <c r="K63" s="121" t="inlineStr">
        <is>
          <t>Tier 3 — Optional sub-dealer, Advanced medical equipment distributor · verified domain + direct phone.</t>
        </is>
      </c>
      <c r="L63" s="121" t="inlineStr">
        <is>
          <t>Prior list v3 ✓site</t>
        </is>
      </c>
      <c r="M63" s="145" t="inlineStr">
        <is>
          <t>Sub-distribution and service partnership: CHISON ultrasound in Singapore</t>
        </is>
      </c>
      <c r="N63" s="108" t="inlineStr">
        <is>
          <t>Dear The Innomed Group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exactly what a direct model still requires locally: Optional sub-dealer, advanced medical equipment distributor. We hold the HSA registration and sell direct, but coverage and service depth are where a partner earns their margin.
Where CHISON fits your portfolio: we are looking for sub-distribution and field service on the following, rather than handing over the whole market:
• SonoEye P3: pocket handheld for emergency, intensive care and bedside point-of-care scanning
• SonoAir 30: lightweight laptop for mobile and multi-site work
Two portable formats at two very different budgets, so that you can quote at clinic level and at department level from the same line.
Commercially the split is clean. We hold the HSA registration and the manufacturer relationship, you take defined accounts or a defined service scope, and we train your engineers on the platform. No registration burden sits on your side.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64" ht="39.75" customHeight="1" s="104">
      <c r="A64" s="121" t="n">
        <v>60</v>
      </c>
      <c r="B64" s="122" t="inlineStr">
        <is>
          <t>Zuellig Pharma (SG)</t>
        </is>
      </c>
      <c r="C64" s="123" t="inlineStr">
        <is>
          <t>Not started</t>
        </is>
      </c>
      <c r="D64" s="121" t="inlineStr">
        <is>
          <t>Optional logistics partner</t>
        </is>
      </c>
      <c r="E64" s="121" t="inlineStr">
        <is>
          <t>Healthcare distribution &amp; logistics giant</t>
        </is>
      </c>
      <c r="F64" s="121" t="inlineStr">
        <is>
          <t>zuelligpharma.com</t>
        </is>
      </c>
      <c r="G64" s="121" t="inlineStr">
        <is>
          <t>+65 6305 0800</t>
        </is>
      </c>
      <c r="H64" s="121" t="inlineStr">
        <is>
          <t>Warehousing/logistics at scale</t>
        </is>
      </c>
      <c r="I64" s="121" t="inlineStr">
        <is>
          <t>SonoEye P3 per-doctor + SonoAir 30 shared room; SonoAI reporting</t>
        </is>
      </c>
      <c r="J64" s="148" t="inlineStr">
        <is>
          <t>3</t>
        </is>
      </c>
      <c r="K64" s="121" t="inlineStr">
        <is>
          <t>Tier 3 — Optional logistics partner, Healthcare distribution &amp; logistics giant · verified domain + direct phone.</t>
        </is>
      </c>
      <c r="L64" s="121" t="inlineStr">
        <is>
          <t>Prior list v3 ✓site</t>
        </is>
      </c>
      <c r="M64" s="145" t="inlineStr">
        <is>
          <t>Sub-distribution and service partnership: CHISON ultrasound in Singapore</t>
        </is>
      </c>
      <c r="N64" s="108" t="inlineStr">
        <is>
          <t>Dear Zuellig Pharma (SG)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exactly what a direct model still requires locally: Optional logistics partner, healthcare distribution &amp; logistics giant. We hold the HSA registration and sell direct, but coverage and service depth are where a partner earns their margin.
Where CHISON fits your portfolio: we are looking for sub-distribution and field service on the following, rather than handing over the whole market:
• SonoEye P3: pocket handheld for emergency, intensive care and bedside point-of-care scanning
• SonoAir 30: lightweight laptop for mobile and multi-site work
• SonoAI: AI-assisted measurement and structured reporting, built into the newer platforms
Two portable formats at two very different budgets, so that you can quote at clinic level and at department level from the same line.
Commercially the split is clean. We hold the HSA registration and the manufacturer relationship, you take defined accounts or a defined service scope, and we train your engineers on the platform. No registration burden sits on your side.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row r="65" ht="39.75" customHeight="1" s="104">
      <c r="A65" s="121" t="n">
        <v>61</v>
      </c>
      <c r="B65" s="122" t="inlineStr">
        <is>
          <t>Yeap Medical Supplies</t>
        </is>
      </c>
      <c r="C65" s="123" t="inlineStr">
        <is>
          <t>Not started</t>
        </is>
      </c>
      <c r="D65" s="121" t="inlineStr">
        <is>
          <t>Optional sub-dealer</t>
        </is>
      </c>
      <c r="E65" s="121" t="inlineStr">
        <is>
          <t>Medical devices distributor</t>
        </is>
      </c>
      <c r="F65" s="121" t="inlineStr">
        <is>
          <t>search: Yeap Medical Supplies</t>
        </is>
      </c>
      <c r="G65" s="121" t="inlineStr">
        <is>
          <t>+65 6745 5288</t>
        </is>
      </c>
      <c r="H65" s="121" t="inlineStr">
        <is>
          <t>Qualify</t>
        </is>
      </c>
      <c r="I65" s="121" t="inlineStr">
        <is>
          <t>SonoEye P3 + SonoAir 30 (default primary-care set)</t>
        </is>
      </c>
      <c r="J65" s="148" t="inlineStr">
        <is>
          <t>3</t>
        </is>
      </c>
      <c r="K65" s="121" t="inlineStr">
        <is>
          <t>Tier 3 — Optional sub-dealer, Medical devices distributor · no verified domain.</t>
        </is>
      </c>
      <c r="L65" s="121" t="inlineStr">
        <is>
          <t>Prior list v3 — verify</t>
        </is>
      </c>
      <c r="M65" s="145" t="inlineStr">
        <is>
          <t>Sub-distribution and service partnership: CHISON ultrasound in Singapore</t>
        </is>
      </c>
      <c r="N65" s="108" t="inlineStr">
        <is>
          <t>Dear Yeap Medical Supplies team,
I am Casper Tan, Senior Regional Sales Manager at AstraMed Healthcare, the CHISON Medical Technologies subsidiary responsible for Singapore, where we sell and service the range directly.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Your strength is exactly what a direct model still requires locally: Optional sub-dealer, medical devices distributor. We hold the HSA registration and sell direct, but coverage and service depth are where a partner earns their margin.
Where CHISON fits your portfolio: we are looking for sub-distribution and field service on the following, rather than handing over the whole market:
• SonoEye P3: pocket handheld for emergency, intensive care and bedside point-of-care scanning
• SonoAir 30: lightweight laptop for mobile and multi-site work
Two portable formats at two very different budgets, so that you can quote at clinic level and at department level from the same line.
Commercially the split is clean. We hold the HSA registration and the manufacturer relationship, you take defined accounts or a defined service scope, and we train your engineers on the platform. No registration burden sits on your side.
Would a short call of twenty minutes be worth your time? I can send the full catalogue, price positioning and dealer terms beforehand, so that the call is a decision rather than a presentation.
Best regards,
Casper Tan
Senior Regional Sales Manager
AstraMed Healthcare, a subsidiary of CHISON Medical Technologies</t>
        </is>
      </c>
    </row>
  </sheetData>
  <autoFilter ref="A4:N65"/>
  <conditionalFormatting sqref="C5:C65">
    <cfRule type="cellIs" rank="0" priority="2" equalAverage="0" operator="equal" aboveAverage="0" dxfId="7" text="" percent="0" bottom="0">
      <formula>"Not started"</formula>
    </cfRule>
    <cfRule type="cellIs" rank="0" priority="3" equalAverage="0" operator="equal" aboveAverage="0" dxfId="8" text="" percent="0" bottom="0">
      <formula>"Contacted"</formula>
    </cfRule>
    <cfRule type="cellIs" rank="0" priority="4" equalAverage="0" operator="equal" aboveAverage="0" dxfId="9" text="" percent="0" bottom="0">
      <formula>"Meeting booked"</formula>
    </cfRule>
    <cfRule type="cellIs" rank="0" priority="5" equalAverage="0" operator="equal" aboveAverage="0" dxfId="10" text="" percent="0" bottom="0">
      <formula>"Meeting held"</formula>
    </cfRule>
    <cfRule type="cellIs" rank="0" priority="6" equalAverage="0" operator="equal" aboveAverage="0" dxfId="11" text="" percent="0" bottom="0">
      <formula>"Evaluation placed"</formula>
    </cfRule>
    <cfRule type="cellIs" rank="0" priority="7" equalAverage="0" operator="equal" aboveAverage="0" dxfId="12" text="" percent="0" bottom="0">
      <formula>"Quoted"</formula>
    </cfRule>
    <cfRule type="cellIs" rank="0" priority="8" equalAverage="0" operator="equal" aboveAverage="0" dxfId="13" text="" percent="0" bottom="0">
      <formula>"Won"</formula>
    </cfRule>
    <cfRule type="cellIs" rank="0" priority="9" equalAverage="0" operator="equal" aboveAverage="0" dxfId="14" text="" percent="0" bottom="0">
      <formula>"Declined"</formula>
    </cfRule>
    <cfRule type="cellIs" rank="0" priority="10" equalAverage="0" operator="equal" aboveAverage="0" dxfId="15" text="" percent="0" bottom="0">
      <formula>"Parked"</formula>
    </cfRule>
  </conditionalFormatting>
  <dataValidations count="1">
    <dataValidation sqref="C5:C65" showDropDown="0" showInputMessage="0" showErrorMessage="0" allowBlank="1" type="list" errorStyle="stop" operator="between">
      <formula1>"Not started,Contacted,Meeting booked,Meeting held,Evaluation placed,Quoted,Won,Declined,Parked"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00B050"/>
    <outlinePr summaryBelow="1" summaryRight="1"/>
    <pageSetUpPr fitToPage="0"/>
  </sheetPr>
  <dimension ref="A1:O89"/>
  <sheetViews>
    <sheetView showFormulas="0" showGridLines="1" showRowColHeaders="1" showZeros="1" rightToLeft="0" tabSelected="0"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8.66796875" defaultRowHeight="14.25" zeroHeight="0" outlineLevelRow="0"/>
  <cols>
    <col width="4" customWidth="1" style="103" min="1" max="1"/>
    <col width="26" customWidth="1" style="103" min="2" max="2"/>
    <col width="16" customWidth="1" style="103" min="3" max="3"/>
    <col width="20" customWidth="1" style="103" min="4" max="4"/>
    <col width="26" customWidth="1" style="103" min="5" max="5"/>
    <col width="30" customWidth="1" style="103" min="6" max="6"/>
    <col width="18" customWidth="1" style="103" min="7" max="7"/>
    <col width="26" customWidth="1" style="103" min="8" max="8"/>
    <col width="14" customWidth="1" style="103" min="9" max="9"/>
    <col width="30" customWidth="1" style="103" min="10" max="10"/>
    <col width="9" customWidth="1" style="103" min="11" max="11"/>
    <col width="46" customWidth="1" style="103" min="12" max="12"/>
    <col width="26" customWidth="1" style="103" min="13" max="13"/>
    <col width="52" customWidth="1" style="103" min="14" max="14"/>
    <col width="100" customWidth="1" style="103" min="15" max="15"/>
  </cols>
  <sheetData>
    <row r="1" ht="18" customHeight="1" s="104">
      <c r="A1" s="117" t="inlineStr">
        <is>
          <t>Singapore — Named Contacts, ALPS / Public Healthcare &amp; MINDEF (85)</t>
        </is>
      </c>
    </row>
    <row r="2" ht="14.25" customHeight="1" s="104">
      <c r="A2" s="118" t="inlineStr">
        <is>
          <t>People-level list extracted from your ALPS master-agreement / award / email correspondence. Green=High priority for CHISON outreach · Amber=Medium · Grey=Low. MMD contacts administer contracts but do NOT write equipment specs — ask them to refer you to ALPS Strategic Procurement – Medical Technology, and to Radiology / Cardiology / O&amp;G / Biomedical Engineering. See the ALPS Tender Notes tab.</t>
        </is>
      </c>
    </row>
    <row r="4" ht="25.5" customHeight="1" s="104">
      <c r="A4" s="119" t="inlineStr">
        <is>
          <t>#</t>
        </is>
      </c>
      <c r="B4" s="119" t="inlineStr">
        <is>
          <t>Organisation</t>
        </is>
      </c>
      <c r="C4" s="119" t="inlineStr">
        <is>
          <t>Pipeline stage</t>
        </is>
      </c>
      <c r="D4" s="119" t="inlineStr">
        <is>
          <t>Contact name</t>
        </is>
      </c>
      <c r="E4" s="119" t="inlineStr">
        <is>
          <t>Title / position</t>
        </is>
      </c>
      <c r="F4" s="119" t="inlineStr">
        <is>
          <t>Email</t>
        </is>
      </c>
      <c r="G4" s="119" t="inlineStr">
        <is>
          <t>Phone</t>
        </is>
      </c>
      <c r="H4" s="119" t="inlineStr">
        <is>
          <t>Address</t>
        </is>
      </c>
      <c r="I4" s="119" t="inlineStr">
        <is>
          <t>Last correspondence</t>
        </is>
      </c>
      <c r="J4" s="119" t="inlineStr">
        <is>
          <t>Subject / context</t>
        </is>
      </c>
      <c r="K4" s="119" t="inlineStr">
        <is>
          <t>Priority</t>
        </is>
      </c>
      <c r="L4" s="119" t="inlineStr">
        <is>
          <t>Suggested engagement angle</t>
        </is>
      </c>
      <c r="M4" s="119" t="inlineStr">
        <is>
          <t>Source document</t>
        </is>
      </c>
      <c r="N4" s="141" t="inlineStr">
        <is>
          <t>Email Title</t>
        </is>
      </c>
      <c r="O4" s="141" t="inlineStr">
        <is>
          <t>Email Body</t>
        </is>
      </c>
    </row>
    <row r="5" ht="39.75" customHeight="1" s="104">
      <c r="A5" s="121" t="n">
        <v>1</v>
      </c>
      <c r="B5" s="121" t="inlineStr">
        <is>
          <t>NUHS Pharmacy</t>
        </is>
      </c>
      <c r="C5" s="123" t="inlineStr">
        <is>
          <t>Not started</t>
        </is>
      </c>
      <c r="D5" s="122" t="inlineStr">
        <is>
          <t>Mr. Adrian Toh</t>
        </is>
      </c>
      <c r="E5" s="121" t="inlineStr">
        <is>
          <t>Material Management Department</t>
        </is>
      </c>
      <c r="F5" s="121" t="inlineStr">
        <is>
          <t>adrian.toh.s.k@alpshealthcare.com.sg</t>
        </is>
      </c>
      <c r="G5" s="121" t="n"/>
      <c r="H5" s="121" t="n"/>
      <c r="I5" s="121" t="inlineStr">
        <is>
          <t>12 December 2022</t>
        </is>
      </c>
      <c r="J5" s="121" t="inlineStr">
        <is>
          <t>Master Agreement - Point of Care (POC) Testing (POCT) for Blood Glucose</t>
        </is>
      </c>
      <c r="K5" s="148" t="inlineStr">
        <is>
          <t>Low</t>
        </is>
      </c>
      <c r="L5" s="121" t="inlineStr">
        <is>
          <t>Department has limited direct use for diagnostic ultrasound (pharmacy/dental/eye/skin/mental health). Deprioritise, or use only as a warm intro to redirect to the right department.</t>
        </is>
      </c>
      <c r="M5" s="121" t="inlineStr">
        <is>
          <t>Master Agreement.pdf</t>
        </is>
      </c>
      <c r="N5" s="145" t="inlineStr">
        <is>
          <t>Diagnostic ultrasound at NUHS Pharmacy: could you point me to the right department?</t>
        </is>
      </c>
      <c r="O5" s="108" t="inlineStr">
        <is>
          <t>Dear Mr. Adrian Toh,
We corresponded on 12 December 2022 regarding the Master Agreement - Point of Care (POC) Testing (POCT) for Blood Glucose.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6" ht="39.75" customHeight="1" s="104">
      <c r="A6" s="121" t="n">
        <v>2</v>
      </c>
      <c r="B6" s="121" t="inlineStr">
        <is>
          <t>National Healthcare Group Pte Ltd</t>
        </is>
      </c>
      <c r="C6" s="123" t="inlineStr">
        <is>
          <t>Not started</t>
        </is>
      </c>
      <c r="D6" s="122" t="inlineStr">
        <is>
          <t>Ms Agnes Tiong</t>
        </is>
      </c>
      <c r="E6" s="121" t="inlineStr">
        <is>
          <t>Materials Management Department</t>
        </is>
      </c>
      <c r="F6" s="121" t="inlineStr">
        <is>
          <t>agnes.tiong.m.m@alpshealthcare.com.sg</t>
        </is>
      </c>
      <c r="G6" s="121" t="n"/>
      <c r="H6" s="121" t="n"/>
      <c r="I6" s="121" t="inlineStr">
        <is>
          <t>27 January 2025</t>
        </is>
      </c>
      <c r="J6" s="121" t="inlineStr">
        <is>
          <t>Master Agreement - Supply of Gauzes (Plain and Raytec) and Abdominal Swabs</t>
        </is>
      </c>
      <c r="K6" s="144" t="inlineStr">
        <is>
          <t>High</t>
        </is>
      </c>
      <c r="L6" s="121" t="inlineStr">
        <is>
          <t>Cluster-level HQ (spans multiple hospitals) — can endorse or route Chison across the whole cluster. Seek a vendor introduction meeting and ask how equipment evaluations are coordinated cluster-wide.</t>
        </is>
      </c>
      <c r="M6" s="121" t="inlineStr">
        <is>
          <t>4) 2025.01.27 SP ALPS MA (Consumables).pdf</t>
        </is>
      </c>
      <c r="N6" s="145" t="inlineStr">
        <is>
          <t>CHISON diagnostic ultrasound for National Healthcare Group Pte Ltd: HSA-registered and locally serviced (SonoEye P3 and SonoAir 30)</t>
        </is>
      </c>
      <c r="O6" s="108" t="inlineStr">
        <is>
          <t>Dear Ms Agnes Tiong,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 ht="39.75" customHeight="1" s="104">
      <c r="A7" s="121" t="n">
        <v>3</v>
      </c>
      <c r="B7" s="121" t="inlineStr">
        <is>
          <t>ALPS Pte Ltd</t>
        </is>
      </c>
      <c r="C7" s="123" t="inlineStr">
        <is>
          <t>Not started</t>
        </is>
      </c>
      <c r="D7" s="122" t="inlineStr">
        <is>
          <t>Mr Andy Gan</t>
        </is>
      </c>
      <c r="E7" s="121" t="inlineStr">
        <is>
          <t>Central Purchasing and Inventory Planning</t>
        </is>
      </c>
      <c r="F7" s="121" t="inlineStr">
        <is>
          <t>andy.gan.k.w@alpshealthcare.com.sg</t>
        </is>
      </c>
      <c r="G7" s="121" t="n"/>
      <c r="H7" s="121" t="n"/>
      <c r="I7" s="121" t="inlineStr">
        <is>
          <t>27 January 2025</t>
        </is>
      </c>
      <c r="J7" s="121" t="inlineStr">
        <is>
          <t>Master Agreement - Supply of Gauzes (Plain and Raytec) and Abdominal Swabs</t>
        </is>
      </c>
      <c r="K7" s="144" t="inlineStr">
        <is>
          <t>High</t>
        </is>
      </c>
      <c r="L7" s="121" t="inlineStr">
        <is>
          <t>ALPS HQ Strategic Procurement — but note their portfolio is Medical SUPPLIES (consumables). Ultrasound equipment tenders sit with ALPS's separate Strategic Procurement - Medical Technology (equipment) category team. Ask this contact for a warm internal referral to the MedTech category team, and get Chison registered on ALPS's SAP Ariba eProcurement portal to see sourcing events.</t>
        </is>
      </c>
      <c r="M7" s="121" t="inlineStr">
        <is>
          <t>4) 2025.01.27 SP ALPS MA (Consumables).pdf</t>
        </is>
      </c>
      <c r="N7" s="145" t="inlineStr">
        <is>
          <t>CHISON diagnostic ultrasound for ALPS Pte Ltd: HSA-registered and locally serviced (SonoEye P3 and SonoAir 30)</t>
        </is>
      </c>
      <c r="O7" s="108" t="inlineStr">
        <is>
          <t>Dear Mr Andy Gan,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8" ht="39.75" customHeight="1" s="104">
      <c r="A8" s="121" t="n">
        <v>4</v>
      </c>
      <c r="B8" s="121" t="inlineStr">
        <is>
          <t>ALPS Pte Ltd</t>
        </is>
      </c>
      <c r="C8" s="123" t="inlineStr">
        <is>
          <t>Not started</t>
        </is>
      </c>
      <c r="D8" s="122" t="inlineStr">
        <is>
          <t>Angeline Tang (Ms)</t>
        </is>
      </c>
      <c r="E8" s="121" t="inlineStr">
        <is>
          <t>Assistant Manager, Strategic Procurement, Medical Supplies</t>
        </is>
      </c>
      <c r="F8" s="121" t="inlineStr">
        <is>
          <t>angeline.tang.k.e@alpshealthcare.com.sg</t>
        </is>
      </c>
      <c r="G8" s="121" t="inlineStr">
        <is>
          <t>DID: (65) 6377 8736 | HP: (65) 9297 0930</t>
        </is>
      </c>
      <c r="H8" s="121" t="inlineStr">
        <is>
          <t>ALPS Procurement Office (Tower 1), 168 Jalan Bukit Merah #16-01 Surbana One, Singapore 150168</t>
        </is>
      </c>
      <c r="I8" s="121" t="inlineStr">
        <is>
          <t>28 March 2025</t>
        </is>
      </c>
      <c r="J8" s="121" t="inlineStr">
        <is>
          <t>Award Notification - GPMR08423 Supply of Catheters, Urinary and Accessories</t>
        </is>
      </c>
      <c r="K8" s="144" t="inlineStr">
        <is>
          <t>High</t>
        </is>
      </c>
      <c r="L8" s="121" t="inlineStr">
        <is>
          <t>ALPS HQ Strategic Procurement — but note their portfolio is Medical SUPPLIES (consumables). Ultrasound equipment tenders sit with ALPS's separate Strategic Procurement - Medical Technology (equipment) category team. Ask this contact for a warm internal referral to the MedTech category team, and get Chison registered on ALPS's SAP Ariba eProcurement portal to see sourcing events.</t>
        </is>
      </c>
      <c r="M8" s="121" t="inlineStr">
        <is>
          <t>Fw_ Award for GPMR08423 Supply of Catheters - Urinary and Accessories (Vendor_ SPD).eml</t>
        </is>
      </c>
      <c r="N8" s="145" t="inlineStr">
        <is>
          <t>CHISON diagnostic ultrasound for ALPS Pte Ltd: HSA-registered and locally serviced (SonoEye P3 and SonoAir 30)</t>
        </is>
      </c>
      <c r="O8" s="108" t="inlineStr">
        <is>
          <t>Dear Angeline Tang (Ms),
We corresponded on 28 March 2025 regarding Award Notification - GPMR08423 Supply of Catheters, Urinary and Accessories.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9" ht="39.75" customHeight="1" s="104">
      <c r="A9" s="121" t="n">
        <v>5</v>
      </c>
      <c r="B9" s="121" t="inlineStr">
        <is>
          <t>NUHS Diagnostics</t>
        </is>
      </c>
      <c r="C9" s="123" t="inlineStr">
        <is>
          <t>Not started</t>
        </is>
      </c>
      <c r="D9" s="122" t="inlineStr">
        <is>
          <t>Mr. Chia Seng Kai</t>
        </is>
      </c>
      <c r="E9" s="121" t="inlineStr">
        <is>
          <t>Material Management Department</t>
        </is>
      </c>
      <c r="F9" s="121" t="inlineStr">
        <is>
          <t>chia.seng.kai@alpshealthcare.com.sg</t>
        </is>
      </c>
      <c r="G9" s="121" t="n"/>
      <c r="H9" s="121" t="n"/>
      <c r="I9" s="121" t="inlineStr">
        <is>
          <t>12 December 2022</t>
        </is>
      </c>
      <c r="J9" s="121" t="inlineStr">
        <is>
          <t>Master Agreement - Point of Care (POC) Testing (POCT) for Blood Glucose</t>
        </is>
      </c>
      <c r="K9" s="144" t="inlineStr">
        <is>
          <t>High</t>
        </is>
      </c>
      <c r="L9" s="121" t="inlineStr">
        <is>
          <t>Diagnostics/imaging services arm — direct fit for Chison's Radiology/General Imaging range (SonoMax/XBit carts, SonoAir portables for satellite sites). Ask to be pointed to the imaging operations lead and Biomedical Engineering for evaluation.</t>
        </is>
      </c>
      <c r="M9" s="121" t="inlineStr">
        <is>
          <t>Master Agreement.pdf</t>
        </is>
      </c>
      <c r="N9" s="145" t="inlineStr">
        <is>
          <t>CHISON diagnostic ultrasound for NUHS Diagnostics: HSA-registered and locally serviced (SonoMax 7 and XBit 90)</t>
        </is>
      </c>
      <c r="O9" s="108" t="inlineStr">
        <is>
          <t>Dear Mr. Chia Seng Kai,
We corresponded on 12 December 2022 regarding the Master Agreement - Point of Care (POC) Testing (POCT) for Blood Glucose.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NUHS Diagnostics centres on radiology and general imaging across your sites,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10" ht="39.75" customHeight="1" s="104">
      <c r="A10" s="121" t="n">
        <v>6</v>
      </c>
      <c r="B10" s="121" t="inlineStr">
        <is>
          <t>NG TENG FONG GENERAL HOSPITAL</t>
        </is>
      </c>
      <c r="C10" s="123" t="inlineStr">
        <is>
          <t>Not started</t>
        </is>
      </c>
      <c r="D10" s="122" t="inlineStr">
        <is>
          <t>Chin Su Yi</t>
        </is>
      </c>
      <c r="E10" s="121" t="inlineStr">
        <is>
          <t>Senior Medical Laboratory Scientist, Laboratory Medicine</t>
        </is>
      </c>
      <c r="F10" s="121" t="inlineStr">
        <is>
          <t>Chin_Su_Yi@nuhs.edu.sg</t>
        </is>
      </c>
      <c r="G10" s="121" t="inlineStr">
        <is>
          <t>T: (65) 6716 6829</t>
        </is>
      </c>
      <c r="H10" s="121" t="inlineStr">
        <is>
          <t>NG TENG FONG GENERAL HOSPITAL
1 Jurong East Street 21, Singapore 609606</t>
        </is>
      </c>
      <c r="I10" s="121" t="inlineStr">
        <is>
          <t>02 Oct 2025</t>
        </is>
      </c>
      <c r="J10" s="121" t="inlineStr">
        <is>
          <t>feedback on BMT saline</t>
        </is>
      </c>
      <c r="K10" s="148" t="inlineStr">
        <is>
          <t>Low</t>
        </is>
      </c>
      <c r="L10" s="121" t="inlineStr">
        <is>
          <t>Laboratory Medicine department — labs do not purchase diagnostic ultrasound. Low fit; use only as a warm intro to redirect you to their Radiology/imaging colleagues. Existing relationship (you've corresponded before) — one of your easiest first calls.</t>
        </is>
      </c>
      <c r="M10" s="121" t="inlineStr">
        <is>
          <t>Contact Details from Emails (Formatted).xlsx</t>
        </is>
      </c>
      <c r="N10" s="145" t="inlineStr">
        <is>
          <t>Diagnostic ultrasound at NG TENG FONG GENERAL HOSPITAL: could you point me to the right department?</t>
        </is>
      </c>
      <c r="O10" s="108" t="inlineStr">
        <is>
          <t>Dear Chin Su Yi,
We corresponded on 02 Oct 2025 regarding feedback on BMT saline.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Senior Medical Laboratory Scientist, Laboratory Medicine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11" ht="39.75" customHeight="1" s="104">
      <c r="A11" s="121" t="n">
        <v>7</v>
      </c>
      <c r="B11" s="121" t="inlineStr">
        <is>
          <t>ALPS Pte Ltd</t>
        </is>
      </c>
      <c r="C11" s="123" t="inlineStr">
        <is>
          <t>Not started</t>
        </is>
      </c>
      <c r="D11" s="122" t="inlineStr">
        <is>
          <t>Mr Chooi Ker Min</t>
        </is>
      </c>
      <c r="E11" s="121" t="inlineStr">
        <is>
          <t>Central Warehouse Distribution</t>
        </is>
      </c>
      <c r="F11" s="121" t="inlineStr">
        <is>
          <t>chooi.ker.min@alpshealthcare.com.sg</t>
        </is>
      </c>
      <c r="G11" s="121" t="inlineStr">
        <is>
          <t>6377 8854</t>
        </is>
      </c>
      <c r="H11" s="121" t="n"/>
      <c r="I11" s="121" t="inlineStr">
        <is>
          <t>22 July 2022</t>
        </is>
      </c>
      <c r="J11" s="121" t="inlineStr">
        <is>
          <t>Master Agreement - Supply of Disposable Caps and Shoe Covers</t>
        </is>
      </c>
      <c r="K11" s="148" t="inlineStr">
        <is>
          <t>Low</t>
        </is>
      </c>
      <c r="L11" s="121" t="inlineStr">
        <is>
          <t>Department has limited direct use for diagnostic ultrasound (pharmacy/dental/eye/skin/mental health). Deprioritise, or use only as a warm intro to redirect to the right department.</t>
        </is>
      </c>
      <c r="M11" s="121" t="inlineStr">
        <is>
          <t>10. ALPS MA (Consumables)_2022.07.22.pdf</t>
        </is>
      </c>
      <c r="N11" s="145" t="inlineStr">
        <is>
          <t>Diagnostic ultrasound at ALPS Pte Ltd: could you point me to the right department?</t>
        </is>
      </c>
      <c r="O11" s="108" t="inlineStr">
        <is>
          <t>Dear Mr Chooi Ker Min,
We corresponded on 22 July 2022 regarding the Master Agreement - Supply of Disposable Caps and Shoe Covers.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Central Warehouse Distribution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12" ht="39.75" customHeight="1" s="104">
      <c r="A12" s="121" t="n">
        <v>8</v>
      </c>
      <c r="B12" s="121" t="inlineStr">
        <is>
          <t>NHG Diagnostics</t>
        </is>
      </c>
      <c r="C12" s="123" t="inlineStr">
        <is>
          <t>Not started</t>
        </is>
      </c>
      <c r="D12" s="122" t="inlineStr">
        <is>
          <t>Ms Cindy Tiah</t>
        </is>
      </c>
      <c r="E12" s="121" t="inlineStr">
        <is>
          <t>Materials Management Department</t>
        </is>
      </c>
      <c r="F12" s="121" t="inlineStr">
        <is>
          <t>cindy.tiah.sl@alpshealthcare.com.sg</t>
        </is>
      </c>
      <c r="G12" s="121" t="n"/>
      <c r="H12" s="121" t="n"/>
      <c r="I12" s="121" t="inlineStr">
        <is>
          <t>27 January 2025</t>
        </is>
      </c>
      <c r="J12" s="121" t="inlineStr">
        <is>
          <t>Master Agreement - Supply of Gauzes (Plain and Raytec) and Abdominal Swabs</t>
        </is>
      </c>
      <c r="K12" s="144" t="inlineStr">
        <is>
          <t>High</t>
        </is>
      </c>
      <c r="L12" s="121" t="inlineStr">
        <is>
          <t>Diagnostics/imaging services arm — direct fit for Chison's Radiology/General Imaging range (SonoMax/XBit carts, SonoAir portables for satellite sites). Ask to be pointed to the imaging operations lead and Biomedical Engineering for evaluation.</t>
        </is>
      </c>
      <c r="M12" s="121" t="inlineStr">
        <is>
          <t>4) 2025.01.27 SP ALPS MA (Consumables).pdf</t>
        </is>
      </c>
      <c r="N12" s="145" t="inlineStr">
        <is>
          <t>CHISON diagnostic ultrasound for NHG Diagnostics: HSA-registered and locally serviced (SonoMax 7 and XBit 90)</t>
        </is>
      </c>
      <c r="O12" s="108" t="inlineStr">
        <is>
          <t>Dear Ms Cindy Tiah,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NHG Diagnostics centres on radiology and general imaging across your sites,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13" ht="39.75" customHeight="1" s="104">
      <c r="A13" s="121" t="n">
        <v>9</v>
      </c>
      <c r="B13" s="121" t="inlineStr">
        <is>
          <t>ALPS</t>
        </is>
      </c>
      <c r="C13" s="123" t="inlineStr">
        <is>
          <t>Not started</t>
        </is>
      </c>
      <c r="D13" s="122" t="inlineStr">
        <is>
          <t>Clara Chew</t>
        </is>
      </c>
      <c r="E13" s="121" t="inlineStr">
        <is>
          <t>Senior Executive, Supply Chain Management</t>
        </is>
      </c>
      <c r="F13" s="121" t="inlineStr">
        <is>
          <t>clara.chew.q.h@alpshealthcare.com.sg</t>
        </is>
      </c>
      <c r="G13" s="121" t="inlineStr">
        <is>
          <t>DID: (65) 6850 4774 | Fax: (65) 6786 8745</t>
        </is>
      </c>
      <c r="H13" s="121" t="inlineStr">
        <is>
          <t>Site Office: Tampines Plaza 1, 3 Tampines Central #02-04, S(529540)</t>
        </is>
      </c>
      <c r="I13" s="121" t="inlineStr">
        <is>
          <t>25 Aug 2025</t>
        </is>
      </c>
      <c r="J13" s="121" t="inlineStr">
        <is>
          <t>surgical mask with visor</t>
        </is>
      </c>
      <c r="K13" s="147" t="inlineStr">
        <is>
          <t>Medium</t>
        </is>
      </c>
      <c r="L13"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 Existing relationship (you've corresponded before) — one of your easiest first calls.</t>
        </is>
      </c>
      <c r="M13" s="121" t="inlineStr">
        <is>
          <t>Contact Details from Emails (Formatted).xlsx</t>
        </is>
      </c>
      <c r="N13" s="145" t="inlineStr">
        <is>
          <t>CHISON diagnostic ultrasound for ALPS: HSA-registered and locally serviced (CBit 6 and SonoAir 30)</t>
        </is>
      </c>
      <c r="O13" s="108" t="inlineStr">
        <is>
          <t>Dear Clara Chew,
We corresponded on 25 Aug 2025 regarding surgical mask with visor.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14" ht="39.75" customHeight="1" s="104">
      <c r="A14" s="121" t="n">
        <v>10</v>
      </c>
      <c r="B14" s="121" t="inlineStr">
        <is>
          <t>MINDEF</t>
        </is>
      </c>
      <c r="C14" s="123" t="inlineStr">
        <is>
          <t>Not started</t>
        </is>
      </c>
      <c r="D14" s="122" t="inlineStr">
        <is>
          <t>Clifton Chan</t>
        </is>
      </c>
      <c r="E14" s="121" t="inlineStr">
        <is>
          <t>NA</t>
        </is>
      </c>
      <c r="F14" s="121" t="inlineStr">
        <is>
          <t>Clifton_Chan_Jun_Wen@defence.gov.sg</t>
        </is>
      </c>
      <c r="G14" s="121" t="inlineStr">
        <is>
          <t>NA</t>
        </is>
      </c>
      <c r="H14" s="121" t="n"/>
      <c r="I14" s="121" t="inlineStr">
        <is>
          <t>01 Jan 2026</t>
        </is>
      </c>
      <c r="J14" s="121" t="inlineStr">
        <is>
          <t>Specimen container</t>
        </is>
      </c>
      <c r="K14" s="147" t="inlineStr">
        <is>
          <t>Medium</t>
        </is>
      </c>
      <c r="L14" s="121" t="inlineStr">
        <is>
          <t>MINDEF/SAF procurement contact — potential fit for rugged portable/handheld ultrasound (SonoGO 3-in-1, SonoEye) for medical centres and field medical units. Ask about upcoming medical equipment requirements; military procurement runs separately from ALPS. Existing relationship (you've corresponded before) — one of your easiest first calls.</t>
        </is>
      </c>
      <c r="M14" s="121" t="inlineStr">
        <is>
          <t>Contact Details from Emails (Formatted).xlsx</t>
        </is>
      </c>
      <c r="N14" s="145" t="inlineStr">
        <is>
          <t>CHISON diagnostic ultrasound for MINDEF: HSA-registered and locally serviced (SonoGO and SonoEye P3)</t>
        </is>
      </c>
      <c r="O14" s="108" t="inlineStr">
        <is>
          <t>Dear Clifton Chan,
We corresponded on 01 Jan 2026 regarding Specimen container.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MINDEF centres on rugged portable and handheld scanning for medical centres and field units, which is exactly where this range sits.
Where CHISON would fit:
• SonoGO: launched July 2026, the first 3-in-1 platform, working as tablet, laptop and trolley in one system with SonoAI on board
• SonoEye P3: pocket handheld for emergency, intensive care and bedside point-of-care scanning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15" ht="39.75" customHeight="1" s="104">
      <c r="A15" s="121" t="n">
        <v>11</v>
      </c>
      <c r="B15" s="121" t="inlineStr">
        <is>
          <t>National Dental Centre of Singapore Pte Ltd</t>
        </is>
      </c>
      <c r="C15" s="123" t="inlineStr">
        <is>
          <t>Not started</t>
        </is>
      </c>
      <c r="D15" s="122" t="inlineStr">
        <is>
          <t>Mr Derick Chung</t>
        </is>
      </c>
      <c r="E15" s="121" t="inlineStr">
        <is>
          <t>Materials Management Department</t>
        </is>
      </c>
      <c r="F15" s="121" t="inlineStr">
        <is>
          <t>derick.chung.s.t@alpshealthcare.com.sg</t>
        </is>
      </c>
      <c r="G15" s="121" t="n"/>
      <c r="H15" s="121" t="n"/>
      <c r="I15" s="121" t="inlineStr">
        <is>
          <t>27 January 2025</t>
        </is>
      </c>
      <c r="J15" s="121" t="inlineStr">
        <is>
          <t>Master Agreement - Supply of Gauzes (Plain and Raytec) and Abdominal Swabs</t>
        </is>
      </c>
      <c r="K15" s="148" t="inlineStr">
        <is>
          <t>Low</t>
        </is>
      </c>
      <c r="L15" s="121" t="inlineStr">
        <is>
          <t>Department has limited direct use for diagnostic ultrasound (pharmacy/dental/eye/skin/mental health). Deprioritise, or use only as a warm intro to redirect to the right department.</t>
        </is>
      </c>
      <c r="M15" s="121" t="inlineStr">
        <is>
          <t>4) 2025.01.27 SP ALPS MA (Consumables).pdf</t>
        </is>
      </c>
      <c r="N15" s="145" t="inlineStr">
        <is>
          <t>Diagnostic ultrasound at National Dental Centre of Singapore Pte Ltd: could you point me to the right department?</t>
        </is>
      </c>
      <c r="O15" s="108" t="inlineStr">
        <is>
          <t>Dear Mr Derick Chung,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Materials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16" ht="39.75" customHeight="1" s="104">
      <c r="A16" s="121" t="n">
        <v>12</v>
      </c>
      <c r="B16" s="121" t="inlineStr">
        <is>
          <t>CDA</t>
        </is>
      </c>
      <c r="C16" s="123" t="inlineStr">
        <is>
          <t>Not started</t>
        </is>
      </c>
      <c r="D16" s="122" t="inlineStr">
        <is>
          <t>Dollyn Quek</t>
        </is>
      </c>
      <c r="E16" s="121" t="inlineStr">
        <is>
          <t>Scientific Officer, National Public Health Laboratory
Communicable Diseases Agency</t>
        </is>
      </c>
      <c r="F16" s="121" t="inlineStr">
        <is>
          <t>Dollyn_QUEK@cda.gov.sg</t>
        </is>
      </c>
      <c r="G16" s="121" t="inlineStr">
        <is>
          <t xml:space="preserve">D: 6357 7307 </t>
        </is>
      </c>
      <c r="H16" s="121" t="n"/>
      <c r="I16" s="121" t="inlineStr">
        <is>
          <t>04 Aug 2025</t>
        </is>
      </c>
      <c r="J16" s="121" t="inlineStr">
        <is>
          <t>Pasteru pipette</t>
        </is>
      </c>
      <c r="K16" s="148" t="inlineStr">
        <is>
          <t>Low</t>
        </is>
      </c>
      <c r="L16" s="121" t="inlineStr">
        <is>
          <t>Public health laboratory, not a diagnostic imaging purchaser — not a fit for Chison's ultrasound line. Existing relationship (you've corresponded before) — one of your easiest first calls.</t>
        </is>
      </c>
      <c r="M16" s="121" t="inlineStr">
        <is>
          <t>Contact Details from Emails (Formatted).xlsx</t>
        </is>
      </c>
      <c r="N16" s="145" t="inlineStr">
        <is>
          <t>Diagnostic ultrasound at CDA: could you point me to the right department?</t>
        </is>
      </c>
      <c r="O16" s="108" t="inlineStr">
        <is>
          <t>Dear Dollyn Quek,
We corresponded on 04 Aug 2025 regarding Pasteru pipette.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Scientific Officer, National Public Health Laboratory, Communicable Diseases Agency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17" ht="39.75" customHeight="1" s="104">
      <c r="A17" s="121" t="n">
        <v>13</v>
      </c>
      <c r="B17" s="121" t="inlineStr">
        <is>
          <t>National University Polyclinics</t>
        </is>
      </c>
      <c r="C17" s="123" t="inlineStr">
        <is>
          <t>Not started</t>
        </is>
      </c>
      <c r="D17" s="122" t="inlineStr">
        <is>
          <t>Ms Doris Heng</t>
        </is>
      </c>
      <c r="E17" s="121" t="inlineStr">
        <is>
          <t>Materials Management Department</t>
        </is>
      </c>
      <c r="F17" s="121" t="inlineStr">
        <is>
          <t>doris.heng.h.s@alpshealthcare.com.sg</t>
        </is>
      </c>
      <c r="G17" s="121" t="inlineStr">
        <is>
          <t>6716 3078</t>
        </is>
      </c>
      <c r="H17" s="121" t="n"/>
      <c r="I17" s="121" t="inlineStr">
        <is>
          <t>22 April 2024</t>
        </is>
      </c>
      <c r="J17" s="121" t="inlineStr">
        <is>
          <t>Master Agreement - Supply of Diapers</t>
        </is>
      </c>
      <c r="K17" s="147" t="inlineStr">
        <is>
          <t>Medium</t>
        </is>
      </c>
      <c r="L17" s="121" t="inlineStr">
        <is>
          <t>Polyclinic network — growing point-of-care ultrasound adoption in primary care. Pitch portable/handheld units (SonoAir, SonoEye, new SonoGO 3-in-1) as affordable POCUS for polyclinic use; ask who leads clinical equipment planning.</t>
        </is>
      </c>
      <c r="M17" s="121" t="inlineStr">
        <is>
          <t>2.2 GPMR02224_Reference Master Agreement.pdf</t>
        </is>
      </c>
      <c r="N17" s="145" t="inlineStr">
        <is>
          <t>CHISON diagnostic ultrasound for National University Polyclinics: HSA-registered and locally serviced (SonoAir 30 and SonoEye P3)</t>
        </is>
      </c>
      <c r="O17" s="108" t="inlineStr">
        <is>
          <t>Dear Ms Doris Heng,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University Polyclinics centres on primary-care point-of-care scanning, which is exactly where this range sits.
Where CHISON would fit:
• SonoAir 30: lightweight laptop for mobile and multi-site work
• SonoEye P3: pocket handheld for emergency, intensive care and bedside point-of-care scanning
• SonoGO: launched July 2026, the first 3-in-1 platform, working as tablet, laptop and trolley in one system with SonoAI on board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18" ht="39.75" customHeight="1" s="104">
      <c r="A18" s="121" t="n">
        <v>14</v>
      </c>
      <c r="B18" s="121" t="inlineStr">
        <is>
          <t>Mount Alvernia</t>
        </is>
      </c>
      <c r="C18" s="123" t="inlineStr">
        <is>
          <t>Not started</t>
        </is>
      </c>
      <c r="D18" s="122" t="inlineStr">
        <is>
          <t>Edna Tnay</t>
        </is>
      </c>
      <c r="E18" s="121" t="inlineStr">
        <is>
          <t xml:space="preserve">Edna TNAY | Senior Executive, Materials Management Department, Fiscal Division </t>
        </is>
      </c>
      <c r="F18" s="121" t="inlineStr">
        <is>
          <t>edna.tnay@mtalvernia.sg</t>
        </is>
      </c>
      <c r="G18" s="121" t="inlineStr">
        <is>
          <t>Phone: 6347 6624</t>
        </is>
      </c>
      <c r="H18" s="121" t="inlineStr">
        <is>
          <t>Mount Alvernia Hospital, 820 Thomson Road, Singapore 574623</t>
        </is>
      </c>
      <c r="I18" s="121" t="n"/>
      <c r="J18" s="121" t="n">
        <v>980103</v>
      </c>
      <c r="K18" s="147" t="inlineStr">
        <is>
          <t>Medium</t>
        </is>
      </c>
      <c r="L18" s="121" t="inlineStr">
        <is>
          <t>Private hospital — faster, less bureaucratic procurement than public sector; no ALPS involvement. Position Chison as a cost-competitive alternative to premium incumbents; a successful private install also builds local reference sites. Existing relationship (you've corresponded before) — one of your easiest first calls.</t>
        </is>
      </c>
      <c r="M18" s="121" t="inlineStr">
        <is>
          <t>Contact Details from Emails (Formatted).xlsx</t>
        </is>
      </c>
      <c r="N18" s="145" t="inlineStr">
        <is>
          <t>CHISON diagnostic ultrasound for Mount Alvernia: HSA-registered and locally serviced (SonoEye P3 and SonoAir 30)</t>
        </is>
      </c>
      <c r="O18" s="108" t="inlineStr">
        <is>
          <t>Dear Edna Tnay,
We have corresponded previously regarding 980103.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Mount Alvernia centres on maternity and general outpatient imaging, which is exactly where this range sits.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19" ht="39.75" customHeight="1" s="104">
      <c r="A19" s="121" t="n">
        <v>15</v>
      </c>
      <c r="B19" s="121" t="inlineStr">
        <is>
          <t>ALPS HQ</t>
        </is>
      </c>
      <c r="C19" s="123" t="inlineStr">
        <is>
          <t>Not started</t>
        </is>
      </c>
      <c r="D19" s="122" t="inlineStr">
        <is>
          <t>Edwin ALPS</t>
        </is>
      </c>
      <c r="E19" s="121" t="inlineStr">
        <is>
          <t>NA</t>
        </is>
      </c>
      <c r="F19" s="121" t="inlineStr">
        <is>
          <t>edwin.cheu.c.s@alpshealthcare.com.sg</t>
        </is>
      </c>
      <c r="G19" s="121" t="inlineStr">
        <is>
          <t>NA</t>
        </is>
      </c>
      <c r="H19" s="121" t="inlineStr">
        <is>
          <t>NA</t>
        </is>
      </c>
      <c r="I19" s="121" t="inlineStr">
        <is>
          <t>28 Feb 2024</t>
        </is>
      </c>
      <c r="J19" s="121" t="inlineStr">
        <is>
          <t>ALPS consumables</t>
        </is>
      </c>
      <c r="K19" s="144" t="inlineStr">
        <is>
          <t>High</t>
        </is>
      </c>
      <c r="L19" s="121" t="inlineStr">
        <is>
          <t>ALPS HQ Strategic Procurement — but note their portfolio is Medical SUPPLIES (consumables). Ultrasound equipment tenders sit with ALPS's separate Strategic Procurement - Medical Technology (equipment) category team. Ask this contact for a warm internal referral to the MedTech category team, and get Chison registered on ALPS's SAP Ariba eProcurement portal to see sourcing events. Existing relationship (you've corresponded before) — one of your easiest first calls.</t>
        </is>
      </c>
      <c r="M19" s="121" t="inlineStr">
        <is>
          <t>Contact Details from Emails (Formatted).xlsx</t>
        </is>
      </c>
      <c r="N19" s="145" t="inlineStr">
        <is>
          <t>CHISON diagnostic ultrasound for ALPS HQ: HSA-registered and locally serviced (SonoEye P3 and SonoAir 30)</t>
        </is>
      </c>
      <c r="O19" s="108" t="inlineStr">
        <is>
          <t>Dear Edwin ALPS,
We corresponded on 28 Feb 2024 regarding ALPS consumables.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20" ht="39.75" customHeight="1" s="104">
      <c r="A20" s="121" t="n">
        <v>16</v>
      </c>
      <c r="B20" s="121" t="inlineStr">
        <is>
          <t>KK Women’s and Children's Hospital Pte Ltd</t>
        </is>
      </c>
      <c r="C20" s="123" t="inlineStr">
        <is>
          <t>Not started</t>
        </is>
      </c>
      <c r="D20" s="122" t="inlineStr">
        <is>
          <t>Ms Elina Ee</t>
        </is>
      </c>
      <c r="E20" s="121" t="inlineStr">
        <is>
          <t>Materials Management Department</t>
        </is>
      </c>
      <c r="F20" s="121" t="inlineStr">
        <is>
          <t>elina.ee.s.y@alpshealthcare.com.sg</t>
        </is>
      </c>
      <c r="G20" s="121" t="n"/>
      <c r="H20" s="121" t="n"/>
      <c r="I20" s="121" t="inlineStr">
        <is>
          <t>27 January 2025</t>
        </is>
      </c>
      <c r="J20" s="121" t="inlineStr">
        <is>
          <t>Master Agreement - Supply of Gauzes (Plain and Raytec) and Abdominal Swabs</t>
        </is>
      </c>
      <c r="K20" s="144" t="inlineStr">
        <is>
          <t>High</t>
        </is>
      </c>
      <c r="L20" s="121" t="inlineStr">
        <is>
          <t>KK Women's and Children's Hospital — Chison's strongest specialty fit (Women's Health/O&amp;G). MMD contact administers supplies contracts, so use them to reach the O&amp;G/Diagnostic Imaging departments and Biomedical Engineering who spec equipment. Pitch OB/GYN-configured SonoMax/XBit carts.</t>
        </is>
      </c>
      <c r="M20" s="121" t="inlineStr">
        <is>
          <t>4) 2025.01.27 SP ALPS MA (Consumables).pdf</t>
        </is>
      </c>
      <c r="N20" s="145" t="inlineStr">
        <is>
          <t>CHISON diagnostic ultrasound for KK Women’s and Children's Hospital Pte Ltd: HSA-registered and locally serviced (SonoMax 7 and XBit 90)</t>
        </is>
      </c>
      <c r="O20" s="108" t="inlineStr">
        <is>
          <t>Dear Ms Elina Ee,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KK Women’s and Children's Hospital Pte Ltd centres on obstetric, gynaecological and paediatric imaging, which is exactly where this range sits.
Where CHISON would fit:
• SonoMax 7: the flagship cart, carrying a full radiology, obstetric and cardiac workload
• XBit 90: premium cart for departments that want high-end imaging without a high-end budget
A focused cart offer,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21" ht="39.75" customHeight="1" s="104">
      <c r="A21" s="121" t="n">
        <v>17</v>
      </c>
      <c r="B21" s="121" t="inlineStr">
        <is>
          <t>KK Women’s and Children's Hospital Pte Ltd</t>
        </is>
      </c>
      <c r="C21" s="123" t="inlineStr">
        <is>
          <t>Not started</t>
        </is>
      </c>
      <c r="D21" s="122" t="inlineStr">
        <is>
          <t>Ms Elisee Koh</t>
        </is>
      </c>
      <c r="E21" s="121" t="inlineStr">
        <is>
          <t>Materials Management Department</t>
        </is>
      </c>
      <c r="F21" s="121" t="inlineStr">
        <is>
          <t>elisee.koh.w.s@alpshealthcare.com.sg</t>
        </is>
      </c>
      <c r="G21" s="121" t="inlineStr">
        <is>
          <t>6394 2188</t>
        </is>
      </c>
      <c r="H21" s="121" t="n"/>
      <c r="I21" s="121" t="inlineStr">
        <is>
          <t>14 July 2021</t>
        </is>
      </c>
      <c r="J21" s="121" t="inlineStr">
        <is>
          <t>Master Agreement Template (Sample) - Disposable Surgical Gowns and Sterile Hand Towels</t>
        </is>
      </c>
      <c r="K21" s="144" t="inlineStr">
        <is>
          <t>High</t>
        </is>
      </c>
      <c r="L21" s="121" t="inlineStr">
        <is>
          <t>KK Women's and Children's Hospital — Chison's strongest specialty fit (Women's Health/O&amp;G). MMD contact administers supplies contracts, so use them to reach the O&amp;G/Diagnostic Imaging departments and Biomedical Engineering who spec equipment. Pitch OB/GYN-configured SonoMax/XBit carts.</t>
        </is>
      </c>
      <c r="M21" s="121" t="inlineStr">
        <is>
          <t>Section 3.1 - ALPS Master Agreement (Sample).pdf</t>
        </is>
      </c>
      <c r="N21" s="145" t="inlineStr">
        <is>
          <t>CHISON diagnostic ultrasound for KK Women’s and Children's Hospital Pte Ltd: HSA-registered and locally serviced (SonoMax 7 and XBit 90)</t>
        </is>
      </c>
      <c r="O21" s="108" t="inlineStr">
        <is>
          <t>Dear Ms Elisee Koh,
We corresponded on 14 July 2021 regarding the Master Agreement Template (Sample) - Disposable Surgical Gowns and Sterile Hand Towels.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KK Women’s and Children's Hospital Pte Ltd centres on obstetric, gynaecological and paediatric imaging, which is exactly where this range sits.
Where CHISON would fit:
• SonoMax 7: the flagship cart, carrying a full radiology, obstetric and cardiac workload
• XBit 90: premium cart for departments that want high-end imaging without a high-end budget
A focused cart offer,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22" ht="39.75" customHeight="1" s="104">
      <c r="A22" s="121" t="n">
        <v>18</v>
      </c>
      <c r="B22" s="121" t="inlineStr">
        <is>
          <t>National Healthcare Group Pte Ltd</t>
        </is>
      </c>
      <c r="C22" s="123" t="inlineStr">
        <is>
          <t>Not started</t>
        </is>
      </c>
      <c r="D22" s="122" t="inlineStr">
        <is>
          <t>Ms Esther Ho</t>
        </is>
      </c>
      <c r="E22" s="121" t="inlineStr">
        <is>
          <t>Materials Management Department</t>
        </is>
      </c>
      <c r="F22" s="121" t="inlineStr">
        <is>
          <t>esther.ho.h.h@alpshealthcare.com.sg</t>
        </is>
      </c>
      <c r="G22" s="121" t="inlineStr">
        <is>
          <t>6496 6881</t>
        </is>
      </c>
      <c r="H22" s="121" t="n"/>
      <c r="I22" s="121" t="inlineStr">
        <is>
          <t>14 July 2021</t>
        </is>
      </c>
      <c r="J22" s="121" t="inlineStr">
        <is>
          <t>Master Agreement Template (Sample) - Disposable Surgical Gowns and Sterile Hand Towels</t>
        </is>
      </c>
      <c r="K22" s="144" t="inlineStr">
        <is>
          <t>High</t>
        </is>
      </c>
      <c r="L22" s="121" t="inlineStr">
        <is>
          <t>Cluster-level HQ (spans multiple hospitals) — can endorse or route Chison across the whole cluster. Seek a vendor introduction meeting and ask how equipment evaluations are coordinated cluster-wide.</t>
        </is>
      </c>
      <c r="M22" s="121" t="inlineStr">
        <is>
          <t>Section 3.1 - ALPS Master Agreement (Sample).pdf</t>
        </is>
      </c>
      <c r="N22" s="145" t="inlineStr">
        <is>
          <t>CHISON diagnostic ultrasound for National Healthcare Group Pte Ltd: HSA-registered and locally serviced (SonoEye P3 and SonoAir 30)</t>
        </is>
      </c>
      <c r="O22" s="108" t="inlineStr">
        <is>
          <t>Dear Ms Esther Ho,
We corresponded on 14 July 2021 regarding the Master Agreement Template (Sample) - Disposable Surgical Gowns and Sterile Hand Towels.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23" ht="39.75" customHeight="1" s="104">
      <c r="A23" s="121" t="n">
        <v>19</v>
      </c>
      <c r="B23" s="121" t="inlineStr">
        <is>
          <t>National Healthcare Group Pharmacy</t>
        </is>
      </c>
      <c r="C23" s="123" t="inlineStr">
        <is>
          <t>Not started</t>
        </is>
      </c>
      <c r="D23" s="122" t="inlineStr">
        <is>
          <t>Ms Evelyn Yip</t>
        </is>
      </c>
      <c r="E23" s="121" t="inlineStr">
        <is>
          <t>Materials Management Department</t>
        </is>
      </c>
      <c r="F23" s="121" t="inlineStr">
        <is>
          <t>evelyn.yip.s.t@alpshealthcare.com.sg</t>
        </is>
      </c>
      <c r="G23" s="121" t="n"/>
      <c r="H23" s="121" t="n"/>
      <c r="I23" s="121" t="inlineStr">
        <is>
          <t>27 January 2025</t>
        </is>
      </c>
      <c r="J23" s="121" t="inlineStr">
        <is>
          <t>Master Agreement - Supply of Gauzes (Plain and Raytec) and Abdominal Swabs</t>
        </is>
      </c>
      <c r="K23" s="148" t="inlineStr">
        <is>
          <t>Low</t>
        </is>
      </c>
      <c r="L23" s="121" t="inlineStr">
        <is>
          <t>Department has limited direct use for diagnostic ultrasound (pharmacy/dental/eye/skin/mental health). Deprioritise, or use only as a warm intro to redirect to the right department.</t>
        </is>
      </c>
      <c r="M23" s="121" t="inlineStr">
        <is>
          <t>4) 2025.01.27 SP ALPS MA (Consumables).pdf</t>
        </is>
      </c>
      <c r="N23" s="145" t="inlineStr">
        <is>
          <t>Diagnostic ultrasound at National Healthcare Group Pharmacy: could you point me to the right department?</t>
        </is>
      </c>
      <c r="O23" s="108" t="inlineStr">
        <is>
          <t>Dear Ms Evelyn Yip,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Materials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24" ht="39.75" customHeight="1" s="104">
      <c r="A24" s="121" t="n">
        <v>20</v>
      </c>
      <c r="B24" s="121" t="inlineStr">
        <is>
          <t>TTSH</t>
        </is>
      </c>
      <c r="C24" s="123" t="inlineStr">
        <is>
          <t>Not started</t>
        </is>
      </c>
      <c r="D24" s="122" t="inlineStr">
        <is>
          <t>Goh Kian Hong (Mr)</t>
        </is>
      </c>
      <c r="E24" s="121" t="inlineStr">
        <is>
          <t>Senior Assistant Manager, Operating Theatre Services</t>
        </is>
      </c>
      <c r="F24" s="121" t="inlineStr">
        <is>
          <t>kian.hong.goh@nhghealth.com.sg</t>
        </is>
      </c>
      <c r="G24" s="121" t="inlineStr">
        <is>
          <t>DID: +65 6357 1516</t>
        </is>
      </c>
      <c r="H24" s="121" t="n"/>
      <c r="I24" s="121" t="inlineStr">
        <is>
          <t>01 Feb 2026</t>
        </is>
      </c>
      <c r="J24" s="121" t="inlineStr">
        <is>
          <t xml:space="preserve">EO indication </t>
        </is>
      </c>
      <c r="K24" s="144" t="inlineStr">
        <is>
          <t>High</t>
        </is>
      </c>
      <c r="L24" s="121" t="inlineStr">
        <is>
          <t>Operating Theatre Services — pitch point-of-care ultrasound (SonoAir portable, SonoEye handheld) for vascular access, regional blocks and perioperative scanning. OT users often trial via clinician champions — offer a demo unit. Existing relationship (you've corresponded before) — one of your easiest first calls.</t>
        </is>
      </c>
      <c r="M24" s="121" t="inlineStr">
        <is>
          <t>Contact Details from Emails (Formatted).xlsx</t>
        </is>
      </c>
      <c r="N24" s="145" t="inlineStr">
        <is>
          <t>CHISON diagnostic ultrasound for TTSH: HSA-registered and locally serviced (SonoAir 30 and SonoEye P3)</t>
        </is>
      </c>
      <c r="O24" s="108" t="inlineStr">
        <is>
          <t>Dear Goh Kian Hong (Mr),
We corresponded on 01 Feb 2026 regarding EO indication.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Operating Theatre Services is exactly where point-of-care ultrasound earns its keep, in vascular access, regional blocks and perioperative scanning.
Where CHISON would fit:
• SonoAir 30: lightweight laptop for mobile and multi-site work
• SonoEye P3: pocket handheld for emergency, intensive care and bedside point-of-care scanning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25" ht="39.75" customHeight="1" s="104">
      <c r="A25" s="121" t="n">
        <v>21</v>
      </c>
      <c r="B25" s="121" t="inlineStr">
        <is>
          <t>Agency for Integrated Care Pte Ltd</t>
        </is>
      </c>
      <c r="C25" s="123" t="inlineStr">
        <is>
          <t>Not started</t>
        </is>
      </c>
      <c r="D25" s="122" t="inlineStr">
        <is>
          <t>Ms Heidi Rafman</t>
        </is>
      </c>
      <c r="E25" s="121" t="inlineStr">
        <is>
          <t>Chief, Quality and Productivity Division (Signatory)</t>
        </is>
      </c>
      <c r="F25" s="121" t="n"/>
      <c r="G25" s="121" t="n"/>
      <c r="H25" s="121" t="n"/>
      <c r="I25" s="121" t="inlineStr">
        <is>
          <t>March 2021 (Rev No. 2)</t>
        </is>
      </c>
      <c r="J25" s="121" t="inlineStr">
        <is>
          <t>Master Agreement (ALPS ComCare) - Supply of Mask and Glove</t>
        </is>
      </c>
      <c r="K25" s="148" t="inlineStr">
        <is>
          <t>Low</t>
        </is>
      </c>
      <c r="L25" s="121" t="inlineStr">
        <is>
          <t>Coordinates community care providers rather than purchasing diagnostic imaging — low fit.</t>
        </is>
      </c>
      <c r="M25" s="121" t="inlineStr">
        <is>
          <t>3.1) VWOR00223_Master Agreement with Schedule 1.pdf</t>
        </is>
      </c>
      <c r="N25" s="145" t="inlineStr">
        <is>
          <t>Diagnostic ultrasound at Agency for Integrated Care Pte Ltd: could you point me to the right department?</t>
        </is>
      </c>
      <c r="O25" s="108" t="inlineStr">
        <is>
          <t>Dear Ms Heidi Rafman,
We corresponded on March 2021 (Rev No. 2) regarding the Master Agreement (ALPS ComCare) - Supply of Mask and Glove.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Chief, Quality and Productivity Division (Signatory)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26" ht="39.75" customHeight="1" s="104">
      <c r="A26" s="121" t="n">
        <v>22</v>
      </c>
      <c r="B26" s="121" t="inlineStr">
        <is>
          <t>National Neuroscience Institute of Singapore Pte Ltd</t>
        </is>
      </c>
      <c r="C26" s="123" t="inlineStr">
        <is>
          <t>Not started</t>
        </is>
      </c>
      <c r="D26" s="122" t="inlineStr">
        <is>
          <t>Ms Irene Ong</t>
        </is>
      </c>
      <c r="E26" s="121" t="inlineStr">
        <is>
          <t>Materials Management Department</t>
        </is>
      </c>
      <c r="F26" s="121" t="inlineStr">
        <is>
          <t>irene.ong.y.j@alpshealthcare.com.sg</t>
        </is>
      </c>
      <c r="G26" s="121" t="n"/>
      <c r="H26" s="121" t="n"/>
      <c r="I26" s="121" t="inlineStr">
        <is>
          <t>27 January 2025</t>
        </is>
      </c>
      <c r="J26" s="121" t="inlineStr">
        <is>
          <t>Master Agreement - Supply of Gauzes (Plain and Raytec) and Abdominal Swabs</t>
        </is>
      </c>
      <c r="K26" s="147" t="inlineStr">
        <is>
          <t>Medium</t>
        </is>
      </c>
      <c r="L26" s="121" t="inlineStr">
        <is>
          <t>Neuroscience institute — moderate fit (vascular/transcranial applications). Courtesy intro; redirect to imaging/biomed contacts.</t>
        </is>
      </c>
      <c r="M26" s="121" t="inlineStr">
        <is>
          <t>4) 2025.01.27 SP ALPS MA (Consumables).pdf</t>
        </is>
      </c>
      <c r="N26" s="145" t="inlineStr">
        <is>
          <t>CHISON diagnostic ultrasound for National Neuroscience Institute of Singapore Pte Ltd: HSA-registered and locally serviced (SonoMax 7 and XBit 90)</t>
        </is>
      </c>
      <c r="O26" s="108" t="inlineStr">
        <is>
          <t>Dear Ms Irene Ong,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Neuroscience Institute of Singapore Pte Ltd centres on vascular and transcranial studies,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27" ht="39.75" customHeight="1" s="104">
      <c r="A27" s="121" t="n">
        <v>23</v>
      </c>
      <c r="B27" s="121" t="inlineStr">
        <is>
          <t>ALPS Pte Ltd</t>
        </is>
      </c>
      <c r="C27" s="123" t="inlineStr">
        <is>
          <t>Not started</t>
        </is>
      </c>
      <c r="D27" s="122" t="inlineStr">
        <is>
          <t>Mr Jackson Lim</t>
        </is>
      </c>
      <c r="E27" s="121" t="inlineStr">
        <is>
          <t>Director, Strategic Procurement Transformation (Witness)</t>
        </is>
      </c>
      <c r="F27" s="121" t="n"/>
      <c r="G27" s="121" t="n"/>
      <c r="H27" s="121" t="n"/>
      <c r="I27" s="121" t="inlineStr">
        <is>
          <t>March 2021 (Rev No. 2)</t>
        </is>
      </c>
      <c r="J27" s="121" t="inlineStr">
        <is>
          <t>Master Agreement (ALPS ComCare) - Supply of Mask and Glove</t>
        </is>
      </c>
      <c r="K27" s="144" t="inlineStr">
        <is>
          <t>High</t>
        </is>
      </c>
      <c r="L27" s="121" t="inlineStr">
        <is>
          <t>Senior ALPS leadership who sign/witness Master Agreements network-wide. Not a cold-call target — use for a formal vendor introduction once you have traction, or via industry events. Positioning Chison as an accredited vendor at this level accelerates everything downstream.</t>
        </is>
      </c>
      <c r="M27" s="121" t="inlineStr">
        <is>
          <t>3.1) VWOR00223_Master Agreement with Schedule 1.pdf</t>
        </is>
      </c>
      <c r="N27" s="145" t="inlineStr">
        <is>
          <t>CHISON diagnostic ultrasound for ALPS Pte Ltd: HSA-registered and locally serviced (SonoEye P3 and SonoAir 30)</t>
        </is>
      </c>
      <c r="O27" s="108" t="inlineStr">
        <is>
          <t>Dear Mr Jackson Lim,
We corresponded on March 2021 (Rev No. 2) regarding the Master Agreement (ALPS ComCare) - Supply of Mask and Glove.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where supplier frameworks are signed rather than administered, so I would rather make a proper introduction than work upward later.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28" ht="39.75" customHeight="1" s="104">
      <c r="A28" s="121" t="n">
        <v>24</v>
      </c>
      <c r="B28" s="121" t="inlineStr">
        <is>
          <t>Ng Teng Fong General Hospital; Jurong Community Hospital; Jurong Medical Centre</t>
        </is>
      </c>
      <c r="C28" s="123" t="inlineStr">
        <is>
          <t>Not started</t>
        </is>
      </c>
      <c r="D28" s="122" t="inlineStr">
        <is>
          <t>Ms Jacqueline Lim</t>
        </is>
      </c>
      <c r="E28" s="121" t="inlineStr">
        <is>
          <t>Material Management Department</t>
        </is>
      </c>
      <c r="F28" s="121" t="inlineStr">
        <is>
          <t>Jacqueline.lim.c.l@alpshealthcare.com.sg</t>
        </is>
      </c>
      <c r="G28" s="121" t="n"/>
      <c r="H28" s="121" t="n"/>
      <c r="I28" s="121" t="inlineStr">
        <is>
          <t>27 January 2025</t>
        </is>
      </c>
      <c r="J28" s="121" t="inlineStr">
        <is>
          <t>Master Agreement - Supply of Gauzes (Plain and Raytec) and Abdominal Swabs</t>
        </is>
      </c>
      <c r="K28" s="147" t="inlineStr">
        <is>
          <t>Medium</t>
        </is>
      </c>
      <c r="L28"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28" s="121" t="inlineStr">
        <is>
          <t>4) 2025.01.27 SP ALPS MA (Consumables).pdf</t>
        </is>
      </c>
      <c r="N28" s="145" t="inlineStr">
        <is>
          <t>CHISON diagnostic ultrasound for Ng Teng Fong General Hospital; Jurong Community Hospital; Jurong Medical Centre: HSA-registered and locally serviced (CBit 6 and SonoAir 30)</t>
        </is>
      </c>
      <c r="O28" s="108" t="inlineStr">
        <is>
          <t>Dear Ms Jacqueline Lim,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Ng Teng Fong General Hospital; Jurong Community Hospital; Jurong Medical Centre centres on bedside scanning on the wards, which is exactly where this range sits.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29" ht="39.75" customHeight="1" s="104">
      <c r="A29" s="121" t="n">
        <v>25</v>
      </c>
      <c r="B29" s="121" t="inlineStr">
        <is>
          <t>Singapore National Eye Centre Pte Ltd</t>
        </is>
      </c>
      <c r="C29" s="123" t="inlineStr">
        <is>
          <t>Not started</t>
        </is>
      </c>
      <c r="D29" s="122" t="inlineStr">
        <is>
          <t>Ms Jamie Lee</t>
        </is>
      </c>
      <c r="E29" s="121" t="inlineStr">
        <is>
          <t>Materials Management Department</t>
        </is>
      </c>
      <c r="F29" s="121" t="inlineStr">
        <is>
          <t>jamie.lee.s.c@alpshealthcare.com.sg</t>
        </is>
      </c>
      <c r="G29" s="121" t="inlineStr">
        <is>
          <t>6322 9408</t>
        </is>
      </c>
      <c r="H29" s="121" t="n"/>
      <c r="I29" s="121" t="inlineStr">
        <is>
          <t>14 July 2021</t>
        </is>
      </c>
      <c r="J29" s="121" t="inlineStr">
        <is>
          <t>Master Agreement Template (Sample) - Disposable Surgical Gowns and Sterile Hand Towels</t>
        </is>
      </c>
      <c r="K29" s="148" t="inlineStr">
        <is>
          <t>Low</t>
        </is>
      </c>
      <c r="L29" s="121" t="inlineStr">
        <is>
          <t>Department has limited direct use for diagnostic ultrasound (pharmacy/dental/eye/skin/mental health). Deprioritise, or use only as a warm intro to redirect to the right department.</t>
        </is>
      </c>
      <c r="M29" s="121" t="inlineStr">
        <is>
          <t>Section 3.1 - ALPS Master Agreement (Sample).pdf</t>
        </is>
      </c>
      <c r="N29" s="145" t="inlineStr">
        <is>
          <t>Diagnostic ultrasound at Singapore National Eye Centre Pte Ltd: could you point me to the right department?</t>
        </is>
      </c>
      <c r="O29" s="108" t="inlineStr">
        <is>
          <t>Dear Ms Jamie Lee,
We corresponded on 14 July 2021 regarding the Master Agreement Template (Sample) - Disposable Surgical Gowns and Sterile Hand Towels.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Materials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30" ht="39.75" customHeight="1" s="104">
      <c r="A30" s="121" t="n">
        <v>26</v>
      </c>
      <c r="B30" s="121" t="inlineStr">
        <is>
          <t>Institute of Mental Health</t>
        </is>
      </c>
      <c r="C30" s="123" t="inlineStr">
        <is>
          <t>Not started</t>
        </is>
      </c>
      <c r="D30" s="122" t="inlineStr">
        <is>
          <t>Ms Janice Chik</t>
        </is>
      </c>
      <c r="E30" s="121" t="inlineStr">
        <is>
          <t>Materials Management Department</t>
        </is>
      </c>
      <c r="F30" s="121" t="inlineStr">
        <is>
          <t>Janice.chik.s.t@alpshealthcare.com.sg</t>
        </is>
      </c>
      <c r="G30" s="121" t="n"/>
      <c r="H30" s="121" t="n"/>
      <c r="I30" s="121" t="inlineStr">
        <is>
          <t>27 January 2025</t>
        </is>
      </c>
      <c r="J30" s="121" t="inlineStr">
        <is>
          <t>Master Agreement - Supply of Gauzes (Plain and Raytec) and Abdominal Swabs</t>
        </is>
      </c>
      <c r="K30" s="148" t="inlineStr">
        <is>
          <t>Low</t>
        </is>
      </c>
      <c r="L30" s="121" t="inlineStr">
        <is>
          <t>Department has limited direct use for diagnostic ultrasound (pharmacy/dental/eye/skin/mental health). Deprioritise, or use only as a warm intro to redirect to the right department.</t>
        </is>
      </c>
      <c r="M30" s="121" t="inlineStr">
        <is>
          <t>4) 2025.01.27 SP ALPS MA (Consumables).pdf</t>
        </is>
      </c>
      <c r="N30" s="145" t="inlineStr">
        <is>
          <t>Diagnostic ultrasound at Institute of Mental Health: could you point me to the right department?</t>
        </is>
      </c>
      <c r="O30" s="108" t="inlineStr">
        <is>
          <t>Dear Ms Janice Chik,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Materials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31" ht="39.75" customHeight="1" s="104">
      <c r="A31" s="121" t="n">
        <v>27</v>
      </c>
      <c r="B31" s="121" t="inlineStr">
        <is>
          <t>CDA</t>
        </is>
      </c>
      <c r="C31" s="123" t="inlineStr">
        <is>
          <t>Not started</t>
        </is>
      </c>
      <c r="D31" s="122" t="inlineStr">
        <is>
          <t>Janice GAY</t>
        </is>
      </c>
      <c r="E31" s="121" t="inlineStr">
        <is>
          <t>Scientific Officer, National Public Health Laboratory
Communicable Diseases Agency</t>
        </is>
      </c>
      <c r="F31" s="121" t="inlineStr">
        <is>
          <t>Janice_GAY@cda.gov.sg</t>
        </is>
      </c>
      <c r="G31" s="121" t="inlineStr">
        <is>
          <t>D: 6357 7317</t>
        </is>
      </c>
      <c r="H31" s="121" t="inlineStr">
        <is>
          <t>National Public Health Laboratory
National Centre for Infectious Diseases
Block G, Level 13
16 Jalan Tan Tock Seng
Singapore 308442</t>
        </is>
      </c>
      <c r="I31" s="121" t="inlineStr">
        <is>
          <t>01 Jan 2026</t>
        </is>
      </c>
      <c r="J31" s="121" t="inlineStr">
        <is>
          <t>Asking BCYE plates</t>
        </is>
      </c>
      <c r="K31" s="148" t="inlineStr">
        <is>
          <t>Low</t>
        </is>
      </c>
      <c r="L31" s="121" t="inlineStr">
        <is>
          <t>Public health laboratory, not a diagnostic imaging purchaser — not a fit for Chison's ultrasound line. Existing relationship (you've corresponded before) — one of your easiest first calls.</t>
        </is>
      </c>
      <c r="M31" s="121" t="inlineStr">
        <is>
          <t>Contact Details from Emails (Formatted).xlsx</t>
        </is>
      </c>
      <c r="N31" s="145" t="inlineStr">
        <is>
          <t>Diagnostic ultrasound at CDA: could you point me to the right department?</t>
        </is>
      </c>
      <c r="O31" s="108" t="inlineStr">
        <is>
          <t>Dear Janice GAY,
We corresponded on 01 Jan 2026 regarding Asking BCYE plates.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Scientific Officer, National Public Health Laboratory, Communicable Diseases Agency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32" ht="39.75" customHeight="1" s="104">
      <c r="A32" s="121" t="n">
        <v>28</v>
      </c>
      <c r="B32" s="121" t="inlineStr">
        <is>
          <t>Singapore National Eye Centre Pte Ltd</t>
        </is>
      </c>
      <c r="C32" s="123" t="inlineStr">
        <is>
          <t>Not started</t>
        </is>
      </c>
      <c r="D32" s="122" t="inlineStr">
        <is>
          <t>Ms Jen Lim</t>
        </is>
      </c>
      <c r="E32" s="121" t="inlineStr">
        <is>
          <t>Materials Management Department</t>
        </is>
      </c>
      <c r="F32" s="121" t="inlineStr">
        <is>
          <t>jen.lim.c.c@alpshealthcare.com.sg</t>
        </is>
      </c>
      <c r="G32" s="121" t="inlineStr">
        <is>
          <t>6322 9412</t>
        </is>
      </c>
      <c r="H32" s="121" t="n"/>
      <c r="I32" s="121" t="inlineStr">
        <is>
          <t>22 April 2024</t>
        </is>
      </c>
      <c r="J32" s="121" t="inlineStr">
        <is>
          <t>Master Agreement - Supply of Diapers</t>
        </is>
      </c>
      <c r="K32" s="148" t="inlineStr">
        <is>
          <t>Low</t>
        </is>
      </c>
      <c r="L32" s="121" t="inlineStr">
        <is>
          <t>Department has limited direct use for diagnostic ultrasound (pharmacy/dental/eye/skin/mental health). Deprioritise, or use only as a warm intro to redirect to the right department.</t>
        </is>
      </c>
      <c r="M32" s="121" t="inlineStr">
        <is>
          <t>2.2 GPMR02224_Reference Master Agreement.pdf</t>
        </is>
      </c>
      <c r="N32" s="145" t="inlineStr">
        <is>
          <t>Diagnostic ultrasound at Singapore National Eye Centre Pte Ltd: could you point me to the right department?</t>
        </is>
      </c>
      <c r="O32" s="108" t="inlineStr">
        <is>
          <t>Dear Ms Jen Lim,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Materials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33" ht="39.75" customHeight="1" s="104">
      <c r="A33" s="121" t="n">
        <v>29</v>
      </c>
      <c r="B33" s="121" t="inlineStr">
        <is>
          <t>Alexandra Health Pte Ltd (KTPH); Yishun Community Hospital; Admiralty Medical Centre Pte Ltd</t>
        </is>
      </c>
      <c r="C33" s="123" t="inlineStr">
        <is>
          <t>Not started</t>
        </is>
      </c>
      <c r="D33" s="122" t="inlineStr">
        <is>
          <t>Ms Jennifer Chan</t>
        </is>
      </c>
      <c r="E33" s="121" t="inlineStr">
        <is>
          <t>Materials Management Department</t>
        </is>
      </c>
      <c r="F33" s="121" t="inlineStr">
        <is>
          <t>jennifer.chan.c.p@alpshealthcare.com.sg</t>
        </is>
      </c>
      <c r="G33" s="121" t="inlineStr">
        <is>
          <t>6602 2488</t>
        </is>
      </c>
      <c r="H33" s="121" t="n"/>
      <c r="I33" s="121" t="inlineStr">
        <is>
          <t>2 March 2023</t>
        </is>
      </c>
      <c r="J33" s="121" t="inlineStr">
        <is>
          <t>Master Agreement Template - Cost Per Reportable Program, Clinical Lab</t>
        </is>
      </c>
      <c r="K33" s="147" t="inlineStr">
        <is>
          <t>Medium</t>
        </is>
      </c>
      <c r="L33"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33" s="121" t="inlineStr">
        <is>
          <t>Section 3.1 ALPS MA - Clinical Lab (CPRR)_2023.03.02.docx.pdf</t>
        </is>
      </c>
      <c r="N33" s="145" t="inlineStr">
        <is>
          <t>CHISON diagnostic ultrasound for Alexandra Health Pte Ltd (KTPH); Yishun Community Hospital; Admiralty Medical Centre Pte Ltd: HSA-registered and locally serviced (CBit 6 and SonoAir 30)</t>
        </is>
      </c>
      <c r="O33" s="108" t="inlineStr">
        <is>
          <t>Dear Ms Jennifer Chan,
We corresponded on 2 March 2023 regarding the Master Agreement Template - Cost Per Reportable Program, Clinical Lab.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Alexandra Health Pte Ltd (KTPH); Yishun Community Hospital; Admiralty Medical Centre Pte Ltd centres on bedside scanning on the wards, which is exactly where this range sits.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34" ht="39.75" customHeight="1" s="104">
      <c r="A34" s="121" t="n">
        <v>30</v>
      </c>
      <c r="B34" s="121" t="inlineStr">
        <is>
          <t>National Cancer Centre of Singapore Pte Ltd</t>
        </is>
      </c>
      <c r="C34" s="123" t="inlineStr">
        <is>
          <t>Not started</t>
        </is>
      </c>
      <c r="D34" s="122" t="inlineStr">
        <is>
          <t>Mr Jeremy Lim</t>
        </is>
      </c>
      <c r="E34" s="121" t="inlineStr">
        <is>
          <t>Materials Management Department</t>
        </is>
      </c>
      <c r="F34" s="121" t="inlineStr">
        <is>
          <t>mmdlkh@nccs.com.sg</t>
        </is>
      </c>
      <c r="G34" s="121" t="inlineStr">
        <is>
          <t>6436 8048</t>
        </is>
      </c>
      <c r="H34" s="121" t="n"/>
      <c r="I34" s="121" t="inlineStr">
        <is>
          <t>14 July 2021</t>
        </is>
      </c>
      <c r="J34" s="121" t="inlineStr">
        <is>
          <t>Master Agreement Template (Sample) - Disposable Surgical Gowns and Sterile Hand Towels</t>
        </is>
      </c>
      <c r="K34" s="147" t="inlineStr">
        <is>
          <t>Medium</t>
        </is>
      </c>
      <c r="L34" s="121" t="inlineStr">
        <is>
          <t>Cancer centre — ultrasound used for biopsy guidance and vascular access rather than core imaging. Secondary target; ask MMD contact who handles interventional/imaging equipment.</t>
        </is>
      </c>
      <c r="M34" s="121" t="inlineStr">
        <is>
          <t>Section 3.1 - ALPS Master Agreement (Sample).pdf</t>
        </is>
      </c>
      <c r="N34" s="145" t="inlineStr">
        <is>
          <t>CHISON diagnostic ultrasound for National Cancer Centre of Singapore Pte Ltd: HSA-registered and locally serviced (SonoMax 7 and XBit 90)</t>
        </is>
      </c>
      <c r="O34" s="108" t="inlineStr">
        <is>
          <t>Dear Mr Jeremy Lim,
We corresponded on 14 July 2021 regarding the Master Agreement Template (Sample) - Disposable Surgical Gowns and Sterile Hand Towels.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Cancer Centre of Singapore Pte Ltd centres on biopsy guidance and vascular access,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35" ht="39.75" customHeight="1" s="104">
      <c r="A35" s="121" t="n">
        <v>31</v>
      </c>
      <c r="B35" s="121" t="inlineStr">
        <is>
          <t xml:space="preserve">ALPS SGH </t>
        </is>
      </c>
      <c r="C35" s="123" t="inlineStr">
        <is>
          <t>Not started</t>
        </is>
      </c>
      <c r="D35" s="122" t="inlineStr">
        <is>
          <t>Jerica PANG (Ms.)</t>
        </is>
      </c>
      <c r="E35" s="121" t="inlineStr">
        <is>
          <t>Executive, Procurement</t>
        </is>
      </c>
      <c r="F35" s="121" t="inlineStr">
        <is>
          <t>jerica.pang.w.y@alpshealthcare.com.sg</t>
        </is>
      </c>
      <c r="G35" s="121" t="inlineStr">
        <is>
          <t xml:space="preserve">DID: (65) 6321 3601  </t>
        </is>
      </c>
      <c r="H35" s="121" t="inlineStr">
        <is>
          <t>ALPS @ SGH MMD
Outram Community Hospital/Singhealth Tower
10 Hospital Boulevard Lobby A, Level 6 
Singapore 168582</t>
        </is>
      </c>
      <c r="I35" s="121" t="inlineStr">
        <is>
          <t>01 May 2025</t>
        </is>
      </c>
      <c r="J35" s="121" t="inlineStr">
        <is>
          <t>feedback on microscope slides</t>
        </is>
      </c>
      <c r="K35" s="147" t="inlineStr">
        <is>
          <t>Medium</t>
        </is>
      </c>
      <c r="L35"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 Existing relationship (you've corresponded before) — one of your easiest first calls.</t>
        </is>
      </c>
      <c r="M35" s="121" t="inlineStr">
        <is>
          <t>Contact Details from Emails (Formatted).xlsx</t>
        </is>
      </c>
      <c r="N35" s="145" t="inlineStr">
        <is>
          <t>CHISON diagnostic ultrasound for ALPS SGH: HSA-registered and locally serviced (CBit 6 and SonoAir 30)</t>
        </is>
      </c>
      <c r="O35" s="108" t="inlineStr">
        <is>
          <t>Dear Jerica PANG (Ms.),
We corresponded on 01 May 2025 regarding feedback on microscope slides.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Procurement is the right first stop for a new supplier, so I would rather introduce ourselves properly to you than approach a department cold.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36" ht="39.75" customHeight="1" s="104">
      <c r="A36" s="121" t="n">
        <v>32</v>
      </c>
      <c r="B36" s="121" t="inlineStr">
        <is>
          <t>ALPS SKH</t>
        </is>
      </c>
      <c r="C36" s="123" t="inlineStr">
        <is>
          <t>Not started</t>
        </is>
      </c>
      <c r="D36" s="122" t="inlineStr">
        <is>
          <t>Jesselyn Ong (Ms)</t>
        </is>
      </c>
      <c r="E36" s="121" t="inlineStr">
        <is>
          <t>NA</t>
        </is>
      </c>
      <c r="F36" s="121" t="inlineStr">
        <is>
          <t>jesselyn.ong.h.l@alpshealthcare.com.sg</t>
        </is>
      </c>
      <c r="G36" s="121" t="inlineStr">
        <is>
          <t>DID: (65) 6930 4531</t>
        </is>
      </c>
      <c r="H36" s="121" t="n"/>
      <c r="I36" s="121" t="inlineStr">
        <is>
          <t>08 Oct 2025</t>
        </is>
      </c>
      <c r="J36" s="121" t="inlineStr">
        <is>
          <t>BMH consumables</t>
        </is>
      </c>
      <c r="K36" s="147" t="inlineStr">
        <is>
          <t>Medium</t>
        </is>
      </c>
      <c r="L36"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 Existing relationship (you've corresponded before) — one of your easiest first calls.</t>
        </is>
      </c>
      <c r="M36" s="121" t="inlineStr">
        <is>
          <t>Contact Details from Emails (Formatted).xlsx</t>
        </is>
      </c>
      <c r="N36" s="145" t="inlineStr">
        <is>
          <t>CHISON diagnostic ultrasound for ALPS SKH: HSA-registered and locally serviced (CBit 6 and SonoAir 30)</t>
        </is>
      </c>
      <c r="O36" s="108" t="inlineStr">
        <is>
          <t>Dear Jesselyn Ong (Ms),
We corresponded on 08 Oct 2025 regarding BMH consumables.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37" ht="39.75" customHeight="1" s="104">
      <c r="A37" s="121" t="n">
        <v>33</v>
      </c>
      <c r="B37" s="121" t="inlineStr">
        <is>
          <t>ALPS</t>
        </is>
      </c>
      <c r="C37" s="123" t="inlineStr">
        <is>
          <t>Not started</t>
        </is>
      </c>
      <c r="D37" s="122" t="inlineStr">
        <is>
          <t>Joanne Hong</t>
        </is>
      </c>
      <c r="E37" s="121" t="inlineStr">
        <is>
          <t>ALPS, Procurement (Site Office – CGH)</t>
        </is>
      </c>
      <c r="F37" s="121" t="inlineStr">
        <is>
          <t>joanne.hong.w.f@alpshealthcare.com.sg</t>
        </is>
      </c>
      <c r="G37" s="121" t="inlineStr">
        <is>
          <t>9747 1007</t>
        </is>
      </c>
      <c r="H37" s="121" t="n"/>
      <c r="I37" s="121" t="inlineStr">
        <is>
          <t>25 Aug 2025</t>
        </is>
      </c>
      <c r="J37" s="121" t="inlineStr">
        <is>
          <t>surgical mask with visor</t>
        </is>
      </c>
      <c r="K37" s="147" t="inlineStr">
        <is>
          <t>Medium</t>
        </is>
      </c>
      <c r="L37"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 Existing relationship (you've corresponded before) — one of your easiest first calls.</t>
        </is>
      </c>
      <c r="M37" s="121" t="inlineStr">
        <is>
          <t>Contact Details from Emails (Formatted).xlsx</t>
        </is>
      </c>
      <c r="N37" s="145" t="inlineStr">
        <is>
          <t>CHISON diagnostic ultrasound for ALPS: HSA-registered and locally serviced (CBit 6 and SonoAir 30)</t>
        </is>
      </c>
      <c r="O37" s="108" t="inlineStr">
        <is>
          <t>Dear Joanne Hong,
We corresponded on 25 Aug 2025 regarding surgical mask with visor.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38" ht="39.75" customHeight="1" s="104">
      <c r="A38" s="121" t="n">
        <v>34</v>
      </c>
      <c r="B38" s="121" t="inlineStr">
        <is>
          <t>National University Polyclinics</t>
        </is>
      </c>
      <c r="C38" s="123" t="inlineStr">
        <is>
          <t>Not started</t>
        </is>
      </c>
      <c r="D38" s="122" t="inlineStr">
        <is>
          <t>Mr Johnson Ang</t>
        </is>
      </c>
      <c r="E38" s="121" t="inlineStr">
        <is>
          <t>Materials Management Department</t>
        </is>
      </c>
      <c r="F38" s="121" t="inlineStr">
        <is>
          <t>johnson.ang.hc@alpshealthcare.com.sg</t>
        </is>
      </c>
      <c r="G38" s="121" t="n"/>
      <c r="H38" s="121" t="n"/>
      <c r="I38" s="121" t="inlineStr">
        <is>
          <t>27 January 2025</t>
        </is>
      </c>
      <c r="J38" s="121" t="inlineStr">
        <is>
          <t>Master Agreement - Supply of Gauzes (Plain and Raytec) and Abdominal Swabs</t>
        </is>
      </c>
      <c r="K38" s="147" t="inlineStr">
        <is>
          <t>Medium</t>
        </is>
      </c>
      <c r="L38" s="121" t="inlineStr">
        <is>
          <t>Polyclinic network — growing point-of-care ultrasound adoption in primary care. Pitch portable/handheld units (SonoAir, SonoEye, new SonoGO 3-in-1) as affordable POCUS for polyclinic use; ask who leads clinical equipment planning.</t>
        </is>
      </c>
      <c r="M38" s="121" t="inlineStr">
        <is>
          <t>4) 2025.01.27 SP ALPS MA (Consumables).pdf</t>
        </is>
      </c>
      <c r="N38" s="145" t="inlineStr">
        <is>
          <t>CHISON diagnostic ultrasound for National University Polyclinics: HSA-registered and locally serviced (SonoAir 30 and SonoEye P3)</t>
        </is>
      </c>
      <c r="O38" s="108" t="inlineStr">
        <is>
          <t>Dear Mr Johnson Ang,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University Polyclinics centres on primary-care point-of-care scanning, which is exactly where this range sits.
Where CHISON would fit:
• SonoAir 30: lightweight laptop for mobile and multi-site work
• SonoEye P3: pocket handheld for emergency, intensive care and bedside point-of-care scanning
• SonoGO: launched July 2026, the first 3-in-1 platform, working as tablet, laptop and trolley in one system with SonoAI on board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39" ht="39.75" customHeight="1" s="104">
      <c r="A39" s="121" t="n">
        <v>35</v>
      </c>
      <c r="B39" s="121" t="inlineStr">
        <is>
          <t>ALPS WH</t>
        </is>
      </c>
      <c r="C39" s="123" t="inlineStr">
        <is>
          <t>Not started</t>
        </is>
      </c>
      <c r="D39" s="122" t="inlineStr">
        <is>
          <t>Kandice CHONG</t>
        </is>
      </c>
      <c r="E39" s="121" t="inlineStr">
        <is>
          <t>Senior Executive
Materials Management Department
ALPS @ WH MMD</t>
        </is>
      </c>
      <c r="F39" s="121" t="inlineStr">
        <is>
          <t>kandice.chong.c.k@alpshealthcare.com.sg</t>
        </is>
      </c>
      <c r="G39" s="121" t="inlineStr">
        <is>
          <t>Tel:  6361 1732
HP: 9777 5580</t>
        </is>
      </c>
      <c r="H39" s="121" t="inlineStr">
        <is>
          <t>ALPS @ WH MMD
17 Woodlands Drive 17, Singapore 737628</t>
        </is>
      </c>
      <c r="I39" s="121" t="inlineStr">
        <is>
          <t>29 Sep 2025</t>
        </is>
      </c>
      <c r="J39" s="121" t="inlineStr">
        <is>
          <t>surgical mask with visor</t>
        </is>
      </c>
      <c r="K39" s="144" t="inlineStr">
        <is>
          <t>High</t>
        </is>
      </c>
      <c r="L39" s="121" t="inlineStr">
        <is>
          <t>WoodlandsHealth — newer facility still building out equipment fleets; good timing before incumbents lock in. This contact is supplies/lab-side, so ask for an intro to WH's Diagnostic Imaging and Biomedical Engineering teams; pitch the full Chison range. Existing relationship (you've corresponded before) — one of your easiest first calls.</t>
        </is>
      </c>
      <c r="M39" s="121" t="inlineStr">
        <is>
          <t>Contact Details from Emails (Formatted).xlsx</t>
        </is>
      </c>
      <c r="N39" s="145" t="inlineStr">
        <is>
          <t>CHISON diagnostic ultrasound for ALPS WH: HSA-registered and locally serviced (SonoMax 7 and XBit 90)</t>
        </is>
      </c>
      <c r="O39" s="108" t="inlineStr">
        <is>
          <t>Dear Kandice CHONG,
We corresponded on 29 Sep 2025 regarding surgical mask with visor.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40" ht="39.75" customHeight="1" s="104">
      <c r="A40" s="121" t="n">
        <v>36</v>
      </c>
      <c r="B40" s="121" t="inlineStr">
        <is>
          <t>ALPS Pte Ltd</t>
        </is>
      </c>
      <c r="C40" s="123" t="inlineStr">
        <is>
          <t>Not started</t>
        </is>
      </c>
      <c r="D40" s="122" t="inlineStr">
        <is>
          <t>Mr Keith Lim</t>
        </is>
      </c>
      <c r="E40" s="121" t="inlineStr">
        <is>
          <t>Central Warehouse Distribution</t>
        </is>
      </c>
      <c r="F40" s="121" t="inlineStr">
        <is>
          <t>keith.lim.k.l@alpshealthcare.com.sg</t>
        </is>
      </c>
      <c r="G40" s="121" t="inlineStr">
        <is>
          <t>6377 8742</t>
        </is>
      </c>
      <c r="H40" s="121" t="n"/>
      <c r="I40" s="121" t="inlineStr">
        <is>
          <t>22 April 2024</t>
        </is>
      </c>
      <c r="J40" s="121" t="inlineStr">
        <is>
          <t>Master Agreement - Supply of Diapers</t>
        </is>
      </c>
      <c r="K40" s="148" t="inlineStr">
        <is>
          <t>Low</t>
        </is>
      </c>
      <c r="L40" s="121" t="inlineStr">
        <is>
          <t>Department has limited direct use for diagnostic ultrasound (pharmacy/dental/eye/skin/mental health). Deprioritise, or use only as a warm intro to redirect to the right department.</t>
        </is>
      </c>
      <c r="M40" s="121" t="inlineStr">
        <is>
          <t>2.2 GPMR02224_Reference Master Agreement.pdf</t>
        </is>
      </c>
      <c r="N40" s="145" t="inlineStr">
        <is>
          <t>Diagnostic ultrasound at ALPS Pte Ltd: could you point me to the right department?</t>
        </is>
      </c>
      <c r="O40" s="108" t="inlineStr">
        <is>
          <t>Dear Mr Keith Lim,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Central Warehouse Distribution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41" ht="39.75" customHeight="1" s="104">
      <c r="A41" s="121" t="n">
        <v>37</v>
      </c>
      <c r="B41" s="121" t="inlineStr">
        <is>
          <t>Alexandra Hospital</t>
        </is>
      </c>
      <c r="C41" s="123" t="inlineStr">
        <is>
          <t>Not started</t>
        </is>
      </c>
      <c r="D41" s="122" t="inlineStr">
        <is>
          <t>Mr Kelvin Koh</t>
        </is>
      </c>
      <c r="E41" s="121" t="inlineStr">
        <is>
          <t>Materials Management Department</t>
        </is>
      </c>
      <c r="F41" s="121" t="inlineStr">
        <is>
          <t>kelvin.koh.y.h@alpshealthcare.com.sg</t>
        </is>
      </c>
      <c r="G41" s="121" t="n"/>
      <c r="H41" s="121" t="n"/>
      <c r="I41" s="121" t="inlineStr">
        <is>
          <t>27 January 2025</t>
        </is>
      </c>
      <c r="J41" s="121" t="inlineStr">
        <is>
          <t>Master Agreement - Supply of Gauzes (Plain and Raytec) and Abdominal Swabs</t>
        </is>
      </c>
      <c r="K41" s="147" t="inlineStr">
        <is>
          <t>Medium</t>
        </is>
      </c>
      <c r="L41"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41" s="121" t="inlineStr">
        <is>
          <t>4) 2025.01.27 SP ALPS MA (Consumables).pdf</t>
        </is>
      </c>
      <c r="N41" s="145" t="inlineStr">
        <is>
          <t>CHISON diagnostic ultrasound for Alexandra Hospital: HSA-registered and locally serviced (CBit 6 and SonoAir 30)</t>
        </is>
      </c>
      <c r="O41" s="108" t="inlineStr">
        <is>
          <t>Dear Mr Kelvin Koh,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42" ht="39.75" customHeight="1" s="104">
      <c r="A42" s="121" t="n">
        <v>38</v>
      </c>
      <c r="B42" s="121" t="inlineStr">
        <is>
          <t>National Neuroscience Institute of Singapore Pte Ltd</t>
        </is>
      </c>
      <c r="C42" s="123" t="inlineStr">
        <is>
          <t>Not started</t>
        </is>
      </c>
      <c r="D42" s="122" t="inlineStr">
        <is>
          <t>Mr. Kelvin Tan</t>
        </is>
      </c>
      <c r="E42" s="121" t="inlineStr">
        <is>
          <t>Materials Management Department</t>
        </is>
      </c>
      <c r="F42" s="121" t="inlineStr">
        <is>
          <t>kelvin.tan.g.c@alpshealthcare.com.sg</t>
        </is>
      </c>
      <c r="G42" s="121" t="inlineStr">
        <is>
          <t>6357 7160</t>
        </is>
      </c>
      <c r="H42" s="121" t="n"/>
      <c r="I42" s="121" t="inlineStr">
        <is>
          <t>12 December 2022</t>
        </is>
      </c>
      <c r="J42" s="121" t="inlineStr">
        <is>
          <t>Master Agreement - Point of Care (POC) Testing (POCT) for Blood Glucose</t>
        </is>
      </c>
      <c r="K42" s="147" t="inlineStr">
        <is>
          <t>Medium</t>
        </is>
      </c>
      <c r="L42" s="121" t="inlineStr">
        <is>
          <t>Neuroscience institute — moderate fit (vascular/transcranial applications). Courtesy intro; redirect to imaging/biomed contacts.</t>
        </is>
      </c>
      <c r="M42" s="121" t="inlineStr">
        <is>
          <t>Master Agreement.pdf</t>
        </is>
      </c>
      <c r="N42" s="145" t="inlineStr">
        <is>
          <t>CHISON diagnostic ultrasound for National Neuroscience Institute of Singapore Pte Ltd: HSA-registered and locally serviced (SonoMax 7 and XBit 90)</t>
        </is>
      </c>
      <c r="O42" s="108" t="inlineStr">
        <is>
          <t>Dear Mr. Kelvin Tan,
We corresponded on 12 December 2022 regarding the Master Agreement - Point of Care (POC) Testing (POCT) for Blood Glucose.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Neuroscience Institute of Singapore Pte Ltd centres on vascular and transcranial studies,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43" ht="39.75" customHeight="1" s="104">
      <c r="A43" s="121" t="n">
        <v>39</v>
      </c>
      <c r="B43" s="121" t="inlineStr">
        <is>
          <t>National University Hospital (Singapore) Pte Ltd</t>
        </is>
      </c>
      <c r="C43" s="123" t="inlineStr">
        <is>
          <t>Not started</t>
        </is>
      </c>
      <c r="D43" s="122" t="inlineStr">
        <is>
          <t>Mr Kenny Tang</t>
        </is>
      </c>
      <c r="E43" s="121" t="inlineStr">
        <is>
          <t>Materials Management Department</t>
        </is>
      </c>
      <c r="F43" s="121" t="inlineStr">
        <is>
          <t>kenny.tang.k.h@alpshealthcare.com.sg</t>
        </is>
      </c>
      <c r="G43" s="121" t="inlineStr">
        <is>
          <t>6772 7823</t>
        </is>
      </c>
      <c r="H43" s="121" t="n"/>
      <c r="I43" s="121" t="inlineStr">
        <is>
          <t>2 March 2023</t>
        </is>
      </c>
      <c r="J43" s="121" t="inlineStr">
        <is>
          <t>Master Agreement Template - Cost Per Reportable Program, Clinical Lab</t>
        </is>
      </c>
      <c r="K43" s="147" t="inlineStr">
        <is>
          <t>Medium</t>
        </is>
      </c>
      <c r="L43"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43" s="121" t="inlineStr">
        <is>
          <t>Section 3.1 ALPS MA - Clinical Lab (CPRR)_2023.03.02.docx.pdf</t>
        </is>
      </c>
      <c r="N43" s="145" t="inlineStr">
        <is>
          <t>CHISON diagnostic ultrasound for National University Hospital (Singapore) Pte Ltd: HSA-registered and locally serviced (CBit 6 and SonoAir 30)</t>
        </is>
      </c>
      <c r="O43" s="108" t="inlineStr">
        <is>
          <t>Dear Mr Kenny Tang,
We corresponded on 2 March 2023 regarding the Master Agreement Template - Cost Per Reportable Program, Clinical Lab.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44" ht="39.75" customHeight="1" s="104">
      <c r="A44" s="121" t="n">
        <v>40</v>
      </c>
      <c r="B44" s="121" t="inlineStr">
        <is>
          <t>ALPS AH</t>
        </is>
      </c>
      <c r="C44" s="123" t="inlineStr">
        <is>
          <t>Not started</t>
        </is>
      </c>
      <c r="D44" s="122" t="inlineStr">
        <is>
          <t>Kesavan (ALPS)</t>
        </is>
      </c>
      <c r="E44" s="121" t="inlineStr">
        <is>
          <t>Kesavan
Associate Executive, Materials Management Department</t>
        </is>
      </c>
      <c r="F44" s="121" t="inlineStr">
        <is>
          <t>Kesavan.Kesavan@alpshealthcare.com.sg</t>
        </is>
      </c>
      <c r="G44" s="121" t="inlineStr">
        <is>
          <t>HP: (65) 9325 5674</t>
        </is>
      </c>
      <c r="H44" s="121" t="inlineStr">
        <is>
          <t>ALPS Pte Ltd, Alexandra Hospital
Address: Block 19,Level 2, 378 Alexandra Road, Singapore 159964</t>
        </is>
      </c>
      <c r="I44" s="121" t="inlineStr">
        <is>
          <t>07 Jul 2025</t>
        </is>
      </c>
      <c r="J44" s="121" t="inlineStr">
        <is>
          <t>Catheters</t>
        </is>
      </c>
      <c r="K44" s="147" t="inlineStr">
        <is>
          <t>Medium</t>
        </is>
      </c>
      <c r="L44"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 Existing relationship (you've corresponded before) — one of your easiest first calls.</t>
        </is>
      </c>
      <c r="M44" s="121" t="inlineStr">
        <is>
          <t>Contact Details from Emails (Formatted).xlsx</t>
        </is>
      </c>
      <c r="N44" s="145" t="inlineStr">
        <is>
          <t>CHISON diagnostic ultrasound for ALPS AH: HSA-registered and locally serviced (CBit 6 and SonoAir 30)</t>
        </is>
      </c>
      <c r="O44" s="108" t="inlineStr">
        <is>
          <t>Dear Kesavan (ALPS),
We corresponded on 07 Jul 2025 regarding Catheters.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45" ht="39.75" customHeight="1" s="104">
      <c r="A45" s="121" t="n">
        <v>41</v>
      </c>
      <c r="B45" s="121" t="inlineStr">
        <is>
          <t>Materials Management Department, National University Hospital (Singapore) Pte Ltd / ALPS Pte Ltd</t>
        </is>
      </c>
      <c r="C45" s="123" t="inlineStr">
        <is>
          <t>Not started</t>
        </is>
      </c>
      <c r="D45" s="122" t="inlineStr">
        <is>
          <t>Koh Qian Ning</t>
        </is>
      </c>
      <c r="E45" s="121" t="n"/>
      <c r="F45" s="121" t="inlineStr">
        <is>
          <t>koh.qian.ning@alpshealthcare.com.sg</t>
        </is>
      </c>
      <c r="G45" s="121" t="inlineStr">
        <is>
          <t>6772 7869</t>
        </is>
      </c>
      <c r="H45" s="121" t="inlineStr">
        <is>
          <t>NUH MMD, 9 Lower Kent Ridge Road, Singapore 119085, Ground floor of National University Centre for Oral Health, Singapore</t>
        </is>
      </c>
      <c r="I45" s="121" t="inlineStr">
        <is>
          <t>18 July 2022</t>
        </is>
      </c>
      <c r="J45" s="121" t="inlineStr">
        <is>
          <t>RFQ NUH-RFQ-22-0801 - 2-Year Term Contract for Supply and Delivery of Disposable Isolation Gown, Blue for Dental Procedure Under Indent Basis</t>
        </is>
      </c>
      <c r="K45" s="147" t="inlineStr">
        <is>
          <t>Medium</t>
        </is>
      </c>
      <c r="L45"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45" s="121" t="inlineStr">
        <is>
          <t>0. RFQ_Institution Procurement_Cover Letter_SESAMi_v1.5 (NUH-RFQ-22-0801).pdf</t>
        </is>
      </c>
      <c r="N45" s="145" t="inlineStr">
        <is>
          <t>CHISON diagnostic ultrasound for Materials Management Department, National University Hospital (Singapore) Pte Ltd / ALPS Pte Ltd: HSA-registered and locally serviced (CBit 6 and SonoAir 30)</t>
        </is>
      </c>
      <c r="O45" s="108" t="inlineStr">
        <is>
          <t>Dear Koh Qian Ning,
We corresponded on 18 July 2022 regarding the RFQ NUH-RFQ-22-0801 - 2-Year Term Contract for Supply and Delivery of Disposable Isolation Gown, Blue for Dental Procedure Under Indent Basis.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46" ht="39.75" customHeight="1" s="104">
      <c r="A46" s="121" t="n">
        <v>42</v>
      </c>
      <c r="B46" s="121" t="inlineStr">
        <is>
          <t>National Skin Care Centre (S) Pte Ltd</t>
        </is>
      </c>
      <c r="C46" s="123" t="inlineStr">
        <is>
          <t>Not started</t>
        </is>
      </c>
      <c r="D46" s="122" t="inlineStr">
        <is>
          <t>Mr Koh Tse How</t>
        </is>
      </c>
      <c r="E46" s="121" t="inlineStr">
        <is>
          <t>Materials Management Department</t>
        </is>
      </c>
      <c r="F46" s="121" t="inlineStr">
        <is>
          <t>koh.tse.how@alpshealthcare.com.sg</t>
        </is>
      </c>
      <c r="G46" s="121" t="inlineStr">
        <is>
          <t>6350 8281</t>
        </is>
      </c>
      <c r="H46" s="121" t="n"/>
      <c r="I46" s="121" t="inlineStr">
        <is>
          <t>22 April 2024</t>
        </is>
      </c>
      <c r="J46" s="121" t="inlineStr">
        <is>
          <t>Master Agreement - Supply of Diapers</t>
        </is>
      </c>
      <c r="K46" s="148" t="inlineStr">
        <is>
          <t>Low</t>
        </is>
      </c>
      <c r="L46" s="121" t="inlineStr">
        <is>
          <t>Department has limited direct use for diagnostic ultrasound (pharmacy/dental/eye/skin/mental health). Deprioritise, or use only as a warm intro to redirect to the right department.</t>
        </is>
      </c>
      <c r="M46" s="121" t="inlineStr">
        <is>
          <t>2.2 GPMR02224_Reference Master Agreement.pdf</t>
        </is>
      </c>
      <c r="N46" s="145" t="inlineStr">
        <is>
          <t>Diagnostic ultrasound at National Skin Care Centre (S) Pte Ltd: could you point me to the right department?</t>
        </is>
      </c>
      <c r="O46" s="108" t="inlineStr">
        <is>
          <t>Dear Mr Koh Tse How,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Materials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47" ht="39.75" customHeight="1" s="104">
      <c r="A47" s="121" t="n">
        <v>43</v>
      </c>
      <c r="B47" s="121" t="inlineStr">
        <is>
          <t>National Skin Care Centre (S) Pte Ltd</t>
        </is>
      </c>
      <c r="C47" s="123" t="inlineStr">
        <is>
          <t>Not started</t>
        </is>
      </c>
      <c r="D47" s="122" t="inlineStr">
        <is>
          <t>Mr Lawrence Quek</t>
        </is>
      </c>
      <c r="E47" s="121" t="inlineStr">
        <is>
          <t>Materials Management Department</t>
        </is>
      </c>
      <c r="F47" s="121" t="inlineStr">
        <is>
          <t>lawrencequek@nsc.com.sg</t>
        </is>
      </c>
      <c r="G47" s="121" t="inlineStr">
        <is>
          <t>6350 8460</t>
        </is>
      </c>
      <c r="H47" s="121" t="n"/>
      <c r="I47" s="121" t="inlineStr">
        <is>
          <t>14 July 2021</t>
        </is>
      </c>
      <c r="J47" s="121" t="inlineStr">
        <is>
          <t>Master Agreement Template (Sample) - Disposable Surgical Gowns and Sterile Hand Towels</t>
        </is>
      </c>
      <c r="K47" s="148" t="inlineStr">
        <is>
          <t>Low</t>
        </is>
      </c>
      <c r="L47" s="121" t="inlineStr">
        <is>
          <t>Department has limited direct use for diagnostic ultrasound (pharmacy/dental/eye/skin/mental health). Deprioritise, or use only as a warm intro to redirect to the right department.</t>
        </is>
      </c>
      <c r="M47" s="121" t="inlineStr">
        <is>
          <t>Section 3.1 - ALPS Master Agreement (Sample).pdf</t>
        </is>
      </c>
      <c r="N47" s="145" t="inlineStr">
        <is>
          <t>Diagnostic ultrasound at National Skin Care Centre (S) Pte Ltd: could you point me to the right department?</t>
        </is>
      </c>
      <c r="O47" s="108" t="inlineStr">
        <is>
          <t>Dear Mr Lawrence Quek,
We corresponded on 14 July 2021 regarding the Master Agreement Template (Sample) - Disposable Surgical Gowns and Sterile Hand Towels.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Materials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48" ht="39.75" customHeight="1" s="104">
      <c r="A48" s="121" t="n">
        <v>44</v>
      </c>
      <c r="B48" s="121" t="inlineStr">
        <is>
          <t>SingHealth Polyclinics</t>
        </is>
      </c>
      <c r="C48" s="123" t="inlineStr">
        <is>
          <t>Not started</t>
        </is>
      </c>
      <c r="D48" s="122" t="inlineStr">
        <is>
          <t>Ms Lee Mui Hon</t>
        </is>
      </c>
      <c r="E48" s="121" t="inlineStr">
        <is>
          <t>Materials Management Department</t>
        </is>
      </c>
      <c r="F48" s="121" t="inlineStr">
        <is>
          <t>lee.mui.hon@alpshealthcare.com.sg</t>
        </is>
      </c>
      <c r="G48" s="121" t="inlineStr">
        <is>
          <t>6350 7539</t>
        </is>
      </c>
      <c r="H48" s="121" t="n"/>
      <c r="I48" s="121" t="inlineStr">
        <is>
          <t>2 March 2023</t>
        </is>
      </c>
      <c r="J48" s="121" t="inlineStr">
        <is>
          <t>Master Agreement Template - Cost Per Reportable Program, Clinical Lab</t>
        </is>
      </c>
      <c r="K48" s="147" t="inlineStr">
        <is>
          <t>Medium</t>
        </is>
      </c>
      <c r="L48" s="121" t="inlineStr">
        <is>
          <t>Polyclinic network — growing point-of-care ultrasound adoption in primary care. Pitch portable/handheld units (SonoAir, SonoEye, new SonoGO 3-in-1) as affordable POCUS for polyclinic use; ask who leads clinical equipment planning.</t>
        </is>
      </c>
      <c r="M48" s="121" t="inlineStr">
        <is>
          <t>Section 3.1 ALPS MA - Clinical Lab (CPRR)_2023.03.02.docx.pdf</t>
        </is>
      </c>
      <c r="N48" s="145" t="inlineStr">
        <is>
          <t>CHISON diagnostic ultrasound for SingHealth Polyclinics: HSA-registered and locally serviced (SonoAir 30 and SonoEye P3)</t>
        </is>
      </c>
      <c r="O48" s="108" t="inlineStr">
        <is>
          <t>Dear Ms Lee Mui Hon,
We corresponded on 2 March 2023 regarding the Master Agreement Template - Cost Per Reportable Program, Clinical Lab.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SingHealth Polyclinics centres on primary-care point-of-care scanning, which is exactly where this range sits.
Where CHISON would fit:
• SonoAir 30: lightweight laptop for mobile and multi-site work
• SonoEye P3: pocket handheld for emergency, intensive care and bedside point-of-care scanning
• SonoGO: launched July 2026, the first 3-in-1 platform, working as tablet, laptop and trolley in one system with SonoAI on board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49" ht="39.75" customHeight="1" s="104">
      <c r="A49" s="121" t="n">
        <v>45</v>
      </c>
      <c r="B49" s="121" t="inlineStr">
        <is>
          <t>Singapore National Eye Centre Pte Ltd</t>
        </is>
      </c>
      <c r="C49" s="123" t="inlineStr">
        <is>
          <t>Not started</t>
        </is>
      </c>
      <c r="D49" s="122" t="inlineStr">
        <is>
          <t>Ms Lee Wei Chin</t>
        </is>
      </c>
      <c r="E49" s="121" t="inlineStr">
        <is>
          <t>Materials Management Department</t>
        </is>
      </c>
      <c r="F49" s="121" t="inlineStr">
        <is>
          <t>regine.lee.w.c@alpshealthcare.com.sg</t>
        </is>
      </c>
      <c r="G49" s="121" t="inlineStr">
        <is>
          <t>6322 9412</t>
        </is>
      </c>
      <c r="H49" s="121" t="n"/>
      <c r="I49" s="121" t="inlineStr">
        <is>
          <t>2 March 2023</t>
        </is>
      </c>
      <c r="J49" s="121" t="inlineStr">
        <is>
          <t>Master Agreement Template - Cost Per Reportable Program, Clinical Lab</t>
        </is>
      </c>
      <c r="K49" s="148" t="inlineStr">
        <is>
          <t>Low</t>
        </is>
      </c>
      <c r="L49" s="121" t="inlineStr">
        <is>
          <t>Department has limited direct use for diagnostic ultrasound (pharmacy/dental/eye/skin/mental health). Deprioritise, or use only as a warm intro to redirect to the right department.</t>
        </is>
      </c>
      <c r="M49" s="121" t="inlineStr">
        <is>
          <t>Section 3.1 ALPS MA - Clinical Lab (CPRR)_2023.03.02.docx.pdf</t>
        </is>
      </c>
      <c r="N49" s="145" t="inlineStr">
        <is>
          <t>Diagnostic ultrasound at Singapore National Eye Centre Pte Ltd: could you point me to the right department?</t>
        </is>
      </c>
      <c r="O49" s="108" t="inlineStr">
        <is>
          <t>Dear Ms Lee Wei Chin,
We corresponded on 2 March 2023 regarding the Master Agreement Template - Cost Per Reportable Program, Clinical Lab.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Materials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50" ht="39.75" customHeight="1" s="104">
      <c r="A50" s="121" t="n">
        <v>46</v>
      </c>
      <c r="B50" s="121" t="inlineStr">
        <is>
          <t>NUHS Diagnostics</t>
        </is>
      </c>
      <c r="C50" s="123" t="inlineStr">
        <is>
          <t>Not started</t>
        </is>
      </c>
      <c r="D50" s="122" t="inlineStr">
        <is>
          <t>Mr Lionel Lim Kok Sheng</t>
        </is>
      </c>
      <c r="E50" s="121" t="inlineStr">
        <is>
          <t>Material Management Department</t>
        </is>
      </c>
      <c r="F50" s="121" t="inlineStr">
        <is>
          <t>lionel.lim.k.s@alpshealthcare.com.sg</t>
        </is>
      </c>
      <c r="G50" s="121" t="n"/>
      <c r="H50" s="121" t="n"/>
      <c r="I50" s="121" t="inlineStr">
        <is>
          <t>2 March 2023</t>
        </is>
      </c>
      <c r="J50" s="121" t="inlineStr">
        <is>
          <t>Master Agreement Template - Cost Per Reportable Program, Clinical Lab</t>
        </is>
      </c>
      <c r="K50" s="144" t="inlineStr">
        <is>
          <t>High</t>
        </is>
      </c>
      <c r="L50" s="121" t="inlineStr">
        <is>
          <t>Diagnostics/imaging services arm — direct fit for Chison's Radiology/General Imaging range (SonoMax/XBit carts, SonoAir portables for satellite sites). Ask to be pointed to the imaging operations lead and Biomedical Engineering for evaluation.</t>
        </is>
      </c>
      <c r="M50" s="121" t="inlineStr">
        <is>
          <t>Section 3.1 ALPS MA - Clinical Lab (CPRR)_2023.03.02.docx.pdf</t>
        </is>
      </c>
      <c r="N50" s="145" t="inlineStr">
        <is>
          <t>CHISON diagnostic ultrasound for NUHS Diagnostics: HSA-registered and locally serviced (SonoMax 7 and XBit 90)</t>
        </is>
      </c>
      <c r="O50" s="108" t="inlineStr">
        <is>
          <t>Dear Mr Lionel Lim Kok Sheng,
We corresponded on 2 March 2023 regarding the Master Agreement Template - Cost Per Reportable Program, Clinical Lab.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NUHS Diagnostics centres on radiology and general imaging across your sites,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51" ht="39.75" customHeight="1" s="104">
      <c r="A51" s="121" t="n">
        <v>47</v>
      </c>
      <c r="B51" s="121" t="inlineStr">
        <is>
          <t>National Heart Centre of Singapore Pte Ltd</t>
        </is>
      </c>
      <c r="C51" s="123" t="inlineStr">
        <is>
          <t>Not started</t>
        </is>
      </c>
      <c r="D51" s="122" t="inlineStr">
        <is>
          <t>Ms Lisa Goh</t>
        </is>
      </c>
      <c r="E51" s="121" t="inlineStr">
        <is>
          <t>Materials Management Department</t>
        </is>
      </c>
      <c r="F51" s="121" t="inlineStr">
        <is>
          <t>lisa.goh@alpshealthcare.com.sg</t>
        </is>
      </c>
      <c r="G51" s="121" t="inlineStr">
        <is>
          <t>6704 8516</t>
        </is>
      </c>
      <c r="H51" s="121" t="n"/>
      <c r="I51" s="121" t="inlineStr">
        <is>
          <t>12 December 2022</t>
        </is>
      </c>
      <c r="J51" s="121" t="inlineStr">
        <is>
          <t>Master Agreement - Point of Care (POC) Testing (POCT) for Blood Glucose</t>
        </is>
      </c>
      <c r="K51" s="144" t="inlineStr">
        <is>
          <t>High</t>
        </is>
      </c>
      <c r="L51" s="121" t="inlineStr">
        <is>
          <t>National Heart Centre — strong fit for Chison's Cardiovascular specialty line (echo/vascular). Ask the MMD contact to connect you to Cardiology and Biomedical Engineering who define equipment specs; pitch cardiac-configured cart systems.</t>
        </is>
      </c>
      <c r="M51" s="121" t="inlineStr">
        <is>
          <t>Master Agreement.pdf</t>
        </is>
      </c>
      <c r="N51" s="145" t="inlineStr">
        <is>
          <t>CHISON diagnostic ultrasound for National Heart Centre of Singapore Pte Ltd: HSA-registered and locally serviced (CBit 6 and SonoAir 30)</t>
        </is>
      </c>
      <c r="O51" s="108" t="inlineStr">
        <is>
          <t>Dear Ms Lisa Goh,
We corresponded on 12 December 2022 regarding the Master Agreement - Point of Care (POC) Testing (POCT) for Blood Glucose.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Heart Centre of Singapore Pte Ltd centres on echocardiography and vascular work, which is exactly where this range sits.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52" ht="39.75" customHeight="1" s="104">
      <c r="A52" s="121" t="n">
        <v>48</v>
      </c>
      <c r="B52" s="121" t="inlineStr">
        <is>
          <t>Ang Mo Kio – Thye Hua Kwan Hospital Ltd</t>
        </is>
      </c>
      <c r="C52" s="123" t="inlineStr">
        <is>
          <t>Not started</t>
        </is>
      </c>
      <c r="D52" s="122" t="inlineStr">
        <is>
          <t>Mr Loke Choon Wai</t>
        </is>
      </c>
      <c r="E52" s="121" t="inlineStr">
        <is>
          <t>Procurement &amp; Services Department</t>
        </is>
      </c>
      <c r="F52" s="121" t="inlineStr">
        <is>
          <t>choonwai_loke@amkh.org.sg</t>
        </is>
      </c>
      <c r="G52" s="121" t="n"/>
      <c r="H52" s="121" t="n"/>
      <c r="I52" s="121" t="inlineStr">
        <is>
          <t>27 January 2025</t>
        </is>
      </c>
      <c r="J52" s="121" t="inlineStr">
        <is>
          <t>Master Agreement - Supply of Gauzes (Plain and Raytec) and Abdominal Swabs</t>
        </is>
      </c>
      <c r="K52" s="147" t="inlineStr">
        <is>
          <t>Medium</t>
        </is>
      </c>
      <c r="L52" s="121" t="inlineStr">
        <is>
          <t>Community hospital — smaller-scale buyer but portable/handheld ultrasound fits step-down care (SonoAir/SonoEye). Lower priority than acute hospitals.</t>
        </is>
      </c>
      <c r="M52" s="121" t="inlineStr">
        <is>
          <t>4) 2025.01.27 SP ALPS MA (Consumables).pdf</t>
        </is>
      </c>
      <c r="N52" s="145" t="inlineStr">
        <is>
          <t>CHISON diagnostic ultrasound for Ang Mo Kio, Thye Hua Kwan Hospital Ltd: HSA-registered and locally serviced (SonoAir 30 and SonoEye P3)</t>
        </is>
      </c>
      <c r="O52" s="108" t="inlineStr">
        <is>
          <t>Dear Mr Loke Choon Wai,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Procurement is the right first stop for a new supplier, so I would rather introduce ourselves properly to you than approach a department cold.
Where CHISON would fit:
• SonoAir 30: lightweight laptop for mobile and multi-site work
• SonoEye P3: pocket handheld for emergency, intensive care and bedside point-of-care scanning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53" ht="39.75" customHeight="1" s="104">
      <c r="A53" s="121" t="n">
        <v>49</v>
      </c>
      <c r="B53" s="121" t="inlineStr">
        <is>
          <t>National Healthcare Group Polyclinics</t>
        </is>
      </c>
      <c r="C53" s="123" t="inlineStr">
        <is>
          <t>Not started</t>
        </is>
      </c>
      <c r="D53" s="122" t="inlineStr">
        <is>
          <t>Ms Luwen Wong</t>
        </is>
      </c>
      <c r="E53" s="121" t="inlineStr">
        <is>
          <t>Materials Management Department</t>
        </is>
      </c>
      <c r="F53" s="121" t="inlineStr">
        <is>
          <t>luwen.wong.m.c@alpshealthcare.com.sg</t>
        </is>
      </c>
      <c r="G53" s="121" t="n"/>
      <c r="H53" s="121" t="n"/>
      <c r="I53" s="121" t="inlineStr">
        <is>
          <t>27 January 2025</t>
        </is>
      </c>
      <c r="J53" s="121" t="inlineStr">
        <is>
          <t>Master Agreement - Supply of Gauzes (Plain and Raytec) and Abdominal Swabs</t>
        </is>
      </c>
      <c r="K53" s="147" t="inlineStr">
        <is>
          <t>Medium</t>
        </is>
      </c>
      <c r="L53" s="121" t="inlineStr">
        <is>
          <t>Polyclinic network — growing point-of-care ultrasound adoption in primary care. Pitch portable/handheld units (SonoAir, SonoEye, new SonoGO 3-in-1) as affordable POCUS for polyclinic use; ask who leads clinical equipment planning.</t>
        </is>
      </c>
      <c r="M53" s="121" t="inlineStr">
        <is>
          <t>4) 2025.01.27 SP ALPS MA (Consumables).pdf</t>
        </is>
      </c>
      <c r="N53" s="145" t="inlineStr">
        <is>
          <t>CHISON diagnostic ultrasound for National Healthcare Group Polyclinics: HSA-registered and locally serviced (SonoAir 30 and SonoEye P3)</t>
        </is>
      </c>
      <c r="O53" s="108" t="inlineStr">
        <is>
          <t>Dear Ms Luwen Wong,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Healthcare Group Polyclinics centres on primary-care point-of-care scanning, which is exactly where this range sits.
Where CHISON would fit:
• SonoAir 30: lightweight laptop for mobile and multi-site work
• SonoEye P3: pocket handheld for emergency, intensive care and bedside point-of-care scanning
• SonoGO: launched July 2026, the first 3-in-1 platform, working as tablet, laptop and trolley in one system with SonoAI on board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54" ht="39.75" customHeight="1" s="104">
      <c r="A54" s="121" t="n">
        <v>50</v>
      </c>
      <c r="B54" s="121" t="inlineStr">
        <is>
          <t>Singapore Health Services Pte Ltd</t>
        </is>
      </c>
      <c r="C54" s="123" t="inlineStr">
        <is>
          <t>Not started</t>
        </is>
      </c>
      <c r="D54" s="122" t="inlineStr">
        <is>
          <t>Ms Mary Tay</t>
        </is>
      </c>
      <c r="E54" s="121" t="inlineStr">
        <is>
          <t>Materials Management Department</t>
        </is>
      </c>
      <c r="F54" s="121" t="inlineStr">
        <is>
          <t>mary.tay.b.l@alpshealthcare.com.sg</t>
        </is>
      </c>
      <c r="G54" s="121" t="n"/>
      <c r="H54" s="121" t="n"/>
      <c r="I54" s="121" t="inlineStr">
        <is>
          <t>27 January 2025</t>
        </is>
      </c>
      <c r="J54" s="121" t="inlineStr">
        <is>
          <t>Master Agreement - Supply of Gauzes (Plain and Raytec) and Abdominal Swabs</t>
        </is>
      </c>
      <c r="K54" s="144" t="inlineStr">
        <is>
          <t>High</t>
        </is>
      </c>
      <c r="L54" s="121" t="inlineStr">
        <is>
          <t>Cluster-level HQ (spans multiple hospitals) — can endorse or route Chison across the whole cluster. Seek a vendor introduction meeting and ask how equipment evaluations are coordinated cluster-wide.</t>
        </is>
      </c>
      <c r="M54" s="121" t="inlineStr">
        <is>
          <t>4) 2025.01.27 SP ALPS MA (Consumables).pdf</t>
        </is>
      </c>
      <c r="N54" s="145" t="inlineStr">
        <is>
          <t>CHISON diagnostic ultrasound for Singapore Health Services Pte Ltd: HSA-registered and locally serviced (SonoEye P3 and SonoAir 30)</t>
        </is>
      </c>
      <c r="O54" s="108" t="inlineStr">
        <is>
          <t>Dear Ms Mary Tay,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55" ht="39.75" customHeight="1" s="104">
      <c r="A55" s="121" t="n">
        <v>51</v>
      </c>
      <c r="B55" s="121" t="inlineStr">
        <is>
          <t>Sengkang General Hospital Pte Ltd</t>
        </is>
      </c>
      <c r="C55" s="123" t="inlineStr">
        <is>
          <t>Not started</t>
        </is>
      </c>
      <c r="D55" s="122" t="inlineStr">
        <is>
          <t>Ms Neo Chai Yin</t>
        </is>
      </c>
      <c r="E55" s="121" t="inlineStr">
        <is>
          <t>Materials Management Department</t>
        </is>
      </c>
      <c r="F55" s="121" t="inlineStr">
        <is>
          <t>neo.chai.yin@alpshealthcare.com.sg</t>
        </is>
      </c>
      <c r="G55" s="121" t="n"/>
      <c r="H55" s="121" t="n"/>
      <c r="I55" s="121" t="inlineStr">
        <is>
          <t>27 January 2025</t>
        </is>
      </c>
      <c r="J55" s="121" t="inlineStr">
        <is>
          <t>Master Agreement - Supply of Gauzes (Plain and Raytec) and Abdominal Swabs</t>
        </is>
      </c>
      <c r="K55" s="147" t="inlineStr">
        <is>
          <t>Medium</t>
        </is>
      </c>
      <c r="L55"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55" s="121" t="inlineStr">
        <is>
          <t>4) 2025.01.27 SP ALPS MA (Consumables).pdf</t>
        </is>
      </c>
      <c r="N55" s="145" t="inlineStr">
        <is>
          <t>CHISON diagnostic ultrasound for Sengkang General Hospital Pte Ltd: HSA-registered and locally serviced (CBit 6 and SonoAir 30)</t>
        </is>
      </c>
      <c r="O55" s="108" t="inlineStr">
        <is>
          <t>Dear Ms Neo Chai Yin,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56" ht="39.75" customHeight="1" s="104">
      <c r="A56" s="121" t="n">
        <v>52</v>
      </c>
      <c r="B56" s="121" t="inlineStr">
        <is>
          <t>National Heart Centre of Singapore Pte Ltd</t>
        </is>
      </c>
      <c r="C56" s="123" t="inlineStr">
        <is>
          <t>Not started</t>
        </is>
      </c>
      <c r="D56" s="122" t="inlineStr">
        <is>
          <t>Ms Neu Siew Lay</t>
        </is>
      </c>
      <c r="E56" s="121" t="inlineStr">
        <is>
          <t>Materials Management Department</t>
        </is>
      </c>
      <c r="F56" s="121" t="inlineStr">
        <is>
          <t>neu.siew.lay@alpshealthcare.com.sg</t>
        </is>
      </c>
      <c r="G56" s="121" t="inlineStr">
        <is>
          <t>6704 8516</t>
        </is>
      </c>
      <c r="H56" s="121" t="n"/>
      <c r="I56" s="121" t="inlineStr">
        <is>
          <t>22 April 2024</t>
        </is>
      </c>
      <c r="J56" s="121" t="inlineStr">
        <is>
          <t>Master Agreement - Supply of Diapers</t>
        </is>
      </c>
      <c r="K56" s="144" t="inlineStr">
        <is>
          <t>High</t>
        </is>
      </c>
      <c r="L56" s="121" t="inlineStr">
        <is>
          <t>National Heart Centre — strong fit for Chison's Cardiovascular specialty line (echo/vascular). Ask the MMD contact to connect you to Cardiology and Biomedical Engineering who define equipment specs; pitch cardiac-configured cart systems.</t>
        </is>
      </c>
      <c r="M56" s="121" t="inlineStr">
        <is>
          <t>2.2 GPMR02224_Reference Master Agreement.pdf</t>
        </is>
      </c>
      <c r="N56" s="145" t="inlineStr">
        <is>
          <t>CHISON diagnostic ultrasound for National Heart Centre of Singapore Pte Ltd: HSA-registered and locally serviced (CBit 6 and SonoAir 30)</t>
        </is>
      </c>
      <c r="O56" s="108" t="inlineStr">
        <is>
          <t>Dear Ms Neu Siew Lay,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Heart Centre of Singapore Pte Ltd centres on echocardiography and vascular work, which is exactly where this range sits.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57" ht="39.75" customHeight="1" s="104">
      <c r="A57" s="121" t="n">
        <v>53</v>
      </c>
      <c r="B57" s="121" t="inlineStr">
        <is>
          <t>WoodlandsHealth Pte Ltd</t>
        </is>
      </c>
      <c r="C57" s="123" t="inlineStr">
        <is>
          <t>Not started</t>
        </is>
      </c>
      <c r="D57" s="122" t="inlineStr">
        <is>
          <t>Ms Ng Choo Choo</t>
        </is>
      </c>
      <c r="E57" s="121" t="inlineStr">
        <is>
          <t>Materials Management Department</t>
        </is>
      </c>
      <c r="F57" s="121" t="inlineStr">
        <is>
          <t>ng.choo.choo@alpshealthcare.com.sg</t>
        </is>
      </c>
      <c r="G57" s="121" t="inlineStr">
        <is>
          <t>6807 8402</t>
        </is>
      </c>
      <c r="H57" s="121" t="n"/>
      <c r="I57" s="121" t="inlineStr">
        <is>
          <t>22 April 2024</t>
        </is>
      </c>
      <c r="J57" s="121" t="inlineStr">
        <is>
          <t>Master Agreement - Supply of Diapers</t>
        </is>
      </c>
      <c r="K57" s="144" t="inlineStr">
        <is>
          <t>High</t>
        </is>
      </c>
      <c r="L57" s="121" t="inlineStr">
        <is>
          <t>WoodlandsHealth — newer facility still building out equipment fleets; good timing before incumbents lock in. This contact is supplies/lab-side, so ask for an intro to WH's Diagnostic Imaging and Biomedical Engineering teams; pitch the full Chison range.</t>
        </is>
      </c>
      <c r="M57" s="121" t="inlineStr">
        <is>
          <t>2.2 GPMR02224_Reference Master Agreement.pdf</t>
        </is>
      </c>
      <c r="N57" s="145" t="inlineStr">
        <is>
          <t>CHISON diagnostic ultrasound for WoodlandsHealth Pte Ltd: HSA-registered and locally serviced (SonoMax 7 and XBit 90)</t>
        </is>
      </c>
      <c r="O57" s="108" t="inlineStr">
        <is>
          <t>Dear Ms Ng Choo Choo,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58" ht="39.75" customHeight="1" s="104">
      <c r="A58" s="121" t="n">
        <v>54</v>
      </c>
      <c r="B58" s="121" t="inlineStr">
        <is>
          <t>NUH</t>
        </is>
      </c>
      <c r="C58" s="123" t="inlineStr">
        <is>
          <t>Not started</t>
        </is>
      </c>
      <c r="D58" s="122" t="inlineStr">
        <is>
          <t>Ng Li Qing</t>
        </is>
      </c>
      <c r="E58" s="121" t="inlineStr">
        <is>
          <t>NUH MMD</t>
        </is>
      </c>
      <c r="F58" s="121" t="inlineStr">
        <is>
          <t>ng.li.qing@alpshealthcare.com.sg</t>
        </is>
      </c>
      <c r="G58" s="121" t="inlineStr">
        <is>
          <t>6772 7869</t>
        </is>
      </c>
      <c r="H58" s="121" t="inlineStr">
        <is>
          <t>NA</t>
        </is>
      </c>
      <c r="I58" s="121" t="inlineStr">
        <is>
          <t>25 Aug 2025</t>
        </is>
      </c>
      <c r="J58" s="121" t="inlineStr">
        <is>
          <t>DNA RNA Shield</t>
        </is>
      </c>
      <c r="K58" s="147" t="inlineStr">
        <is>
          <t>Medium</t>
        </is>
      </c>
      <c r="L58"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 Existing relationship (you've corresponded before) — one of your easiest first calls.</t>
        </is>
      </c>
      <c r="M58" s="121" t="inlineStr">
        <is>
          <t>Contact Details from Emails (Formatted).xlsx</t>
        </is>
      </c>
      <c r="N58" s="145" t="inlineStr">
        <is>
          <t>CHISON diagnostic ultrasound for NUH: HSA-registered and locally serviced (CBit 6 and SonoAir 30)</t>
        </is>
      </c>
      <c r="O58" s="108" t="inlineStr">
        <is>
          <t>Dear Ng Li Qing,
We corresponded on 25 Aug 2025 regarding DNA RNA Shield.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59" ht="39.75" customHeight="1" s="104">
      <c r="A59" s="121" t="n">
        <v>55</v>
      </c>
      <c r="B59" s="121" t="inlineStr">
        <is>
          <t>ALPS WH</t>
        </is>
      </c>
      <c r="C59" s="123" t="inlineStr">
        <is>
          <t>Not started</t>
        </is>
      </c>
      <c r="D59" s="122" t="inlineStr">
        <is>
          <t>Ng Mei Yen</t>
        </is>
      </c>
      <c r="E59" s="121" t="inlineStr">
        <is>
          <t>NA</t>
        </is>
      </c>
      <c r="F59" s="121" t="inlineStr">
        <is>
          <t>ng_mei_yen@wh.com.sg</t>
        </is>
      </c>
      <c r="G59" s="121" t="inlineStr">
        <is>
          <t>MEI YEN 6361 1207, LIZA 6361 1803</t>
        </is>
      </c>
      <c r="H59" s="121" t="inlineStr">
        <is>
          <t>WOODLANDSHEALTH PTE LTD
MM CENTRAL STORE
17 WOODLANDS DRIVE 17,
TOWER B, B2, CLINICAL LAB
SINGAPORE 737628</t>
        </is>
      </c>
      <c r="I59" s="121" t="n"/>
      <c r="J59" s="121" t="inlineStr">
        <is>
          <t>Cepheid and TCBS</t>
        </is>
      </c>
      <c r="K59" s="144" t="inlineStr">
        <is>
          <t>High</t>
        </is>
      </c>
      <c r="L59" s="121" t="inlineStr">
        <is>
          <t>WoodlandsHealth — newer facility still building out equipment fleets; good timing before incumbents lock in. This contact is supplies/lab-side, so ask for an intro to WH's Diagnostic Imaging and Biomedical Engineering teams; pitch the full Chison range. Existing relationship (you've corresponded before) — one of your easiest first calls.</t>
        </is>
      </c>
      <c r="M59" s="121" t="inlineStr">
        <is>
          <t>Contact Details from Emails (Formatted).xlsx</t>
        </is>
      </c>
      <c r="N59" s="145" t="inlineStr">
        <is>
          <t>CHISON diagnostic ultrasound for ALPS WH: HSA-registered and locally serviced (SonoMax 7 and XBit 90)</t>
        </is>
      </c>
      <c r="O59" s="108" t="inlineStr">
        <is>
          <t>Dear Ng Mei Yen,
We have corresponded previously regarding Cepheid and TCBS.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0" ht="39.75" customHeight="1" s="104">
      <c r="A60" s="121" t="n">
        <v>56</v>
      </c>
      <c r="B60" s="121" t="inlineStr">
        <is>
          <t>ALPS Pte Ltd</t>
        </is>
      </c>
      <c r="C60" s="123" t="inlineStr">
        <is>
          <t>Not started</t>
        </is>
      </c>
      <c r="D60" s="122" t="inlineStr">
        <is>
          <t>Ms Nina Zhang Jing</t>
        </is>
      </c>
      <c r="E60" s="121" t="inlineStr">
        <is>
          <t>Chief Procurement Officer (Signatory)</t>
        </is>
      </c>
      <c r="F60" s="121" t="n"/>
      <c r="G60" s="121" t="n"/>
      <c r="H60" s="121" t="n"/>
      <c r="I60" s="121" t="inlineStr">
        <is>
          <t>27 January 2025</t>
        </is>
      </c>
      <c r="J60" s="121" t="inlineStr">
        <is>
          <t>Master Agreement - Supply of Gauzes (Plain and Raytec) and Abdominal Swabs</t>
        </is>
      </c>
      <c r="K60" s="144" t="inlineStr">
        <is>
          <t>High</t>
        </is>
      </c>
      <c r="L60" s="121" t="inlineStr">
        <is>
          <t>Senior ALPS leadership who sign/witness Master Agreements network-wide. Not a cold-call target — use for a formal vendor introduction once you have traction, or via industry events. Positioning Chison as an accredited vendor at this level accelerates everything downstream.</t>
        </is>
      </c>
      <c r="M60" s="121" t="inlineStr">
        <is>
          <t>4) 2025.01.27 SP ALPS MA (Consumables).pdf</t>
        </is>
      </c>
      <c r="N60" s="145" t="inlineStr">
        <is>
          <t>CHISON diagnostic ultrasound for ALPS Pte Ltd: HSA-registered and locally serviced (SonoEye P3 and SonoAir 30)</t>
        </is>
      </c>
      <c r="O60" s="108" t="inlineStr">
        <is>
          <t>Dear Ms Nina Zhang Jing,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where supplier frameworks are signed rather than administered, so I would rather make a proper introduction than work upward later.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1" ht="39.75" customHeight="1" s="104">
      <c r="A61" s="121" t="n">
        <v>57</v>
      </c>
      <c r="B61" s="121" t="inlineStr">
        <is>
          <t xml:space="preserve">ALPS SGH </t>
        </is>
      </c>
      <c r="C61" s="123" t="inlineStr">
        <is>
          <t>Not started</t>
        </is>
      </c>
      <c r="D61" s="122" t="inlineStr">
        <is>
          <t>Norhatimah Binte Anuar (Ms)</t>
        </is>
      </c>
      <c r="E61" s="121" t="inlineStr">
        <is>
          <t>Senior Associate Executive, Procurement
ALPS @ SGH MMD</t>
        </is>
      </c>
      <c r="F61" s="121" t="inlineStr">
        <is>
          <t>norhatimah.anuar@alpshealthcare.com.sg</t>
        </is>
      </c>
      <c r="G61" s="121" t="inlineStr">
        <is>
          <t>DID: (65) 6321-3770</t>
        </is>
      </c>
      <c r="H61" s="121" t="inlineStr">
        <is>
          <t>Outram Community Hospital/Singhealth Tower
10 Hospital Boulevard, Level 6, Singapore 168582</t>
        </is>
      </c>
      <c r="I61" s="121" t="inlineStr">
        <is>
          <t>21 Aug 2025</t>
        </is>
      </c>
      <c r="J61" s="121" t="inlineStr">
        <is>
          <t>Microscope Slides</t>
        </is>
      </c>
      <c r="K61" s="147" t="inlineStr">
        <is>
          <t>Medium</t>
        </is>
      </c>
      <c r="L61"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 Existing relationship (you've corresponded before) — one of your easiest first calls.</t>
        </is>
      </c>
      <c r="M61" s="121" t="inlineStr">
        <is>
          <t>Contact Details from Emails (Formatted).xlsx</t>
        </is>
      </c>
      <c r="N61" s="145" t="inlineStr">
        <is>
          <t>CHISON diagnostic ultrasound for ALPS SGH: HSA-registered and locally serviced (CBit 6 and SonoAir 30)</t>
        </is>
      </c>
      <c r="O61" s="108" t="inlineStr">
        <is>
          <t>Dear Norhatimah Binte Anuar (Ms),
We corresponded on 21 Aug 2025 regarding Microscope Slides.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Procurement is the right first stop for a new supplier, so I would rather introduce ourselves properly to you than approach a department cold.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2" ht="39.75" customHeight="1" s="104">
      <c r="A62" s="121" t="n">
        <v>58</v>
      </c>
      <c r="B62" s="121" t="inlineStr">
        <is>
          <t xml:space="preserve">ALPS SGH </t>
        </is>
      </c>
      <c r="C62" s="123" t="inlineStr">
        <is>
          <t>Not started</t>
        </is>
      </c>
      <c r="D62" s="122" t="inlineStr">
        <is>
          <t>Nurlena Edaya Bte Amirrudin</t>
        </is>
      </c>
      <c r="E62" s="121" t="inlineStr">
        <is>
          <t>Executive, Procurement</t>
        </is>
      </c>
      <c r="F62" s="121" t="inlineStr">
        <is>
          <t>nurlena.edaya.amirrudin@alpshealthcare.com.sg</t>
        </is>
      </c>
      <c r="G62" s="121" t="inlineStr">
        <is>
          <t>DID: (65) 6326 5300</t>
        </is>
      </c>
      <c r="H62" s="121" t="inlineStr">
        <is>
          <t>ALPS @ SGH, Materials Management Department
Outram Community Hospital/Singhealth Tower
10 Hospital Boulevard Lobby A, Level 6
Singapore 168582</t>
        </is>
      </c>
      <c r="I62" s="121" t="inlineStr">
        <is>
          <t>02 Jul 2025</t>
        </is>
      </c>
      <c r="J62" s="121" t="inlineStr">
        <is>
          <t>Nasogastric and Infant Feeding Tubes</t>
        </is>
      </c>
      <c r="K62" s="147" t="inlineStr">
        <is>
          <t>Medium</t>
        </is>
      </c>
      <c r="L62"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 Existing relationship (you've corresponded before) — one of your easiest first calls.</t>
        </is>
      </c>
      <c r="M62" s="121" t="inlineStr">
        <is>
          <t>Contact Details from Emails (Formatted).xlsx</t>
        </is>
      </c>
      <c r="N62" s="145" t="inlineStr">
        <is>
          <t>CHISON diagnostic ultrasound for ALPS SGH: HSA-registered and locally serviced (CBit 6 and SonoAir 30)</t>
        </is>
      </c>
      <c r="O62" s="108" t="inlineStr">
        <is>
          <t>Dear Nurlena Edaya Bte Amirrudin,
We corresponded on 02 Jul 2025 regarding Nasogastric and Infant Feeding Tubes.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Procurement is the right first stop for a new supplier, so I would rather introduce ourselves properly to you than approach a department cold.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3" ht="39.75" customHeight="1" s="104">
      <c r="A63" s="121" t="n">
        <v>59</v>
      </c>
      <c r="B63" s="121" t="inlineStr">
        <is>
          <t>Alexandra Health Pte Ltd (KTPH); Yishun Community Hospital; Admiralty Medical Centre Pte Ltd</t>
        </is>
      </c>
      <c r="C63" s="123" t="inlineStr">
        <is>
          <t>Not started</t>
        </is>
      </c>
      <c r="D63" s="122" t="inlineStr">
        <is>
          <t>Mr Ooi Chih Li</t>
        </is>
      </c>
      <c r="E63" s="121" t="inlineStr">
        <is>
          <t>Materials Management Department</t>
        </is>
      </c>
      <c r="F63" s="121" t="inlineStr">
        <is>
          <t>ooi.chih.li@alpshealthcare.com.sg</t>
        </is>
      </c>
      <c r="G63" s="121" t="n"/>
      <c r="H63" s="121" t="n"/>
      <c r="I63" s="121" t="inlineStr">
        <is>
          <t>27 January 2025</t>
        </is>
      </c>
      <c r="J63" s="121" t="inlineStr">
        <is>
          <t>Master Agreement - Supply of Gauzes (Plain and Raytec) and Abdominal Swabs</t>
        </is>
      </c>
      <c r="K63" s="147" t="inlineStr">
        <is>
          <t>Medium</t>
        </is>
      </c>
      <c r="L63"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63" s="121" t="inlineStr">
        <is>
          <t>4) 2025.01.27 SP ALPS MA (Consumables).pdf</t>
        </is>
      </c>
      <c r="N63" s="145" t="inlineStr">
        <is>
          <t>CHISON diagnostic ultrasound for Alexandra Health Pte Ltd (KTPH); Yishun Community Hospital; Admiralty Medical Centre Pte Ltd: HSA-registered and locally serviced (CBit 6 and SonoAir 30)</t>
        </is>
      </c>
      <c r="O63" s="108" t="inlineStr">
        <is>
          <t>Dear Mr Ooi Chih Li,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Alexandra Health Pte Ltd (KTPH); Yishun Community Hospital; Admiralty Medical Centre Pte Ltd centres on bedside scanning on the wards, which is exactly where this range sits.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4" ht="39.75" customHeight="1" s="104">
      <c r="A64" s="121" t="n">
        <v>60</v>
      </c>
      <c r="B64" s="121" t="inlineStr">
        <is>
          <t>ALPS Pte Ltd</t>
        </is>
      </c>
      <c r="C64" s="123" t="inlineStr">
        <is>
          <t>Not started</t>
        </is>
      </c>
      <c r="D64" s="122" t="inlineStr">
        <is>
          <t>Mr Peter Tay Teng Choon</t>
        </is>
      </c>
      <c r="E64" s="121" t="inlineStr">
        <is>
          <t>Chief Executive Officer / Chief Procurement Officer (Signatory)</t>
        </is>
      </c>
      <c r="F64" s="121" t="n"/>
      <c r="G64" s="121" t="n"/>
      <c r="H64" s="121" t="n"/>
      <c r="I64" s="121" t="inlineStr">
        <is>
          <t>2 March 2023</t>
        </is>
      </c>
      <c r="J64" s="121" t="inlineStr">
        <is>
          <t>Master Agreement Template - Cost Per Reportable Program, Clinical Lab</t>
        </is>
      </c>
      <c r="K64" s="144" t="inlineStr">
        <is>
          <t>High</t>
        </is>
      </c>
      <c r="L64" s="121" t="inlineStr">
        <is>
          <t>Senior ALPS leadership who sign/witness Master Agreements network-wide. Not a cold-call target — use for a formal vendor introduction once you have traction, or via industry events. Positioning Chison as an accredited vendor at this level accelerates everything downstream.</t>
        </is>
      </c>
      <c r="M64" s="121" t="inlineStr">
        <is>
          <t>Section 3.1 ALPS MA - Clinical Lab (CPRR)_2023.03.02.docx.pdf</t>
        </is>
      </c>
      <c r="N64" s="145" t="inlineStr">
        <is>
          <t>CHISON diagnostic ultrasound for ALPS Pte Ltd: HSA-registered and locally serviced (SonoEye P3 and SonoAir 30)</t>
        </is>
      </c>
      <c r="O64" s="108" t="inlineStr">
        <is>
          <t>Dear Mr Peter Tay Teng Choon,
We corresponded on 2 March 2023 regarding the Master Agreement Template - Cost Per Reportable Program, Clinical Lab.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where supplier frameworks are signed rather than administered, so I would rather make a proper introduction than work upward later.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5" ht="39.75" customHeight="1" s="104">
      <c r="A65" s="121" t="n">
        <v>61</v>
      </c>
      <c r="B65" s="121" t="inlineStr">
        <is>
          <t>TTSH</t>
        </is>
      </c>
      <c r="C65" s="123" t="inlineStr">
        <is>
          <t>Not started</t>
        </is>
      </c>
      <c r="D65" s="122" t="inlineStr">
        <is>
          <t>Rahman</t>
        </is>
      </c>
      <c r="E65" s="121" t="inlineStr">
        <is>
          <t>NA</t>
        </is>
      </c>
      <c r="F65" s="121" t="inlineStr">
        <is>
          <t>rahman_bin_lay_beng@ttsh.com.sg</t>
        </is>
      </c>
      <c r="G65" s="121" t="inlineStr">
        <is>
          <t>NA</t>
        </is>
      </c>
      <c r="H65" s="121" t="inlineStr">
        <is>
          <t>NA</t>
        </is>
      </c>
      <c r="I65" s="121" t="n"/>
      <c r="J65" s="121" t="inlineStr">
        <is>
          <t>921407 OT enquiry</t>
        </is>
      </c>
      <c r="K65" s="144" t="inlineStr">
        <is>
          <t>High</t>
        </is>
      </c>
      <c r="L65" s="121" t="inlineStr">
        <is>
          <t>Operating Theatre Services — pitch point-of-care ultrasound (SonoAir portable, SonoEye handheld) for vascular access, regional blocks and perioperative scanning. OT users often trial via clinician champions — offer a demo unit. Existing relationship (you've corresponded before) — one of your easiest first calls.</t>
        </is>
      </c>
      <c r="M65" s="121" t="inlineStr">
        <is>
          <t>Contact Details from Emails (Formatted).xlsx</t>
        </is>
      </c>
      <c r="N65" s="145" t="inlineStr">
        <is>
          <t>CHISON diagnostic ultrasound for TTSH: HSA-registered and locally serviced (SonoAir 30 and SonoEye P3)</t>
        </is>
      </c>
      <c r="O65" s="108" t="inlineStr">
        <is>
          <t>Dear Rahman,
We have corresponded previously regarding 921407 OT enquiry.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SonoAir 30: lightweight laptop for mobile and multi-site work
• SonoEye P3: pocket handheld for emergency, intensive care and bedside point-of-care scanning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6" ht="39.75" customHeight="1" s="104">
      <c r="A66" s="121" t="n">
        <v>62</v>
      </c>
      <c r="B66" s="121" t="inlineStr">
        <is>
          <t>SingHealth Community Hospitals; Sengkang Community Hospital; Outram Community Hospital</t>
        </is>
      </c>
      <c r="C66" s="123" t="inlineStr">
        <is>
          <t>Not started</t>
        </is>
      </c>
      <c r="D66" s="122" t="inlineStr">
        <is>
          <t>Ms Samantha Ng</t>
        </is>
      </c>
      <c r="E66" s="121" t="inlineStr">
        <is>
          <t>Materials Management Department</t>
        </is>
      </c>
      <c r="F66" s="121" t="inlineStr">
        <is>
          <t>samantha.ng.l.h@alpshealthcare.com.sg</t>
        </is>
      </c>
      <c r="G66" s="121" t="n"/>
      <c r="H66" s="121" t="n"/>
      <c r="I66" s="121" t="inlineStr">
        <is>
          <t>27 January 2025</t>
        </is>
      </c>
      <c r="J66" s="121" t="inlineStr">
        <is>
          <t>Master Agreement - Supply of Gauzes (Plain and Raytec) and Abdominal Swabs</t>
        </is>
      </c>
      <c r="K66" s="147" t="inlineStr">
        <is>
          <t>Medium</t>
        </is>
      </c>
      <c r="L66" s="121" t="inlineStr">
        <is>
          <t>Community hospital — smaller-scale buyer but portable/handheld ultrasound fits step-down care (SonoAir/SonoEye). Lower priority than acute hospitals.</t>
        </is>
      </c>
      <c r="M66" s="121" t="inlineStr">
        <is>
          <t>4) 2025.01.27 SP ALPS MA (Consumables).pdf</t>
        </is>
      </c>
      <c r="N66" s="145" t="inlineStr">
        <is>
          <t>CHISON diagnostic ultrasound for SingHealth Community Hospitals; Sengkang Community Hospital; Outram Community Hospital: HSA-registered and locally serviced (SonoAir 30 and SonoEye P3)</t>
        </is>
      </c>
      <c r="O66" s="108" t="inlineStr">
        <is>
          <t>Dear Ms Samantha Ng,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SingHealth Community Hospitals; Sengkang Community Hospital; Outram Community Hospital centres on bedside scanning on the wards, which is exactly where this range sits.
Where CHISON would fit:
• SonoAir 30: lightweight laptop for mobile and multi-site work
• SonoEye P3: pocket handheld for emergency, intensive care and bedside point-of-care scanning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7" ht="39.75" customHeight="1" s="104">
      <c r="A67" s="121" t="n">
        <v>63</v>
      </c>
      <c r="B67" s="121" t="inlineStr">
        <is>
          <t>National Cancer Centre of Singapore Pte Ltd</t>
        </is>
      </c>
      <c r="C67" s="123" t="inlineStr">
        <is>
          <t>Not started</t>
        </is>
      </c>
      <c r="D67" s="122" t="inlineStr">
        <is>
          <t>Ms Sancher He</t>
        </is>
      </c>
      <c r="E67" s="121" t="inlineStr">
        <is>
          <t>Materials Management Department</t>
        </is>
      </c>
      <c r="F67" s="121" t="inlineStr">
        <is>
          <t>sancher.he.j@alpshealthcare.com.sg</t>
        </is>
      </c>
      <c r="G67" s="121" t="n"/>
      <c r="H67" s="121" t="n"/>
      <c r="I67" s="121" t="inlineStr">
        <is>
          <t>27 January 2025</t>
        </is>
      </c>
      <c r="J67" s="121" t="inlineStr">
        <is>
          <t>Master Agreement - Supply of Gauzes (Plain and Raytec) and Abdominal Swabs</t>
        </is>
      </c>
      <c r="K67" s="147" t="inlineStr">
        <is>
          <t>Medium</t>
        </is>
      </c>
      <c r="L67" s="121" t="inlineStr">
        <is>
          <t>Cancer centre — ultrasound used for biopsy guidance and vascular access rather than core imaging. Secondary target; ask MMD contact who handles interventional/imaging equipment.</t>
        </is>
      </c>
      <c r="M67" s="121" t="inlineStr">
        <is>
          <t>4) 2025.01.27 SP ALPS MA (Consumables).pdf</t>
        </is>
      </c>
      <c r="N67" s="145" t="inlineStr">
        <is>
          <t>CHISON diagnostic ultrasound for National Cancer Centre of Singapore Pte Ltd: HSA-registered and locally serviced (SonoMax 7 and XBit 90)</t>
        </is>
      </c>
      <c r="O67" s="108" t="inlineStr">
        <is>
          <t>Dear Ms Sancher He,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Cancer Centre of Singapore Pte Ltd centres on biopsy guidance and vascular access,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8" ht="39.75" customHeight="1" s="104">
      <c r="A68" s="121" t="n">
        <v>64</v>
      </c>
      <c r="B68" s="121" t="inlineStr">
        <is>
          <t>Changi General Hospital Pte Ltd</t>
        </is>
      </c>
      <c r="C68" s="123" t="inlineStr">
        <is>
          <t>Not started</t>
        </is>
      </c>
      <c r="D68" s="122" t="inlineStr">
        <is>
          <t>Ms Sandra Low</t>
        </is>
      </c>
      <c r="E68" s="121" t="inlineStr">
        <is>
          <t>Supply Chain Management</t>
        </is>
      </c>
      <c r="F68" s="121" t="inlineStr">
        <is>
          <t>Sandra.low.s.l@alpshealthcare.com.sg</t>
        </is>
      </c>
      <c r="G68" s="121" t="n"/>
      <c r="H68" s="121" t="n"/>
      <c r="I68" s="121" t="inlineStr">
        <is>
          <t>27 January 2025</t>
        </is>
      </c>
      <c r="J68" s="121" t="inlineStr">
        <is>
          <t>Master Agreement - Supply of Gauzes (Plain and Raytec) and Abdominal Swabs</t>
        </is>
      </c>
      <c r="K68" s="147" t="inlineStr">
        <is>
          <t>Medium</t>
        </is>
      </c>
      <c r="L68"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68" s="121" t="inlineStr">
        <is>
          <t>4) 2025.01.27 SP ALPS MA (Consumables).pdf</t>
        </is>
      </c>
      <c r="N68" s="145" t="inlineStr">
        <is>
          <t>CHISON diagnostic ultrasound for Changi General Hospital Pte Ltd: HSA-registered and locally serviced (CBit 6 and SonoAir 30)</t>
        </is>
      </c>
      <c r="O68" s="108" t="inlineStr">
        <is>
          <t>Dear Ms Sandra Low,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Procurement is the right first stop for a new supplier, so I would rather introduce ourselves properly to you than approach a department cold.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69" ht="39.75" customHeight="1" s="104">
      <c r="A69" s="121" t="n">
        <v>65</v>
      </c>
      <c r="B69" s="121" t="inlineStr">
        <is>
          <t>National Healthcare Group Diagnostics</t>
        </is>
      </c>
      <c r="C69" s="123" t="inlineStr">
        <is>
          <t>Not started</t>
        </is>
      </c>
      <c r="D69" s="122" t="inlineStr">
        <is>
          <t>Ms Sandy Teo</t>
        </is>
      </c>
      <c r="E69" s="121" t="inlineStr">
        <is>
          <t>Materials Management Department</t>
        </is>
      </c>
      <c r="F69" s="121" t="inlineStr">
        <is>
          <t>sandy.teo.m.n@alpshealthcare.com.sg</t>
        </is>
      </c>
      <c r="G69" s="121" t="inlineStr">
        <is>
          <t>6340 2489</t>
        </is>
      </c>
      <c r="H69" s="121" t="n"/>
      <c r="I69" s="121" t="inlineStr">
        <is>
          <t>22 July 2022</t>
        </is>
      </c>
      <c r="J69" s="121" t="inlineStr">
        <is>
          <t>Master Agreement - Supply of Disposable Caps and Shoe Covers</t>
        </is>
      </c>
      <c r="K69" s="144" t="inlineStr">
        <is>
          <t>High</t>
        </is>
      </c>
      <c r="L69" s="121" t="inlineStr">
        <is>
          <t>Diagnostics/imaging services arm — direct fit for Chison's Radiology/General Imaging range (SonoMax/XBit carts, SonoAir portables for satellite sites). Ask to be pointed to the imaging operations lead and Biomedical Engineering for evaluation.</t>
        </is>
      </c>
      <c r="M69" s="121" t="inlineStr">
        <is>
          <t>10. ALPS MA (Consumables)_2022.07.22.pdf</t>
        </is>
      </c>
      <c r="N69" s="145" t="inlineStr">
        <is>
          <t>CHISON diagnostic ultrasound for National Healthcare Group Diagnostics: HSA-registered and locally serviced (SonoMax 7 and XBit 90)</t>
        </is>
      </c>
      <c r="O69" s="108" t="inlineStr">
        <is>
          <t>Dear Ms Sandy Teo,
We corresponded on 22 July 2022 regarding the Master Agreement - Supply of Disposable Caps and Shoe Covers.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Healthcare Group Diagnostics centres on radiology and general imaging across your sites,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0" ht="39.75" customHeight="1" s="104">
      <c r="A70" s="121" t="n">
        <v>66</v>
      </c>
      <c r="B70" s="121" t="inlineStr">
        <is>
          <t>ALPS</t>
        </is>
      </c>
      <c r="C70" s="123" t="inlineStr">
        <is>
          <t>Not started</t>
        </is>
      </c>
      <c r="D70" s="122" t="inlineStr">
        <is>
          <t>Ms Serene Zhou</t>
        </is>
      </c>
      <c r="E70" s="121" t="inlineStr">
        <is>
          <t>Materials Management Department</t>
        </is>
      </c>
      <c r="F70" s="121" t="inlineStr">
        <is>
          <t>serene.zhou.l.t@alpshealthcare.com.sg</t>
        </is>
      </c>
      <c r="G70" s="121" t="inlineStr">
        <is>
          <t xml:space="preserve">       DID: (65) 6807 8404 | HP: (65)92213360</t>
        </is>
      </c>
      <c r="H70" s="121" t="inlineStr">
        <is>
          <t>Address: 17 Woodlands Drive 17, Singapore 737628</t>
        </is>
      </c>
      <c r="I70" s="121" t="n"/>
      <c r="J70" s="121" t="inlineStr">
        <is>
          <t>Foley catheters</t>
        </is>
      </c>
      <c r="K70" s="144" t="inlineStr">
        <is>
          <t>High</t>
        </is>
      </c>
      <c r="L70" s="121" t="inlineStr">
        <is>
          <t>WoodlandsHealth — newer facility still building out equipment fleets; good timing before incumbents lock in. This contact is supplies/lab-side, so ask for an intro to WH's Diagnostic Imaging and Biomedical Engineering teams; pitch the full Chison range. Existing relationship (you've corresponded before) — one of your easiest first calls.</t>
        </is>
      </c>
      <c r="M70" s="121" t="inlineStr">
        <is>
          <t>Contact Details from Emails (Formatted).xlsx</t>
        </is>
      </c>
      <c r="N70" s="145" t="inlineStr">
        <is>
          <t>CHISON diagnostic ultrasound for ALPS: HSA-registered and locally serviced (SonoMax 7 and XBit 90)</t>
        </is>
      </c>
      <c r="O70" s="108" t="inlineStr">
        <is>
          <t>Dear Ms Serene Zhou,
We have corresponded previously regarding Foley catheters.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1" ht="39.75" customHeight="1" s="104">
      <c r="A71" s="121" t="n">
        <v>67</v>
      </c>
      <c r="B71" s="121" t="inlineStr">
        <is>
          <t>NHG Diagnostics</t>
        </is>
      </c>
      <c r="C71" s="123" t="inlineStr">
        <is>
          <t>Not started</t>
        </is>
      </c>
      <c r="D71" s="122" t="inlineStr">
        <is>
          <t>Ms Sharon Chee</t>
        </is>
      </c>
      <c r="E71" s="121" t="inlineStr">
        <is>
          <t>Materials Management Department</t>
        </is>
      </c>
      <c r="F71" s="121" t="inlineStr">
        <is>
          <t>sharon.chee.m.k@alpshealthcare.com.sg</t>
        </is>
      </c>
      <c r="G71" s="121" t="inlineStr">
        <is>
          <t>6340 5724</t>
        </is>
      </c>
      <c r="H71" s="121" t="n"/>
      <c r="I71" s="121" t="inlineStr">
        <is>
          <t>22 April 2024</t>
        </is>
      </c>
      <c r="J71" s="121" t="inlineStr">
        <is>
          <t>Master Agreement - Supply of Diapers</t>
        </is>
      </c>
      <c r="K71" s="144" t="inlineStr">
        <is>
          <t>High</t>
        </is>
      </c>
      <c r="L71" s="121" t="inlineStr">
        <is>
          <t>Diagnostics/imaging services arm — direct fit for Chison's Radiology/General Imaging range (SonoMax/XBit carts, SonoAir portables for satellite sites). Ask to be pointed to the imaging operations lead and Biomedical Engineering for evaluation.</t>
        </is>
      </c>
      <c r="M71" s="121" t="inlineStr">
        <is>
          <t>2.2 GPMR02224_Reference Master Agreement.pdf</t>
        </is>
      </c>
      <c r="N71" s="145" t="inlineStr">
        <is>
          <t>CHISON diagnostic ultrasound for NHG Diagnostics: HSA-registered and locally serviced (SonoMax 7 and XBit 90)</t>
        </is>
      </c>
      <c r="O71" s="108" t="inlineStr">
        <is>
          <t>Dear Ms Sharon Chee,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NHG Diagnostics centres on radiology and general imaging across your sites,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2" ht="39.75" customHeight="1" s="104">
      <c r="A72" s="121" t="n">
        <v>68</v>
      </c>
      <c r="B72" s="121" t="inlineStr">
        <is>
          <t>KK Women’s and Children's Hospital Pte Ltd</t>
        </is>
      </c>
      <c r="C72" s="123" t="inlineStr">
        <is>
          <t>Not started</t>
        </is>
      </c>
      <c r="D72" s="122" t="inlineStr">
        <is>
          <t>Ms Shellen Tho</t>
        </is>
      </c>
      <c r="E72" s="121" t="inlineStr">
        <is>
          <t>Materials Management Department</t>
        </is>
      </c>
      <c r="F72" s="121" t="inlineStr">
        <is>
          <t>shellen.tho.a.k@alpshealthcare.com.sg</t>
        </is>
      </c>
      <c r="G72" s="121" t="inlineStr">
        <is>
          <t>6394 2188</t>
        </is>
      </c>
      <c r="H72" s="121" t="n"/>
      <c r="I72" s="121" t="inlineStr">
        <is>
          <t>22 April 2024</t>
        </is>
      </c>
      <c r="J72" s="121" t="inlineStr">
        <is>
          <t>Master Agreement - Supply of Diapers</t>
        </is>
      </c>
      <c r="K72" s="144" t="inlineStr">
        <is>
          <t>High</t>
        </is>
      </c>
      <c r="L72" s="121" t="inlineStr">
        <is>
          <t>KK Women's and Children's Hospital — Chison's strongest specialty fit (Women's Health/O&amp;G). MMD contact administers supplies contracts, so use them to reach the O&amp;G/Diagnostic Imaging departments and Biomedical Engineering who spec equipment. Pitch OB/GYN-configured SonoMax/XBit carts.</t>
        </is>
      </c>
      <c r="M72" s="121" t="inlineStr">
        <is>
          <t>2.2 GPMR02224_Reference Master Agreement.pdf</t>
        </is>
      </c>
      <c r="N72" s="145" t="inlineStr">
        <is>
          <t>CHISON diagnostic ultrasound for KK Women’s and Children's Hospital Pte Ltd: HSA-registered and locally serviced (SonoMax 7 and XBit 90)</t>
        </is>
      </c>
      <c r="O72" s="108" t="inlineStr">
        <is>
          <t>Dear Ms Shellen Tho,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KK Women’s and Children's Hospital Pte Ltd centres on obstetric, gynaecological and paediatric imaging, which is exactly where this range sits.
Where CHISON would fit:
• SonoMax 7: the flagship cart, carrying a full radiology, obstetric and cardiac workload
• XBit 90: premium cart for departments that want high-end imaging without a high-end budget
A focused cart offer,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3" ht="39.75" customHeight="1" s="104">
      <c r="A73" s="121" t="n">
        <v>69</v>
      </c>
      <c r="B73" s="121" t="inlineStr">
        <is>
          <t>Alexandra Hospital</t>
        </is>
      </c>
      <c r="C73" s="123" t="inlineStr">
        <is>
          <t>Not started</t>
        </is>
      </c>
      <c r="D73" s="122" t="inlineStr">
        <is>
          <t>Mr Simon Bartholomew Galistan</t>
        </is>
      </c>
      <c r="E73" s="121" t="inlineStr">
        <is>
          <t>Materials Management Department</t>
        </is>
      </c>
      <c r="F73" s="121" t="inlineStr">
        <is>
          <t>simon.bartholomew.galistan@alpshealthcare.com.sg</t>
        </is>
      </c>
      <c r="G73" s="121" t="inlineStr">
        <is>
          <t>6370 6029</t>
        </is>
      </c>
      <c r="H73" s="121" t="n"/>
      <c r="I73" s="121" t="inlineStr">
        <is>
          <t>2 March 2023</t>
        </is>
      </c>
      <c r="J73" s="121" t="inlineStr">
        <is>
          <t>Master Agreement Template - Cost Per Reportable Program, Clinical Lab</t>
        </is>
      </c>
      <c r="K73" s="147" t="inlineStr">
        <is>
          <t>Medium</t>
        </is>
      </c>
      <c r="L73"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73" s="121" t="inlineStr">
        <is>
          <t>Section 3.1 ALPS MA - Clinical Lab (CPRR)_2023.03.02.docx.pdf</t>
        </is>
      </c>
      <c r="N73" s="145" t="inlineStr">
        <is>
          <t>CHISON diagnostic ultrasound for Alexandra Hospital: HSA-registered and locally serviced (CBit 6 and SonoAir 30)</t>
        </is>
      </c>
      <c r="O73" s="108" t="inlineStr">
        <is>
          <t>Dear Mr Simon Bartholomew Galistan,
We corresponded on 2 March 2023 regarding the Master Agreement Template - Cost Per Reportable Program, Clinical Lab.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4" ht="39.75" customHeight="1" s="104">
      <c r="A74" s="121" t="n">
        <v>70</v>
      </c>
      <c r="B74" s="121" t="inlineStr">
        <is>
          <t>ALPS HQ</t>
        </is>
      </c>
      <c r="C74" s="123" t="inlineStr">
        <is>
          <t>Not started</t>
        </is>
      </c>
      <c r="D74" s="122" t="inlineStr">
        <is>
          <t>SOO Zhen Hong Kenny (Mr)</t>
        </is>
      </c>
      <c r="E74" s="121" t="inlineStr">
        <is>
          <t>Manager, Strategic Procurement, Medical Supplies</t>
        </is>
      </c>
      <c r="F74" s="121" t="inlineStr">
        <is>
          <t>kenny.soo.z.h@alpshealthcare.com.sg</t>
        </is>
      </c>
      <c r="G74" s="121" t="inlineStr">
        <is>
          <t>DID : (65) 6377 8092 HP : (65) 9127 7711</t>
        </is>
      </c>
      <c r="H74" s="121" t="inlineStr">
        <is>
          <t>ALPS Procurement Office (Tower 1)
168 Jalan Bukit Merah #16-01 Surbana One, Singapore 150168</t>
        </is>
      </c>
      <c r="I74" s="121" t="inlineStr">
        <is>
          <t>08 Oct 2025</t>
        </is>
      </c>
      <c r="J74" s="121" t="inlineStr">
        <is>
          <t>Culture Media</t>
        </is>
      </c>
      <c r="K74" s="144" t="inlineStr">
        <is>
          <t>High</t>
        </is>
      </c>
      <c r="L74" s="121" t="inlineStr">
        <is>
          <t>ALPS HQ Strategic Procurement — but note their portfolio is Medical SUPPLIES (consumables). Ultrasound equipment tenders sit with ALPS's separate Strategic Procurement - Medical Technology (equipment) category team. Ask this contact for a warm internal referral to the MedTech category team, and get Chison registered on ALPS's SAP Ariba eProcurement portal to see sourcing events. Existing relationship (you've corresponded before) — one of your easiest first calls.</t>
        </is>
      </c>
      <c r="M74" s="121" t="inlineStr">
        <is>
          <t>Contact Details from Emails (Formatted).xlsx</t>
        </is>
      </c>
      <c r="N74" s="145" t="inlineStr">
        <is>
          <t>CHISON diagnostic ultrasound for ALPS HQ: HSA-registered and locally serviced (SonoEye P3 and SonoAir 30)</t>
        </is>
      </c>
      <c r="O74" s="108" t="inlineStr">
        <is>
          <t>Dear SOO Zhen Hong Kenny (Mr),
We corresponded on 08 Oct 2025 regarding Culture Media.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5" ht="39.75" customHeight="1" s="104">
      <c r="A75" s="121" t="n">
        <v>71</v>
      </c>
      <c r="B75" s="121" t="inlineStr">
        <is>
          <t>ALPS NUH</t>
        </is>
      </c>
      <c r="C75" s="123" t="inlineStr">
        <is>
          <t>Not started</t>
        </is>
      </c>
      <c r="D75" s="122" t="inlineStr">
        <is>
          <t>Steve Chua</t>
        </is>
      </c>
      <c r="E75" s="121" t="inlineStr">
        <is>
          <t>Senior Associate Executive, MMD</t>
        </is>
      </c>
      <c r="F75" s="121" t="inlineStr">
        <is>
          <t>steve.chua.y.r@alpshealthcare.com.sg</t>
        </is>
      </c>
      <c r="G75" s="121" t="inlineStr">
        <is>
          <t>DID: (65) 6772 5197  HP: (65) 8126 9287
HP: (65) 8126 9287</t>
        </is>
      </c>
      <c r="H75" s="121" t="inlineStr">
        <is>
          <t>ALPS @ National University Hospital Materials Management Department
Address: 9 Lower Kent Ridge Road, Singapore 119085
Ground floor of National University Centre for Oral Health, Singapore</t>
        </is>
      </c>
      <c r="I75" s="121" t="inlineStr">
        <is>
          <t>01 Sep 2025</t>
        </is>
      </c>
      <c r="J75" s="121" t="inlineStr">
        <is>
          <t>921407
Catheters</t>
        </is>
      </c>
      <c r="K75" s="147" t="inlineStr">
        <is>
          <t>Medium</t>
        </is>
      </c>
      <c r="L75"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 Existing relationship (you've corresponded before) — one of your easiest first calls.</t>
        </is>
      </c>
      <c r="M75" s="121" t="inlineStr">
        <is>
          <t>Contact Details from Emails (Formatted).xlsx</t>
        </is>
      </c>
      <c r="N75" s="145" t="inlineStr">
        <is>
          <t>CHISON diagnostic ultrasound for ALPS NUH: HSA-registered and locally serviced (CBit 6 and SonoAir 30)</t>
        </is>
      </c>
      <c r="O75" s="108" t="inlineStr">
        <is>
          <t>Dear Steve Chua,
We corresponded on 01 Sep 2025 regarding 921407
Catheters.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6" ht="39.75" customHeight="1" s="104">
      <c r="A76" s="121" t="n">
        <v>72</v>
      </c>
      <c r="B76" s="121" t="inlineStr">
        <is>
          <t>Mount Alvernia</t>
        </is>
      </c>
      <c r="C76" s="123" t="inlineStr">
        <is>
          <t>Not started</t>
        </is>
      </c>
      <c r="D76" s="122" t="inlineStr">
        <is>
          <t xml:space="preserve">Stewart LOW </t>
        </is>
      </c>
      <c r="E76" s="121" t="inlineStr">
        <is>
          <t>Manager, Laboratory, Clinical Services Division</t>
        </is>
      </c>
      <c r="F76" s="121" t="inlineStr">
        <is>
          <t>stewart.low.bg@mtalvernia.sg</t>
        </is>
      </c>
      <c r="G76" s="121" t="inlineStr">
        <is>
          <t>Phone: +65 6347 6340</t>
        </is>
      </c>
      <c r="H76" s="121" t="inlineStr">
        <is>
          <t>Mount Alvernia Hospital, 820 Thomson Road, Singapore 574623</t>
        </is>
      </c>
      <c r="I76" s="121" t="n"/>
      <c r="J76" s="121" t="n">
        <v>980103</v>
      </c>
      <c r="K76" s="147" t="inlineStr">
        <is>
          <t>Medium</t>
        </is>
      </c>
      <c r="L76" s="121" t="inlineStr">
        <is>
          <t>Private hospital — faster, less bureaucratic procurement than public sector; no ALPS involvement. Position Chison as a cost-competitive alternative to premium incumbents; a successful private install also builds local reference sites. Existing relationship (you've corresponded before) — one of your easiest first calls.</t>
        </is>
      </c>
      <c r="M76" s="121" t="inlineStr">
        <is>
          <t>Contact Details from Emails (Formatted).xlsx</t>
        </is>
      </c>
      <c r="N76" s="145" t="inlineStr">
        <is>
          <t>CHISON diagnostic ultrasound for Mount Alvernia: HSA-registered and locally serviced (SonoEye P3 and SonoAir 30)</t>
        </is>
      </c>
      <c r="O76" s="108" t="inlineStr">
        <is>
          <t>Dear Stewart LOW,
We have corresponded previously regarding 980103.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Mount Alvernia centres on maternity and general outpatient imaging, which is exactly where this range sits.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7" ht="39.75" customHeight="1" s="104">
      <c r="A77" s="121" t="n">
        <v>73</v>
      </c>
      <c r="B77" s="121" t="inlineStr">
        <is>
          <t>National Healthcare Group Diagnostics</t>
        </is>
      </c>
      <c r="C77" s="123" t="inlineStr">
        <is>
          <t>Not started</t>
        </is>
      </c>
      <c r="D77" s="122" t="inlineStr">
        <is>
          <t>Ms Susanti</t>
        </is>
      </c>
      <c r="E77" s="121" t="inlineStr">
        <is>
          <t>Materials Management Department</t>
        </is>
      </c>
      <c r="F77" s="121" t="inlineStr">
        <is>
          <t>susanti@alpshealthcare.com.sg</t>
        </is>
      </c>
      <c r="G77" s="121" t="inlineStr">
        <is>
          <t>6496 6883</t>
        </is>
      </c>
      <c r="H77" s="121" t="n"/>
      <c r="I77" s="121" t="inlineStr">
        <is>
          <t>2 March 2023</t>
        </is>
      </c>
      <c r="J77" s="121" t="inlineStr">
        <is>
          <t>Master Agreement Template - Cost Per Reportable Program, Clinical Lab</t>
        </is>
      </c>
      <c r="K77" s="144" t="inlineStr">
        <is>
          <t>High</t>
        </is>
      </c>
      <c r="L77" s="121" t="inlineStr">
        <is>
          <t>Diagnostics/imaging services arm — direct fit for Chison's Radiology/General Imaging range (SonoMax/XBit carts, SonoAir portables for satellite sites). Ask to be pointed to the imaging operations lead and Biomedical Engineering for evaluation.</t>
        </is>
      </c>
      <c r="M77" s="121" t="inlineStr">
        <is>
          <t>Section 3.1 ALPS MA - Clinical Lab (CPRR)_2023.03.02.docx.pdf</t>
        </is>
      </c>
      <c r="N77" s="145" t="inlineStr">
        <is>
          <t>CHISON diagnostic ultrasound for National Healthcare Group Diagnostics: HSA-registered and locally serviced (SonoMax 7 and XBit 90)</t>
        </is>
      </c>
      <c r="O77" s="108" t="inlineStr">
        <is>
          <t>Dear Ms Susanti,
We corresponded on 2 March 2023 regarding the Master Agreement Template - Cost Per Reportable Program, Clinical Lab.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National Healthcare Group Diagnostics centres on radiology and general imaging across your sites, which is exactly where this range sits.
Where CHISON would fit:
• SonoMax 7: the flagship cart, carrying a full radiology, obstetric and cardiac workload
• XBit 90: premium cart for departments that want high-end imaging without a high-end budget
• SonoAir 30: lightweight laptop for mobile and multi-site work
A portable and a cart option from the same brand,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78" ht="39.75" customHeight="1" s="104">
      <c r="A78" s="121" t="n">
        <v>74</v>
      </c>
      <c r="B78" s="121" t="inlineStr">
        <is>
          <t>National University Centre for Oral Health Singapore</t>
        </is>
      </c>
      <c r="C78" s="123" t="inlineStr">
        <is>
          <t>Not started</t>
        </is>
      </c>
      <c r="D78" s="122" t="inlineStr">
        <is>
          <t>Ms Tan Keng Leng</t>
        </is>
      </c>
      <c r="E78" s="121" t="inlineStr">
        <is>
          <t>Operations and Admin Department</t>
        </is>
      </c>
      <c r="F78" s="121" t="inlineStr">
        <is>
          <t>tan_keng_leng@nuhs.edu.sg</t>
        </is>
      </c>
      <c r="G78" s="121" t="n"/>
      <c r="H78" s="121" t="n"/>
      <c r="I78" s="121" t="inlineStr">
        <is>
          <t>27 January 2025</t>
        </is>
      </c>
      <c r="J78" s="121" t="inlineStr">
        <is>
          <t>Master Agreement - Supply of Gauzes (Plain and Raytec) and Abdominal Swabs</t>
        </is>
      </c>
      <c r="K78" s="148" t="inlineStr">
        <is>
          <t>Low</t>
        </is>
      </c>
      <c r="L78" s="121" t="inlineStr">
        <is>
          <t>Department has limited direct use for diagnostic ultrasound (pharmacy/dental/eye/skin/mental health). Deprioritise, or use only as a warm intro to redirect to the right department.</t>
        </is>
      </c>
      <c r="M78" s="121" t="inlineStr">
        <is>
          <t>4) 2025.01.27 SP ALPS MA (Consumables).pdf</t>
        </is>
      </c>
      <c r="N78" s="145" t="inlineStr">
        <is>
          <t>Diagnostic ultrasound at National University Centre for Oral Health Singapore: could you point me to the right department?</t>
        </is>
      </c>
      <c r="O78" s="108" t="inlineStr">
        <is>
          <t>Dear Ms Tan Keng Leng,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Operations and Admin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79" ht="39.75" customHeight="1" s="104">
      <c r="A79" s="121" t="n">
        <v>75</v>
      </c>
      <c r="B79" s="121" t="inlineStr">
        <is>
          <t>ALPS HQ</t>
        </is>
      </c>
      <c r="C79" s="123" t="inlineStr">
        <is>
          <t>Not started</t>
        </is>
      </c>
      <c r="D79" s="122" t="inlineStr">
        <is>
          <t>Tan Si Yuan</t>
        </is>
      </c>
      <c r="E79" s="121" t="inlineStr">
        <is>
          <t>ALPS Procurement Office</t>
        </is>
      </c>
      <c r="F79" s="121" t="inlineStr">
        <is>
          <t>tan.si.yuan@alpshealthcare.com.sg</t>
        </is>
      </c>
      <c r="G79" s="121" t="inlineStr">
        <is>
          <t>DID: (65) 6377 5871</t>
        </is>
      </c>
      <c r="H79" s="121" t="inlineStr">
        <is>
          <t>168 Jalan Bukit Merah #16-01 Surbana One Singapore 150168</t>
        </is>
      </c>
      <c r="I79" s="121" t="inlineStr">
        <is>
          <t>13 Aug 2025</t>
        </is>
      </c>
      <c r="J79" s="121" t="inlineStr">
        <is>
          <t>Consumables</t>
        </is>
      </c>
      <c r="K79" s="144" t="inlineStr">
        <is>
          <t>High</t>
        </is>
      </c>
      <c r="L79" s="121" t="inlineStr">
        <is>
          <t>ALPS HQ Strategic Procurement — but note their portfolio is Medical SUPPLIES (consumables). Ultrasound equipment tenders sit with ALPS's separate Strategic Procurement - Medical Technology (equipment) category team. Ask this contact for a warm internal referral to the MedTech category team, and get Chison registered on ALPS's SAP Ariba eProcurement portal to see sourcing events. Existing relationship (you've corresponded before) — one of your easiest first calls.</t>
        </is>
      </c>
      <c r="M79" s="121" t="inlineStr">
        <is>
          <t>Contact Details from Emails (Formatted).xlsx</t>
        </is>
      </c>
      <c r="N79" s="145" t="inlineStr">
        <is>
          <t>CHISON diagnostic ultrasound for ALPS HQ: HSA-registered and locally serviced (SonoEye P3 and SonoAir 30)</t>
        </is>
      </c>
      <c r="O79" s="108" t="inlineStr">
        <is>
          <t>Dear Tan Si Yuan,
We corresponded on 13 Aug 2025 regarding Consumables.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80" ht="39.75" customHeight="1" s="104">
      <c r="A80" s="121" t="n">
        <v>76</v>
      </c>
      <c r="B80" s="121" t="inlineStr">
        <is>
          <t>National University Hospital (Singapore) Pte Ltd</t>
        </is>
      </c>
      <c r="C80" s="123" t="inlineStr">
        <is>
          <t>Not started</t>
        </is>
      </c>
      <c r="D80" s="122" t="inlineStr">
        <is>
          <t>Ms Tan Soh Hin</t>
        </is>
      </c>
      <c r="E80" s="121" t="inlineStr">
        <is>
          <t>Materials Management Department</t>
        </is>
      </c>
      <c r="F80" s="121" t="inlineStr">
        <is>
          <t>soh_hin_tan@nuhs.edu.sg</t>
        </is>
      </c>
      <c r="G80" s="121" t="inlineStr">
        <is>
          <t>6716 1986</t>
        </is>
      </c>
      <c r="H80" s="121" t="n"/>
      <c r="I80" s="121" t="inlineStr">
        <is>
          <t>22 April 2024</t>
        </is>
      </c>
      <c r="J80" s="121" t="inlineStr">
        <is>
          <t>Master Agreement - Supply of Diapers</t>
        </is>
      </c>
      <c r="K80" s="147" t="inlineStr">
        <is>
          <t>Medium</t>
        </is>
      </c>
      <c r="L80"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80" s="121" t="inlineStr">
        <is>
          <t>2.2 GPMR02224_Reference Master Agreement.pdf</t>
        </is>
      </c>
      <c r="N80" s="145" t="inlineStr">
        <is>
          <t>CHISON diagnostic ultrasound for National University Hospital (Singapore) Pte Ltd: HSA-registered and locally serviced (CBit 6 and SonoAir 30)</t>
        </is>
      </c>
      <c r="O80" s="108" t="inlineStr">
        <is>
          <t>Dear Ms Tan Soh Hin,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81" ht="39.75" customHeight="1" s="104">
      <c r="A81" s="121" t="n">
        <v>77</v>
      </c>
      <c r="B81" s="121" t="inlineStr">
        <is>
          <t>NUH</t>
        </is>
      </c>
      <c r="C81" s="123" t="inlineStr">
        <is>
          <t>Not started</t>
        </is>
      </c>
      <c r="D81" s="122" t="inlineStr">
        <is>
          <t>Teo Buay Hiang</t>
        </is>
      </c>
      <c r="E81" s="121" t="inlineStr">
        <is>
          <t>NA</t>
        </is>
      </c>
      <c r="F81" s="121" t="inlineStr">
        <is>
          <t>Buay_Hiang_TEO@nuhs.edu.sg</t>
        </is>
      </c>
      <c r="G81" s="121" t="inlineStr">
        <is>
          <t>Teo Buay Hiang (Tel: 6772 4610)</t>
        </is>
      </c>
      <c r="H81" s="121" t="inlineStr">
        <is>
          <t>NATIONAL UNIVERSITY HOSPITAL (SINGAPORE) PTE LTD
DEPT OF LABORATORY MEDICINE, 5 LOWER KENT RIDGE RD
LEVEL 3 (G03-03) LIFT LOBBY 2 MAIN BUILDING</t>
        </is>
      </c>
      <c r="I81" s="121" t="inlineStr">
        <is>
          <t>15 Aug 2025</t>
        </is>
      </c>
      <c r="J81" s="121" t="inlineStr">
        <is>
          <t>Glass culture tube</t>
        </is>
      </c>
      <c r="K81" s="148" t="inlineStr">
        <is>
          <t>Low</t>
        </is>
      </c>
      <c r="L81" s="121" t="inlineStr">
        <is>
          <t>Laboratory Medicine department — labs do not purchase diagnostic ultrasound. Low fit; use only as a warm intro to redirect you to their Radiology/imaging colleagues. Existing relationship (you've corresponded before) — one of your easiest first calls.</t>
        </is>
      </c>
      <c r="M81" s="121" t="inlineStr">
        <is>
          <t>Contact Details from Emails (Formatted).xlsx</t>
        </is>
      </c>
      <c r="N81" s="145" t="inlineStr">
        <is>
          <t>Diagnostic ultrasound at NUH: could you point me to the right department?</t>
        </is>
      </c>
      <c r="O81" s="108" t="inlineStr">
        <is>
          <t>Dear Teo Buay Hiang,
We corresponded on 15 Aug 2025 regarding Glass culture tube.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your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82" ht="39.75" customHeight="1" s="104">
      <c r="A82" s="121" t="n">
        <v>78</v>
      </c>
      <c r="B82" s="121" t="inlineStr">
        <is>
          <t>Sengkang General Hospital Pte Ltd</t>
        </is>
      </c>
      <c r="C82" s="123" t="inlineStr">
        <is>
          <t>Not started</t>
        </is>
      </c>
      <c r="D82" s="122" t="inlineStr">
        <is>
          <t>Ms Teo Ching Ting</t>
        </is>
      </c>
      <c r="E82" s="121" t="inlineStr">
        <is>
          <t>Materials Management Department</t>
        </is>
      </c>
      <c r="F82" s="121" t="inlineStr">
        <is>
          <t>teo.ching.ting@alpshealthcare.com.sg</t>
        </is>
      </c>
      <c r="G82" s="121" t="inlineStr">
        <is>
          <t>6930 4533</t>
        </is>
      </c>
      <c r="H82" s="121" t="n"/>
      <c r="I82" s="121" t="inlineStr">
        <is>
          <t>22 April 2024</t>
        </is>
      </c>
      <c r="J82" s="121" t="inlineStr">
        <is>
          <t>Master Agreement - Supply of Diapers</t>
        </is>
      </c>
      <c r="K82" s="147" t="inlineStr">
        <is>
          <t>Medium</t>
        </is>
      </c>
      <c r="L82"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82" s="121" t="inlineStr">
        <is>
          <t>2.2 GPMR02224_Reference Master Agreement.pdf</t>
        </is>
      </c>
      <c r="N82" s="145" t="inlineStr">
        <is>
          <t>CHISON diagnostic ultrasound for Sengkang General Hospital Pte Ltd: HSA-registered and locally serviced (CBit 6 and SonoAir 30)</t>
        </is>
      </c>
      <c r="O82" s="108" t="inlineStr">
        <is>
          <t>Dear Ms Teo Ching Ting,
We corresponded on 22 April 2024 regarding the Master Agreement - Supply of Diapers.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83" ht="39.75" customHeight="1" s="104">
      <c r="A83" s="121" t="n">
        <v>79</v>
      </c>
      <c r="B83" s="121" t="inlineStr">
        <is>
          <t>National University Hospital (Singapore) Pte Ltd</t>
        </is>
      </c>
      <c r="C83" s="123" t="inlineStr">
        <is>
          <t>Not started</t>
        </is>
      </c>
      <c r="D83" s="122" t="inlineStr">
        <is>
          <t>Mr Terence Chua</t>
        </is>
      </c>
      <c r="E83" s="121" t="inlineStr">
        <is>
          <t>Materials Management Department</t>
        </is>
      </c>
      <c r="F83" s="121" t="inlineStr">
        <is>
          <t>terence.chua.ck@alpshealthcare.com.sg</t>
        </is>
      </c>
      <c r="G83" s="121" t="n"/>
      <c r="H83" s="121" t="n"/>
      <c r="I83" s="121" t="inlineStr">
        <is>
          <t>27 January 2025</t>
        </is>
      </c>
      <c r="J83" s="121" t="inlineStr">
        <is>
          <t>Master Agreement - Supply of Gauzes (Plain and Raytec) and Abdominal Swabs</t>
        </is>
      </c>
      <c r="K83" s="147" t="inlineStr">
        <is>
          <t>Medium</t>
        </is>
      </c>
      <c r="L83"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83" s="121" t="inlineStr">
        <is>
          <t>4) 2025.01.27 SP ALPS MA (Consumables).pdf</t>
        </is>
      </c>
      <c r="N83" s="145" t="inlineStr">
        <is>
          <t>CHISON diagnostic ultrasound for National University Hospital (Singapore) Pte Ltd: HSA-registered and locally serviced (CBit 6 and SonoAir 30)</t>
        </is>
      </c>
      <c r="O83" s="108" t="inlineStr">
        <is>
          <t>Dear Mr Terence Chua,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84" ht="39.75" customHeight="1" s="104">
      <c r="A84" s="121" t="n">
        <v>80</v>
      </c>
      <c r="B84" s="121" t="inlineStr">
        <is>
          <t>ALPS HQ</t>
        </is>
      </c>
      <c r="C84" s="123" t="inlineStr">
        <is>
          <t>Not started</t>
        </is>
      </c>
      <c r="D84" s="122" t="inlineStr">
        <is>
          <t>Vanessa Soam (Ms)</t>
        </is>
      </c>
      <c r="E84" s="121" t="inlineStr">
        <is>
          <t>Senior Assistant Manager, Strategic Procurement, Medical &amp; Lab Supplies</t>
        </is>
      </c>
      <c r="F84" s="121" t="inlineStr">
        <is>
          <t>vanessa.soam.sh@alpshealthcare.com.sg</t>
        </is>
      </c>
      <c r="G84" s="121" t="inlineStr">
        <is>
          <t>DID : (65) 6377 8747  HP : (65) 8666 4993</t>
        </is>
      </c>
      <c r="H84" s="121" t="inlineStr">
        <is>
          <t>ALPS Procurement Office (Tower 1)
168 Jalan Bukit Merah #16-01 Surbana One, Singapore 150168</t>
        </is>
      </c>
      <c r="I84" s="121" t="inlineStr">
        <is>
          <t>05 May 2026</t>
        </is>
      </c>
      <c r="J84" s="121" t="inlineStr">
        <is>
          <t>ALPS container tender</t>
        </is>
      </c>
      <c r="K84" s="144" t="inlineStr">
        <is>
          <t>High</t>
        </is>
      </c>
      <c r="L84" s="121" t="inlineStr">
        <is>
          <t>ALPS HQ Strategic Procurement — but note their portfolio is Medical SUPPLIES (consumables). Ultrasound equipment tenders sit with ALPS's separate Strategic Procurement - Medical Technology (equipment) category team. Ask this contact for a warm internal referral to the MedTech category team, and get Chison registered on ALPS's SAP Ariba eProcurement portal to see sourcing events. Existing relationship (you've corresponded before) — one of your easiest first calls.</t>
        </is>
      </c>
      <c r="M84" s="121" t="inlineStr">
        <is>
          <t>Contact Details from Emails (Formatted).xlsx</t>
        </is>
      </c>
      <c r="N84" s="145" t="inlineStr">
        <is>
          <t>CHISON diagnostic ultrasound for ALPS HQ: HSA-registered and locally serviced (SonoEye P3 and SonoAir 30)</t>
        </is>
      </c>
      <c r="O84" s="108" t="inlineStr">
        <is>
          <t>Dear Vanessa Soam (Ms),
We corresponded on 05 May 2026 regarding ALPS container tender.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at cluster level, which means one conversation here reaches several institutions. That is the only reason I am starting at headquarters rather than at a single site.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85" ht="39.75" customHeight="1" s="104">
      <c r="A85" s="121" t="n">
        <v>81</v>
      </c>
      <c r="B85" s="121" t="inlineStr">
        <is>
          <t>ALPS Pte Ltd</t>
        </is>
      </c>
      <c r="C85" s="123" t="inlineStr">
        <is>
          <t>Not started</t>
        </is>
      </c>
      <c r="D85" s="122" t="inlineStr">
        <is>
          <t>William Ong Hon Hsiang</t>
        </is>
      </c>
      <c r="E85" s="121" t="inlineStr">
        <is>
          <t>Director (Letter of Award signatory)</t>
        </is>
      </c>
      <c r="F85" s="121" t="n"/>
      <c r="G85" s="121" t="inlineStr">
        <is>
          <t>Tel: (65) 6225 0488 (general line)</t>
        </is>
      </c>
      <c r="H85" s="121" t="inlineStr">
        <is>
          <t>168 Jalan Bukit Merah #16-01 Surbana One, Singapore 150168</t>
        </is>
      </c>
      <c r="I85" s="121" t="inlineStr">
        <is>
          <t>28 March 2025</t>
        </is>
      </c>
      <c r="J85" s="121" t="inlineStr">
        <is>
          <t>Letter of Award GPMR08423L - Supply of Catheters, Urinary and Accessories</t>
        </is>
      </c>
      <c r="K85" s="144" t="inlineStr">
        <is>
          <t>High</t>
        </is>
      </c>
      <c r="L85" s="121" t="inlineStr">
        <is>
          <t>Senior ALPS leadership who sign/witness Master Agreements network-wide. Not a cold-call target — use for a formal vendor introduction once you have traction, or via industry events. Positioning Chison as an accredited vendor at this level accelerates everything downstream.</t>
        </is>
      </c>
      <c r="M85" s="121" t="inlineStr">
        <is>
          <t>LOA_GPMR08423L_SPD.pdf</t>
        </is>
      </c>
      <c r="N85" s="145" t="inlineStr">
        <is>
          <t>CHISON diagnostic ultrasound for ALPS Pte Ltd: HSA-registered and locally serviced (SonoEye P3 and SonoAir 30)</t>
        </is>
      </c>
      <c r="O85" s="108" t="inlineStr">
        <is>
          <t>Dear William Ong Hon Hsiang,
We corresponded on 28 March 2025 regarding Letter of Award GPMR08423L - Supply of Catheters, Urinary and Accessories.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You sit where supplier frameworks are signed rather than administered, so I would rather make a proper introduction than work upward later.
Where CHISON would fit:
• SonoEye P3: pocket handheld for emergency, intensive care and bedside point-of-care scanning
• SonoAir 30: lightweight laptop for mobile and multi-site work
• SonoMax 7: the flagship cart, carrying a full radiology, obstetric and cardiac workload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86" ht="39.75" customHeight="1" s="104">
      <c r="A86" s="121" t="n">
        <v>82</v>
      </c>
      <c r="B86" s="121" t="inlineStr">
        <is>
          <t>National Skin Care Centre (S) Pte Ltd</t>
        </is>
      </c>
      <c r="C86" s="123" t="inlineStr">
        <is>
          <t>Not started</t>
        </is>
      </c>
      <c r="D86" s="122" t="inlineStr">
        <is>
          <t>Mr William Ong Wei Lieh</t>
        </is>
      </c>
      <c r="E86" s="121" t="inlineStr">
        <is>
          <t>Materials Management Department</t>
        </is>
      </c>
      <c r="F86" s="121" t="inlineStr">
        <is>
          <t>william.ong.w.l@alpshealthcare.com.sg</t>
        </is>
      </c>
      <c r="G86" s="121" t="n"/>
      <c r="H86" s="121" t="n"/>
      <c r="I86" s="121" t="inlineStr">
        <is>
          <t>27 January 2025</t>
        </is>
      </c>
      <c r="J86" s="121" t="inlineStr">
        <is>
          <t>Master Agreement - Supply of Gauzes (Plain and Raytec) and Abdominal Swabs</t>
        </is>
      </c>
      <c r="K86" s="148" t="inlineStr">
        <is>
          <t>Low</t>
        </is>
      </c>
      <c r="L86" s="121" t="inlineStr">
        <is>
          <t>Department has limited direct use for diagnostic ultrasound (pharmacy/dental/eye/skin/mental health). Deprioritise, or use only as a warm intro to redirect to the right department.</t>
        </is>
      </c>
      <c r="M86" s="121" t="inlineStr">
        <is>
          <t>4) 2025.01.27 SP ALPS MA (Consumables).pdf</t>
        </is>
      </c>
      <c r="N86" s="145" t="inlineStr">
        <is>
          <t>Diagnostic ultrasound at National Skin Care Centre (S) Pte Ltd: could you point me to the right department?</t>
        </is>
      </c>
      <c r="O86" s="108" t="inlineStr">
        <is>
          <t>Dear Mr William Ong Wei Lieh,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Materials Management Department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row r="87" ht="39.75" customHeight="1" s="104">
      <c r="A87" s="121" t="n">
        <v>83</v>
      </c>
      <c r="B87" s="121" t="inlineStr">
        <is>
          <t>SingHealth Polyclinics</t>
        </is>
      </c>
      <c r="C87" s="123" t="inlineStr">
        <is>
          <t>Not started</t>
        </is>
      </c>
      <c r="D87" s="122" t="inlineStr">
        <is>
          <t>Mr Wilson Wong</t>
        </is>
      </c>
      <c r="E87" s="121" t="inlineStr">
        <is>
          <t>Materials Management Department</t>
        </is>
      </c>
      <c r="F87" s="121" t="inlineStr">
        <is>
          <t>wilson.wong.g.l@alpshealthcare.com.sg</t>
        </is>
      </c>
      <c r="G87" s="121" t="n"/>
      <c r="H87" s="121" t="n"/>
      <c r="I87" s="121" t="inlineStr">
        <is>
          <t>27 January 2025</t>
        </is>
      </c>
      <c r="J87" s="121" t="inlineStr">
        <is>
          <t>Master Agreement - Supply of Gauzes (Plain and Raytec) and Abdominal Swabs</t>
        </is>
      </c>
      <c r="K87" s="147" t="inlineStr">
        <is>
          <t>Medium</t>
        </is>
      </c>
      <c r="L87" s="121" t="inlineStr">
        <is>
          <t>Polyclinic network — growing point-of-care ultrasound adoption in primary care. Pitch portable/handheld units (SonoAir, SonoEye, new SonoGO 3-in-1) as affordable POCUS for polyclinic use; ask who leads clinical equipment planning.</t>
        </is>
      </c>
      <c r="M87" s="121" t="inlineStr">
        <is>
          <t>4) 2025.01.27 SP ALPS MA (Consumables).pdf</t>
        </is>
      </c>
      <c r="N87" s="145" t="inlineStr">
        <is>
          <t>CHISON diagnostic ultrasound for SingHealth Polyclinics: HSA-registered and locally serviced (SonoAir 30 and SonoEye P3)</t>
        </is>
      </c>
      <c r="O87" s="108" t="inlineStr">
        <is>
          <t>Dear Mr Wilson Wong,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Your side of SingHealth Polyclinics centres on primary-care point-of-care scanning, which is exactly where this range sits.
Where CHISON would fit:
• SonoAir 30: lightweight laptop for mobile and multi-site work
• SonoEye P3: pocket handheld for emergency, intensive care and bedside point-of-care scanning
• SonoGO: launched July 2026, the first 3-in-1 platform, working as tablet, laptop and trolley in one system with SonoAI on board
Two portable formats at two very different budgets,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88" ht="39.75" customHeight="1" s="104">
      <c r="A88" s="121" t="n">
        <v>84</v>
      </c>
      <c r="B88" s="121" t="inlineStr">
        <is>
          <t>Tan Tock Seng Hospital Pte Ltd</t>
        </is>
      </c>
      <c r="C88" s="123" t="inlineStr">
        <is>
          <t>Not started</t>
        </is>
      </c>
      <c r="D88" s="122" t="inlineStr">
        <is>
          <t>Mr Zhu Jia</t>
        </is>
      </c>
      <c r="E88" s="121" t="inlineStr">
        <is>
          <t>Materials Management Department</t>
        </is>
      </c>
      <c r="F88" s="121" t="inlineStr">
        <is>
          <t>zhu.jia@alpshealthcare.com.sg</t>
        </is>
      </c>
      <c r="G88" s="121" t="n"/>
      <c r="H88" s="121" t="n"/>
      <c r="I88" s="121" t="inlineStr">
        <is>
          <t>27 January 2025</t>
        </is>
      </c>
      <c r="J88" s="121" t="inlineStr">
        <is>
          <t>Master Agreement - Supply of Gauzes (Plain and Raytec) and Abdominal Swabs</t>
        </is>
      </c>
      <c r="K88" s="147" t="inlineStr">
        <is>
          <t>Medium</t>
        </is>
      </c>
      <c r="L88" s="121" t="inlineStr">
        <is>
          <t>Institution-level MMD/procurement gatekeeper — they administer ALPS consumables contracts, not equipment specs. Value: (1) tender-process intel, (2) warm referral to the hospital's Radiology/Cardiology/O&amp;G and Biomedical Engineering teams who actually spec and evaluate ultrasound purchases.</t>
        </is>
      </c>
      <c r="M88" s="121" t="inlineStr">
        <is>
          <t>4) 2025.01.27 SP ALPS MA (Consumables).pdf</t>
        </is>
      </c>
      <c r="N88" s="145" t="inlineStr">
        <is>
          <t>CHISON diagnostic ultrasound for Tan Tock Seng Hospital Pte Ltd: HSA-registered and locally serviced (CBit 6 and SonoAir 30)</t>
        </is>
      </c>
      <c r="O88" s="108" t="inlineStr">
        <is>
          <t>Dear Mr Zhu Jia,
We corresponded on 27 January 2025 regarding the Master Agreement - Supply of Gauzes (Plain and Raytec) and Abdominal Swabs.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Materials Management is where a supply agreement of this kind would actually sit, which is why I am starting with you rather than approaching a clinical department directly.
Where CHISON would fit:
• CBit 6: mid-range cart built for cardiology, women's health and general radiology
• SonoAir 30: lightweight laptop for mobile and multi-site work
• SonoEye P3: pocket handheld for emergency, intensive care and bedside point-of-care scanning
A complete handheld to cart ladder under one supplier agreement, so that a single supplier covers both the point-of-care and the departmental requirement, under one training programme, one service contract and one set of probes.
Could I ask for a short vendor introduction meeting of thirty minutes, to walk through the range, the HSA registration and our local service arrangement? If a clinical demonstration would be the more useful starting point, I am glad to arrange that instead and to be directed to the appropriate department.
Best regards,
Casper Tan
Senior Regional Sales Manager
AstraMed Healthcare, a subsidiary of CHISON Medical Technologies</t>
        </is>
      </c>
    </row>
    <row r="89" ht="39.75" customHeight="1" s="104">
      <c r="A89" s="121" t="n">
        <v>85</v>
      </c>
      <c r="B89" s="121" t="inlineStr">
        <is>
          <t>IKEDA SCIENTIFIC CO.,LTD.</t>
        </is>
      </c>
      <c r="C89" s="123" t="inlineStr">
        <is>
          <t>Not started</t>
        </is>
      </c>
      <c r="D89" s="143" t="inlineStr">
        <is>
          <t>小高 博之 / Hiroyuki Odaka</t>
        </is>
      </c>
      <c r="E89" s="121" t="inlineStr">
        <is>
          <t>Director, Overseas Business Division</t>
        </is>
      </c>
      <c r="F89" s="121" t="inlineStr">
        <is>
          <t>hiroyuki.odaka@ikedarika.co.jp</t>
        </is>
      </c>
      <c r="G89" s="121" t="inlineStr">
        <is>
          <t>IKEDA SCIENTIFIC CO.,LTD.</t>
        </is>
      </c>
      <c r="H89" s="121" t="inlineStr">
        <is>
          <t xml:space="preserve">HEAD OFFICE: KANDA-KS BLDG, 1-8-6 KAJI-CHO,CHIYODA-KU,TOKYO
101-0044, JAPAN </t>
        </is>
      </c>
      <c r="I89" s="121" t="n"/>
      <c r="J89" s="121" t="n"/>
      <c r="K89" s="148" t="inlineStr">
        <is>
          <t>Low</t>
        </is>
      </c>
      <c r="L89" s="121" t="inlineStr">
        <is>
          <t>Overseas lab equipment supplier/reseller, not a Singapore hospital customer — potential distribution-partner angle only. Existing relationship (you've corresponded before) — one of your easiest first calls.</t>
        </is>
      </c>
      <c r="M89" s="121" t="inlineStr">
        <is>
          <t>Contact Details from Emails (Formatted).xlsx</t>
        </is>
      </c>
      <c r="N89" s="145" t="inlineStr">
        <is>
          <t>Diagnostic ultrasound at IKEDA SCIENTIFIC CO.,LTD.: could you point me to the right department?</t>
        </is>
      </c>
      <c r="O89" s="108" t="inlineStr">
        <is>
          <t>Dear 小高 博之 / Hiroyuki Odaka,
I am now Senior Regional Sales Manager at AstraMed Healthcare, the CHISON Medical Technologies subsidiary responsible for Singapore, where I look after the diagnostic ultrasound range. CHISON has manufactured diagnostic ultrasound in Wuxi, China since 1996, sells into more than 100 countries and is the only ultrasound manufacturer listed on China's STAR Market (688358). The platform carries CE and US FDA clearance. As the manufacturer's own subsidiary we register, sell and service the range ourselves in Singapore, so there is no importer between you and the factory.
I appreciate that Director, Overseas Business Division is unlikely to be where diagnostic imaging equipment is decided, so rather than take up your time with a pitch I would simply like to reach the right person.
For context, the range is HSA-registered and runs from pocket handhelds through portables to full cart systems. As CHISON's own subsidiary here we sell and service it directly rather than through an overseas principal.
Could you point me to whoever handles medical equipment or capital purchasing on the clinical imaging side? A name and an email address is all I need, and I will take it from there. Thank you in advance for the redirection.
Best regards,
Casper Tan
Senior Regional Sales Manager
AstraMed Healthcare, a subsidiary of CHISON Medical Technologies</t>
        </is>
      </c>
    </row>
  </sheetData>
  <autoFilter ref="A4:O89"/>
  <conditionalFormatting sqref="C5:C89">
    <cfRule type="cellIs" rank="0" priority="2" equalAverage="0" operator="equal" aboveAverage="0" dxfId="7" text="" percent="0" bottom="0">
      <formula>"Not started"</formula>
    </cfRule>
    <cfRule type="cellIs" rank="0" priority="3" equalAverage="0" operator="equal" aboveAverage="0" dxfId="8" text="" percent="0" bottom="0">
      <formula>"Contacted"</formula>
    </cfRule>
    <cfRule type="cellIs" rank="0" priority="4" equalAverage="0" operator="equal" aboveAverage="0" dxfId="9" text="" percent="0" bottom="0">
      <formula>"Meeting booked"</formula>
    </cfRule>
    <cfRule type="cellIs" rank="0" priority="5" equalAverage="0" operator="equal" aboveAverage="0" dxfId="10" text="" percent="0" bottom="0">
      <formula>"Meeting held"</formula>
    </cfRule>
    <cfRule type="cellIs" rank="0" priority="6" equalAverage="0" operator="equal" aboveAverage="0" dxfId="11" text="" percent="0" bottom="0">
      <formula>"Evaluation placed"</formula>
    </cfRule>
    <cfRule type="cellIs" rank="0" priority="7" equalAverage="0" operator="equal" aboveAverage="0" dxfId="12" text="" percent="0" bottom="0">
      <formula>"Quoted"</formula>
    </cfRule>
    <cfRule type="cellIs" rank="0" priority="8" equalAverage="0" operator="equal" aboveAverage="0" dxfId="13" text="" percent="0" bottom="0">
      <formula>"Won"</formula>
    </cfRule>
    <cfRule type="cellIs" rank="0" priority="9" equalAverage="0" operator="equal" aboveAverage="0" dxfId="14" text="" percent="0" bottom="0">
      <formula>"Declined"</formula>
    </cfRule>
    <cfRule type="cellIs" rank="0" priority="10" equalAverage="0" operator="equal" aboveAverage="0" dxfId="15" text="" percent="0" bottom="0">
      <formula>"Parked"</formula>
    </cfRule>
  </conditionalFormatting>
  <dataValidations count="1">
    <dataValidation sqref="C5:C89" showDropDown="0" showInputMessage="0" showErrorMessage="0" allowBlank="1" type="list" errorStyle="stop" operator="between">
      <formula1>"Not started,Contacted,Meeting booked,Meeting held,Evaluation placed,Quoted,Won,Declined,Parked"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FF00B050"/>
    <outlinePr summaryBelow="1" summaryRight="1"/>
    <pageSetUpPr fitToPage="0"/>
  </sheetPr>
  <dimension ref="A1:U2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F7" activePane="bottomRight" state="frozen"/>
      <selection pane="topLeft" activeCell="A1" activeCellId="0" sqref="A1"/>
      <selection pane="topRight" activeCell="F1" activeCellId="0" sqref="F1"/>
      <selection pane="bottomLeft" activeCell="A7" activeCellId="0" sqref="A7"/>
      <selection pane="bottomRight" activeCell="U1" activeCellId="0" sqref="U1"/>
    </sheetView>
  </sheetViews>
  <sheetFormatPr baseColWidth="8" defaultColWidth="8.88671875" defaultRowHeight="14.25" zeroHeight="0" outlineLevelRow="0"/>
  <cols>
    <col width="4" customWidth="1" style="103" min="1" max="1"/>
    <col width="30" customWidth="1" style="103" min="2" max="2"/>
    <col width="16" customWidth="1" style="103" min="3" max="3"/>
    <col width="14" customWidth="1" style="103" min="4" max="4"/>
    <col width="26" customWidth="1" style="103" min="5" max="5"/>
    <col width="46" customWidth="1" style="103" min="6" max="6"/>
    <col width="22" customWidth="1" style="103" min="7" max="7"/>
    <col width="30" customWidth="1" style="103" min="8" max="8"/>
    <col width="26" customWidth="1" style="103" min="9" max="9"/>
    <col width="30" customWidth="1" style="103" min="10" max="10"/>
    <col width="40" customWidth="1" style="103" min="11" max="11"/>
    <col width="34" customWidth="1" style="103" min="12" max="12"/>
    <col width="12" customWidth="1" style="103" min="13" max="13"/>
    <col width="30" customWidth="1" style="103" min="14" max="14"/>
    <col width="52" customWidth="1" style="103" min="15" max="15"/>
    <col width="44" customWidth="1" style="103" min="16" max="16"/>
    <col width="11" customWidth="1" style="103" min="17" max="17"/>
    <col width="46" customWidth="1" style="103" min="18" max="18"/>
    <col width="28" customWidth="1" style="103" min="19" max="19"/>
    <col width="58" customWidth="1" style="103" min="20" max="20"/>
    <col width="100" customWidth="1" style="103" min="21" max="21"/>
  </cols>
  <sheetData>
    <row r="1" ht="18" customHeight="1" s="104">
      <c r="A1" s="117" t="inlineStr">
        <is>
          <t>Singapore, Private Specialist Centres and GP Clinics (213)</t>
        </is>
      </c>
    </row>
    <row r="2" ht="14.25" customHeight="1" s="104">
      <c r="A2" s="118" t="inlineStr">
        <is>
          <t>NEW IN v7. 111 private specialist centres and 102 GP clinics, all price sensitive buyers that purchase their own equipment. Pull through demand under the dealer model: book the demonstration, then route the order through the appointed dealer. Email Title and Email Body are ready to send; keep to fewer than 100 emails a day (see READ ME).</t>
        </is>
      </c>
    </row>
    <row r="4" ht="27" customHeight="1" s="104">
      <c r="A4" s="201" t="inlineStr">
        <is>
          <t>#</t>
        </is>
      </c>
      <c r="B4" s="201" t="inlineStr">
        <is>
          <t>Organisation</t>
        </is>
      </c>
      <c r="C4" s="201" t="inlineStr">
        <is>
          <t>Pipeline stage</t>
        </is>
      </c>
      <c r="D4" s="201" t="inlineStr">
        <is>
          <t>Segment</t>
        </is>
      </c>
      <c r="E4" s="201" t="inlineStr">
        <is>
          <t>Centre type</t>
        </is>
      </c>
      <c r="F4" s="201" t="inlineStr">
        <is>
          <t>Clinical focus &amp; services</t>
        </is>
      </c>
      <c r="G4" s="201" t="inlineStr">
        <is>
          <t>Area</t>
        </is>
      </c>
      <c r="H4" s="201" t="inlineStr">
        <is>
          <t>Website (URL)</t>
        </is>
      </c>
      <c r="I4" s="201" t="inlineStr">
        <is>
          <t>Phone / WhatsApp</t>
        </is>
      </c>
      <c r="J4" s="201" t="inlineStr">
        <is>
          <t>Email</t>
        </is>
      </c>
      <c r="K4" s="201" t="inlineStr">
        <is>
          <t>Address</t>
        </is>
      </c>
      <c r="L4" s="201" t="inlineStr">
        <is>
          <t>Named contact (published on own site)</t>
        </is>
      </c>
      <c r="M4" s="201" t="inlineStr">
        <is>
          <t>CONTACT CONFIDENCE</t>
        </is>
      </c>
      <c r="N4" s="201" t="inlineStr">
        <is>
          <t>Ultrasound in use today?</t>
        </is>
      </c>
      <c r="O4" s="201" t="inlineStr">
        <is>
          <t>Fit notes for CHISON</t>
        </is>
      </c>
      <c r="P4" s="201" t="inlineStr">
        <is>
          <t>CHISON product focus</t>
        </is>
      </c>
      <c r="Q4" s="201" t="inlineStr">
        <is>
          <t>Priority</t>
        </is>
      </c>
      <c r="R4" s="201" t="inlineStr">
        <is>
          <t>Priority rationale</t>
        </is>
      </c>
      <c r="S4" s="201" t="inlineStr">
        <is>
          <t>Source status</t>
        </is>
      </c>
      <c r="T4" s="201" t="inlineStr">
        <is>
          <t>Email Title</t>
        </is>
      </c>
      <c r="U4" s="202" t="inlineStr">
        <is>
          <t>Email Body</t>
        </is>
      </c>
    </row>
    <row r="5" ht="96" customHeight="1" s="104">
      <c r="A5" s="203" t="n">
        <v>1</v>
      </c>
      <c r="B5" s="204" t="inlineStr">
        <is>
          <t>Luma Women's Imaging Centre</t>
        </is>
      </c>
      <c r="C5" s="203" t="inlineStr">
        <is>
          <t>Contacted</t>
        </is>
      </c>
      <c r="D5" s="203" t="inlineStr">
        <is>
          <t>Specialist centre</t>
        </is>
      </c>
      <c r="E5" s="203" t="inlineStr">
        <is>
          <t>Women's imaging &amp; breast centre</t>
        </is>
      </c>
      <c r="F5" s="203" t="inlineStr">
        <is>
          <t>Dedicated women's imaging and breast centre: mammography, breast ultrasound, image guided breast biopsy and localisation, day surgery. All female radiographer and nurse team</t>
        </is>
      </c>
      <c r="G5" s="203" t="inlineStr">
        <is>
          <t>Novena (Royal Square) and Orchard (Paragon)</t>
        </is>
      </c>
      <c r="H5" s="205" t="inlineStr">
        <is>
          <t>https://www.luma.sg</t>
        </is>
      </c>
      <c r="I5" s="203" t="inlineStr">
        <is>
          <t>Novena +65 6929 1236 (fax 6970 3916) / Paragon +65 6994 5488 (fax 6257 7588)</t>
        </is>
      </c>
      <c r="J5" s="203" t="inlineStr">
        <is>
          <t>novena@luma.sg; paragon@luma.sg</t>
        </is>
      </c>
      <c r="K5" s="203" t="inlineStr">
        <is>
          <t>Royal Square Medical Centre, 101 Irrawaddy Road #12-03 to 06, Singapore 329565; The Paragon, 290 Orchard Road Lobby C #09-23/27, Singapore 238859</t>
        </is>
      </c>
      <c r="L5" s="203" t="inlineStr">
        <is>
          <t>Dr Sonia Lee (Consultant Radiologist, already in LinkedIn contact) and radiography lead Rouwen Tan. Site also lists Dr Eugene Ong, Dr Henry Oscar, Prof Tan Puay Hoon</t>
        </is>
      </c>
      <c r="M5" s="206" t="inlineStr">
        <is>
          <t>A</t>
        </is>
      </c>
      <c r="N5" s="203" t="inlineStr">
        <is>
          <t>Yes. Breast ultrasound and US guided biopsy are core services</t>
        </is>
      </c>
      <c r="O5" s="203" t="inlineStr">
        <is>
          <t>Warm lead: Dr Sonia Lee replied on LinkedIn and is looking into a demonstration unit (30 Sep 2026). She asked for an email to her and radiography lead Rouwen Tan; their direct addresses are not published, so send to novena@luma.sg marked for their attention or ask her for them on LinkedIn. Lead with SonoMax 9 (AI assisted breast lesion assessment, shear wave for small parts) and SonoBook 9 for the biopsy room. Demonstration units due in Singapore in October. SonoGo is not HSA registered yet, so leave it out.</t>
        </is>
      </c>
      <c r="P5" s="203" t="inlineStr">
        <is>
          <t>SonoMax 9 (flagship cart: AI assisted breast lesion assessment, shear wave for small parts) + SonoBook 9 (automatic breast and thyroid lesion measurement, biopsy guidance)</t>
        </is>
      </c>
      <c r="Q5" s="206" t="inlineStr">
        <is>
          <t>P1</t>
        </is>
      </c>
      <c r="R5" s="203" t="inlineStr">
        <is>
          <t>P1, warm lead. Dr Sonia Lee replied on LinkedIn and is looking into a demonstration unit (30 Sep 2026). Send this follow up, not a cold email.</t>
        </is>
      </c>
      <c r="S5" s="203" t="inlineStr">
        <is>
          <t>Own site opened 2 to 3 Oct 2026</t>
        </is>
      </c>
      <c r="T5" s="203" t="inlineStr">
        <is>
          <t>Luma: arranging the CHISON SonoMax 9 demonstration</t>
        </is>
      </c>
      <c r="U5" s="203" t="inlineStr">
        <is>
          <t>Dear Dr Lee and Rouwen,
Thank you for looking into a demonstration after our exchange on LinkedIn. As promised, here is a short note you can both keep for reference.
For Luma, I would bring two systems:
• SonoMax 9: our flagship cart, with AI assisted breast lesion assessment and shear wave elastography for small parts such as breast and thyroid
• SonoBook 9: a laptop system with automatic breast and thyroid lesion measurement, light enough to sit beside the couch for biopsy guidance
Both are registered with HSA, with AstraMed as the local registrant, so application training and service are handled here in Singapore.
Our demonstration units are scheduled to arrive in Singapore in October. Before then I would be glad to drop by with the brochures for a short meeting. For the demonstration itself, could you suggest two or three half day slots in the second half of October that suit your radiologists and radiographers? I will bring the linear probes so your team can scan the cases you see every day and judge the image for themselves.
Best regards,
Casper Tan
Senior Regional Sales Manager
AstraMed Healthcare Pte Ltd, a subsidiary of CHISON Medical Technologies
casper@astramed.sg | +65 8719 0121</t>
        </is>
      </c>
    </row>
    <row r="6" ht="36" customHeight="1" s="104">
      <c r="A6" s="203" t="n">
        <v>2</v>
      </c>
      <c r="B6" s="204" t="inlineStr">
        <is>
          <t>Andrew Lee Breast Clinic</t>
        </is>
      </c>
      <c r="C6" s="203" t="inlineStr">
        <is>
          <t>Contacted</t>
        </is>
      </c>
      <c r="D6" s="203" t="inlineStr">
        <is>
          <t>Specialist centre</t>
        </is>
      </c>
      <c r="E6" s="203" t="inlineStr">
        <is>
          <t>Breast surgery &amp; screening clinic</t>
        </is>
      </c>
      <c r="F6" s="203" t="inlineStr">
        <is>
          <t>Breast screening packages, FNA, core needle, vacuum assisted and excision biopsy, oncoplastic breast surgery</t>
        </is>
      </c>
      <c r="G6" s="203" t="inlineStr">
        <is>
          <t>Orchard (Camden) and Novena (Royal Square)</t>
        </is>
      </c>
      <c r="H6" s="205" t="inlineStr">
        <is>
          <t>https://andrewleebreastclinic.sg</t>
        </is>
      </c>
      <c r="I6" s="203" t="inlineStr">
        <is>
          <t>+65 8189 9723 (also WhatsApp)</t>
        </is>
      </c>
      <c r="J6" s="203" t="inlineStr">
        <is>
          <t>info@andrewleebreastclinic.sg</t>
        </is>
      </c>
      <c r="K6" s="203" t="inlineStr">
        <is>
          <t>Camden Medical, 1 Orchard Boulevard #10-04A to 07, Singapore 248649; Royal Square Medical Centre, 103 Irrawaddy Road #01-01, Singapore 329566</t>
        </is>
      </c>
      <c r="L6" s="203" t="inlineStr">
        <is>
          <t>Dr Andrew Clayton Lee, Breast and General Surgeon (named on own site)</t>
        </is>
      </c>
      <c r="M6" s="206" t="inlineStr">
        <is>
          <t>A</t>
        </is>
      </c>
      <c r="N6" s="203" t="inlineStr">
        <is>
          <t>Not stated on site</t>
        </is>
      </c>
      <c r="O6" s="203" t="inlineStr">
        <is>
          <t>Independent breast practice: in clinic ultrasound shortens the path from lump to biopsy, and linear probe image quality is where CHISON is strongest. Ultrasound use: Not stated on site. Confirm on the first call.</t>
        </is>
      </c>
      <c r="P6" s="203" t="inlineStr">
        <is>
          <t>SonoBook 9 (automatic breast and thyroid lesion measurement, biopsy guidance) + SonoEye P5 (phone paired, high frequency for a quick breast look)</t>
        </is>
      </c>
      <c r="Q6" s="206" t="inlineStr">
        <is>
          <t>P1</t>
        </is>
      </c>
      <c r="R6" s="203" t="inlineStr">
        <is>
          <t>P1: verified email on own site; high fit for CHISON.</t>
        </is>
      </c>
      <c r="S6" s="203" t="inlineStr">
        <is>
          <t>Own site opened 2 to 3 Oct 2026</t>
        </is>
      </c>
      <c r="T6" s="203" t="inlineStr">
        <is>
          <t>CHISON ultrasound for Andrew Lee Breast Clinic: breast scans and biopsy guidance in clinic</t>
        </is>
      </c>
      <c r="U6" s="203" t="inlineStr">
        <is>
          <t>Dear Dr Lee,
I am Casper Tan, Senior Regional Sales Manager at AstraMed Healthcare, the Singapore subsidiary of CHISON Medical Technologies. With FNA, core needle and vacuum assisted biopsy offered at both Camden and Royal Square, a system that moves between rooms and guides the needle earns its place quickly.
CHISON has made diagnostic ultrasound in Wuxi since 1996 and sells in more than 100 countries. The systems below are registered with HSA, with AstraMed as the local registrant, so supply, application training and service are all handled here in Singapore.
For breast work, these are the two I would put forward:
• SonoBook 9: a laptop system with automatic breast and thyroid lesion measurement, light enough to sit beside the couch for biopsy guidance
• SonoEye P5: a phone paired handheld with high frequency imaging for a quick look during the consultation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Andrew Lee Breast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 ht="48" customHeight="1" s="104">
      <c r="A7" s="203" t="n">
        <v>3</v>
      </c>
      <c r="B7" s="204" t="inlineStr">
        <is>
          <t>Bertha Woon General &amp; Breast Surgery Clinic</t>
        </is>
      </c>
      <c r="C7" s="203" t="inlineStr">
        <is>
          <t>Contacted</t>
        </is>
      </c>
      <c r="D7" s="203" t="inlineStr">
        <is>
          <t>Specialist centre</t>
        </is>
      </c>
      <c r="E7" s="203" t="inlineStr">
        <is>
          <t>Breast surgery &amp; screening clinic</t>
        </is>
      </c>
      <c r="F7" s="203" t="inlineStr">
        <is>
          <t>Breast screening, FNA, Trucut and vacuum assisted biopsy, breast cancer surgery. Imaging coordinated through affiliated centres</t>
        </is>
      </c>
      <c r="G7" s="203" t="inlineStr">
        <is>
          <t>Orchard (Gleneagles MC)</t>
        </is>
      </c>
      <c r="H7" s="205" t="inlineStr">
        <is>
          <t>https://www.berthawoonsurgery.com.sg</t>
        </is>
      </c>
      <c r="I7" s="203" t="inlineStr">
        <is>
          <t>+65 6479 7307 / 24 hr +65 6333 5550</t>
        </is>
      </c>
      <c r="J7" s="203" t="inlineStr">
        <is>
          <t>berthawoonsurgerypteltd@gmail.com</t>
        </is>
      </c>
      <c r="K7" s="203" t="inlineStr">
        <is>
          <t>6 Napier Road #09-02/03 Gleneagles Medical Centre, Singapore 258499</t>
        </is>
      </c>
      <c r="L7" s="203" t="inlineStr">
        <is>
          <t>Dr Bertha Woon Yng Yng, Breast Surgeon (named on own site)</t>
        </is>
      </c>
      <c r="M7" s="206" t="inlineStr">
        <is>
          <t>A</t>
        </is>
      </c>
      <c r="N7" s="203" t="inlineStr">
        <is>
          <t>Imaging referred out to partner centres (site names Luma and others)</t>
        </is>
      </c>
      <c r="O7" s="203" t="inlineStr">
        <is>
          <t>Independent breast practice: in clinic ultrasound shortens the path from lump to biopsy, and linear probe image quality is where CHISON is strongest. Ultrasound use: Imaging referred out to partner centres (site names Luma and others). Confirm on the first call.</t>
        </is>
      </c>
      <c r="P7" s="203" t="inlineStr">
        <is>
          <t>SonoBook 9 (automatic breast and thyroid lesion measurement, biopsy guidance) + SonoEye P5 (phone paired, high frequency for a quick breast look)</t>
        </is>
      </c>
      <c r="Q7" s="206" t="inlineStr">
        <is>
          <t>P1</t>
        </is>
      </c>
      <c r="R7" s="203" t="inlineStr">
        <is>
          <t>P1: verified email on own site; high fit for CHISON.</t>
        </is>
      </c>
      <c r="S7" s="203" t="inlineStr">
        <is>
          <t>Own site opened 2 to 3 Oct 2026</t>
        </is>
      </c>
      <c r="T7" s="203" t="inlineStr">
        <is>
          <t>CHISON ultrasound for Bertha Woon Surgery Clinic: breast scans and biopsy guidance in clinic</t>
        </is>
      </c>
      <c r="U7" s="203" t="inlineStr">
        <is>
          <t>Dear Dr Woon,
I am Casper Tan, Senior Regional Sales Manager at AstraMed Healthcare, the Singapore subsidiary of CHISON Medical Technologies. You perform FNA, Trucut and vacuum assisted biopsies at Gleneagles while imaging goes to partner centres, which is exactly the gap an in clinic system closes.
CHISON has made diagnostic ultrasound in Wuxi since 1996 and sells in more than 100 countries. The systems below are registered with HSA, with AstraMed as the local registrant, so supply, application training and service are all handled here in Singapore.
For breast work, these are the two I would suggest:
• SonoBook 9: a laptop system with automatic breast and thyroid lesion measurement, light enough to sit beside the couch for biopsy guidance
• SonoEye P5: a phone paired handheld with high frequency imaging for a quick look during the consultation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Bertha Woon Surgery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8" ht="36" customHeight="1" s="104">
      <c r="A8" s="203" t="n">
        <v>4</v>
      </c>
      <c r="B8" s="204" t="inlineStr">
        <is>
          <t>Hoe Ah Leong Surgery</t>
        </is>
      </c>
      <c r="C8" s="203" t="inlineStr">
        <is>
          <t>Contacted</t>
        </is>
      </c>
      <c r="D8" s="203" t="inlineStr">
        <is>
          <t>Specialist centre</t>
        </is>
      </c>
      <c r="E8" s="203" t="inlineStr">
        <is>
          <t>Breast surgery &amp; screening clinic</t>
        </is>
      </c>
      <c r="F8" s="203" t="inlineStr">
        <is>
          <t>General surgery with a special interest in breast disease and breast cancer</t>
        </is>
      </c>
      <c r="G8" s="203" t="inlineStr">
        <is>
          <t>Orchard (Gleneagles MC)</t>
        </is>
      </c>
      <c r="H8" s="205" t="inlineStr">
        <is>
          <t>http://www.hoeahleong.sg</t>
        </is>
      </c>
      <c r="I8" s="203" t="inlineStr">
        <is>
          <t>+65 6476 5922 (fax 6476 5933)</t>
        </is>
      </c>
      <c r="J8" s="203" t="inlineStr">
        <is>
          <t>enquiry@hoeahleong.sg</t>
        </is>
      </c>
      <c r="K8" s="203" t="inlineStr">
        <is>
          <t>Gleneagles Medical Centre, 6 Napier Road #03-10, Singapore 258499</t>
        </is>
      </c>
      <c r="L8" s="203" t="inlineStr">
        <is>
          <t>Dr Hoe Ah Leong, Consultant General and Breast Surgeon (named on own site)</t>
        </is>
      </c>
      <c r="M8" s="206" t="inlineStr">
        <is>
          <t>A</t>
        </is>
      </c>
      <c r="N8" s="203" t="inlineStr">
        <is>
          <t>Not stated on site</t>
        </is>
      </c>
      <c r="O8" s="203" t="inlineStr">
        <is>
          <t>Independent breast practice: in clinic ultrasound shortens the path from lump to biopsy, and linear probe image quality is where CHISON is strongest. Ultrasound use: Not stated on site. Confirm on the first call.</t>
        </is>
      </c>
      <c r="P8" s="203" t="inlineStr">
        <is>
          <t>SonoBook 9 (automatic breast and thyroid lesion measurement, biopsy guidance) + SonoEye P5 (phone paired, high frequency for a quick breast look)</t>
        </is>
      </c>
      <c r="Q8" s="206" t="inlineStr">
        <is>
          <t>P1</t>
        </is>
      </c>
      <c r="R8" s="203" t="inlineStr">
        <is>
          <t>P1: verified email on own site; high fit for CHISON.</t>
        </is>
      </c>
      <c r="S8" s="203" t="inlineStr">
        <is>
          <t>Own site opened 2 to 3 Oct 2026</t>
        </is>
      </c>
      <c r="T8" s="203" t="inlineStr">
        <is>
          <t>CHISON ultrasound for Hoe Ah Leong Surgery: breast scans and biopsy guidance in clinic</t>
        </is>
      </c>
      <c r="U8" s="203" t="inlineStr">
        <is>
          <t>Dear Dr Hoe,
I am Casper Tan, Senior Regional Sales Manager at AstraMed Healthcare, the Singapore subsidiary of CHISON Medical Technologies. Your practice focuses on breast disease and breast cancer, where a bedside scan during the consultation saves the patient a second appointment.
CHISON has made diagnostic ultrasound in Wuxi since 1996 and sells in more than 100 countries. The systems below are registered with HSA, with AstraMed as the local registrant, so supply, application training and service are all handled here in Singapore.
For breast work, I would start with these two:
• SonoBook 9: a laptop system with automatic breast and thyroid lesion measurement, light enough to sit beside the couch for biopsy guidance
• SonoEye P5: a phone paired handheld with high frequency imaging for a quick look during the consultation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Hoe Ah Leong Surgery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9" ht="36" customHeight="1" s="104">
      <c r="A9" s="203" t="n">
        <v>5</v>
      </c>
      <c r="B9" s="204" t="inlineStr">
        <is>
          <t>The Breast Clinic</t>
        </is>
      </c>
      <c r="C9" s="203" t="inlineStr">
        <is>
          <t>Contacted</t>
        </is>
      </c>
      <c r="D9" s="203" t="inlineStr">
        <is>
          <t>Specialist centre</t>
        </is>
      </c>
      <c r="E9" s="203" t="inlineStr">
        <is>
          <t>Breast surgery &amp; screening clinic</t>
        </is>
      </c>
      <c r="F9" s="203" t="inlineStr">
        <is>
          <t>Breast screening, diagnostic work up of breast lumps, breast conservation and oncoplastic surgery, sentinel node biopsy</t>
        </is>
      </c>
      <c r="G9" s="203" t="inlineStr">
        <is>
          <t>Orchard (Paragon)</t>
        </is>
      </c>
      <c r="H9" s="205" t="inlineStr">
        <is>
          <t>https://thebreastclinic.sg</t>
        </is>
      </c>
      <c r="I9" s="203" t="inlineStr">
        <is>
          <t>+65 6362 8880 / WhatsApp +65 9863 7095</t>
        </is>
      </c>
      <c r="J9" s="203" t="inlineStr">
        <is>
          <t>contact@thebreastclinic.sg</t>
        </is>
      </c>
      <c r="K9" s="203" t="inlineStr">
        <is>
          <t>290 Orchard Road #16-07/08 Paragon (Tower 1 via Lobby F), Singapore 238859</t>
        </is>
      </c>
      <c r="L9" s="203" t="inlineStr">
        <is>
          <t>Dr Anthony Tang, Specialist Breast Cancer Surgeon (named on own site)</t>
        </is>
      </c>
      <c r="M9" s="206" t="inlineStr">
        <is>
          <t>A</t>
        </is>
      </c>
      <c r="N9" s="203" t="inlineStr">
        <is>
          <t>Not stated on site</t>
        </is>
      </c>
      <c r="O9" s="203" t="inlineStr">
        <is>
          <t>Independent breast practice: in clinic ultrasound shortens the path from lump to biopsy, and linear probe image quality is where CHISON is strongest. Ultrasound use: Not stated on site. Confirm on the first call.</t>
        </is>
      </c>
      <c r="P9" s="203" t="inlineStr">
        <is>
          <t>SonoBook 9 (automatic breast and thyroid lesion measurement, biopsy guidance) + SonoEye P5 (phone paired, high frequency for a quick breast look)</t>
        </is>
      </c>
      <c r="Q9" s="206" t="inlineStr">
        <is>
          <t>P1</t>
        </is>
      </c>
      <c r="R9" s="203" t="inlineStr">
        <is>
          <t>P1: verified email on own site; high fit for CHISON.</t>
        </is>
      </c>
      <c r="S9" s="203" t="inlineStr">
        <is>
          <t>Own site opened 2 to 3 Oct 2026; email decoded from the site's spam protected link</t>
        </is>
      </c>
      <c r="T9" s="203" t="inlineStr">
        <is>
          <t>CHISON ultrasound for The Breast Clinic: breast scans and biopsy guidance in clinic</t>
        </is>
      </c>
      <c r="U9" s="203" t="inlineStr">
        <is>
          <t>Dear Dr Tang,
I am Casper Tan, Senior Regional Sales Manager at AstraMed Healthcare, the Singapore subsidiary of CHISON Medical Technologies. Your clinic covers breast screening, diagnostic work up and surgery under one roof, and in breast work the scan in the consult room decides how quickly a patient gets an answer.
CHISON has made diagnostic ultrasound in Wuxi since 1996 and sells in more than 100 countries. The systems below are registered with HSA, with AstraMed as the local registrant, so supply, application training and service are all handled here in Singapore.
For breast work, these are the two I would put forward:
• SonoBook 9: a laptop system with automatic breast and thyroid lesion measurement, light enough to sit beside the couch for biopsy guidance
• SonoEye P5: a phone paired handheld with high frequency imaging for a quick look during the consultation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The Breast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0" ht="48" customHeight="1" s="104">
      <c r="A10" s="203" t="n">
        <v>6</v>
      </c>
      <c r="B10" s="204" t="inlineStr">
        <is>
          <t>Ascensus Health: CC Tan Breast, Thyroid &amp; General Surgery</t>
        </is>
      </c>
      <c r="C10" s="203" t="inlineStr">
        <is>
          <t>Contacted</t>
        </is>
      </c>
      <c r="D10" s="203" t="inlineStr">
        <is>
          <t>Specialist centre</t>
        </is>
      </c>
      <c r="E10" s="203" t="inlineStr">
        <is>
          <t>Breast &amp; thyroid surgery clinic</t>
        </is>
      </c>
      <c r="F10" s="203" t="inlineStr">
        <is>
          <t>Ultrasound guided breast biopsy, breast screening, breast cancer and oncoplastic surgery, thyroid surgery</t>
        </is>
      </c>
      <c r="G10" s="203" t="inlineStr">
        <is>
          <t>Orchard (Gleneagles MC) and Novena (Royal Square)</t>
        </is>
      </c>
      <c r="H10" s="205" t="inlineStr">
        <is>
          <t>https://cctansurgery.com.sg</t>
        </is>
      </c>
      <c r="I10" s="203" t="inlineStr">
        <is>
          <t>+65 6471 1233 / WhatsApp +65 9784 8751 (fax 6471 1088)</t>
        </is>
      </c>
      <c r="J10" s="203" t="inlineStr">
        <is>
          <t>cctansurgery@ascensushealth.com.sg</t>
        </is>
      </c>
      <c r="K10" s="203" t="inlineStr">
        <is>
          <t>Gleneagles Medical Centre, 6 Napier Road #09-08, Singapore 258499; Royal Square Medical Centre, 101 Irrawaddy Road #09-01, Singapore 329565</t>
        </is>
      </c>
      <c r="L10" s="203" t="inlineStr">
        <is>
          <t>Dr Tan Chuan Chien, Senior Consultant General Surgeon, Breast &amp; Thyroid (named on own site)</t>
        </is>
      </c>
      <c r="M10" s="206" t="inlineStr">
        <is>
          <t>A</t>
        </is>
      </c>
      <c r="N10" s="203" t="inlineStr">
        <is>
          <t>Yes. Ultrasound guided breast biopsy offered</t>
        </is>
      </c>
      <c r="O10" s="203" t="inlineStr">
        <is>
          <t>Independent breast practice: in clinic ultrasound shortens the path from lump to biopsy, and linear probe image quality is where CHISON is strongest. Ultrasound already in use (Ultrasound guided breast biopsy offered), so pitch added capacity or a second room.</t>
        </is>
      </c>
      <c r="P10" s="203" t="inlineStr">
        <is>
          <t>SonoBook 9 (automatic breast and thyroid lesion measurement, biopsy guidance) + SonoMax 9 (flagship cart: AI assisted breast lesion assessment, shear wave for small parts)</t>
        </is>
      </c>
      <c r="Q10" s="206" t="inlineStr">
        <is>
          <t>P1</t>
        </is>
      </c>
      <c r="R10" s="203" t="inlineStr">
        <is>
          <t>P1: verified email on own site; high fit for CHISON; already scans in house.</t>
        </is>
      </c>
      <c r="S10" s="203" t="inlineStr">
        <is>
          <t>Own site opened 2 to 3 Oct 2026; email decoded from the site's spam protected link</t>
        </is>
      </c>
      <c r="T10" s="203" t="inlineStr">
        <is>
          <t>CHISON ultrasound for Ascensus Health: breast scans and biopsy guidance in clinic</t>
        </is>
      </c>
      <c r="U10" s="203" t="inlineStr">
        <is>
          <t>Dear Dr Tan,
I am Casper Tan, Senior Regional Sales Manager at AstraMed Healthcare, the Singapore subsidiary of CHISON Medical Technologies. You already offer ultrasound guided breast biopsy and thyroid surgery at Gleneagles and Royal Square, so image quality on a high frequency linear probe is something you judge every week.
CHISON has made diagnostic ultrasound in Wuxi since 1996 and sells in more than 100 countries. The systems below are registered with HSA, with AstraMed as the local registrant, so supply, application training and service are all handled here in Singapore.
For breast work, I would start with these two:
• SonoBook 9: a laptop system with automatic breast and thyroid lesion measurement, light enough to sit beside the couch for biopsy guidance
• SonoMax 9: our flagship cart, with AI assisted breast lesion assessment and shear wave elastography for small parts such as breast and thyroid
If you already have a system you are happy with, a second CHISON unit is a practical way to add capacity or free your main room for the longer scans.
Our demonstration units arrive in Singapore in October. Could I bring both systems to Ascensus Health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1" ht="48" customHeight="1" s="104">
      <c r="A11" s="203" t="n">
        <v>7</v>
      </c>
      <c r="B11" s="204" t="inlineStr">
        <is>
          <t>Dr J J Chee Obstetrics &amp; Gynaecology</t>
        </is>
      </c>
      <c r="C11" s="203" t="inlineStr">
        <is>
          <t>Contacted</t>
        </is>
      </c>
      <c r="D11" s="203" t="inlineStr">
        <is>
          <t>Specialist centre</t>
        </is>
      </c>
      <c r="E11" s="203" t="inlineStr">
        <is>
          <t>O&amp;G clinic</t>
        </is>
      </c>
      <c r="F11" s="203" t="inlineStr">
        <is>
          <t>Antenatal care, obstetric ultrasound scans, fetal abnormality testing, gynaecology</t>
        </is>
      </c>
      <c r="G11" s="203" t="inlineStr">
        <is>
          <t>Novena (Mount Elizabeth Novena Specialist Centre)</t>
        </is>
      </c>
      <c r="H11" s="205" t="inlineStr">
        <is>
          <t>https://www.drjjcheegynae.com</t>
        </is>
      </c>
      <c r="I11" s="203" t="inlineStr">
        <is>
          <t>+65 6732 9882 (fax 6732 9881)</t>
        </is>
      </c>
      <c r="J11" s="203" t="inlineStr">
        <is>
          <t>enquiry@drjjcheegynae.com</t>
        </is>
      </c>
      <c r="K11" s="203" t="inlineStr">
        <is>
          <t>38 Irrawaddy Road #07-35, Mount Elizabeth Novena Specialist Centre, Singapore 329563</t>
        </is>
      </c>
      <c r="L11" s="203" t="inlineStr">
        <is>
          <t>Dr Chee Jing Jye (named on own site)</t>
        </is>
      </c>
      <c r="M11" s="206" t="inlineStr">
        <is>
          <t>A</t>
        </is>
      </c>
      <c r="N11" s="203" t="inlineStr">
        <is>
          <t>Yes. In house obstetric ultrasound scans</t>
        </is>
      </c>
      <c r="O11" s="203" t="inlineStr">
        <is>
          <t>Private O&amp;G practice where the scanner runs all day; price sensitive enough to consider a value cart or a second unit. Ultrasound already in use (In house obstetric ultrasound scans), so pitch added capacity or a second room.</t>
        </is>
      </c>
      <c r="P11" s="203" t="inlineStr">
        <is>
          <t>SonoPort 8 (mid tier cart, 23.8 in monitor for the patient view) + SonoBook 9 (automatic follicle measurement, moves between rooms)</t>
        </is>
      </c>
      <c r="Q11" s="206" t="inlineStr">
        <is>
          <t>P1</t>
        </is>
      </c>
      <c r="R11" s="203" t="inlineStr">
        <is>
          <t>P1: verified email on own site; high fit for CHISON; already scans in house.</t>
        </is>
      </c>
      <c r="S11" s="203" t="inlineStr">
        <is>
          <t>Own site opened 2 to 3 Oct 2026</t>
        </is>
      </c>
      <c r="T11" s="203" t="inlineStr">
        <is>
          <t>CHISON ultrasound for Dr J J Chee O&amp;G: O&amp;G scanning in your clinic</t>
        </is>
      </c>
      <c r="U11" s="203" t="inlineStr">
        <is>
          <t>Dear Dr Chee,
I am Casper Tan, Senior Regional Sales Manager at AstraMed Healthcare, the Singapore subsidiary of CHISON Medical Technologies. You run obstetric scans in house at Mount Elizabeth Novena, from early pregnancy through fetal abnormality testing.
CHISON has made diagnostic ultrasound in Wuxi since 1996 and sells in more than 100 countries. The systems below are registered with HSA, with AstraMed as the local registrant, so supply, application training and service are all handled here in Singapore.
For a busy O&amp;G practice, I would start with these two:
• SonoPort 8: a mid tier cart for the consult room, with a 23.8 inch monitor your patients can follow easily and a 15.6 inch touch screen
• SonoBook 9: a laptop system with automatic follicle measurement and about two hours of scanning on battery, easy to move between rooms
If you already have a system you are happy with, a second CHISON unit is a practical way to add capacity or free your main room for the longer scans.
Our demonstration units arrive in Singapore in October. Could I bring both systems to Dr J J Chee O&amp;G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2" ht="36" customHeight="1" s="104">
      <c r="A12" s="203" t="n">
        <v>8</v>
      </c>
      <c r="B12" s="204" t="inlineStr">
        <is>
          <t>Freda Khoo Clinic For Women</t>
        </is>
      </c>
      <c r="C12" s="203" t="inlineStr">
        <is>
          <t>Contacted</t>
        </is>
      </c>
      <c r="D12" s="203" t="inlineStr">
        <is>
          <t>Specialist centre</t>
        </is>
      </c>
      <c r="E12" s="203" t="inlineStr">
        <is>
          <t>O&amp;G clinic</t>
        </is>
      </c>
      <c r="F12" s="203" t="inlineStr">
        <is>
          <t>Obstetrics and gynaecology across all life stages</t>
        </is>
      </c>
      <c r="G12" s="203" t="inlineStr">
        <is>
          <t>Thomson (Mount Alvernia)</t>
        </is>
      </c>
      <c r="H12" s="205" t="inlineStr">
        <is>
          <t>https://www.fredakhooclinic.com</t>
        </is>
      </c>
      <c r="I12" s="203" t="inlineStr">
        <is>
          <t>+65 6259 6964 (fax 6258 8995)</t>
        </is>
      </c>
      <c r="J12" s="203" t="inlineStr">
        <is>
          <t>info@fredakhooclinic.com</t>
        </is>
      </c>
      <c r="K12" s="203" t="inlineStr">
        <is>
          <t>820 Thomson Road #04-81, St Anne Mother &amp; Child Centre, Mount Alvernia Hospital, Singapore 574623</t>
        </is>
      </c>
      <c r="L12" s="203" t="inlineStr">
        <is>
          <t>Dr Freda Khoo, Consultant O&amp;G (named on own site)</t>
        </is>
      </c>
      <c r="M12" s="206" t="inlineStr">
        <is>
          <t>A</t>
        </is>
      </c>
      <c r="N12" s="203" t="inlineStr">
        <is>
          <t>Not stated on site</t>
        </is>
      </c>
      <c r="O12" s="203" t="inlineStr">
        <is>
          <t>Private O&amp;G practice where the scanner runs all day; price sensitive enough to consider a value cart or a second unit. Ultrasound use: Not stated on site. Confirm on the first call.</t>
        </is>
      </c>
      <c r="P12" s="203" t="inlineStr">
        <is>
          <t>SonoPort 8 (mid tier cart, 23.8 in monitor for the patient view) + SonoBook 9 (automatic follicle measurement, moves between rooms)</t>
        </is>
      </c>
      <c r="Q12" s="206" t="inlineStr">
        <is>
          <t>P1</t>
        </is>
      </c>
      <c r="R12" s="203" t="inlineStr">
        <is>
          <t>P1: verified email on own site; high fit for CHISON.</t>
        </is>
      </c>
      <c r="S12" s="203" t="inlineStr">
        <is>
          <t>Own site opened 2 to 3 Oct 2026; email decoded from the site's spam protected link</t>
        </is>
      </c>
      <c r="T12" s="203" t="inlineStr">
        <is>
          <t>CHISON ultrasound for Freda Khoo Clinic For Women: O&amp;G scanning in your clinic</t>
        </is>
      </c>
      <c r="U12" s="203" t="inlineStr">
        <is>
          <t>Dear Dr Khoo,
I am Casper Tan, Senior Regional Sales Manager at AstraMed Healthcare, the Singapore subsidiary of CHISON Medical Technologies. Your clinic at the St Anne Mother &amp; Child Centre covers women's care from puberty to menopause, and most of those visits involve a scan.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suggest:
• SonoPort 8: a mid tier cart for the consult room, with a 23.8 inch monitor your patients can follow easily and a 15.6 inch touch screen
• SonoBook 9: a laptop system with automatic follicle measurement and about two hours of scanning on battery, easy to move between rooms
My aim is to put strong image quality within reach of an independent practice, with application training done locally so your team is confident from the first week.
Our demonstration units arrive in Singapore in October. Could I bring both systems to Freda Khoo Clinic For Women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3" ht="48" customHeight="1" s="104">
      <c r="A13" s="203" t="n">
        <v>9</v>
      </c>
      <c r="B13" s="204" t="inlineStr">
        <is>
          <t>GynaeMD Women's &amp; Rejuvenation Clinic</t>
        </is>
      </c>
      <c r="C13" s="203" t="inlineStr">
        <is>
          <t>Contacted</t>
        </is>
      </c>
      <c r="D13" s="203" t="inlineStr">
        <is>
          <t>Specialist centre</t>
        </is>
      </c>
      <c r="E13" s="203" t="inlineStr">
        <is>
          <t>O&amp;G clinic</t>
        </is>
      </c>
      <c r="F13" s="203" t="inlineStr">
        <is>
          <t>Gynaecology, obstetrics with OSCAR scan, fetal anomaly scan, 3D and 4D ultrasound, IUI and IVF, aesthetics</t>
        </is>
      </c>
      <c r="G13" s="203" t="inlineStr">
        <is>
          <t>Orchard (Camden)</t>
        </is>
      </c>
      <c r="H13" s="205" t="inlineStr">
        <is>
          <t>https://www.gynaemd.com.sg</t>
        </is>
      </c>
      <c r="I13" s="203" t="inlineStr">
        <is>
          <t>+65 6733 8810 / WhatsApp +65 8932 8810 (fax 6733 8850)</t>
        </is>
      </c>
      <c r="J13" s="203" t="inlineStr">
        <is>
          <t>gynaemd@singnet.com.sg</t>
        </is>
      </c>
      <c r="K13" s="203" t="inlineStr">
        <is>
          <t>1 Orchard Boulevard #04-03A, Camden Medical Centre, Singapore 248649</t>
        </is>
      </c>
      <c r="L13" s="203" t="inlineStr">
        <is>
          <t>Dr Christopher Ng, Consultant O&amp;G (named on own site)</t>
        </is>
      </c>
      <c r="M13" s="206" t="inlineStr">
        <is>
          <t>A</t>
        </is>
      </c>
      <c r="N13" s="203" t="inlineStr">
        <is>
          <t>Yes. OSCAR, anomaly and 3D/4D scans in house</t>
        </is>
      </c>
      <c r="O13" s="203" t="inlineStr">
        <is>
          <t>Private O&amp;G practice where the scanner runs all day; price sensitive enough to consider a value cart or a second unit. Ultrasound already in use (OSCAR, anomaly and 3D/4D scans in house), so pitch added capacity or a second room. Group link: GynaeMD (Clementi clinic also listed).</t>
        </is>
      </c>
      <c r="P13" s="203" t="inlineStr">
        <is>
          <t>SonoPort 8 (mid tier cart, 23.8 in monitor for the patient view) + SonoBook 9 (automatic follicle measurement, moves between rooms)</t>
        </is>
      </c>
      <c r="Q13" s="206" t="inlineStr">
        <is>
          <t>P1</t>
        </is>
      </c>
      <c r="R13" s="203" t="inlineStr">
        <is>
          <t>P1: verified email on own site; high fit for CHISON; already scans in house; group link: GynaeMD (Clementi clinic also listed).</t>
        </is>
      </c>
      <c r="S13" s="203" t="inlineStr">
        <is>
          <t>Own site opened 2 to 3 Oct 2026</t>
        </is>
      </c>
      <c r="T13" s="203" t="inlineStr">
        <is>
          <t>CHISON ultrasound for GynaeMD: O&amp;G scanning in your clinic</t>
        </is>
      </c>
      <c r="U13" s="203" t="inlineStr">
        <is>
          <t>Dear Dr Ng,
I am Casper Tan, Senior Regional Sales Manager at AstraMed Healthcare, the Singapore subsidiary of CHISON Medical Technologies. OSCAR, fetal anomaly and 3D and 4D scans are done in house at Camden, so your scanner carries a full obstetric load.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put forward:
• SonoPort 8: a mid tier cart for the consult room, with a 23.8 inch monitor your patients can follow easily and a 15.6 inch touch screen
• SonoBook 9: a laptop system with automatic follicle measurement and about two hours of scanning on battery, easy to move between rooms
If you already have a system you are happy with, a second CHISON unit is a practical way to add capacity or free your main room for the longer scans.
Our demonstration units arrive in Singapore in October. Could I bring both systems to GynaeMD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4" ht="48" customHeight="1" s="104">
      <c r="A14" s="203" t="n">
        <v>10</v>
      </c>
      <c r="B14" s="204" t="inlineStr">
        <is>
          <t>GynaeMD Women's Clinic (Clementi)</t>
        </is>
      </c>
      <c r="C14" s="203" t="inlineStr">
        <is>
          <t>Contacted</t>
        </is>
      </c>
      <c r="D14" s="203" t="inlineStr">
        <is>
          <t>Specialist centre</t>
        </is>
      </c>
      <c r="E14" s="203" t="inlineStr">
        <is>
          <t>O&amp;G clinic</t>
        </is>
      </c>
      <c r="F14" s="203" t="inlineStr">
        <is>
          <t>Heartland O&amp;G clinic: antenatal screening and delivery, pelvic ultrasound, urogynae, fertility, menopause</t>
        </is>
      </c>
      <c r="G14" s="203" t="inlineStr">
        <is>
          <t>Clementi (HDB heartland)</t>
        </is>
      </c>
      <c r="H14" s="205" t="inlineStr">
        <is>
          <t>https://www.gynaemdclementi.com.sg</t>
        </is>
      </c>
      <c r="I14" s="203" t="inlineStr">
        <is>
          <t>+65 6873 3383 / WhatsApp +65 8945 3383 (fax 6873 3373)</t>
        </is>
      </c>
      <c r="J14" s="203" t="inlineStr">
        <is>
          <t>gynaemdclementi@singnet.com.sg</t>
        </is>
      </c>
      <c r="K14" s="203" t="inlineStr">
        <is>
          <t>Blk 321 Clementi Ave 3 #01-05, Singapore 129905</t>
        </is>
      </c>
      <c r="L14" s="203" t="inlineStr">
        <is>
          <t>Dr Regina Zuzarte-Ng, O&amp;G (named on own site)</t>
        </is>
      </c>
      <c r="M14" s="206" t="inlineStr">
        <is>
          <t>A</t>
        </is>
      </c>
      <c r="N14" s="203" t="inlineStr">
        <is>
          <t>Yes. Pelvic and obstetric ultrasound referenced</t>
        </is>
      </c>
      <c r="O14" s="203" t="inlineStr">
        <is>
          <t>Private O&amp;G practice where the scanner runs all day; price sensitive enough to consider a value cart or a second unit. Ultrasound already in use (Pelvic and obstetric ultrasound referenced), so pitch added capacity or a second room. Group link: GynaeMD (Camden clinic also listed).</t>
        </is>
      </c>
      <c r="P14" s="203" t="inlineStr">
        <is>
          <t>SonoPort 8 (mid tier cart, 23.8 in monitor for the patient view) + SonoBook 9 (automatic follicle measurement, moves between rooms)</t>
        </is>
      </c>
      <c r="Q14" s="206" t="inlineStr">
        <is>
          <t>P1</t>
        </is>
      </c>
      <c r="R14" s="203" t="inlineStr">
        <is>
          <t>P1: verified email on own site; high fit for CHISON; already scans in house; group link: GynaeMD (Camden clinic also listed).</t>
        </is>
      </c>
      <c r="S14" s="203" t="inlineStr">
        <is>
          <t>Own site opened 2 to 3 Oct 2026</t>
        </is>
      </c>
      <c r="T14" s="203" t="inlineStr">
        <is>
          <t>CHISON ultrasound for GynaeMD Clementi: O&amp;G scanning in your clinic</t>
        </is>
      </c>
      <c r="U14" s="203" t="inlineStr">
        <is>
          <t>Dear Dr Zuzarte-Ng,
I am Casper Tan, Senior Regional Sales Manager at AstraMed Healthcare, the Singapore subsidiary of CHISON Medical Technologies. Antenatal screening and pelvic ultrasound at your Clementi clinic are part of almost every visit, and heartland clinics feel the cost of equipment the most.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suggest:
• SonoPort 8: a mid tier cart for the consult room, with a 23.8 inch monitor your patients can follow easily and a 15.6 inch touch screen
• SonoBook 9: a laptop system with automatic follicle measurement and about two hours of scanning on battery, easy to move between rooms
If you already have a system you are happy with, a second CHISON unit is a practical way to add capacity or free your main room for the longer scans.
Our demonstration units arrive in Singapore in October. Could I bring both systems to GynaeMD Clementi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5" ht="48" customHeight="1" s="104">
      <c r="A15" s="203" t="n">
        <v>11</v>
      </c>
      <c r="B15" s="204" t="inlineStr">
        <is>
          <t>Irene &amp; Jon Clinic for Women</t>
        </is>
      </c>
      <c r="C15" s="203" t="inlineStr">
        <is>
          <t>Contacted</t>
        </is>
      </c>
      <c r="D15" s="203" t="inlineStr">
        <is>
          <t>Specialist centre</t>
        </is>
      </c>
      <c r="E15" s="203" t="inlineStr">
        <is>
          <t>O&amp;G clinic</t>
        </is>
      </c>
      <c r="F15" s="203" t="inlineStr">
        <is>
          <t>Obstetrics, gynaecology, fertility and IVF care, laparoscopic surgery</t>
        </is>
      </c>
      <c r="G15" s="203" t="inlineStr">
        <is>
          <t>Novena (MENSC) and Thomson (Mount Alvernia)</t>
        </is>
      </c>
      <c r="H15" s="205" t="inlineStr">
        <is>
          <t>https://www.ireneandjonclinic.com</t>
        </is>
      </c>
      <c r="I15" s="203" t="inlineStr">
        <is>
          <t>+65 6339 7333 (Novena, fax 6339 7633) / +65 6513 3233 (Mount Alvernia)</t>
        </is>
      </c>
      <c r="J15" s="203" t="inlineStr">
        <is>
          <t>drjonwee@gmail.com</t>
        </is>
      </c>
      <c r="K15" s="203" t="inlineStr">
        <is>
          <t>Mount Elizabeth Novena Specialist Centre, 38 Irrawaddy Road #10-42, Singapore 329563; St Anne Mother &amp; Child Centre, 820 Thomson Road #04-85, Singapore 574623</t>
        </is>
      </c>
      <c r="L15" s="203" t="inlineStr">
        <is>
          <t>Dr Jonathan Wee Yeow Sherng, Consultant O&amp;G (named on own site)</t>
        </is>
      </c>
      <c r="M15" s="206" t="inlineStr">
        <is>
          <t>A</t>
        </is>
      </c>
      <c r="N15" s="203" t="inlineStr">
        <is>
          <t>Obstetric and fertility work implies in clinic scanning</t>
        </is>
      </c>
      <c r="O15" s="203" t="inlineStr">
        <is>
          <t>Private O&amp;G practice where the scanner runs all day; price sensitive enough to consider a value cart or a second unit. Ultrasound use: Obstetric and fertility work implies in clinic scanning. Confirm on the first call.</t>
        </is>
      </c>
      <c r="P15" s="203" t="inlineStr">
        <is>
          <t>SonoPort 8 (mid tier cart, 23.8 in monitor for the patient view) + SonoBook 9 (automatic follicle measurement, moves between rooms)</t>
        </is>
      </c>
      <c r="Q15" s="206" t="inlineStr">
        <is>
          <t>P1</t>
        </is>
      </c>
      <c r="R15" s="203" t="inlineStr">
        <is>
          <t>P1: verified email on own site; high fit for CHISON.</t>
        </is>
      </c>
      <c r="S15" s="203" t="inlineStr">
        <is>
          <t>Own site opened 2 to 3 Oct 2026</t>
        </is>
      </c>
      <c r="T15" s="203" t="inlineStr">
        <is>
          <t>CHISON ultrasound for Irene &amp; Jon Clinic for Women: O&amp;G scanning in your clinic</t>
        </is>
      </c>
      <c r="U15" s="203" t="inlineStr">
        <is>
          <t>Dear Dr Wee,
I am Casper Tan, Senior Regional Sales Manager at AstraMed Healthcare, the Singapore subsidiary of CHISON Medical Technologies. With obstetrics, gynaecology and IVF care across Mount Elizabeth Novena and Mount Alvernia, you need a good scanner in both rooms.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suggest:
• SonoPort 8: a mid tier cart for the consult room, with a 23.8 inch monitor your patients can follow easily and a 15.6 inch touch screen
• SonoBook 9: a laptop system with automatic follicle measurement and about two hours of scanning on battery, easy to move between rooms
My aim is to put strong image quality within reach of an independent practice, with application training done locally so your team is confident from the first week.
Our demonstration units arrive in Singapore in October. Could I bring both systems to Irene &amp; Jon Clinic for Women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6" ht="48" customHeight="1" s="104">
      <c r="A16" s="203" t="n">
        <v>12</v>
      </c>
      <c r="B16" s="204" t="inlineStr">
        <is>
          <t>Kierauniv International Clinic For Women</t>
        </is>
      </c>
      <c r="C16" s="203" t="inlineStr">
        <is>
          <t>Contacted</t>
        </is>
      </c>
      <c r="D16" s="203" t="inlineStr">
        <is>
          <t>Specialist centre</t>
        </is>
      </c>
      <c r="E16" s="203" t="inlineStr">
        <is>
          <t>O&amp;G clinic</t>
        </is>
      </c>
      <c r="F16" s="203" t="inlineStr">
        <is>
          <t>Obstetrics, gynaecology, fertility (IUI), laparoscopic and hysteroscopic surgery</t>
        </is>
      </c>
      <c r="G16" s="203" t="inlineStr">
        <is>
          <t>Novena (Mount Elizabeth Novena Specialist Centre)</t>
        </is>
      </c>
      <c r="H16" s="205" t="inlineStr">
        <is>
          <t>https://www.drdharsh.com</t>
        </is>
      </c>
      <c r="I16" s="203" t="inlineStr">
        <is>
          <t>+65 6694 0755 (fax 6694 6755)</t>
        </is>
      </c>
      <c r="J16" s="203" t="inlineStr">
        <is>
          <t>docdharsh@gmail.com</t>
        </is>
      </c>
      <c r="K16" s="203" t="inlineStr">
        <is>
          <t>38 Irrawaddy Road #11-48, Mount Elizabeth Novena Specialist Centre, Singapore 329563</t>
        </is>
      </c>
      <c r="L16" s="203" t="inlineStr">
        <is>
          <t>Dr Dharshini Gopalakrishnakone, Specialist O&amp;G (named on own site)</t>
        </is>
      </c>
      <c r="M16" s="206" t="inlineStr">
        <is>
          <t>A</t>
        </is>
      </c>
      <c r="N16" s="203" t="inlineStr">
        <is>
          <t>Pregnancy and gynae scanning implied by services</t>
        </is>
      </c>
      <c r="O16" s="203" t="inlineStr">
        <is>
          <t>Private O&amp;G practice where the scanner runs all day; price sensitive enough to consider a value cart or a second unit. Ultrasound use: Pregnancy and gynae scanning implied by services. Confirm on the first call.</t>
        </is>
      </c>
      <c r="P16" s="203" t="inlineStr">
        <is>
          <t>SonoPort 8 (mid tier cart, 23.8 in monitor for the patient view) + SonoBook 9 (automatic follicle measurement, moves between rooms)</t>
        </is>
      </c>
      <c r="Q16" s="206" t="inlineStr">
        <is>
          <t>P1</t>
        </is>
      </c>
      <c r="R16" s="203" t="inlineStr">
        <is>
          <t>P1: verified email on own site; high fit for CHISON.</t>
        </is>
      </c>
      <c r="S16" s="203" t="inlineStr">
        <is>
          <t>Own site opened 2 to 3 Oct 2026</t>
        </is>
      </c>
      <c r="T16" s="203" t="inlineStr">
        <is>
          <t>CHISON ultrasound for Kierauniv Clinic For Women: O&amp;G scanning in your clinic</t>
        </is>
      </c>
      <c r="U16" s="203" t="inlineStr">
        <is>
          <t>Dear Dr Dharshini,
I am Casper Tan, Senior Regional Sales Manager at AstraMed Healthcare, the Singapore subsidiary of CHISON Medical Technologies. Your practice spans pregnancy care, fertility treatment with IUI and gynae surgery, all of which run on in clinic scanning.
CHISON has made diagnostic ultrasound in Wuxi since 1996 and sells in more than 100 countries. The systems below are registered with HSA, with AstraMed as the local registrant, so supply, application training and service are all handled here in Singapore.
For a busy O&amp;G practice, I would start with these two:
• SonoPort 8: a mid tier cart for the consult room, with a 23.8 inch monitor your patients can follow easily and a 15.6 inch touch screen
• SonoBook 9: a laptop system with automatic follicle measurement and about two hours of scanning on battery, easy to move between rooms
My aim is to put strong image quality within reach of an independent practice, with application training done locally so your team is confident from the first week.
Our demonstration units arrive in Singapore in October. Could I bring both systems to Kierauniv Clinic For Women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7" ht="36" customHeight="1" s="104">
      <c r="A17" s="203" t="n">
        <v>13</v>
      </c>
      <c r="B17" s="204" t="inlineStr">
        <is>
          <t>S L Goh Women's Clinic</t>
        </is>
      </c>
      <c r="C17" s="203" t="inlineStr">
        <is>
          <t>Contacted</t>
        </is>
      </c>
      <c r="D17" s="203" t="inlineStr">
        <is>
          <t>Specialist centre</t>
        </is>
      </c>
      <c r="E17" s="203" t="inlineStr">
        <is>
          <t>O&amp;G clinic</t>
        </is>
      </c>
      <c r="F17" s="203" t="inlineStr">
        <is>
          <t>Obstetric care and deliveries, gynaecology, women's health</t>
        </is>
      </c>
      <c r="G17" s="203" t="inlineStr">
        <is>
          <t>Thomson (Mount Alvernia)</t>
        </is>
      </c>
      <c r="H17" s="205" t="inlineStr">
        <is>
          <t>https://www.slgohclinic.com</t>
        </is>
      </c>
      <c r="I17" s="203" t="inlineStr">
        <is>
          <t>+65 6258 8174 (fax 6258 7724)</t>
        </is>
      </c>
      <c r="J17" s="203" t="inlineStr">
        <is>
          <t>info@slgohclinic.com</t>
        </is>
      </c>
      <c r="K17" s="203" t="inlineStr">
        <is>
          <t>Mount Alvernia Hospital, 820 Thomson Road #02-84, St Anne Mother &amp; Child Centre, Singapore 574623</t>
        </is>
      </c>
      <c r="L17" s="203" t="inlineStr">
        <is>
          <t>Dr Goh Shen Li, Senior Consultant O&amp;G (named on own site)</t>
        </is>
      </c>
      <c r="M17" s="206" t="inlineStr">
        <is>
          <t>A</t>
        </is>
      </c>
      <c r="N17" s="203" t="inlineStr">
        <is>
          <t>Not stated on site</t>
        </is>
      </c>
      <c r="O17" s="203" t="inlineStr">
        <is>
          <t>Private O&amp;G practice where the scanner runs all day; price sensitive enough to consider a value cart or a second unit. Ultrasound use: Not stated on site. Confirm on the first call.</t>
        </is>
      </c>
      <c r="P17" s="203" t="inlineStr">
        <is>
          <t>SonoPort 8 (mid tier cart, 23.8 in monitor for the patient view) + SonoBook 9 (automatic follicle measurement, moves between rooms)</t>
        </is>
      </c>
      <c r="Q17" s="206" t="inlineStr">
        <is>
          <t>P1</t>
        </is>
      </c>
      <c r="R17" s="203" t="inlineStr">
        <is>
          <t>P1: verified email on own site; high fit for CHISON.</t>
        </is>
      </c>
      <c r="S17" s="203" t="inlineStr">
        <is>
          <t>Own site opened 2 to 3 Oct 2026</t>
        </is>
      </c>
      <c r="T17" s="203" t="inlineStr">
        <is>
          <t>CHISON ultrasound for S L Goh Women's Clinic: O&amp;G scanning in your clinic</t>
        </is>
      </c>
      <c r="U17" s="203" t="inlineStr">
        <is>
          <t>Dear Dr Goh,
I am Casper Tan, Senior Regional Sales Manager at AstraMed Healthcare, the Singapore subsidiary of CHISON Medical Technologies. Obstetric care and deliveries at Mount Alvernia keep a scanner busy every day, and a second unit is often the cheapest way to cut waiting time.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put forward:
• SonoPort 8: a mid tier cart for the consult room, with a 23.8 inch monitor your patients can follow easily and a 15.6 inch touch screen
• SonoBook 9: a laptop system with automatic follicle measurement and about two hours of scanning on battery, easy to move between rooms
My aim is to put strong image quality within reach of an independent practice, with application training done locally so your team is confident from the first week.
Our demonstration units arrive in Singapore in October. Could I bring both systems to S L Goh Women's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8" ht="48" customHeight="1" s="104">
      <c r="A18" s="203" t="n">
        <v>14</v>
      </c>
      <c r="B18" s="204" t="inlineStr">
        <is>
          <t>The Gynae Link</t>
        </is>
      </c>
      <c r="C18" s="203" t="inlineStr">
        <is>
          <t>Contacted</t>
        </is>
      </c>
      <c r="D18" s="203" t="inlineStr">
        <is>
          <t>Specialist centre</t>
        </is>
      </c>
      <c r="E18" s="203" t="inlineStr">
        <is>
          <t>O&amp;G clinic</t>
        </is>
      </c>
      <c r="F18" s="203" t="inlineStr">
        <is>
          <t>Heartland O&amp;G clinic: antenatal care and delivery, Down syndrome screening, well woman screen with pelvic ultrasound, fertility, menopause, gynae surgery</t>
        </is>
      </c>
      <c r="G18" s="203" t="inlineStr">
        <is>
          <t>Woodlands (Admiralty Place, heartland)</t>
        </is>
      </c>
      <c r="H18" s="205" t="inlineStr">
        <is>
          <t>https://www.thegynaelink.com</t>
        </is>
      </c>
      <c r="I18" s="203" t="inlineStr">
        <is>
          <t>+65 6893 9180 / WhatsApp +65 8402 4509</t>
        </is>
      </c>
      <c r="J18" s="203" t="inlineStr">
        <is>
          <t>contact@thegynaelink.com</t>
        </is>
      </c>
      <c r="K18" s="203" t="inlineStr">
        <is>
          <t>678A Woodlands Ave 6 #03-16, Admiralty Place, Singapore 731678</t>
        </is>
      </c>
      <c r="L18" s="203" t="inlineStr">
        <is>
          <t>Dr Don Wong Chun Ping, O&amp;G (named on own site)</t>
        </is>
      </c>
      <c r="M18" s="206" t="inlineStr">
        <is>
          <t>A</t>
        </is>
      </c>
      <c r="N18" s="203" t="inlineStr">
        <is>
          <t>Yes. Pelvic ultrasound in well woman screen</t>
        </is>
      </c>
      <c r="O18" s="203" t="inlineStr">
        <is>
          <t>Private O&amp;G practice where the scanner runs all day; price sensitive enough to consider a value cart or a second unit. Ultrasound already in use (Pelvic ultrasound in well woman screen), so pitch added capacity or a second room.</t>
        </is>
      </c>
      <c r="P18" s="203" t="inlineStr">
        <is>
          <t>SonoPort 8 (mid tier cart, 23.8 in monitor for the patient view) + SonoBook 9 (automatic follicle measurement, moves between rooms)</t>
        </is>
      </c>
      <c r="Q18" s="206" t="inlineStr">
        <is>
          <t>P1</t>
        </is>
      </c>
      <c r="R18" s="203" t="inlineStr">
        <is>
          <t>P1: verified email on own site; high fit for CHISON; already scans in house.</t>
        </is>
      </c>
      <c r="S18" s="203" t="inlineStr">
        <is>
          <t>Own site opened 2 to 3 Oct 2026</t>
        </is>
      </c>
      <c r="T18" s="203" t="inlineStr">
        <is>
          <t>CHISON ultrasound for The Gynae Link: O&amp;G scanning in your clinic</t>
        </is>
      </c>
      <c r="U18" s="203" t="inlineStr">
        <is>
          <t>Dear Dr Wong,
I am Casper Tan, Senior Regional Sales Manager at AstraMed Healthcare, the Singapore subsidiary of CHISON Medical Technologies. Antenatal care, Down syndrome screening and well woman pelvic ultrasound at Admiralty Place keep your scanner busy, and heartland clinics feel the cost of equipment the most.
CHISON has made diagnostic ultrasound in Wuxi since 1996 and sells in more than 100 countries. The systems below are registered with HSA, with AstraMed as the local registrant, so supply, application training and service are all handled here in Singapore.
For a busy O&amp;G practice, I would start with these two:
• SonoPort 8: a mid tier cart for the consult room, with a 23.8 inch monitor your patients can follow easily and a 15.6 inch touch screen
• SonoBook 9: a laptop system with automatic follicle measurement and about two hours of scanning on battery, easy to move between rooms
If you already have a system you are happy with, a second CHISON unit is a practical way to add capacity or free your main room for the longer scans.
Our demonstration units arrive in Singapore in October. Could I bring both systems to The Gynae Link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9" ht="36" customHeight="1" s="104">
      <c r="A19" s="203" t="n">
        <v>15</v>
      </c>
      <c r="B19" s="204" t="inlineStr">
        <is>
          <t>The OBGYN Centre</t>
        </is>
      </c>
      <c r="C19" s="203" t="inlineStr">
        <is>
          <t>Contacted</t>
        </is>
      </c>
      <c r="D19" s="203" t="inlineStr">
        <is>
          <t>Specialist centre</t>
        </is>
      </c>
      <c r="E19" s="203" t="inlineStr">
        <is>
          <t>O&amp;G clinic</t>
        </is>
      </c>
      <c r="F19" s="203" t="inlineStr">
        <is>
          <t>Pregnancy care, gynae surgery, menopause, fibroids and cysts</t>
        </is>
      </c>
      <c r="G19" s="203" t="inlineStr">
        <is>
          <t>Orchard (Paragon)</t>
        </is>
      </c>
      <c r="H19" s="205" t="inlineStr">
        <is>
          <t>https://www.obgyncentre.sg</t>
        </is>
      </c>
      <c r="I19" s="203" t="inlineStr">
        <is>
          <t>+65 6235 4188 / +65 9100 3874 (WhatsApp) (fax 6235 8408)</t>
        </is>
      </c>
      <c r="J19" s="203" t="inlineStr">
        <is>
          <t>info@obgyncentre.com</t>
        </is>
      </c>
      <c r="K19" s="203" t="inlineStr">
        <is>
          <t>290 Orchard Road #11-07 Paragon Medical Suite, Singapore 238859</t>
        </is>
      </c>
      <c r="L19" s="203" t="inlineStr">
        <is>
          <t>Dr Kenneth Wong H.K. (named on own site)</t>
        </is>
      </c>
      <c r="M19" s="206" t="inlineStr">
        <is>
          <t>A</t>
        </is>
      </c>
      <c r="N19" s="203" t="inlineStr">
        <is>
          <t>Pregnancy ultrasound referenced on site</t>
        </is>
      </c>
      <c r="O19" s="203" t="inlineStr">
        <is>
          <t>Private O&amp;G practice where the scanner runs all day; price sensitive enough to consider a value cart or a second unit. Ultrasound use: Pregnancy ultrasound referenced on site. Confirm on the first call.</t>
        </is>
      </c>
      <c r="P19" s="203" t="inlineStr">
        <is>
          <t>SonoPort 8 (mid tier cart, 23.8 in monitor for the patient view) + SonoBook 9 (automatic follicle measurement, moves between rooms)</t>
        </is>
      </c>
      <c r="Q19" s="206" t="inlineStr">
        <is>
          <t>P1</t>
        </is>
      </c>
      <c r="R19" s="203" t="inlineStr">
        <is>
          <t>P1: verified email on own site; high fit for CHISON.</t>
        </is>
      </c>
      <c r="S19" s="203" t="inlineStr">
        <is>
          <t>Own site opened 2 to 3 Oct 2026</t>
        </is>
      </c>
      <c r="T19" s="203" t="inlineStr">
        <is>
          <t>CHISON ultrasound for The OBGYN Centre: O&amp;G scanning in your clinic</t>
        </is>
      </c>
      <c r="U19" s="203" t="inlineStr">
        <is>
          <t>Dear Dr Wong,
I am Casper Tan, Senior Regional Sales Manager at AstraMed Healthcare, the Singapore subsidiary of CHISON Medical Technologies. Pregnancy care at your Paragon clinic starts with a scan to confirm the pregnancy, and the same machine carries your gynae work through the day.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suggest:
• SonoPort 8: a mid tier cart for the consult room, with a 23.8 inch monitor your patients can follow easily and a 15.6 inch touch screen
• SonoBook 9: a laptop system with automatic follicle measurement and about two hours of scanning on battery, easy to move between rooms
My aim is to put strong image quality within reach of an independent practice, with application training done locally so your team is confident from the first week.
Our demonstration units arrive in Singapore in October. Could I bring both systems to The OBGYN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20" ht="48" customHeight="1" s="104">
      <c r="A20" s="203" t="n">
        <v>16</v>
      </c>
      <c r="B20" s="204" t="inlineStr">
        <is>
          <t>The Wei-Wei Clinic for Women</t>
        </is>
      </c>
      <c r="C20" s="203" t="inlineStr">
        <is>
          <t>Contacted</t>
        </is>
      </c>
      <c r="D20" s="203" t="inlineStr">
        <is>
          <t>Specialist centre</t>
        </is>
      </c>
      <c r="E20" s="203" t="inlineStr">
        <is>
          <t>O&amp;G clinic</t>
        </is>
      </c>
      <c r="F20" s="203" t="inlineStr">
        <is>
          <t>Obstetrics, gynaecology, laparoscopic surgery; bedside ultrasound pelvic scans</t>
        </is>
      </c>
      <c r="G20" s="203" t="inlineStr">
        <is>
          <t>Orchard (Gleneagles Hospital Annexe)</t>
        </is>
      </c>
      <c r="H20" s="205" t="inlineStr">
        <is>
          <t>https://weiweiclinic.com</t>
        </is>
      </c>
      <c r="I20" s="203" t="inlineStr">
        <is>
          <t>+65 6250 5608 / WhatsApp +65 9755 2533</t>
        </is>
      </c>
      <c r="J20" s="203" t="inlineStr">
        <is>
          <t>info@weiweiclinic.com</t>
        </is>
      </c>
      <c r="K20" s="203" t="inlineStr">
        <is>
          <t>6A Napier Road, Annexe Block #05-35A, Gleneagles Hospital, Singapore 258500</t>
        </is>
      </c>
      <c r="L20" s="203" t="inlineStr">
        <is>
          <t>Dr Wei-Wei Wee-Stekly, Senior Consultant O&amp;G (named on own site)</t>
        </is>
      </c>
      <c r="M20" s="206" t="inlineStr">
        <is>
          <t>A</t>
        </is>
      </c>
      <c r="N20" s="203" t="inlineStr">
        <is>
          <t>Yes. Bedside pelvic ultrasound scans</t>
        </is>
      </c>
      <c r="O20" s="203" t="inlineStr">
        <is>
          <t>Private O&amp;G practice where the scanner runs all day; price sensitive enough to consider a value cart or a second unit. Ultrasound already in use (Bedside pelvic ultrasound scans), so pitch added capacity or a second room.</t>
        </is>
      </c>
      <c r="P20" s="203" t="inlineStr">
        <is>
          <t>SonoPort 8 (mid tier cart, 23.8 in monitor for the patient view) + SonoBook 9 (automatic follicle measurement, moves between rooms)</t>
        </is>
      </c>
      <c r="Q20" s="206" t="inlineStr">
        <is>
          <t>P1</t>
        </is>
      </c>
      <c r="R20" s="203" t="inlineStr">
        <is>
          <t>P1: verified email on own site; high fit for CHISON; already scans in house.</t>
        </is>
      </c>
      <c r="S20" s="203" t="inlineStr">
        <is>
          <t>Own site opened 2 to 3 Oct 2026</t>
        </is>
      </c>
      <c r="T20" s="203" t="inlineStr">
        <is>
          <t>CHISON ultrasound for The Wei-Wei Clinic for Women: O&amp;G scanning in your clinic</t>
        </is>
      </c>
      <c r="U20" s="203" t="inlineStr">
        <is>
          <t>Dear Dr Wee-Stekly,
I am Casper Tan, Senior Regional Sales Manager at AstraMed Healthcare, the Singapore subsidiary of CHISON Medical Technologies. Bedside pelvic ultrasound is already part of your consultations at Gleneagles.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put forward:
• SonoPort 8: a mid tier cart for the consult room, with a 23.8 inch monitor your patients can follow easily and a 15.6 inch touch screen
• SonoBook 9: a laptop system with automatic follicle measurement and about two hours of scanning on battery, easy to move between rooms
If you already have a system you are happy with, a second CHISON unit is a practical way to add capacity or free your main room for the longer scans.
Our demonstration units arrive in Singapore in October. Could I bring both systems to The Wei-Wei Clinic for Women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21" ht="48" customHeight="1" s="104">
      <c r="A21" s="203" t="n">
        <v>17</v>
      </c>
      <c r="B21" s="204" t="inlineStr">
        <is>
          <t>SWC Medical Group (Singapore Women's &amp; Children's Medical Group)</t>
        </is>
      </c>
      <c r="C21" s="203" t="inlineStr">
        <is>
          <t>Contacted</t>
        </is>
      </c>
      <c r="D21" s="203" t="inlineStr">
        <is>
          <t>Specialist centre</t>
        </is>
      </c>
      <c r="E21" s="203" t="inlineStr">
        <is>
          <t>O&amp;G group (multi clinic)</t>
        </is>
      </c>
      <c r="F21" s="203" t="inlineStr">
        <is>
          <t>Group of O&amp;G, fertility and paediatric clinics: Foundation Women's Centre (Thomson, Mount Alvernia, Katong), W Gynae, C.H. Koh, Singapore Women's Clinic Tampines, Gynae Health, Serene Fertility, CARE IVF</t>
        </is>
      </c>
      <c r="G21" s="203" t="inlineStr">
        <is>
          <t>Islandwide (Thomson, Novena, Katong, AMK, Toa Payoh, Tampines, Hougang)</t>
        </is>
      </c>
      <c r="H21" s="205" t="inlineStr">
        <is>
          <t>https://www.swcmedicalgroup.com</t>
        </is>
      </c>
      <c r="I21" s="203" t="inlineStr">
        <is>
          <t>+65 6253 4122 (Foundation Women's Centre, Thomson)</t>
        </is>
      </c>
      <c r="J21" s="203" t="inlineStr">
        <is>
          <t>contactus@swcmedicalgroup.com.sg</t>
        </is>
      </c>
      <c r="K21" s="203" t="inlineStr">
        <is>
          <t>339 Thomson Road #03-02 &amp; #05-05, Thomson Medical Centre, Singapore 307677 (lead clinic)</t>
        </is>
      </c>
      <c r="L21" s="203" t="inlineStr">
        <is>
          <t>13 O&amp;G doctors named on group site, incl. Dr Chang Tou Choong, Dr Paul Tseng, Dr Serene Lim</t>
        </is>
      </c>
      <c r="M21" s="206" t="inlineStr">
        <is>
          <t>A</t>
        </is>
      </c>
      <c r="N21" s="203" t="inlineStr">
        <is>
          <t>Yes. Pregnancy ultrasound listed as a group service</t>
        </is>
      </c>
      <c r="O21" s="203" t="inlineStr">
        <is>
          <t>Multi site O&amp;G group: one platform across clinics simplifies training and service. Ultrasound already in use (Pregnancy ultrasound listed as a group service), so pitch added capacity or a second room.</t>
        </is>
      </c>
      <c r="P21" s="203" t="inlineStr">
        <is>
          <t>SonoPort 8 (mid tier cart, 23.8 in monitor for the patient view) + SonoBook 9 (automatic follicle measurement, moves between rooms)</t>
        </is>
      </c>
      <c r="Q21" s="206" t="inlineStr">
        <is>
          <t>P1</t>
        </is>
      </c>
      <c r="R21" s="203" t="inlineStr">
        <is>
          <t>P1: verified email on own site; high fit for CHISON; already scans in house.</t>
        </is>
      </c>
      <c r="S21" s="203" t="inlineStr">
        <is>
          <t>Own site opened 2 to 3 Oct 2026; email decoded from the site's spam protected link</t>
        </is>
      </c>
      <c r="T21" s="203" t="inlineStr">
        <is>
          <t>CHISON ultrasound for SWC Medical Group: one platform across your O&amp;G clinics</t>
        </is>
      </c>
      <c r="U21" s="203" t="inlineStr">
        <is>
          <t>Dear SWC Medical Group team,
I am Casper Tan, Senior Regional Sales Manager at AstraMed Healthcare, the Singapore subsidiary of CHISON Medical Technologies. With O&amp;G clinics from Thomson and Mount Alvernia out to Tampines, Hougang and Ang Mo Kio, SWC is one of the few groups where standardising ultrasound across sites makes a real difference.
CHISON has made diagnostic ultrasound in Wuxi since 1996 and sells in more than 100 countries. The systems below are registered with HSA, with AstraMed as the local registrant, so supply, application training and service are all handled here in Singapore.
For an O&amp;G group across several sites, these are the two I would put forward:
• SonoPort 8: a mid tier cart for the consult room, with a 23.8 inch monitor your patients can follow easily and a 15.6 inch touch screen
• SonoBook 9: a laptop system with automatic follicle measurement and about two hours of scanning on battery, easy to move between rooms
Across several clinics, one platform means one training programme and one service contact for every site.
Would a short call with whoever looks after equipment across SWC Medical Group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22" ht="48" customHeight="1" s="104">
      <c r="A22" s="203" t="n">
        <v>18</v>
      </c>
      <c r="B22" s="204" t="inlineStr">
        <is>
          <t>The O&amp;G Specialist Clinic</t>
        </is>
      </c>
      <c r="C22" s="203" t="inlineStr">
        <is>
          <t>Contacted</t>
        </is>
      </c>
      <c r="D22" s="203" t="inlineStr">
        <is>
          <t>Specialist centre</t>
        </is>
      </c>
      <c r="E22" s="203" t="inlineStr">
        <is>
          <t>O&amp;G group (multi clinic)</t>
        </is>
      </c>
      <c r="F22" s="203" t="inlineStr">
        <is>
          <t>Gynaecology, obstetrics, water birth, fertility screening, IVF, IUI, egg freezing, laparoscopic surgery. Three sites, seven O&amp;G doctors</t>
        </is>
      </c>
      <c r="G22" s="203" t="inlineStr">
        <is>
          <t>Novena, Thomson, Mount Alvernia</t>
        </is>
      </c>
      <c r="H22" s="205" t="inlineStr">
        <is>
          <t>https://ogclinic.com.sg</t>
        </is>
      </c>
      <c r="I22" s="203" t="inlineStr">
        <is>
          <t>+65 6259 1819 (Novena) / +65 6518 4919 (Thomson)</t>
        </is>
      </c>
      <c r="J22" s="203" t="inlineStr">
        <is>
          <t>theogclinic@gmail.com</t>
        </is>
      </c>
      <c r="K22" s="203" t="inlineStr">
        <is>
          <t>10 Sinaran Drive #11-17/18, Novena Medical Center, Singapore 307506; 339 Thomson Road #06-05A, Singapore 307677; Mount Alvernia Medical Centre D #08-60</t>
        </is>
      </c>
      <c r="L22" s="203" t="inlineStr">
        <is>
          <t>Dr Loh Seong Feei, Founder and Medical Director (named on own site)</t>
        </is>
      </c>
      <c r="M22" s="206" t="inlineStr">
        <is>
          <t>A</t>
        </is>
      </c>
      <c r="N22" s="203" t="inlineStr">
        <is>
          <t>Obstetric and fertility services imply in clinic scanning</t>
        </is>
      </c>
      <c r="O22" s="203" t="inlineStr">
        <is>
          <t>Multi site O&amp;G group: one platform across clinics simplifies training and service. Ultrasound use: Obstetric and fertility services imply in clinic scanning. Confirm on the first call.</t>
        </is>
      </c>
      <c r="P22" s="203" t="inlineStr">
        <is>
          <t>SonoPort 8 (mid tier cart, 23.8 in monitor for the patient view) + SonoBook 9 (automatic follicle measurement, moves between rooms)</t>
        </is>
      </c>
      <c r="Q22" s="206" t="inlineStr">
        <is>
          <t>P1</t>
        </is>
      </c>
      <c r="R22" s="203" t="inlineStr">
        <is>
          <t>P1: verified email on own site; high fit for CHISON.</t>
        </is>
      </c>
      <c r="S22" s="203" t="inlineStr">
        <is>
          <t>Own site opened 2 to 3 Oct 2026</t>
        </is>
      </c>
      <c r="T22" s="203" t="inlineStr">
        <is>
          <t>CHISON ultrasound for The O&amp;G Specialist Clinic: one platform across your O&amp;G clinics</t>
        </is>
      </c>
      <c r="U22" s="203" t="inlineStr">
        <is>
          <t>Dear Dr Loh,
I am Casper Tan, Senior Regional Sales Manager at AstraMed Healthcare, the Singapore subsidiary of CHISON Medical Technologies. With seven O&amp;G specialists across Novena, Thomson and Mount Alvernia, and fertility and IVF work alongside obstetrics, you need scanning capacity in every room.
CHISON has made diagnostic ultrasound in Wuxi since 1996 and sells in more than 100 countries. The systems below are registered with HSA, with AstraMed as the local registrant, so supply, application training and service are all handled here in Singapore.
For an O&amp;G group across several sites, I would start with these two:
• SonoPort 8: a mid tier cart for the consult room, with a 23.8 inch monitor your patients can follow easily and a 15.6 inch touch screen
• SonoBook 9: a laptop system with automatic follicle measurement and about two hours of scanning on battery, easy to move between rooms
Across several clinics, one platform means one training programme and one service contact for every site.
Would a short call with whoever looks after equipment across The O&amp;G Specialist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23" ht="36" customHeight="1" s="104">
      <c r="A23" s="203" t="n">
        <v>19</v>
      </c>
      <c r="B23" s="204" t="inlineStr">
        <is>
          <t>Alpha Fertility Centre Singapore (Alpha IVF &amp; Alpha Women's Specialists)</t>
        </is>
      </c>
      <c r="C23" s="203" t="inlineStr">
        <is>
          <t>Contacted</t>
        </is>
      </c>
      <c r="D23" s="203" t="inlineStr">
        <is>
          <t>Specialist centre</t>
        </is>
      </c>
      <c r="E23" s="203" t="inlineStr">
        <is>
          <t>Fertility / IVF clinic</t>
        </is>
      </c>
      <c r="F23" s="203" t="inlineStr">
        <is>
          <t>IVF, ICSI, IUI, ovulation induction, egg freezing, fertility surgery, obstetrics and gynae oncology. Four named specialists</t>
        </is>
      </c>
      <c r="G23" s="203" t="inlineStr">
        <is>
          <t>Novena (Royal Square)</t>
        </is>
      </c>
      <c r="H23" s="205" t="inlineStr">
        <is>
          <t>https://www.alphaspecialists.com.sg</t>
        </is>
      </c>
      <c r="I23" s="203" t="inlineStr">
        <is>
          <t>+65 6860 8888 / WhatsApp +65 8201 2355</t>
        </is>
      </c>
      <c r="J23" s="203" t="inlineStr">
        <is>
          <t>enquiry@alphaspecialists.com.sg</t>
        </is>
      </c>
      <c r="K23" s="203" t="inlineStr">
        <is>
          <t>101 Irrawaddy Road #12-07/14, Royal Square at Novena, Singapore 329565</t>
        </is>
      </c>
      <c r="L23" s="203" t="inlineStr">
        <is>
          <t>Dr Yu Su Ling, Dr Chua Ka-Hee, Dr Lily Kho, Dr Timothy Lim (named on own site)</t>
        </is>
      </c>
      <c r="M23" s="206" t="inlineStr">
        <is>
          <t>A</t>
        </is>
      </c>
      <c r="N23" s="203" t="inlineStr">
        <is>
          <t>Fertility and obstetric work implies follicle and pregnancy scanning</t>
        </is>
      </c>
      <c r="O23" s="203" t="inlineStr">
        <is>
          <t>Follicle tracking volume makes automatic follicle measurement a direct time saver on every cycle. Ultrasound use: Fertility and obstetric work implies follicle and pregnancy scanning. Confirm on the first call.</t>
        </is>
      </c>
      <c r="P23" s="203" t="inlineStr">
        <is>
          <t>SonoBook 9 (automatic follicle measurement) + SonoPort 8 (mid tier cart, 23.8 in monitor for the patient view)</t>
        </is>
      </c>
      <c r="Q23" s="206" t="inlineStr">
        <is>
          <t>P1</t>
        </is>
      </c>
      <c r="R23" s="203" t="inlineStr">
        <is>
          <t>P1: verified email on own site; high fit for CHISON.</t>
        </is>
      </c>
      <c r="S23" s="203" t="inlineStr">
        <is>
          <t>Own site opened 2 to 3 Oct 2026</t>
        </is>
      </c>
      <c r="T23" s="203" t="inlineStr">
        <is>
          <t>CHISON ultrasound for Alpha Fertility Centre: faster follicle tracking scans</t>
        </is>
      </c>
      <c r="U23" s="203" t="inlineStr">
        <is>
          <t>Dear Alpha Fertility Centre team,
I am Casper Tan, Senior Regional Sales Manager at AstraMed Healthcare, the Singapore subsidiary of CHISON Medical Technologies. IVF, IUI and ovulation induction at Royal Square mean daily follicle tracking, where automatic measurement saves time on every cycle.
CHISON has made diagnostic ultrasound in Wuxi since 1996 and sells in more than 100 countries. The systems below are registered with HSA, with AstraMed as the local registrant, so supply, application training and service are all handled here in Singapore.
For fertility work, these are the two I would put forward:
• SonoBook 9: a laptop system with automatic follicle measurement and about two hours of scanning on battery
• SonoPort 8: a mid tier cart for the consult room, with a 23.8 inch monitor your patients can follow easily and a 15.6 inch touch screen
My aim is to put strong image quality within reach of an independent practice, with application training done locally so your team is confident from the first week.
Our demonstration units arrive in Singapore in October. Could I bring both systems to Alpha Fertility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24" ht="36" customHeight="1" s="104">
      <c r="A24" s="203" t="n">
        <v>20</v>
      </c>
      <c r="B24" s="204" t="inlineStr">
        <is>
          <t>Health &amp; Fertility Centre for Women</t>
        </is>
      </c>
      <c r="C24" s="203" t="inlineStr">
        <is>
          <t>Contacted</t>
        </is>
      </c>
      <c r="D24" s="203" t="inlineStr">
        <is>
          <t>Specialist centre</t>
        </is>
      </c>
      <c r="E24" s="203" t="inlineStr">
        <is>
          <t>Fertility / IVF clinic</t>
        </is>
      </c>
      <c r="F24" s="203" t="inlineStr">
        <is>
          <t>IVF, IUI, egg freezing, infertility work up, laparoscopic reproductive surgery, obstetrics</t>
        </is>
      </c>
      <c r="G24" s="203" t="inlineStr">
        <is>
          <t>Orchard (Mount Elizabeth MC)</t>
        </is>
      </c>
      <c r="H24" s="205" t="inlineStr">
        <is>
          <t>https://www.healthfertility.com.sg</t>
        </is>
      </c>
      <c r="I24" s="203" t="inlineStr">
        <is>
          <t>+65 6235 5066 / WhatsApp +65 9615 0589 (fax 6235 6455)</t>
        </is>
      </c>
      <c r="J24" s="203" t="inlineStr">
        <is>
          <t>info@healthfertility.com.sg</t>
        </is>
      </c>
      <c r="K24" s="203" t="inlineStr">
        <is>
          <t>3 Mount Elizabeth #15-16, Mount Elizabeth Medical Centre, Singapore 228510</t>
        </is>
      </c>
      <c r="L24" s="203" t="inlineStr">
        <is>
          <t>Dr Kelly Loi, Medical Director (named on own site)</t>
        </is>
      </c>
      <c r="M24" s="206" t="inlineStr">
        <is>
          <t>A</t>
        </is>
      </c>
      <c r="N24" s="203" t="inlineStr">
        <is>
          <t>Fertility work implies follicle tracking scans</t>
        </is>
      </c>
      <c r="O24" s="203" t="inlineStr">
        <is>
          <t>Follicle tracking volume makes automatic follicle measurement a direct time saver on every cycle. Ultrasound use: Fertility work implies follicle tracking scans. Confirm on the first call.</t>
        </is>
      </c>
      <c r="P24" s="203" t="inlineStr">
        <is>
          <t>SonoBook 9 (automatic follicle measurement) + SonoPort 8 (mid tier cart, 23.8 in monitor for the patient view)</t>
        </is>
      </c>
      <c r="Q24" s="206" t="inlineStr">
        <is>
          <t>P1</t>
        </is>
      </c>
      <c r="R24" s="203" t="inlineStr">
        <is>
          <t>P1: verified email on own site; high fit for CHISON.</t>
        </is>
      </c>
      <c r="S24" s="203" t="inlineStr">
        <is>
          <t>Own site opened 2 to 3 Oct 2026</t>
        </is>
      </c>
      <c r="T24" s="203" t="inlineStr">
        <is>
          <t>CHISON ultrasound for Health &amp; Fertility Centre: faster follicle tracking scans</t>
        </is>
      </c>
      <c r="U24" s="203" t="inlineStr">
        <is>
          <t>Dear Dr Loi,
I am Casper Tan, Senior Regional Sales Manager at AstraMed Healthcare, the Singapore subsidiary of CHISON Medical Technologies. IVF, IUI and egg freezing mean repeated follicle tracking scans, which is where automatic measurement saves time on every cycle.
CHISON has made diagnostic ultrasound in Wuxi since 1996 and sells in more than 100 countries. The systems below are registered with HSA, with AstraMed as the local registrant, so supply, application training and service are all handled here in Singapore.
For fertility work, I would start with these two:
• SonoBook 9: a laptop system with automatic follicle measurement and about two hours of scanning on battery
• SonoPort 8: a mid tier cart for the consult room, with a 23.8 inch monitor your patients can follow easily and a 15.6 inch touch screen
My aim is to put strong image quality within reach of an independent practice, with application training done locally so your team is confident from the first week.
Our demonstration units arrive in Singapore in October. Could I bring both systems to Health &amp; Fertility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25" ht="36" customHeight="1" s="104">
      <c r="A25" s="203" t="n">
        <v>21</v>
      </c>
      <c r="B25" s="204" t="inlineStr">
        <is>
          <t>AsiaMedic Health Screening</t>
        </is>
      </c>
      <c r="C25" s="203" t="inlineStr">
        <is>
          <t>Contacted</t>
        </is>
      </c>
      <c r="D25" s="203" t="inlineStr">
        <is>
          <t>Specialist centre</t>
        </is>
      </c>
      <c r="E25" s="203" t="inlineStr">
        <is>
          <t>Health screening &amp; imaging centre</t>
        </is>
      </c>
      <c r="F25" s="203" t="inlineStr">
        <is>
          <t>SGX listed screening and imaging centre: ultrasound (abdomen, thyroid, breast, pelvis, prostate, carotid, KUB), mammography, BMD, CT, MRI, PET CT</t>
        </is>
      </c>
      <c r="G25" s="203" t="inlineStr">
        <is>
          <t>Orchard (Shaw House)</t>
        </is>
      </c>
      <c r="H25" s="205" t="inlineStr">
        <is>
          <t>https://www.asiamedic.com.sg</t>
        </is>
      </c>
      <c r="I25" s="203" t="inlineStr">
        <is>
          <t>+65 6789 8888 ext 2 / +65 9641 5208</t>
        </is>
      </c>
      <c r="J25" s="203" t="inlineStr">
        <is>
          <t>wellness@asiamedic.com.sg</t>
        </is>
      </c>
      <c r="K25" s="203" t="inlineStr">
        <is>
          <t>350 Orchard Road, Shaw House #08-00, Singapore 238868</t>
        </is>
      </c>
      <c r="L25" s="203" t="inlineStr">
        <is>
          <t>Not named on page</t>
        </is>
      </c>
      <c r="M25" s="206" t="inlineStr">
        <is>
          <t>A</t>
        </is>
      </c>
      <c r="N25" s="203" t="inlineStr">
        <is>
          <t>Yes. Full ultrasound service in house</t>
        </is>
      </c>
      <c r="O25" s="203" t="inlineStr">
        <is>
          <t>Screening volume is where cost per scan matters; a value cart adds capacity without a flagship price. Ultrasound already in use (Full ultrasound service in house), so pitch added capacity or a second room.</t>
        </is>
      </c>
      <c r="P25" s="203" t="inlineStr">
        <is>
          <t>SonoPort 8 (mid tier cart, 23.8 in + 15.6 in touch, about 3 h battery) + SonoMax 9 (AI breast lesion assessment, shear wave for small parts, single crystal)</t>
        </is>
      </c>
      <c r="Q25" s="206" t="inlineStr">
        <is>
          <t>P1</t>
        </is>
      </c>
      <c r="R25" s="203" t="inlineStr">
        <is>
          <t>P1: verified email on own site; high fit for CHISON; already scans in house.</t>
        </is>
      </c>
      <c r="S25" s="203" t="inlineStr">
        <is>
          <t>Own site opened 2 to 3 Oct 2026</t>
        </is>
      </c>
      <c r="T25" s="203" t="inlineStr">
        <is>
          <t>CHISON ultrasound for AsiaMedic: more scanning capacity for screening</t>
        </is>
      </c>
      <c r="U25" s="203" t="inlineStr">
        <is>
          <t>Dear AsiaMedic team,
I am Casper Tan, Senior Regional Sales Manager at AstraMed Healthcare, the Singapore subsidiary of CHISON Medical Technologies. Ultrasound across abdomen, thyroid, breast, pelvis, prostate and carotid runs through your screening packages at Shaw House.
CHISON has made diagnostic ultrasound in Wuxi since 1996 and sells in more than 100 countries. The systems below are registered with HSA, with AstraMed as the local registrant, so supply, application training and service are all handled here in Singapore.
For screening volume, these are the two I would put forward:
• SonoPort 8: a mid tier cart with a 23.8 inch monitor and 15.6 inch touch screen, and up to about three hours on battery so it can move between rooms or go to onsite screenings
• SonoMax 9: our flagship cart, with AI assisted breast lesion assessment, shear wave elastography for small parts and single crystal probes
If you already have a system you are happy with, a second CHISON unit is a practical way to add capacity or free your main room for the longer scans.
Our demonstration units arrive in Singapore in October. Could I bring both systems to AsiaMedic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26" ht="72" customHeight="1" s="104">
      <c r="A26" s="203" t="n">
        <v>22</v>
      </c>
      <c r="B26" s="204" t="inlineStr">
        <is>
          <t>ATA Medical / Singapore Women's Clinic (HealthScreening.sg)</t>
        </is>
      </c>
      <c r="C26" s="203" t="inlineStr">
        <is>
          <t>Contacted</t>
        </is>
      </c>
      <c r="D26" s="203" t="inlineStr">
        <is>
          <t>Specialist centre</t>
        </is>
      </c>
      <c r="E26" s="203" t="inlineStr">
        <is>
          <t>Health screening &amp; imaging centre</t>
        </is>
      </c>
      <c r="F26" s="203" t="inlineStr">
        <is>
          <t>One operator trading as ATA Medical, Singapore Women's Clinic and HealthScreening.sg: GP, women's health and screening with in house ultrasound (breast, thyroid, abdomen, pelvis, prostate), X-ray, mammogram, CT, DEXA. Four sites</t>
        </is>
      </c>
      <c r="G26" s="203" t="inlineStr">
        <is>
          <t>Orchard, Tanjong Pagar, Jurong East, Novena</t>
        </is>
      </c>
      <c r="H26" s="205" t="inlineStr">
        <is>
          <t>https://atamed.sg</t>
        </is>
      </c>
      <c r="I26" s="203" t="inlineStr">
        <is>
          <t>+65 6223 0682 / WhatsApp +65 8095 3275</t>
        </is>
      </c>
      <c r="J26" s="203" t="inlineStr">
        <is>
          <t>hello@healthscreening.sg (ATA Medical: hi@atamed.sg; camden@, jurong@, novena@atamed.sg)</t>
        </is>
      </c>
      <c r="K26" s="203" t="inlineStr">
        <is>
          <t>Camden Medical Centre, 1 Orchard Boulevard #05-09, Singapore 248649 (also Anson House, CPF Jurong, Royal Square)</t>
        </is>
      </c>
      <c r="L26" s="203" t="inlineStr">
        <is>
          <t>Dr Leonard Leng and Dr Lydia Tan (named on both sites); Dr Jana Lim, Family Physician</t>
        </is>
      </c>
      <c r="M26" s="206" t="inlineStr">
        <is>
          <t>A</t>
        </is>
      </c>
      <c r="N26" s="203" t="inlineStr">
        <is>
          <t>Yes. In house ultrasound across breast, thyroid, abdomen, pelvis, prostate</t>
        </is>
      </c>
      <c r="O26" s="203" t="inlineStr">
        <is>
          <t>Screening volume is where cost per scan matters; a value cart adds capacity without a flagship price. Ultrasound already in use (In house ultrasound across breast, thyroid, abdomen, pelvis, prostate), so pitch added capacity or a second room. ATA Medical and Singapore Women's Clinic list the same four addresses, the same phone line and the same doctors, so they are treated as one account.</t>
        </is>
      </c>
      <c r="P26" s="203" t="inlineStr">
        <is>
          <t>SonoPort 8 (mid tier cart, 23.8 in + 15.6 in touch, about 3 h battery) + SonoMax 9 (AI breast lesion assessment, shear wave for small parts, single crystal)</t>
        </is>
      </c>
      <c r="Q26" s="206" t="inlineStr">
        <is>
          <t>P1</t>
        </is>
      </c>
      <c r="R26" s="203" t="inlineStr">
        <is>
          <t>P1: verified email on own site; high fit for CHISON; already scans in house.</t>
        </is>
      </c>
      <c r="S26" s="203" t="inlineStr">
        <is>
          <t>Own site opened 2 to 3 Oct 2026</t>
        </is>
      </c>
      <c r="T26" s="203" t="inlineStr">
        <is>
          <t>CHISON ultrasound for ATA Medical: more scanning capacity for screening</t>
        </is>
      </c>
      <c r="U26" s="203" t="inlineStr">
        <is>
          <t>Dear ATA Medical team,
I am Casper Tan, Senior Regional Sales Manager at AstraMed Healthcare, the Singapore subsidiary of CHISON Medical Technologies. You already run in house ultrasound across breast, thyroid, abdomen, pelvis and prostate at four sites, so throughput and reporting time per scan matter to you.
CHISON has made diagnostic ultrasound in Wuxi since 1996 and sells in more than 100 countries. The systems below are registered with HSA, with AstraMed as the local registrant, so supply, application training and service are all handled here in Singapore.
For screening volume, these are the two I would suggest:
• SonoPort 8: a mid tier cart with a 23.8 inch monitor and 15.6 inch touch screen, and up to about three hours on battery so it can move between rooms or go to onsite screenings
• SonoMax 9: our flagship cart, with AI assisted breast lesion assessment, shear wave elastography for small parts and single crystal probes
Across several clinics, one platform means one training programme and one service contact for every site.
Would a short call with whoever looks after equipment across ATA Medical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27" ht="36" customHeight="1" s="104">
      <c r="A27" s="203" t="n">
        <v>23</v>
      </c>
      <c r="B27" s="204" t="inlineStr">
        <is>
          <t>Mediway Medical Centre</t>
        </is>
      </c>
      <c r="C27" s="203" t="inlineStr">
        <is>
          <t>Contacted</t>
        </is>
      </c>
      <c r="D27" s="203" t="inlineStr">
        <is>
          <t>Specialist centre</t>
        </is>
      </c>
      <c r="E27" s="203" t="inlineStr">
        <is>
          <t>Health screening &amp; imaging centre</t>
        </is>
      </c>
      <c r="F27" s="203" t="inlineStr">
        <is>
          <t>Mammogram (2D and 3D tomosynthesis), breast ultrasound, screening, CT, MRI, DEXA, X-ray, stress test, statutory medicals</t>
        </is>
      </c>
      <c r="G27" s="203" t="inlineStr">
        <is>
          <t>Clarke Quay (The Riverwalk)</t>
        </is>
      </c>
      <c r="H27" s="205" t="inlineStr">
        <is>
          <t>https://mediwaymedical.com</t>
        </is>
      </c>
      <c r="I27" s="203" t="inlineStr">
        <is>
          <t>+65 6909 0190 / WhatsApp +65 8779 9898</t>
        </is>
      </c>
      <c r="J27" s="203" t="inlineStr">
        <is>
          <t>enquiry@mediwaymedical.com</t>
        </is>
      </c>
      <c r="K27" s="203" t="inlineStr">
        <is>
          <t>20 Upper Circular Road #B1-26/29, The Riverwalk, Singapore 058416</t>
        </is>
      </c>
      <c r="L27" s="203" t="inlineStr">
        <is>
          <t>Dr Qiao Yufei (named on own site)</t>
        </is>
      </c>
      <c r="M27" s="206" t="inlineStr">
        <is>
          <t>A</t>
        </is>
      </c>
      <c r="N27" s="203" t="inlineStr">
        <is>
          <t>Yes. Breast ultrasound in house</t>
        </is>
      </c>
      <c r="O27" s="203" t="inlineStr">
        <is>
          <t>Screening volume is where cost per scan matters; a value cart adds capacity without a flagship price. Ultrasound already in use (Breast ultrasound in house), so pitch added capacity or a second room.</t>
        </is>
      </c>
      <c r="P27" s="203" t="inlineStr">
        <is>
          <t>SonoMax 9 (flagship cart: AI assisted breast lesion assessment, shear wave for small parts) + SonoPort 8 (mid tier cart, 23.8 in + 15.6 in touch, about 3 h battery)</t>
        </is>
      </c>
      <c r="Q27" s="206" t="inlineStr">
        <is>
          <t>P1</t>
        </is>
      </c>
      <c r="R27" s="203" t="inlineStr">
        <is>
          <t>P1: verified email on own site; high fit for CHISON; already scans in house.</t>
        </is>
      </c>
      <c r="S27" s="203" t="inlineStr">
        <is>
          <t>Own site opened 2 to 3 Oct 2026</t>
        </is>
      </c>
      <c r="T27" s="203" t="inlineStr">
        <is>
          <t>CHISON ultrasound for Mediway Medical Centre: more scanning capacity for screening</t>
        </is>
      </c>
      <c r="U27" s="203" t="inlineStr">
        <is>
          <t>Dear Dr Qiao,
I am Casper Tan, Senior Regional Sales Manager at AstraMed Healthcare, the Singapore subsidiary of CHISON Medical Technologies. Mammography with tomosynthesis and breast ultrasound in one visit is your offer at The Riverwalk, so ultrasound capacity directly limits volume.
CHISON has made diagnostic ultrasound in Wuxi since 1996 and sells in more than 100 countries. The systems below are registered with HSA, with AstraMed as the local registrant, so supply, application training and service are all handled here in Singapore.
For screening volume, these are the two I would suggest:
• SonoMax 9: our flagship cart, with AI assisted breast lesion assessment and shear wave elastography for small parts such as breast and thyroid
• SonoPort 8: a mid tier cart with a 23.8 inch monitor and 15.6 inch touch screen, and up to about three hours on battery so it can move between rooms or go to onsite screenings
If you already have a system you are happy with, a second CHISON unit is a practical way to add capacity or free your main room for the longer scans.
Our demonstration units arrive in Singapore in October. Could I bring both systems to Mediway Medical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28" ht="48" customHeight="1" s="104">
      <c r="A28" s="203" t="n">
        <v>24</v>
      </c>
      <c r="B28" s="204" t="inlineStr">
        <is>
          <t>Apex Sports Clinic</t>
        </is>
      </c>
      <c r="C28" s="203" t="inlineStr">
        <is>
          <t>Contacted</t>
        </is>
      </c>
      <c r="D28" s="203" t="inlineStr">
        <is>
          <t>Specialist centre</t>
        </is>
      </c>
      <c r="E28" s="203" t="inlineStr">
        <is>
          <t>Sports medicine &amp; MSK clinic</t>
        </is>
      </c>
      <c r="F28" s="203" t="inlineStr">
        <is>
          <t>Orthopaedic and sports medicine with diagnostic ultrasound, ultrasound guided injections, physiotherapy, shockwave</t>
        </is>
      </c>
      <c r="G28" s="203" t="inlineStr">
        <is>
          <t>Novena (Royal Square)</t>
        </is>
      </c>
      <c r="H28" s="205" t="inlineStr">
        <is>
          <t>https://www.singaporesports.sg</t>
        </is>
      </c>
      <c r="I28" s="203" t="inlineStr">
        <is>
          <t>+65 8774 5468 (also WhatsApp)</t>
        </is>
      </c>
      <c r="J28" s="203" t="inlineStr">
        <is>
          <t>admin@apexsportsclinic.sg</t>
        </is>
      </c>
      <c r="K28" s="203" t="inlineStr">
        <is>
          <t>101 Irrawaddy Road #18-12 Royal Square Medical Centre, Singapore 329565</t>
        </is>
      </c>
      <c r="L28" s="203" t="inlineStr">
        <is>
          <t>Dr Wang Mingchang, Sports and Exercise Medicine Physician; Dr Foo Gen Lin, Orthopaedic Surgeon (named on own site)</t>
        </is>
      </c>
      <c r="M28" s="206" t="inlineStr">
        <is>
          <t>A</t>
        </is>
      </c>
      <c r="N28" s="203" t="inlineStr">
        <is>
          <t>Yes. Diagnostic ultrasound and US guided injections in house</t>
        </is>
      </c>
      <c r="O28" s="203" t="inlineStr">
        <is>
          <t>Tendon, joint and injection work suits a high frequency handheld in the room and a laptop for guided procedures. Ultrasound already in use (Diagnostic ultrasound and US guided injections in house), so pitch added capacity or a second room.</t>
        </is>
      </c>
      <c r="P28" s="203" t="inlineStr">
        <is>
          <t>SonoEye P5 (phone paired, high frequency for tendons, joints, injections) + SonoAir 70 (SonoMSK, SonoNerve, four active ports)</t>
        </is>
      </c>
      <c r="Q28" s="206" t="inlineStr">
        <is>
          <t>P1</t>
        </is>
      </c>
      <c r="R28" s="203" t="inlineStr">
        <is>
          <t>P1: verified email on own site; high fit for CHISON; already scans in house.</t>
        </is>
      </c>
      <c r="S28" s="203" t="inlineStr">
        <is>
          <t>Own site opened 2 to 3 Oct 2026</t>
        </is>
      </c>
      <c r="T28" s="203" t="inlineStr">
        <is>
          <t>CHISON ultrasound for Apex Sports Clinic: MSK scans and guided injections</t>
        </is>
      </c>
      <c r="U28" s="203" t="inlineStr">
        <is>
          <t>Dear Dr Wang and Dr Foo,
I am Casper Tan, Senior Regional Sales Manager at AstraMed Healthcare, the Singapore subsidiary of CHISON Medical Technologies. You already offer diagnostic ultrasound and ultrasound guided injections at Royal Square, so a pocket high frequency unit for pitchside and team work is the natural next step.
CHISON has made diagnostic ultrasound in Wuxi since 1996 and sells in more than 100 countries. The systems below are registered with HSA, with AstraMed as the local registrant, so supply, application training and service are all handled here in Singapore.
For sports and MSK work, these are the two I would suggest:
• SonoEye P5: a phone paired handheld with high frequency imaging for tendons, joints and needle work
• SonoAir 70: a 2.1 kg laptop with SonoMSK and SonoNerve tools and four active probe ports
If you already have a system you are happy with, a second CHISON unit is a practical way to add capacity or free your main room for the longer scans.
Our demonstration units arrive in Singapore in October. Could I bring both systems to Apex Sports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29" ht="48" customHeight="1" s="104">
      <c r="A29" s="203" t="n">
        <v>25</v>
      </c>
      <c r="B29" s="204" t="inlineStr">
        <is>
          <t>Triaxis Sports &amp; Joint Clinic</t>
        </is>
      </c>
      <c r="C29" s="203" t="inlineStr">
        <is>
          <t>Contacted</t>
        </is>
      </c>
      <c r="D29" s="203" t="inlineStr">
        <is>
          <t>Specialist centre</t>
        </is>
      </c>
      <c r="E29" s="203" t="inlineStr">
        <is>
          <t>Sports medicine &amp; MSK clinic</t>
        </is>
      </c>
      <c r="F29" s="203" t="inlineStr">
        <is>
          <t>Sports medicine: MSK ultrasound imaging, ultrasound guided procedures, PRP and regenerative treatment, sports screening</t>
        </is>
      </c>
      <c r="G29" s="203" t="inlineStr">
        <is>
          <t>Farrer Park (Connexion)</t>
        </is>
      </c>
      <c r="H29" s="205" t="inlineStr">
        <is>
          <t>https://www.triaxisclinic.com</t>
        </is>
      </c>
      <c r="I29" s="203" t="inlineStr">
        <is>
          <t>+65 8889 3594</t>
        </is>
      </c>
      <c r="J29" s="203" t="inlineStr">
        <is>
          <t>hello@triaxisclinic.com</t>
        </is>
      </c>
      <c r="K29" s="203" t="inlineStr">
        <is>
          <t>Farrer Park Hospital Connexion #07-16, 1 Farrer Park Station Road, Singapore 217562</t>
        </is>
      </c>
      <c r="L29" s="203" t="inlineStr">
        <is>
          <t>Dr Dinesh Sirisena, Specialist in Sports Medicine (named on own site; also DrDinesh@triaxisclinic.com on sportdoctor.com.sg)</t>
        </is>
      </c>
      <c r="M29" s="206" t="inlineStr">
        <is>
          <t>A</t>
        </is>
      </c>
      <c r="N29" s="203" t="inlineStr">
        <is>
          <t>Yes. MSK ultrasound and US guided procedures in house</t>
        </is>
      </c>
      <c r="O29" s="203" t="inlineStr">
        <is>
          <t>Tendon, joint and injection work suits a high frequency handheld in the room and a laptop for guided procedures. Ultrasound already in use (MSK ultrasound and US guided procedures in house), so pitch added capacity or a second room.</t>
        </is>
      </c>
      <c r="P29" s="203" t="inlineStr">
        <is>
          <t>SonoEye P5 (phone paired, high frequency for tendons, joints, injections) + SonoAir 70 (SonoMSK, SonoNerve, four active ports)</t>
        </is>
      </c>
      <c r="Q29" s="206" t="inlineStr">
        <is>
          <t>P1</t>
        </is>
      </c>
      <c r="R29" s="203" t="inlineStr">
        <is>
          <t>P1: verified email on own site; high fit for CHISON; already scans in house.</t>
        </is>
      </c>
      <c r="S29" s="203" t="inlineStr">
        <is>
          <t>Own site opened 2 to 3 Oct 2026</t>
        </is>
      </c>
      <c r="T29" s="203" t="inlineStr">
        <is>
          <t>CHISON ultrasound for Triaxis Sports &amp; Joint Clinic: MSK scans and guided injections</t>
        </is>
      </c>
      <c r="U29" s="203" t="inlineStr">
        <is>
          <t>Dear Dr Sirisena,
I am Casper Tan, Senior Regional Sales Manager at AstraMed Healthcare, the Singapore subsidiary of CHISON Medical Technologies. MSK ultrasound and ultrasound guided procedures are already part of how you work at Farrer Park, and sports medicine often needs a scanner that leaves the room.
CHISON has made diagnostic ultrasound in Wuxi since 1996 and sells in more than 100 countries. The systems below are registered with HSA, with AstraMed as the local registrant, so supply, application training and service are all handled here in Singapore.
For sports and MSK work, these are the two I would put forward:
• SonoEye P5: a phone paired handheld with high frequency imaging for tendons, joints and needle work
• SonoAir 70: a 2.1 kg laptop with SonoMSK and SonoNerve tools and four active probe ports
If you already have a system you are happy with, a second CHISON unit is a practical way to add capacity or free your main room for the longer scans.
Our demonstration units arrive in Singapore in October. Could I bring both systems to Triaxis Sports &amp; Joint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30" ht="36" customHeight="1" s="104">
      <c r="A30" s="203" t="n">
        <v>26</v>
      </c>
      <c r="B30" s="204" t="inlineStr">
        <is>
          <t>Orthopaedics International</t>
        </is>
      </c>
      <c r="C30" s="203" t="inlineStr">
        <is>
          <t>Contacted</t>
        </is>
      </c>
      <c r="D30" s="203" t="inlineStr">
        <is>
          <t>Specialist centre</t>
        </is>
      </c>
      <c r="E30" s="203" t="inlineStr">
        <is>
          <t>Orthopaedic &amp; sports medicine group</t>
        </is>
      </c>
      <c r="F30" s="203" t="inlineStr">
        <is>
          <t>Orthopaedics, hand surgery, neurosurgery and sports medicine. Five clinics, 14 specialists; imaging (incl. ultrasound) referred out</t>
        </is>
      </c>
      <c r="G30" s="203" t="inlineStr">
        <is>
          <t>Orchard, Novena, Thomson</t>
        </is>
      </c>
      <c r="H30" s="205" t="inlineStr">
        <is>
          <t>https://ortho-intl.com</t>
        </is>
      </c>
      <c r="I30" s="203" t="inlineStr">
        <is>
          <t>+65 6836 9688 (Camden)</t>
        </is>
      </c>
      <c r="J30" s="203" t="inlineStr">
        <is>
          <t>oi.camden@ortho-intl.com (also oi.gleneagles@, oi.alvernia@, oi.meh@, oi.menh@ortho-intl.com)</t>
        </is>
      </c>
      <c r="K30" s="203" t="inlineStr">
        <is>
          <t>#03-02 Camden Medical Centre, 1 Orchard Boulevard, Singapore 248649 (plus Gleneagles Annexe #02-42, Mt Alvernia D #08-61, MEMC #10-16, MENSC #10-22)</t>
        </is>
      </c>
      <c r="L30" s="203" t="inlineStr">
        <is>
          <t>Dr Ong Joo Haw and Dr Patrick Goh, Sports Medicine (named on own site)</t>
        </is>
      </c>
      <c r="M30" s="206" t="inlineStr">
        <is>
          <t>A</t>
        </is>
      </c>
      <c r="N30" s="203" t="inlineStr">
        <is>
          <t>Referred out (site lists ultrasound among imaging referrals)</t>
        </is>
      </c>
      <c r="O30" s="203" t="inlineStr">
        <is>
          <t>Tendon, joint and injection work suits a high frequency handheld in the room and a laptop for guided procedures. Refers imaging out today, the clearest case for an in clinic system.</t>
        </is>
      </c>
      <c r="P30" s="203" t="inlineStr">
        <is>
          <t>SonoEye P5 (phone paired, high frequency for tendons, joints, injections) + SonoAir 70 (SonoMSK, SonoNerve, four active ports)</t>
        </is>
      </c>
      <c r="Q30" s="206" t="inlineStr">
        <is>
          <t>P1</t>
        </is>
      </c>
      <c r="R30" s="203" t="inlineStr">
        <is>
          <t>P1: verified email on own site; high fit for CHISON.</t>
        </is>
      </c>
      <c r="S30" s="203" t="inlineStr">
        <is>
          <t>Own site opened 2 to 3 Oct 2026</t>
        </is>
      </c>
      <c r="T30" s="203" t="inlineStr">
        <is>
          <t>CHISON ultrasound for Orthopaedics International: MSK scans and guided injections</t>
        </is>
      </c>
      <c r="U30" s="203" t="inlineStr">
        <is>
          <t>Dear Orthopaedics International team,
I am Casper Tan, Senior Regional Sales Manager at AstraMed Healthcare, the Singapore subsidiary of CHISON Medical Technologies. Your site lists ultrasound among the imaging you refer out, and with 14 specialists across five clinics that is a lot of referrals that could stay in house.
CHISON has made diagnostic ultrasound in Wuxi since 1996 and sells in more than 100 countries. The systems below are registered with HSA, with AstraMed as the local registrant, so supply, application training and service are all handled here in Singapore.
For sports and MSK work, these are the two I would suggest:
• SonoEye P5: a phone paired handheld with high frequency imaging for tendons, joints and needle work
• SonoAir 70: a 2.1 kg laptop with SonoMSK and SonoNerve tools and four active probe ports
Across several clinics, one platform means one training programme and one service contact for every site.
Would a short call with whoever looks after equipment across Orthopaedics International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31" ht="60" customHeight="1" s="104">
      <c r="A31" s="203" t="n">
        <v>27</v>
      </c>
      <c r="B31" s="204" t="inlineStr">
        <is>
          <t>SportsIN</t>
        </is>
      </c>
      <c r="C31" s="203" t="inlineStr">
        <is>
          <t>Contacted</t>
        </is>
      </c>
      <c r="D31" s="203" t="inlineStr">
        <is>
          <t>Specialist centre</t>
        </is>
      </c>
      <c r="E31" s="203" t="inlineStr">
        <is>
          <t>Orthopaedic &amp; sports medicine group</t>
        </is>
      </c>
      <c r="F31" s="203" t="inlineStr">
        <is>
          <t>Orthopaedic surgery, spine, sports and exercise medicine, sports injury management. Five clinics, seven specialists including an anaesthesiologist. Also trades as SportsIn Orthopaedic Clinic (sportsinortho.com), same doctors and WhatsApp</t>
        </is>
      </c>
      <c r="G31" s="203" t="inlineStr">
        <is>
          <t>Novena, Farrer Park, Thomson, Orchard</t>
        </is>
      </c>
      <c r="H31" s="205" t="inlineStr">
        <is>
          <t>https://sportsin.com</t>
        </is>
      </c>
      <c r="I31" s="203" t="inlineStr">
        <is>
          <t>+65 9752 8289 (WhatsApp, general) / Novena +65 6262 2284</t>
        </is>
      </c>
      <c r="J31" s="203" t="inlineStr">
        <is>
          <t>enquiry@sportsin.com (shoulder clinic arm: enquiry@shoulderclinic.sg on sportsinortho.com)</t>
        </is>
      </c>
      <c r="K31" s="203" t="inlineStr">
        <is>
          <t>Mount Elizabeth Novena Specialist Centre, 38 Irrawaddy Road #08-28, Singapore 329563 (plus Farrer Park #07-15, Mount Alvernia #07-59, Gleneagles #07-07, Royal Square #13-03)</t>
        </is>
      </c>
      <c r="L31" s="203" t="inlineStr">
        <is>
          <t>Dr Lim Baoying, Sports and Exercise Medicine Physician; Dr Terry Teo; Dr Bernard Lee (named on own site)</t>
        </is>
      </c>
      <c r="M31" s="206" t="inlineStr">
        <is>
          <t>A</t>
        </is>
      </c>
      <c r="N31" s="203" t="inlineStr">
        <is>
          <t>Not stated on site</t>
        </is>
      </c>
      <c r="O31" s="203" t="inlineStr">
        <is>
          <t>Tendon, joint and injection work suits a high frequency handheld in the room and a laptop for guided procedures. Ultrasound use: Not stated on site. Confirm on the first call.</t>
        </is>
      </c>
      <c r="P31" s="203" t="inlineStr">
        <is>
          <t>SonoEye P5 (phone paired, high frequency for tendons, joints, injections) + SonoAir 70 (SonoMSK, SonoNerve, four active ports)</t>
        </is>
      </c>
      <c r="Q31" s="206" t="inlineStr">
        <is>
          <t>P1</t>
        </is>
      </c>
      <c r="R31" s="203" t="inlineStr">
        <is>
          <t>P1: verified email on own site; high fit for CHISON.</t>
        </is>
      </c>
      <c r="S31" s="203" t="inlineStr">
        <is>
          <t>Own site opened 2 to 3 Oct 2026</t>
        </is>
      </c>
      <c r="T31" s="203" t="inlineStr">
        <is>
          <t>CHISON ultrasound for SportsIN: MSK scans and guided injections</t>
        </is>
      </c>
      <c r="U31" s="203" t="inlineStr">
        <is>
          <t>Dear SportsIN team,
I am Casper Tan, Senior Regional Sales Manager at AstraMed Healthcare, the Singapore subsidiary of CHISON Medical Technologies. With sports physicians, shoulder and knee surgeons and an anaesthesiologist across your clinics, SportsIN has several doctors who would use ultrasound for injections and nerve blocks in the room.
CHISON has made diagnostic ultrasound in Wuxi since 1996 and sells in more than 100 countries. The systems below are registered with HSA, with AstraMed as the local registrant, so supply, application training and service are all handled here in Singapore.
For sports and MSK work, I would start with these two:
• SonoEye P5: a phone paired handheld with high frequency imaging for tendons, joints and needle work
• SonoAir 70: a 2.1 kg laptop with SonoMSK and SonoNerve tools and four active probe ports
Across several clinics, one platform means one training programme and one service contact for every site.
Would a short call with whoever looks after equipment across SportsIN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32" ht="36" customHeight="1" s="104">
      <c r="A32" s="203" t="n">
        <v>28</v>
      </c>
      <c r="B32" s="204" t="inlineStr">
        <is>
          <t>Specialist Orthopaedic Centre</t>
        </is>
      </c>
      <c r="C32" s="203" t="inlineStr">
        <is>
          <t>Contacted</t>
        </is>
      </c>
      <c r="D32" s="203" t="inlineStr">
        <is>
          <t>Specialist centre</t>
        </is>
      </c>
      <c r="E32" s="203" t="inlineStr">
        <is>
          <t>Orthopaedic surgery centre</t>
        </is>
      </c>
      <c r="F32" s="203" t="inlineStr">
        <is>
          <t>Knee, foot and ankle, paediatric and geriatric orthopaedics, trauma. Three sites</t>
        </is>
      </c>
      <c r="G32" s="203" t="inlineStr">
        <is>
          <t>Novena, Parkway East, Farrer Park</t>
        </is>
      </c>
      <c r="H32" s="205" t="inlineStr">
        <is>
          <t>https://specialistortho.com.sg</t>
        </is>
      </c>
      <c r="I32" s="203" t="inlineStr">
        <is>
          <t>+65 6272 0933 / +65 6276 0933</t>
        </is>
      </c>
      <c r="J32" s="203" t="inlineStr">
        <is>
          <t>contact@specialistortho.com.sg</t>
        </is>
      </c>
      <c r="K32" s="203" t="inlineStr">
        <is>
          <t>Mount Elizabeth Novena Specialist Centre #09-33, 38 Irrawaddy Road, Singapore 329563 (also Parkway East MC #04-04, Farrer Park Connexion #07-05/06)</t>
        </is>
      </c>
      <c r="L32" s="203" t="inlineStr">
        <is>
          <t>Dr Kannan Kaliyaperumal, Dr Keith Lee (named on own site)</t>
        </is>
      </c>
      <c r="M32" s="206" t="inlineStr">
        <is>
          <t>A</t>
        </is>
      </c>
      <c r="N32" s="203" t="inlineStr">
        <is>
          <t>Not stated on site</t>
        </is>
      </c>
      <c r="O32" s="203" t="inlineStr">
        <is>
          <t>Orthopaedic consults raise tendon, effusion and injection questions that point of care ultrasound answers without a referral. Ultrasound use: Not stated on site. Confirm on the first call.</t>
        </is>
      </c>
      <c r="P32" s="203" t="inlineStr">
        <is>
          <t>SonoEye P5 (phone paired, high frequency for tendons, joints, injections) + SonoAir 70 (SonoMSK, SonoNerve, four active ports)</t>
        </is>
      </c>
      <c r="Q32" s="206" t="inlineStr">
        <is>
          <t>P1</t>
        </is>
      </c>
      <c r="R32" s="203" t="inlineStr">
        <is>
          <t>P1: verified email on own site; high fit for CHISON.</t>
        </is>
      </c>
      <c r="S32" s="203" t="inlineStr">
        <is>
          <t>Own site opened 2 to 3 Oct 2026</t>
        </is>
      </c>
      <c r="T32" s="203" t="inlineStr">
        <is>
          <t>CHISON ultrasound for Specialist Orthopaedic Centre: MSK scans in the consult room</t>
        </is>
      </c>
      <c r="U32" s="203" t="inlineStr">
        <is>
          <t>Dear Dr Kannan and Dr Lee,
I am Casper Tan, Senior Regional Sales Manager at AstraMed Healthcare, the Singapore subsidiary of CHISON Medical Technologies. Knee, foot and ankle work across Novena, Parkway East and Farrer Park involves tendons, effusions and injections that ultrasound answers in the room.
CHISON has made diagnostic ultrasound in Wuxi since 1996 and sells in more than 100 countries. The systems below are registered with HSA, with AstraMed as the local registrant, so supply, application training and service are all handled here in Singapore.
For an orthopaedic practice, I would start with these two: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Specialist Orthopaedic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33" ht="36" customHeight="1" s="104">
      <c r="A33" s="203" t="n">
        <v>29</v>
      </c>
      <c r="B33" s="204" t="inlineStr">
        <is>
          <t>Spire Orthopaedic Centre</t>
        </is>
      </c>
      <c r="C33" s="203" t="inlineStr">
        <is>
          <t>Contacted</t>
        </is>
      </c>
      <c r="D33" s="203" t="inlineStr">
        <is>
          <t>Specialist centre</t>
        </is>
      </c>
      <c r="E33" s="203" t="inlineStr">
        <is>
          <t>Orthopaedic surgery centre</t>
        </is>
      </c>
      <c r="F33" s="203" t="inlineStr">
        <is>
          <t>One stop orthopaedic centre with hand surgery, physiotherapy, occupational therapy; acute care 9am to 11pm. Three sites</t>
        </is>
      </c>
      <c r="G33" s="203" t="inlineStr">
        <is>
          <t>Novena, Orchard (Gleneagles, Mount Elizabeth)</t>
        </is>
      </c>
      <c r="H33" s="205" t="inlineStr">
        <is>
          <t>https://spireortho.com.sg</t>
        </is>
      </c>
      <c r="I33" s="203" t="inlineStr">
        <is>
          <t>+65 6970 4468 / +65 8031 4388 (WhatsApp)</t>
        </is>
      </c>
      <c r="J33" s="203" t="inlineStr">
        <is>
          <t>admin@spireortho.com.sg (Gleneagles: gmc@spireortho.com.sg; Mount Elizabeth: meoh@spireortho.com.sg)</t>
        </is>
      </c>
      <c r="K33" s="203" t="inlineStr">
        <is>
          <t>Royal Square Medical Centre, 101 Irrawaddy Road #18-03, Singapore 329565 (also Gleneagles MC #08-04, Mount Elizabeth MC #15-14)</t>
        </is>
      </c>
      <c r="L33" s="203" t="inlineStr">
        <is>
          <t>Dr Ambrose Yung Wai Yin, Dr Low Mun Hon, Dr Chee Kin Ghee (named on own site)</t>
        </is>
      </c>
      <c r="M33" s="206" t="inlineStr">
        <is>
          <t>A</t>
        </is>
      </c>
      <c r="N33" s="203" t="inlineStr">
        <is>
          <t>Not stated on site</t>
        </is>
      </c>
      <c r="O33" s="203" t="inlineStr">
        <is>
          <t>Orthopaedic consults raise tendon, effusion and injection questions that point of care ultrasound answers without a referral. Ultrasound use: Not stated on site. Confirm on the first call.</t>
        </is>
      </c>
      <c r="P33" s="203" t="inlineStr">
        <is>
          <t>SonoEye P5 (phone paired, high frequency for tendons, joints, injections) + SonoAir 70 (SonoMSK, SonoNerve, four active ports)</t>
        </is>
      </c>
      <c r="Q33" s="206" t="inlineStr">
        <is>
          <t>P1</t>
        </is>
      </c>
      <c r="R33" s="203" t="inlineStr">
        <is>
          <t>P1: verified email on own site; high fit for CHISON.</t>
        </is>
      </c>
      <c r="S33" s="203" t="inlineStr">
        <is>
          <t>Own site opened 2 to 3 Oct 2026</t>
        </is>
      </c>
      <c r="T33" s="203" t="inlineStr">
        <is>
          <t>CHISON ultrasound for Spire Orthopaedic Centre: MSK scans in the consult room</t>
        </is>
      </c>
      <c r="U33" s="203" t="inlineStr">
        <is>
          <t>Dear Spire Orthopaedic Centre team,
I am Casper Tan, Senior Regional Sales Manager at AstraMed Healthcare, the Singapore subsidiary of CHISON Medical Technologies. Your one stop orthopaedic model, with acute care and hand surgery on site, suits point of care ultrasound in the consult room.
CHISON has made diagnostic ultrasound in Wuxi since 1996 and sells in more than 100 countries. The systems below are registered with HSA, with AstraMed as the local registrant, so supply, application training and service are all handled here in Singapore.
For an orthopaedic practice, these are the two I would put forward:
• SonoEye P5: a phone paired handheld with high frequency imaging for tendons, joints and needle work
• SonoAir 70: a 2.1 kg laptop with SonoMSK and SonoNerve tools and four active probe ports
Across several clinics, one platform means one training programme and one service contact for every site.
Would a short call with whoever looks after equipment across Spire Orthopaedic Centre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34" ht="36" customHeight="1" s="104">
      <c r="A34" s="203" t="n">
        <v>30</v>
      </c>
      <c r="B34" s="204" t="inlineStr">
        <is>
          <t>The Orthopaedic Centre (Asian Healthcare Specialists)</t>
        </is>
      </c>
      <c r="C34" s="203" t="inlineStr">
        <is>
          <t>Contacted</t>
        </is>
      </c>
      <c r="D34" s="203" t="inlineStr">
        <is>
          <t>Specialist centre</t>
        </is>
      </c>
      <c r="E34" s="203" t="inlineStr">
        <is>
          <t>Orthopaedic surgery centre</t>
        </is>
      </c>
      <c r="F34" s="203" t="inlineStr">
        <is>
          <t>Arthroscopic shoulder and knee surgery, ACL, joint replacement, PRP and injection therapy</t>
        </is>
      </c>
      <c r="G34" s="203" t="inlineStr">
        <is>
          <t>Novena and Orchard (Gleneagles)</t>
        </is>
      </c>
      <c r="H34" s="205" t="inlineStr">
        <is>
          <t>https://drdennisng.asianhealthcare.com.sg</t>
        </is>
      </c>
      <c r="I34" s="203" t="inlineStr">
        <is>
          <t>+65 6334 1486 / +65 6697 4999</t>
        </is>
      </c>
      <c r="J34" s="203" t="inlineStr">
        <is>
          <t>novena@asianhealthcare.com.sg</t>
        </is>
      </c>
      <c r="K34" s="203" t="inlineStr">
        <is>
          <t>Mount Elizabeth Novena, 38 Irrawaddy Road #08-41, Singapore 329563; Gleneagles Medical Centre, 6 Napier Road #07-15, Singapore 258499</t>
        </is>
      </c>
      <c r="L34" s="203" t="inlineStr">
        <is>
          <t>Dr Dennis Ng Zhaowen, Senior Consultant Orthopaedic Specialist (named on own site)</t>
        </is>
      </c>
      <c r="M34" s="206" t="inlineStr">
        <is>
          <t>A</t>
        </is>
      </c>
      <c r="N34" s="203" t="inlineStr">
        <is>
          <t>Site references imaging within or adjacent to MENH</t>
        </is>
      </c>
      <c r="O34" s="203" t="inlineStr">
        <is>
          <t>Orthopaedic consults raise tendon, effusion and injection questions that point of care ultrasound answers without a referral. Ultrasound use: Site references imaging within or adjacent to MENH. Confirm on the first call.</t>
        </is>
      </c>
      <c r="P34" s="203" t="inlineStr">
        <is>
          <t>SonoEye P5 (phone paired, high frequency for tendons, joints, injections) + SonoAir 70 (SonoMSK, SonoNerve, four active ports)</t>
        </is>
      </c>
      <c r="Q34" s="206" t="inlineStr">
        <is>
          <t>P1</t>
        </is>
      </c>
      <c r="R34" s="203" t="inlineStr">
        <is>
          <t>P1: verified email on own site; high fit for CHISON.</t>
        </is>
      </c>
      <c r="S34" s="203" t="inlineStr">
        <is>
          <t>Own site opened 2 to 3 Oct 2026</t>
        </is>
      </c>
      <c r="T34" s="203" t="inlineStr">
        <is>
          <t>CHISON ultrasound for The Orthopaedic Centre: MSK scans in the consult room</t>
        </is>
      </c>
      <c r="U34" s="203" t="inlineStr">
        <is>
          <t>Dear Dr Ng,
I am Casper Tan, Senior Regional Sales Manager at AstraMed Healthcare, the Singapore subsidiary of CHISON Medical Technologies. Your shoulder and knee practice uses PRP and other injections, which are more precise and easier to document under ultrasound guidance.
CHISON has made diagnostic ultrasound in Wuxi since 1996 and sells in more than 100 countries. The systems below are registered with HSA, with AstraMed as the local registrant, so supply, application training and service are all handled here in Singapore.
For an orthopaedic practice, these are the two I would put forward: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The Orthopaedic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35" ht="48" customHeight="1" s="104">
      <c r="A35" s="203" t="n">
        <v>31</v>
      </c>
      <c r="B35" s="204" t="inlineStr">
        <is>
          <t>Total Orthopaedic Care &amp; Surgery</t>
        </is>
      </c>
      <c r="C35" s="203" t="inlineStr">
        <is>
          <t>Contacted</t>
        </is>
      </c>
      <c r="D35" s="203" t="inlineStr">
        <is>
          <t>Specialist centre</t>
        </is>
      </c>
      <c r="E35" s="203" t="inlineStr">
        <is>
          <t>Orthopaedic surgery centre</t>
        </is>
      </c>
      <c r="F35" s="203" t="inlineStr">
        <is>
          <t>Shoulder, knee, elbow, hand and spine; arthroscopy, joint replacement, PRP and orthobiologic injections. Three own clinics plus visiting sessions, incl. heartland Tampines</t>
        </is>
      </c>
      <c r="G35" s="203" t="inlineStr">
        <is>
          <t>Novena, Orchard (Shaw House), Tampines</t>
        </is>
      </c>
      <c r="H35" s="205" t="inlineStr">
        <is>
          <t>https://totalorthopaedic.com.sg</t>
        </is>
      </c>
      <c r="I35" s="203" t="inlineStr">
        <is>
          <t>+65 6371 0640 / +65 6654 9800 / WhatsApp +65 9232 6737</t>
        </is>
      </c>
      <c r="J35" s="203" t="inlineStr">
        <is>
          <t>enquiry@totalorthopaedic.com.sg</t>
        </is>
      </c>
      <c r="K35" s="203" t="inlineStr">
        <is>
          <t>10 Sinaran Drive #09-24, Novena Medical Center, Singapore 307506 (plus Shaw House #10-01, Blk 801 Tampines Ave 4 #01-273)</t>
        </is>
      </c>
      <c r="L35" s="203" t="inlineStr">
        <is>
          <t>Dr Benjamin Seah, Dr Hamid Razak, Dr Huang Yilun (named on own site)</t>
        </is>
      </c>
      <c r="M35" s="206" t="inlineStr">
        <is>
          <t>A</t>
        </is>
      </c>
      <c r="N35" s="203" t="inlineStr">
        <is>
          <t>Not stated (orthobiologic injections suit ultrasound guidance)</t>
        </is>
      </c>
      <c r="O35" s="203" t="inlineStr">
        <is>
          <t>Orthopaedic consults raise tendon, effusion and injection questions that point of care ultrasound answers without a referral. Ultrasound use: Not stated (orthobiologic injections suit ultrasound guidance). Confirm on the first call.</t>
        </is>
      </c>
      <c r="P35" s="203" t="inlineStr">
        <is>
          <t>SonoEye P5 (phone paired, high frequency for tendons, joints, injections) + SonoAir 70 (SonoMSK, SonoNerve, four active ports)</t>
        </is>
      </c>
      <c r="Q35" s="206" t="inlineStr">
        <is>
          <t>P1</t>
        </is>
      </c>
      <c r="R35" s="203" t="inlineStr">
        <is>
          <t>P1: verified email on own site; high fit for CHISON.</t>
        </is>
      </c>
      <c r="S35" s="203" t="inlineStr">
        <is>
          <t>Own site opened 2 to 3 Oct 2026</t>
        </is>
      </c>
      <c r="T35" s="203" t="inlineStr">
        <is>
          <t>CHISON ultrasound for Total Orthopaedic Care: MSK scans in the consult room</t>
        </is>
      </c>
      <c r="U35" s="203" t="inlineStr">
        <is>
          <t>Dear Total Orthopaedic Care team,
I am Casper Tan, Senior Regional Sales Manager at AstraMed Healthcare, the Singapore subsidiary of CHISON Medical Technologies. PRP and orthobiologic injections across Novena, Shaw House and your Tampines clinic are more precise under ultrasound guidance.
CHISON has made diagnostic ultrasound in Wuxi since 1996 and sells in more than 100 countries. The systems below are registered with HSA, with AstraMed as the local registrant, so supply, application training and service are all handled here in Singapore.
For an orthopaedic practice, I would start with these two: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Total Orthopaedic Care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36" ht="36" customHeight="1" s="104">
      <c r="A36" s="203" t="n">
        <v>32</v>
      </c>
      <c r="B36" s="204" t="inlineStr">
        <is>
          <t>Alleviate Pain Clinic</t>
        </is>
      </c>
      <c r="C36" s="203" t="inlineStr">
        <is>
          <t>Contacted</t>
        </is>
      </c>
      <c r="D36" s="203" t="inlineStr">
        <is>
          <t>Specialist centre</t>
        </is>
      </c>
      <c r="E36" s="203" t="inlineStr">
        <is>
          <t>Pain management clinic</t>
        </is>
      </c>
      <c r="F36" s="203" t="inlineStr">
        <is>
          <t>Epidural, facet and joint injections, nerve blocks, RFA, shoulder hydrodilatation; in clinic ultrasound assessment of soft tissue, nerve and joint</t>
        </is>
      </c>
      <c r="G36" s="203" t="inlineStr">
        <is>
          <t>Farrer Park</t>
        </is>
      </c>
      <c r="H36" s="205" t="inlineStr">
        <is>
          <t>https://www.drchristopherliu.com</t>
        </is>
      </c>
      <c r="I36" s="203" t="inlineStr">
        <is>
          <t>+65 8655 5722 (also WhatsApp)</t>
        </is>
      </c>
      <c r="J36" s="203" t="inlineStr">
        <is>
          <t>enquiry@alleviatepain.com.sg</t>
        </is>
      </c>
      <c r="K36" s="203" t="inlineStr">
        <is>
          <t>1 Farrer Park Station Road #08-14, Farrer Park Hospital, Singapore 217562</t>
        </is>
      </c>
      <c r="L36" s="203" t="inlineStr">
        <is>
          <t>Dr Christopher Liu, Senior Consultant and Medical Director (named on own site)</t>
        </is>
      </c>
      <c r="M36" s="206" t="inlineStr">
        <is>
          <t>A</t>
        </is>
      </c>
      <c r="N36" s="203" t="inlineStr">
        <is>
          <t>Yes. In clinic ultrasound assessment</t>
        </is>
      </c>
      <c r="O36" s="203" t="inlineStr">
        <is>
          <t>Ultrasound guided blocks and injections are daily work; nerve and needle visualisation tools are the hook. Ultrasound already in use (In clinic ultrasound assessment), so pitch added capacity or a second room.</t>
        </is>
      </c>
      <c r="P36" s="203" t="inlineStr">
        <is>
          <t>SonoAir 70 (SonoMSK, SonoNerve, four active ports) + SonoMax 9 (SonoNerve, SonoNeedle and SuperNeedle included)</t>
        </is>
      </c>
      <c r="Q36" s="206" t="inlineStr">
        <is>
          <t>P1</t>
        </is>
      </c>
      <c r="R36" s="203" t="inlineStr">
        <is>
          <t>P1: verified email on own site; high fit for CHISON; already scans in house.</t>
        </is>
      </c>
      <c r="S36" s="203" t="inlineStr">
        <is>
          <t>Own site opened 2 to 3 Oct 2026</t>
        </is>
      </c>
      <c r="T36" s="203" t="inlineStr">
        <is>
          <t>CHISON ultrasound for Alleviate Pain Clinic: needle guidance for blocks</t>
        </is>
      </c>
      <c r="U36" s="203" t="inlineStr">
        <is>
          <t>Dear Dr Liu,
I am Casper Tan, Senior Regional Sales Manager at AstraMed Healthcare, the Singapore subsidiary of CHISON Medical Technologies. You already use in clinic ultrasound for soft tissue, nerve and joint assessment alongside your injections and RFA work at Farrer Park.
CHISON has made diagnostic ultrasound in Wuxi since 1996 and sells in more than 100 countries. The systems below are registered with HSA, with AstraMed as the local registrant, so supply, application training and service are all handled here in Singapore.
For interventional pain work, these are the two I would suggest:
• SonoAir 70: a 2.1 kg laptop with SonoMSK and SonoNerve tools and four active probe ports
• SonoMax 9: our flagship cart, which includes SonoNerve, SonoNeedle and SuperNeedle for nerve and needle visualisation
If you already have a system you are happy with, a second CHISON unit is a practical way to add capacity or free your main room for the longer scans.
Our demonstration units arrive in Singapore in October. Could I bring both systems to Alleviate Pain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37" ht="48" customHeight="1" s="104">
      <c r="A37" s="203" t="n">
        <v>33</v>
      </c>
      <c r="B37" s="204" t="inlineStr">
        <is>
          <t>Apicare Pain Clinic</t>
        </is>
      </c>
      <c r="C37" s="203" t="inlineStr">
        <is>
          <t>Contacted</t>
        </is>
      </c>
      <c r="D37" s="203" t="inlineStr">
        <is>
          <t>Specialist centre</t>
        </is>
      </c>
      <c r="E37" s="203" t="inlineStr">
        <is>
          <t>Pain management clinic</t>
        </is>
      </c>
      <c r="F37" s="203" t="inlineStr">
        <is>
          <t>Ultrasound guided joint injections, nerve blocks and epidural steroid injections, RFA, neuromodulation, PRP, shockwave. Listed under the Livingstone Health group</t>
        </is>
      </c>
      <c r="G37" s="203" t="inlineStr">
        <is>
          <t>Orchard (Mount Elizabeth MC) and Farrer Park</t>
        </is>
      </c>
      <c r="H37" s="205" t="inlineStr">
        <is>
          <t>https://apicarepain.com</t>
        </is>
      </c>
      <c r="I37" s="203" t="inlineStr">
        <is>
          <t>+65 6513 3383 (also WhatsApp) / +65 6244 1077</t>
        </is>
      </c>
      <c r="J37" s="203" t="inlineStr">
        <is>
          <t>hello@apicarepainspecialist.com</t>
        </is>
      </c>
      <c r="K37" s="203" t="inlineStr">
        <is>
          <t>Mount Elizabeth Medical Centre, 3 Mount Elizabeth #14-15, Singapore 228510; Farrer Park Medical Centre, 1 Farrer Park Station Road #15-04, Singapore 217562</t>
        </is>
      </c>
      <c r="L37" s="203" t="inlineStr">
        <is>
          <t>Dr Wilson Tay, Consultant Pain Specialist and Anaesthesiologist (named on own site)</t>
        </is>
      </c>
      <c r="M37" s="206" t="inlineStr">
        <is>
          <t>A</t>
        </is>
      </c>
      <c r="N37" s="203" t="inlineStr">
        <is>
          <t>Yes. In house ultrasound for guided procedures</t>
        </is>
      </c>
      <c r="O37" s="203" t="inlineStr">
        <is>
          <t>Ultrasound guided blocks and injections are daily work; nerve and needle visualisation tools are the hook. Ultrasound already in use (In house ultrasound for guided procedures), so pitch added capacity or a second room. Group link: Livingstone Health.</t>
        </is>
      </c>
      <c r="P37" s="203" t="inlineStr">
        <is>
          <t>SonoAir 70 (SonoMSK, SonoNerve, four active ports) + SonoMax 9 (SonoNerve, SonoNeedle and SuperNeedle included)</t>
        </is>
      </c>
      <c r="Q37" s="206" t="inlineStr">
        <is>
          <t>P1</t>
        </is>
      </c>
      <c r="R37" s="203" t="inlineStr">
        <is>
          <t>P1: verified email on own site; in house ultrasound for guided procedures. Part of Livingstone Health, so the purchase may sit with the group.</t>
        </is>
      </c>
      <c r="S37" s="203" t="inlineStr">
        <is>
          <t>Own site opened 2 to 3 Oct 2026</t>
        </is>
      </c>
      <c r="T37" s="203" t="inlineStr">
        <is>
          <t>CHISON ultrasound for Apicare Pain Clinic: needle guidance for blocks</t>
        </is>
      </c>
      <c r="U37" s="203" t="inlineStr">
        <is>
          <t>Dear Dr Tay,
I am Casper Tan, Senior Regional Sales Manager at AstraMed Healthcare, the Singapore subsidiary of CHISON Medical Technologies. Ultrasound guided joint injections, nerve blocks and epidurals are central to your practice at Mount Elizabeth and Farrer Park.
CHISON has made diagnostic ultrasound in Wuxi since 1996 and sells in more than 100 countries. The systems below are registered with HSA, with AstraMed as the local registrant, so supply, application training and service are all handled here in Singapore.
For interventional pain work, I would start with these two:
• SonoAir 70: a 2.1 kg laptop with SonoMSK and SonoNerve tools and four active probe ports
• SonoMax 9: our flagship cart, which includes SonoNerve, SonoNeedle and SuperNeedle for nerve and needle visualisation
If you already have a system you are happy with, a second CHISON unit is a practical way to add capacity or free your main room for the longer scans.
Our demonstration units arrive in Singapore in October. Could I bring both systems to Apicare Pain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38" ht="60" customHeight="1" s="104">
      <c r="A38" s="203" t="n">
        <v>34</v>
      </c>
      <c r="B38" s="204" t="inlineStr">
        <is>
          <t>Singapore Paincare Center</t>
        </is>
      </c>
      <c r="C38" s="203" t="inlineStr">
        <is>
          <t>Contacted</t>
        </is>
      </c>
      <c r="D38" s="203" t="inlineStr">
        <is>
          <t>Specialist centre</t>
        </is>
      </c>
      <c r="E38" s="203" t="inlineStr">
        <is>
          <t>Pain management clinic</t>
        </is>
      </c>
      <c r="F38" s="203" t="inlineStr">
        <is>
          <t>Interventional pain group (Singapore Paincare Medical Group): spine, joint and nerve pain procedures</t>
        </is>
      </c>
      <c r="G38" s="203" t="inlineStr">
        <is>
          <t>Orchard (Paragon) and Novena</t>
        </is>
      </c>
      <c r="H38" s="205" t="inlineStr">
        <is>
          <t>https://sgpaincare.com</t>
        </is>
      </c>
      <c r="I38" s="203" t="inlineStr">
        <is>
          <t>+65 6235 6697 (Paragon) / +65 6734 4500 (Novena) / hotline +65 8777 9500</t>
        </is>
      </c>
      <c r="J38" s="203" t="inlineStr">
        <is>
          <t>enquiries@sgpaincare.com (group inbox, published on the DR+ Medical &amp; Paincare site)</t>
        </is>
      </c>
      <c r="K38" s="203" t="inlineStr">
        <is>
          <t>290 Orchard Road #18-03, Singapore 238859; 38 Irrawaddy Road #07-33, Singapore 329563</t>
        </is>
      </c>
      <c r="L38" s="203" t="inlineStr">
        <is>
          <t>Dr Bernard Lee, Dr Yoong Chee Seng, Dr Chiam Tut Fu (named on own site)</t>
        </is>
      </c>
      <c r="M38" s="206" t="inlineStr">
        <is>
          <t>A</t>
        </is>
      </c>
      <c r="N38" s="203" t="inlineStr">
        <is>
          <t>Not stated on contact page</t>
        </is>
      </c>
      <c r="O38" s="203" t="inlineStr">
        <is>
          <t>Ultrasound guided blocks and injections are daily work; nerve and needle visualisation tools are the hook. Ultrasound use: Not stated on contact page. Confirm on the first call. This email is written to cover the DR+ clinics too, because both rows share the enquiries@sgpaincare.com inbox. Send this one, not both.</t>
        </is>
      </c>
      <c r="P38" s="203" t="inlineStr">
        <is>
          <t>SonoAir 70 (SonoMSK, SonoNerve, four active ports) + SonoMax 9 (SonoNerve, SonoNeedle and SuperNeedle included)</t>
        </is>
      </c>
      <c r="Q38" s="206" t="inlineStr">
        <is>
          <t>P1</t>
        </is>
      </c>
      <c r="R38" s="203" t="inlineStr">
        <is>
          <t>P1: interventional pain group; this one email covers its specialist centres and the DR+ clinics.</t>
        </is>
      </c>
      <c r="S38" s="203" t="inlineStr">
        <is>
          <t>Own site opened 2 to 3 Oct 2026</t>
        </is>
      </c>
      <c r="T38" s="203" t="inlineStr">
        <is>
          <t>CHISON ultrasound for Singapore Paincare and the DR+ clinics</t>
        </is>
      </c>
      <c r="U38" s="203" t="inlineStr">
        <is>
          <t>Dear Dr Lee and colleagues,
I am Casper Tan, Senior Regional Sales Manager at AstraMed Healthcare, the Singapore subsidiary of CHISON Medical Technologies. Interventional spine, joint and nerve procedures at Paragon and Novena, and the point of care ultrasound already offered at your DR+ clinics, make Singapore Paincare a natural partner for one conversation.
CHISON has made diagnostic ultrasound in Wuxi since 1996 and sells in more than 100 countries. The systems below are registered with HSA, with AstraMed as the local registrant, so supply, application training and service are all handled here in Singapore.
For interventional pain work, these are the two I would suggest:
• SonoAir 70: a 2.1 kg laptop with SonoMSK and SonoNerve tools and four active probe ports
• SonoMax 9: our flagship cart, which includes SonoNerve, SonoNeedle and SuperNeedle for nerve and needle visualisation
One conversation could cover both the specialist centres and the DR+ clinics, with one training programme and one service contact.
Our demonstration units arrive in Singapore in October. Could I bring both systems to Singapore Paincare Center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39" ht="48" customHeight="1" s="104">
      <c r="A39" s="203" t="n">
        <v>35</v>
      </c>
      <c r="B39" s="204" t="inlineStr">
        <is>
          <t>Advanced Vascular Centre (Dr Desmond Ooi)</t>
        </is>
      </c>
      <c r="C39" s="203" t="inlineStr">
        <is>
          <t>Contacted</t>
        </is>
      </c>
      <c r="D39" s="203" t="inlineStr">
        <is>
          <t>Specialist centre</t>
        </is>
      </c>
      <c r="E39" s="203" t="inlineStr">
        <is>
          <t>Vascular &amp; vein clinic</t>
        </is>
      </c>
      <c r="F39" s="203" t="inlineStr">
        <is>
          <t>Varicose vein ablation and VenaSeal, vascular and endovascular procedures, diabetic foot screening, endoscopy</t>
        </is>
      </c>
      <c r="G39" s="203" t="inlineStr">
        <is>
          <t>Thomson (Mount Alvernia) and Orchard (Mount Elizabeth)</t>
        </is>
      </c>
      <c r="H39" s="205" t="inlineStr">
        <is>
          <t>https://www.drdesmondooi.com.sg</t>
        </is>
      </c>
      <c r="I39" s="203" t="inlineStr">
        <is>
          <t>+65 6265 8820 / +65 6737 1180 / WhatsApp +65 8313 4212</t>
        </is>
      </c>
      <c r="J39" s="203" t="inlineStr">
        <is>
          <t>dr.desmond.ooi.gs@gmail.com</t>
        </is>
      </c>
      <c r="K39" s="203" t="inlineStr">
        <is>
          <t>820 Thomson Road #07-58 Medical Centre D, Singapore 574623; #13-06 Mt Elizabeth Medical Centre, 3 Mount Elizabeth, Singapore 228510</t>
        </is>
      </c>
      <c r="L39" s="203" t="inlineStr">
        <is>
          <t>Dr Desmond Ooi, Senior Consultant Vascular and General Surgeon (named on own site)</t>
        </is>
      </c>
      <c r="M39" s="206" t="inlineStr">
        <is>
          <t>A</t>
        </is>
      </c>
      <c r="N39" s="203" t="inlineStr">
        <is>
          <t>Not stated on home page</t>
        </is>
      </c>
      <c r="O39" s="203" t="inlineStr">
        <is>
          <t>Duplex is the core test in venous and arterial work; multi gate Doppler and automatic vessel measurement are among the SonoMax 9 claims that held up in the competitive check. Ultrasound use: Not stated on home page. Confirm on the first call.</t>
        </is>
      </c>
      <c r="P39" s="203" t="inlineStr">
        <is>
          <t>SonoMax 9 (automatic vessel diameter, one key volume flow, multi gate PW up to 4 gates) + SonoBook 9 (SonoPW multi gate PW, SonoIMT across visits)</t>
        </is>
      </c>
      <c r="Q39" s="206" t="inlineStr">
        <is>
          <t>P1</t>
        </is>
      </c>
      <c r="R39" s="203" t="inlineStr">
        <is>
          <t>P1: verified email on own site; high fit for CHISON.</t>
        </is>
      </c>
      <c r="S39" s="203" t="inlineStr">
        <is>
          <t>Own site opened 2 to 3 Oct 2026</t>
        </is>
      </c>
      <c r="T39" s="203" t="inlineStr">
        <is>
          <t>CHISON ultrasound for Advanced Vascular Centre: duplex and procedure guidance</t>
        </is>
      </c>
      <c r="U39" s="203" t="inlineStr">
        <is>
          <t>Dear Dr Ooi,
I am Casper Tan, Senior Regional Sales Manager at AstraMed Healthcare, the Singapore subsidiary of CHISON Medical Technologies. Endovenous ablation, VenaSeal and diabetic foot screening across Mount Alvernia and Mount Elizabeth all depend on duplex mapping.
CHISON has made diagnostic ultrasound in Wuxi since 1996 and sells in more than 100 countries. The systems below are registered with HSA, with AstraMed as the local registrant, so supply, application training and service are all handled here in Singapore.
For vascular and venous work, I would start with these two:
• SonoMax 9: our flagship cart, with automatic vessel diameter and one key volume flow, and multi gate pulsed wave Doppler up to four gates
• SonoBook 9: a laptop system with SonoPW multi gate pulsed wave Doppler and intima media thickness tracked across visits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Advanced Vascular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40" ht="60" customHeight="1" s="104">
      <c r="A40" s="203" t="n">
        <v>36</v>
      </c>
      <c r="B40" s="204" t="inlineStr">
        <is>
          <t>Andrew Choong Vascular Surgery</t>
        </is>
      </c>
      <c r="C40" s="203" t="inlineStr">
        <is>
          <t>Contacted</t>
        </is>
      </c>
      <c r="D40" s="203" t="inlineStr">
        <is>
          <t>Specialist centre</t>
        </is>
      </c>
      <c r="E40" s="203" t="inlineStr">
        <is>
          <t>Vascular &amp; vein clinic</t>
        </is>
      </c>
      <c r="F40" s="203" t="inlineStr">
        <is>
          <t>Aortic, carotid, venous and peripheral arterial disease, dialysis access, diabetic foot; in house vascular duplex ultrasound</t>
        </is>
      </c>
      <c r="G40" s="203" t="inlineStr">
        <is>
          <t>Novena (Mount Elizabeth Novena Specialist Centre)</t>
        </is>
      </c>
      <c r="H40" s="205" t="inlineStr">
        <is>
          <t>https://www.drandrewchoong.com</t>
        </is>
      </c>
      <c r="I40" s="203" t="inlineStr">
        <is>
          <t>+65 9376 8688 / WhatsApp +65 9027 8636</t>
        </is>
      </c>
      <c r="J40" s="203" t="inlineStr">
        <is>
          <t>enquiries@drandrewchoong.com</t>
        </is>
      </c>
      <c r="K40" s="203" t="inlineStr">
        <is>
          <t>Mount Elizabeth Novena Specialist Centre, 38 Irrawaddy Road #09-22, Singapore 329563</t>
        </is>
      </c>
      <c r="L40" s="203" t="inlineStr">
        <is>
          <t>Dr Andrew Choong, Vascular Surgeon (named on own site)</t>
        </is>
      </c>
      <c r="M40" s="206" t="inlineStr">
        <is>
          <t>A</t>
        </is>
      </c>
      <c r="N40" s="203" t="inlineStr">
        <is>
          <t>Yes. In house vascular duplex ultrasound</t>
        </is>
      </c>
      <c r="O40" s="203" t="inlineStr">
        <is>
          <t>Duplex is the core test in venous and arterial work; multi gate Doppler and automatic vessel measurement are among the SonoMax 9 claims that held up in the competitive check. Ultrasound already in use (In house vascular duplex ultrasound), so pitch added capacity or a second room.</t>
        </is>
      </c>
      <c r="P40" s="203" t="inlineStr">
        <is>
          <t>SonoMax 9 (automatic vessel diameter, one key volume flow, multi gate PW up to 4 gates) + SonoBook 9 (SonoPW multi gate PW, SonoIMT across visits)</t>
        </is>
      </c>
      <c r="Q40" s="206" t="inlineStr">
        <is>
          <t>P1</t>
        </is>
      </c>
      <c r="R40" s="203" t="inlineStr">
        <is>
          <t>P1: verified email on own site; high fit for CHISON; already scans in house.</t>
        </is>
      </c>
      <c r="S40" s="203" t="inlineStr">
        <is>
          <t>Own site opened 2 to 3 Oct 2026</t>
        </is>
      </c>
      <c r="T40" s="203" t="inlineStr">
        <is>
          <t>CHISON ultrasound for Andrew Choong Vascular Surgery: duplex and procedure guidance</t>
        </is>
      </c>
      <c r="U40" s="203" t="inlineStr">
        <is>
          <t>Dear Dr Choong,
I am Casper Tan, Senior Regional Sales Manager at AstraMed Healthcare, the Singapore subsidiary of CHISON Medical Technologies. You already run in house vascular duplex for aortic, carotid, venous and peripheral work at Mount Elizabeth Novena.
CHISON has made diagnostic ultrasound in Wuxi since 1996 and sells in more than 100 countries. The systems below are registered with HSA, with AstraMed as the local registrant, so supply, application training and service are all handled here in Singapore.
For vascular and venous work, these are the two I would put forward:
• SonoMax 9: our flagship cart, with automatic vessel diameter and one key volume flow, and multi gate pulsed wave Doppler up to four gates
• SonoBook 9: a laptop system with SonoPW multi gate pulsed wave Doppler and intima media thickness tracked across visits
If you already have a system you are happy with, a second CHISON unit is a practical way to add capacity or free your main room for the longer scans.
Our demonstration units arrive in Singapore in October. Could I bring both systems to Andrew Choong Vascular Surgery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41" ht="60" customHeight="1" s="104">
      <c r="A41" s="203" t="n">
        <v>37</v>
      </c>
      <c r="B41" s="204" t="inlineStr">
        <is>
          <t>Novena Vascular and Varicose Vein Centre</t>
        </is>
      </c>
      <c r="C41" s="203" t="inlineStr">
        <is>
          <t>Contacted</t>
        </is>
      </c>
      <c r="D41" s="203" t="inlineStr">
        <is>
          <t>Specialist centre</t>
        </is>
      </c>
      <c r="E41" s="203" t="inlineStr">
        <is>
          <t>Vascular &amp; vein clinic</t>
        </is>
      </c>
      <c r="F41" s="203" t="inlineStr">
        <is>
          <t>RFA, ClariVein, VenaSeal, sclerotherapy, angioplasty and stenting, EndoAVF, EVAR, wound care</t>
        </is>
      </c>
      <c r="G41" s="203" t="inlineStr">
        <is>
          <t>Novena (Mount Elizabeth Novena)</t>
        </is>
      </c>
      <c r="H41" s="205" t="inlineStr">
        <is>
          <t>https://drdarryllim.com</t>
        </is>
      </c>
      <c r="I41" s="203" t="inlineStr">
        <is>
          <t>+65 6694 2282 / WhatsApp +65 9727 0788</t>
        </is>
      </c>
      <c r="J41" s="203" t="inlineStr">
        <is>
          <t>contact@drdarryllim.com</t>
        </is>
      </c>
      <c r="K41" s="203" t="inlineStr">
        <is>
          <t>Mount Elizabeth Novena Hospital, 38 Irrawaddy Road #08-48, Singapore 329563</t>
        </is>
      </c>
      <c r="L41" s="203" t="inlineStr">
        <is>
          <t>Dr Darryl Lim, Senior Consultant Vascular and Endovascular Surgeon (named on own site)</t>
        </is>
      </c>
      <c r="M41" s="206" t="inlineStr">
        <is>
          <t>A</t>
        </is>
      </c>
      <c r="N41" s="203" t="inlineStr">
        <is>
          <t>Not stated on home page (venous ablation work is ultrasound guided by nature)</t>
        </is>
      </c>
      <c r="O41" s="203" t="inlineStr">
        <is>
          <t>Duplex is the core test in venous and arterial work; multi gate Doppler and automatic vessel measurement are among the SonoMax 9 claims that held up in the competitive check. Ultrasound use: Not stated on home page (venous ablation work is ultrasound guided by nature). Confirm on the first call.</t>
        </is>
      </c>
      <c r="P41" s="203" t="inlineStr">
        <is>
          <t>SonoMax 9 (automatic vessel diameter, one key volume flow, multi gate PW up to 4 gates) + SonoBook 9 (SonoPW multi gate PW, SonoIMT across visits)</t>
        </is>
      </c>
      <c r="Q41" s="206" t="inlineStr">
        <is>
          <t>P1</t>
        </is>
      </c>
      <c r="R41" s="203" t="inlineStr">
        <is>
          <t>P1: verified email on own site; high fit for CHISON.</t>
        </is>
      </c>
      <c r="S41" s="203" t="inlineStr">
        <is>
          <t>Own site opened 2 to 3 Oct 2026</t>
        </is>
      </c>
      <c r="T41" s="203" t="inlineStr">
        <is>
          <t>CHISON ultrasound for Novena Vascular and Varicose Vein Centre: duplex and procedure guidance</t>
        </is>
      </c>
      <c r="U41" s="203" t="inlineStr">
        <is>
          <t>Dear Dr Lim,
I am Casper Tan, Senior Regional Sales Manager at AstraMed Healthcare, the Singapore subsidiary of CHISON Medical Technologies. RFA, ClariVein, VenaSeal and EndoAVF creation all rely on ultrasound mapping and guidance.
CHISON has made diagnostic ultrasound in Wuxi since 1996 and sells in more than 100 countries. The systems below are registered with HSA, with AstraMed as the local registrant, so supply, application training and service are all handled here in Singapore.
For vascular and venous work, I would start with these two:
• SonoMax 9: our flagship cart, with automatic vessel diameter and one key volume flow, and multi gate pulsed wave Doppler up to four gates
• SonoBook 9: a laptop system with SonoPW multi gate pulsed wave Doppler and intima media thickness tracked across visits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Novena Vascular and Varicose Vein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42" ht="48" customHeight="1" s="104">
      <c r="A42" s="203" t="n">
        <v>38</v>
      </c>
      <c r="B42" s="204" t="inlineStr">
        <is>
          <t>Spectrum Vascular &amp; General Surgery</t>
        </is>
      </c>
      <c r="C42" s="203" t="inlineStr">
        <is>
          <t>Contacted</t>
        </is>
      </c>
      <c r="D42" s="203" t="inlineStr">
        <is>
          <t>Specialist centre</t>
        </is>
      </c>
      <c r="E42" s="203" t="inlineStr">
        <is>
          <t>Vascular &amp; vein clinic</t>
        </is>
      </c>
      <c r="F42" s="203" t="inlineStr">
        <is>
          <t>Endovascular and endovenous surgery, varicose veins, aortic disease, PAD, dialysis access, wound care, endoscopy</t>
        </is>
      </c>
      <c r="G42" s="203" t="inlineStr">
        <is>
          <t>Novena and Farrer Park</t>
        </is>
      </c>
      <c r="H42" s="205" t="inlineStr">
        <is>
          <t>https://spectrum-surgery.com</t>
        </is>
      </c>
      <c r="I42" s="203" t="inlineStr">
        <is>
          <t>+65 6041 0933 / +65 6974 8859 / 24 hr +65 8874 0371</t>
        </is>
      </c>
      <c r="J42" s="203" t="inlineStr">
        <is>
          <t>contact@spectrum-surgery.com</t>
        </is>
      </c>
      <c r="K42" s="203" t="inlineStr">
        <is>
          <t>38 Irrawaddy Road, Singapore 329563; 1 Farrer Park Station Road #08-14 Connexion, Singapore 217562</t>
        </is>
      </c>
      <c r="L42" s="203" t="inlineStr">
        <is>
          <t>Dr Tay Jia Sheng, Vascular and Endovascular Surgeon (named on own site)</t>
        </is>
      </c>
      <c r="M42" s="206" t="inlineStr">
        <is>
          <t>A</t>
        </is>
      </c>
      <c r="N42" s="203" t="inlineStr">
        <is>
          <t>Not stated on home page</t>
        </is>
      </c>
      <c r="O42" s="203" t="inlineStr">
        <is>
          <t>Duplex is the core test in venous and arterial work; multi gate Doppler and automatic vessel measurement are among the SonoMax 9 claims that held up in the competitive check. Ultrasound use: Not stated on home page. Confirm on the first call.</t>
        </is>
      </c>
      <c r="P42" s="203" t="inlineStr">
        <is>
          <t>SonoMax 9 (automatic vessel diameter, one key volume flow, multi gate PW up to 4 gates) + SonoBook 9 (SonoPW multi gate PW, SonoIMT across visits)</t>
        </is>
      </c>
      <c r="Q42" s="206" t="inlineStr">
        <is>
          <t>P1</t>
        </is>
      </c>
      <c r="R42" s="203" t="inlineStr">
        <is>
          <t>P1: verified email on own site; high fit for CHISON.</t>
        </is>
      </c>
      <c r="S42" s="203" t="inlineStr">
        <is>
          <t>Own site opened 2 to 3 Oct 2026</t>
        </is>
      </c>
      <c r="T42" s="203" t="inlineStr">
        <is>
          <t>CHISON ultrasound for Spectrum Vascular: duplex and procedure guidance</t>
        </is>
      </c>
      <c r="U42" s="203" t="inlineStr">
        <is>
          <t>Dear Dr Tay,
I am Casper Tan, Senior Regional Sales Manager at AstraMed Healthcare, the Singapore subsidiary of CHISON Medical Technologies. Endovenous treatment, dialysis access and wound care across Novena and Farrer Park all start with a duplex scan.
CHISON has made diagnostic ultrasound in Wuxi since 1996 and sells in more than 100 countries. The systems below are registered with HSA, with AstraMed as the local registrant, so supply, application training and service are all handled here in Singapore.
For vascular and venous work, these are the two I would put forward:
• SonoMax 9: our flagship cart, with automatic vessel diameter and one key volume flow, and multi gate pulsed wave Doppler up to four gates
• SonoBook 9: a laptop system with SonoPW multi gate pulsed wave Doppler and intima media thickness tracked across visits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Spectrum Vascular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43" ht="60" customHeight="1" s="104">
      <c r="A43" s="203" t="n">
        <v>39</v>
      </c>
      <c r="B43" s="204" t="inlineStr">
        <is>
          <t>The Vascular &amp; Endovascular Clinic</t>
        </is>
      </c>
      <c r="C43" s="203" t="inlineStr">
        <is>
          <t>Contacted</t>
        </is>
      </c>
      <c r="D43" s="203" t="inlineStr">
        <is>
          <t>Specialist centre</t>
        </is>
      </c>
      <c r="E43" s="203" t="inlineStr">
        <is>
          <t>Vascular &amp; vein clinic</t>
        </is>
      </c>
      <c r="F43" s="203" t="inlineStr">
        <is>
          <t>Vascular and endovascular procedures, vascular screening, on site diagnostic vascular ultrasound, chronic foot wounds. Five clinics</t>
        </is>
      </c>
      <c r="G43" s="203" t="inlineStr">
        <is>
          <t>Orchard, Gleneagles, Novena, Farrer Park, Parkway East</t>
        </is>
      </c>
      <c r="H43" s="205" t="inlineStr">
        <is>
          <t>https://www.vascularclinic.sg</t>
        </is>
      </c>
      <c r="I43" s="203" t="inlineStr">
        <is>
          <t>+65 6252 7138 / WhatsApp +65 9173 0272</t>
        </is>
      </c>
      <c r="J43" s="203" t="inlineStr">
        <is>
          <t>enquiries@vascularclinic.sg</t>
        </is>
      </c>
      <c r="K43" s="203" t="inlineStr">
        <is>
          <t>Gleneagles Medical Centre, 6 Napier Road #08-08, Singapore 258499 (plus MEMC #10-15, MENSC #06-51/52, Farrer Park #08-06, Parkway East #04-02)</t>
        </is>
      </c>
      <c r="L43" s="203" t="inlineStr">
        <is>
          <t>Dr Julian Wong and Dr Tang Tjun Yip, Medical Directors (named on own site)</t>
        </is>
      </c>
      <c r="M43" s="206" t="inlineStr">
        <is>
          <t>A</t>
        </is>
      </c>
      <c r="N43" s="203" t="inlineStr">
        <is>
          <t>Yes. On site diagnostic vascular ultrasound</t>
        </is>
      </c>
      <c r="O43" s="203" t="inlineStr">
        <is>
          <t>Duplex is the core test in venous and arterial work; multi gate Doppler and automatic vessel measurement are among the SonoMax 9 claims that held up in the competitive check. Ultrasound already in use (On site diagnostic vascular ultrasound), so pitch added capacity or a second room.</t>
        </is>
      </c>
      <c r="P43" s="203" t="inlineStr">
        <is>
          <t>SonoMax 9 (automatic vessel diameter, one key volume flow, multi gate PW up to 4 gates) + SonoBook 9 (SonoPW multi gate PW, SonoIMT across visits)</t>
        </is>
      </c>
      <c r="Q43" s="206" t="inlineStr">
        <is>
          <t>P1</t>
        </is>
      </c>
      <c r="R43" s="203" t="inlineStr">
        <is>
          <t>P1: verified email on own site; high fit for CHISON; already scans in house.</t>
        </is>
      </c>
      <c r="S43" s="203" t="inlineStr">
        <is>
          <t>Own site opened 2 to 3 Oct 2026</t>
        </is>
      </c>
      <c r="T43" s="203" t="inlineStr">
        <is>
          <t>CHISON ultrasound for The Vascular &amp; Endovascular Clinic: duplex and procedure guidance</t>
        </is>
      </c>
      <c r="U43" s="203" t="inlineStr">
        <is>
          <t>Dear Dr Wong and Dr Tang,
I am Casper Tan, Senior Regional Sales Manager at AstraMed Healthcare, the Singapore subsidiary of CHISON Medical Technologies. On site diagnostic vascular ultrasound already runs across your clinics, so a second system can take routine scans off the procedure lists.
CHISON has made diagnostic ultrasound in Wuxi since 1996 and sells in more than 100 countries. The systems below are registered with HSA, with AstraMed as the local registrant, so supply, application training and service are all handled here in Singapore.
For vascular and venous work, these are the two I would suggest:
• SonoMax 9: our flagship cart, with automatic vessel diameter and one key volume flow, and multi gate pulsed wave Doppler up to four gates
• SonoBook 9: a laptop system with SonoPW multi gate pulsed wave Doppler and intima media thickness tracked across visits
Across several clinics, one platform means one training programme and one service contact for every site.
Would a short call with whoever looks after equipment across The Vascular &amp; Endovascular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44" ht="48" customHeight="1" s="104">
      <c r="A44" s="203" t="n">
        <v>40</v>
      </c>
      <c r="B44" s="204" t="inlineStr">
        <is>
          <t>The Vascular &amp; General Surgery Centre</t>
        </is>
      </c>
      <c r="C44" s="203" t="inlineStr">
        <is>
          <t>Contacted</t>
        </is>
      </c>
      <c r="D44" s="203" t="inlineStr">
        <is>
          <t>Specialist centre</t>
        </is>
      </c>
      <c r="E44" s="203" t="inlineStr">
        <is>
          <t>Vascular &amp; vein clinic</t>
        </is>
      </c>
      <c r="F44" s="203" t="inlineStr">
        <is>
          <t>Varicose vein laser and RFA, PAD, angioplasty, vascular access, hernia, endoscopy, leg ulcers</t>
        </is>
      </c>
      <c r="G44" s="203" t="inlineStr">
        <is>
          <t>Orchard (Paragon)</t>
        </is>
      </c>
      <c r="H44" s="205" t="inlineStr">
        <is>
          <t>https://www.tvgsc.sg</t>
        </is>
      </c>
      <c r="I44" s="203" t="inlineStr">
        <is>
          <t>+65 6736 2302 / WhatsApp +65 8866 7837 (fax 6736 4186)</t>
        </is>
      </c>
      <c r="J44" s="203" t="inlineStr">
        <is>
          <t>enquiry@tvgsc.sg</t>
        </is>
      </c>
      <c r="K44" s="203" t="inlineStr">
        <is>
          <t>290 Orchard Road #18-05 Paragon Medical Suites, Singapore 238859</t>
        </is>
      </c>
      <c r="L44" s="203" t="inlineStr">
        <is>
          <t>Dr Sujit Singh Gill, Consultant Vascular and General Surgeon (named on own site)</t>
        </is>
      </c>
      <c r="M44" s="206" t="inlineStr">
        <is>
          <t>A</t>
        </is>
      </c>
      <c r="N44" s="203" t="inlineStr">
        <is>
          <t>Not stated on home page</t>
        </is>
      </c>
      <c r="O44" s="203" t="inlineStr">
        <is>
          <t>Duplex is the core test in venous and arterial work; multi gate Doppler and automatic vessel measurement are among the SonoMax 9 claims that held up in the competitive check. Ultrasound use: Not stated on home page. Confirm on the first call.</t>
        </is>
      </c>
      <c r="P44" s="203" t="inlineStr">
        <is>
          <t>SonoMax 9 (automatic vessel diameter, one key volume flow, multi gate PW up to 4 gates) + SonoBook 9 (SonoPW multi gate PW, SonoIMT across visits)</t>
        </is>
      </c>
      <c r="Q44" s="206" t="inlineStr">
        <is>
          <t>P1</t>
        </is>
      </c>
      <c r="R44" s="203" t="inlineStr">
        <is>
          <t>P1: verified email on own site; high fit for CHISON.</t>
        </is>
      </c>
      <c r="S44" s="203" t="inlineStr">
        <is>
          <t>Own site opened 2 to 3 Oct 2026</t>
        </is>
      </c>
      <c r="T44" s="203" t="inlineStr">
        <is>
          <t>CHISON ultrasound for The Vascular &amp; General Surgery Centre: duplex and procedure guidance</t>
        </is>
      </c>
      <c r="U44" s="203" t="inlineStr">
        <is>
          <t>Dear Dr Gill,
I am Casper Tan, Senior Regional Sales Manager at AstraMed Healthcare, the Singapore subsidiary of CHISON Medical Technologies. Varicose vein laser and RFA, vascular access and leg ulcer care all depend on duplex before the procedure and guidance during it.
CHISON has made diagnostic ultrasound in Wuxi since 1996 and sells in more than 100 countries. The systems below are registered with HSA, with AstraMed as the local registrant, so supply, application training and service are all handled here in Singapore.
For vascular and venous work, these are the two I would suggest:
• SonoMax 9: our flagship cart, with automatic vessel diameter and one key volume flow, and multi gate pulsed wave Doppler up to four gates
• SonoBook 9: a laptop system with SonoPW multi gate pulsed wave Doppler and intima media thickness tracked across visits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The Vascular &amp; General Surgery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45" ht="60" customHeight="1" s="104">
      <c r="A45" s="203" t="n">
        <v>41</v>
      </c>
      <c r="B45" s="204" t="inlineStr">
        <is>
          <t>Vascular &amp; Interventional Centre (VIC)</t>
        </is>
      </c>
      <c r="C45" s="203" t="inlineStr">
        <is>
          <t>Contacted</t>
        </is>
      </c>
      <c r="D45" s="203" t="inlineStr">
        <is>
          <t>Specialist centre</t>
        </is>
      </c>
      <c r="E45" s="203" t="inlineStr">
        <is>
          <t>Vascular &amp; vein clinic</t>
        </is>
      </c>
      <c r="F45" s="203" t="inlineStr">
        <is>
          <t>Varicose veins (EVLA, RFA, VenaSeal), PAD, DVT, aneurysm, dialysis access, interventional oncology and pain; in clinic duplex venous reflux scans; own angiosuite at Novena</t>
        </is>
      </c>
      <c r="G45" s="203" t="inlineStr">
        <is>
          <t>Novena, Orchard (Gleneagles), Thomson</t>
        </is>
      </c>
      <c r="H45" s="205" t="inlineStr">
        <is>
          <t>https://www.sgvascularctr.com</t>
        </is>
      </c>
      <c r="I45" s="203" t="inlineStr">
        <is>
          <t>+65 6694 6270 (fax 6694 6245) / WhatsApp +65 8025 5700</t>
        </is>
      </c>
      <c r="J45" s="203" t="inlineStr">
        <is>
          <t>enquiry@sgvascularctr.com</t>
        </is>
      </c>
      <c r="K45" s="203" t="inlineStr">
        <is>
          <t>8 Sinaran Drive #06-08,16,17,18,19 Novena Specialist Centre, Singapore 307470 (also Gleneagles MC #09-14, MENSC #07-38, Thomson Surgical Centre)</t>
        </is>
      </c>
      <c r="L45" s="203" t="inlineStr">
        <is>
          <t>Dr Benjamin Chua, Medical Director and Senior Consultant Vascular Surgeon; Dr Chen Min Qi (named on own site)</t>
        </is>
      </c>
      <c r="M45" s="206" t="inlineStr">
        <is>
          <t>A</t>
        </is>
      </c>
      <c r="N45" s="203" t="inlineStr">
        <is>
          <t>Yes. In clinic duplex ultrasound and US guided procedures (varicoseveins.sg)</t>
        </is>
      </c>
      <c r="O45" s="203" t="inlineStr">
        <is>
          <t>Duplex is the core test in venous and arterial work; multi gate Doppler and automatic vessel measurement are among the SonoMax 9 claims that held up in the competitive check. Ultrasound already in use (In clinic duplex ultrasound and US guided procedures (varicoseveins.sg)), so pitch added capacity or a second room.</t>
        </is>
      </c>
      <c r="P45" s="203" t="inlineStr">
        <is>
          <t>SonoMax 9 (automatic vessel diameter, one key volume flow, multi gate PW up to 4 gates) + SonoBook 9 (SonoPW multi gate PW, SonoIMT across visits)</t>
        </is>
      </c>
      <c r="Q45" s="206" t="inlineStr">
        <is>
          <t>P1</t>
        </is>
      </c>
      <c r="R45" s="203" t="inlineStr">
        <is>
          <t>P1: verified email on own site; high fit for CHISON; already scans in house.</t>
        </is>
      </c>
      <c r="S45" s="203" t="inlineStr">
        <is>
          <t>Own site opened 2 to 3 Oct 2026; email decoded from the site's spam protected link</t>
        </is>
      </c>
      <c r="T45" s="203" t="inlineStr">
        <is>
          <t>CHISON ultrasound for VIC: duplex and procedure guidance</t>
        </is>
      </c>
      <c r="U45" s="203" t="inlineStr">
        <is>
          <t>Dear Dr Chua and Dr Chen,
I am Casper Tan, Senior Regional Sales Manager at AstraMed Healthcare, the Singapore subsidiary of CHISON Medical Technologies. In clinic duplex for venous reflux and ultrasound guided ablation are at the heart of your varicose vein work across your clinics.
CHISON has made diagnostic ultrasound in Wuxi since 1996 and sells in more than 100 countries. The systems below are registered with HSA, with AstraMed as the local registrant, so supply, application training and service are all handled here in Singapore.
For vascular and venous work, I would start with these two:
• SonoMax 9: our flagship cart, with automatic vessel diameter and one key volume flow, and multi gate pulsed wave Doppler up to four gates
• SonoBook 9: a laptop system with SonoPW multi gate pulsed wave Doppler and intima media thickness tracked across visits
Across several clinics, one platform means one training programme and one service contact for every site.
Would a short call with whoever looks after equipment across VIC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46" ht="60" customHeight="1" s="104">
      <c r="A46" s="203" t="n">
        <v>42</v>
      </c>
      <c r="B46" s="204" t="inlineStr">
        <is>
          <t>Supreme Vascular and Interventional Clinic</t>
        </is>
      </c>
      <c r="C46" s="203" t="inlineStr">
        <is>
          <t>Contacted</t>
        </is>
      </c>
      <c r="D46" s="203" t="inlineStr">
        <is>
          <t>Specialist centre</t>
        </is>
      </c>
      <c r="E46" s="203" t="inlineStr">
        <is>
          <t>Vascular &amp; interventional clinic</t>
        </is>
      </c>
      <c r="F46" s="203" t="inlineStr">
        <is>
          <t>Neuro and vascular intervention, thyroid nodule radiofrequency ablation, varicose veins, interventional oncology and pain</t>
        </is>
      </c>
      <c r="G46" s="203" t="inlineStr">
        <is>
          <t>Thomson (Mount Alvernia)</t>
        </is>
      </c>
      <c r="H46" s="205" t="inlineStr">
        <is>
          <t>https://supremevascular.com</t>
        </is>
      </c>
      <c r="I46" s="203" t="inlineStr">
        <is>
          <t>+65 6904 8084 / WhatsApp +65 8939 6388 (fax 6904 8074)</t>
        </is>
      </c>
      <c r="J46" s="203" t="inlineStr">
        <is>
          <t>contact@supremevascular.com</t>
        </is>
      </c>
      <c r="K46" s="203" t="inlineStr">
        <is>
          <t>Mount Alvernia Hospital, 820 Thomson Road, Medical Centre A #06-06, Singapore 574623</t>
        </is>
      </c>
      <c r="L46" s="203" t="inlineStr">
        <is>
          <t>Dr Manish Taneja, Neurointervention and Vascular Specialist (named on own site)</t>
        </is>
      </c>
      <c r="M46" s="206" t="inlineStr">
        <is>
          <t>A</t>
        </is>
      </c>
      <c r="N46" s="203" t="inlineStr">
        <is>
          <t>Not stated on home page (thyroid RFA and venous work are ultrasound guided by nature)</t>
        </is>
      </c>
      <c r="O46" s="203" t="inlineStr">
        <is>
          <t>Duplex is the core test in venous and arterial work; multi gate Doppler and automatic vessel measurement are among the SonoMax 9 claims that held up in the competitive check. Ultrasound use: Not stated on home page (thyroid RFA and venous work are ultrasound guided by nature). Confirm on the first call.</t>
        </is>
      </c>
      <c r="P46" s="203" t="inlineStr">
        <is>
          <t>SonoMax 9 (shear wave for thyroid, automatic vessel diameter) + SonoBook 9 (SonoPW multi gate PW, SonoIMT across visits)</t>
        </is>
      </c>
      <c r="Q46" s="206" t="inlineStr">
        <is>
          <t>P1</t>
        </is>
      </c>
      <c r="R46" s="203" t="inlineStr">
        <is>
          <t>P1: verified email on own site; high fit for CHISON.</t>
        </is>
      </c>
      <c r="S46" s="203" t="inlineStr">
        <is>
          <t>Own site opened 2 to 3 Oct 2026</t>
        </is>
      </c>
      <c r="T46" s="203" t="inlineStr">
        <is>
          <t>CHISON ultrasound for Supreme Vascular: duplex and procedure guidance</t>
        </is>
      </c>
      <c r="U46" s="203" t="inlineStr">
        <is>
          <t>Dear Dr Taneja,
I am Casper Tan, Senior Regional Sales Manager at AstraMed Healthcare, the Singapore subsidiary of CHISON Medical Technologies. Thyroid nodule radiofrequency ablation and venous work at Mount Alvernia are ultrasound guided from start to finish.
CHISON has made diagnostic ultrasound in Wuxi since 1996 and sells in more than 100 countries. The systems below are registered with HSA, with AstraMed as the local registrant, so supply, application training and service are all handled here in Singapore.
For vascular and venous work, these are the two I would suggest:
• SonoMax 9: our flagship cart, with shear wave elastography for small parts such as the thyroid and automatic vessel diameter measurement
• SonoBook 9: a laptop system with SonoPW multi gate pulsed wave Doppler and intima media thickness tracked across visits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Supreme Vascular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47" ht="48" customHeight="1" s="104">
      <c r="A47" s="203" t="n">
        <v>43</v>
      </c>
      <c r="B47" s="204" t="inlineStr">
        <is>
          <t>Advanced Urology</t>
        </is>
      </c>
      <c r="C47" s="203" t="inlineStr">
        <is>
          <t>Contacted</t>
        </is>
      </c>
      <c r="D47" s="203" t="inlineStr">
        <is>
          <t>Specialist centre</t>
        </is>
      </c>
      <c r="E47" s="203" t="inlineStr">
        <is>
          <t>Urology clinic</t>
        </is>
      </c>
      <c r="F47" s="203" t="inlineStr">
        <is>
          <t>Eight urologists, seven clinics: robotic and laparoscopic surgery, BPH therapies, stones, prostate cancer surveillance, andrology, women's urology, fusion prostate biopsy</t>
        </is>
      </c>
      <c r="G47" s="203" t="inlineStr">
        <is>
          <t>Orchard, Novena, Parkway East, Farrer Park, Thomson</t>
        </is>
      </c>
      <c r="H47" s="205" t="inlineStr">
        <is>
          <t>https://urology.com.sg</t>
        </is>
      </c>
      <c r="I47" s="203" t="inlineStr">
        <is>
          <t>+65 8866 1838 (appointments) / +65 6475 3668 (Gleneagles)</t>
        </is>
      </c>
      <c r="J47" s="203" t="inlineStr">
        <is>
          <t>enquiry@urology.com.sg</t>
        </is>
      </c>
      <c r="K47" s="203" t="inlineStr">
        <is>
          <t>Gleneagles Medical Centre, 6 Napier Road #04-07, Singapore 258499 (plus MEMC #17-14, MENSC #05-41, Parkway East #03-03A, Farrer Park #14-11, Mt Alvernia A #02-01, HMI MC #09-03)</t>
        </is>
      </c>
      <c r="L47" s="203" t="inlineStr">
        <is>
          <t>Dr James Tan, Dr Lewis Liew, Dr Ronny Tan and five other urologists (named on own site)</t>
        </is>
      </c>
      <c r="M47" s="206" t="inlineStr">
        <is>
          <t>A</t>
        </is>
      </c>
      <c r="N47" s="203" t="inlineStr">
        <is>
          <t>Fusion biopsy implies ultrasound in use; office scanning not stated</t>
        </is>
      </c>
      <c r="O47" s="203" t="inlineStr">
        <is>
          <t>Bladder volume, kidney and prostate checks in clinic; automatic bladder volume on SonoAir 70 is a direct fit. Ultrasound use: Fusion biopsy implies ultrasound in use; office scanning not stated. Confirm on the first call.</t>
        </is>
      </c>
      <c r="P47" s="203" t="inlineStr">
        <is>
          <t>SonoAir 70 (auto bladder volume, four active ports) + SonoBook 9 (laptop for kidney and bladder checks)</t>
        </is>
      </c>
      <c r="Q47" s="206" t="inlineStr">
        <is>
          <t>P1</t>
        </is>
      </c>
      <c r="R47" s="203" t="inlineStr">
        <is>
          <t>P1: verified email on own site; high fit for CHISON.</t>
        </is>
      </c>
      <c r="S47" s="203" t="inlineStr">
        <is>
          <t>Own site opened 2 to 3 Oct 2026</t>
        </is>
      </c>
      <c r="T47" s="203" t="inlineStr">
        <is>
          <t>CHISON ultrasound for Advanced Urology: bladder and kidney scans in clinic</t>
        </is>
      </c>
      <c r="U47" s="203" t="inlineStr">
        <is>
          <t>Dear Advanced Urology team,
I am Casper Tan, Senior Regional Sales Manager at AstraMed Healthcare, the Singapore subsidiary of CHISON Medical Technologies. Eight urologists across seven clinics see bladder, prostate and kidney questions every day that a quick scan in the room can settle.
CHISON has made diagnostic ultrasound in Wuxi since 1996 and sells in more than 100 countries. The systems below are registered with HSA, with AstraMed as the local registrant, so supply, application training and service are all handled here in Singapore.
For urology clinics, these are the two I would put forward:
• SonoAir 70: a 2.1 kg laptop with automatic bladder volume and four active probe ports, so you switch probes without unplugging
• SonoBook 9: a laptop system with about two hours of scanning on battery, for kidney and bladder checks between rooms
Across several clinics, one platform means one training programme and one service contact for every site.
Would a short call with whoever looks after equipment across Advanced Urology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48" ht="36" customHeight="1" s="104">
      <c r="A48" s="203" t="n">
        <v>44</v>
      </c>
      <c r="B48" s="204" t="inlineStr">
        <is>
          <t>S H Ho Urology &amp; Laparoscopy Centre</t>
        </is>
      </c>
      <c r="C48" s="203" t="inlineStr">
        <is>
          <t>Contacted</t>
        </is>
      </c>
      <c r="D48" s="203" t="inlineStr">
        <is>
          <t>Specialist centre</t>
        </is>
      </c>
      <c r="E48" s="203" t="inlineStr">
        <is>
          <t>Urology clinic</t>
        </is>
      </c>
      <c r="F48" s="203" t="inlineStr">
        <is>
          <t>Robotic and laparoscopic kidney, prostate and bladder surgery; MRI fusion biopsy. Four sites</t>
        </is>
      </c>
      <c r="G48" s="203" t="inlineStr">
        <is>
          <t>Orchard (Gleneagles), Novena, Thomson, Farrer Park</t>
        </is>
      </c>
      <c r="H48" s="205" t="inlineStr">
        <is>
          <t>https://urologycentre.com.sg</t>
        </is>
      </c>
      <c r="I48" s="203" t="inlineStr">
        <is>
          <t>+65 6475 2512 (fax 6475 2510)</t>
        </is>
      </c>
      <c r="J48" s="203" t="inlineStr">
        <is>
          <t>info@urologycentre.com.sg</t>
        </is>
      </c>
      <c r="K48" s="203" t="inlineStr">
        <is>
          <t>Gleneagles Medical Centre, 6 Napier Road #09-18, Singapore 258499 (plus MENSC #07-44, CAH Specialists @ Mount Alvernia and @ Farrer)</t>
        </is>
      </c>
      <c r="L48" s="203" t="inlineStr">
        <is>
          <t>Dr Ho Siew Hong, Senior Consultant Urologist (named on own site)</t>
        </is>
      </c>
      <c r="M48" s="206" t="inlineStr">
        <is>
          <t>A</t>
        </is>
      </c>
      <c r="N48" s="203" t="inlineStr">
        <is>
          <t>Fusion biopsy implies ultrasound in use</t>
        </is>
      </c>
      <c r="O48" s="203" t="inlineStr">
        <is>
          <t>Bladder volume, kidney and prostate checks in clinic; automatic bladder volume on SonoAir 70 is a direct fit. Ultrasound use: Fusion biopsy implies ultrasound in use. Confirm on the first call.</t>
        </is>
      </c>
      <c r="P48" s="203" t="inlineStr">
        <is>
          <t>SonoAir 70 (auto bladder volume, four active ports) + SonoBook 9 (laptop for kidney and bladder checks)</t>
        </is>
      </c>
      <c r="Q48" s="206" t="inlineStr">
        <is>
          <t>P1</t>
        </is>
      </c>
      <c r="R48" s="203" t="inlineStr">
        <is>
          <t>P1: verified email on own site; high fit for CHISON.</t>
        </is>
      </c>
      <c r="S48" s="203" t="inlineStr">
        <is>
          <t>Own site opened 2 to 3 Oct 2026</t>
        </is>
      </c>
      <c r="T48" s="203" t="inlineStr">
        <is>
          <t>CHISON ultrasound for S H Ho Urology: bladder and kidney scans in clinic</t>
        </is>
      </c>
      <c r="U48" s="203" t="inlineStr">
        <is>
          <t>Dear Dr Ho,
I am Casper Tan, Senior Regional Sales Manager at AstraMed Healthcare, the Singapore subsidiary of CHISON Medical Technologies. Prostate, bladder and kidney work across your sites raises daily questions on residual volume and kidney size that a scan in the room settles.
CHISON has made diagnostic ultrasound in Wuxi since 1996 and sells in more than 100 countries. The systems below are registered with HSA, with AstraMed as the local registrant, so supply, application training and service are all handled here in Singapore.
For urology clinics, these are the two I would suggest:
• SonoAir 70: a 2.1 kg laptop with automatic bladder volume and four active probe ports, so you switch probes without unplugging
• SonoBook 9: a laptop system with about two hours of scanning on battery, for kidney and bladder checks between rooms
My aim is to put strong image quality within reach of an independent practice, with application training done locally so your team is confident from the first week.
Our demonstration units arrive in Singapore in October. Could I bring both systems to S H Ho Urology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49" ht="48" customHeight="1" s="104">
      <c r="A49" s="203" t="n">
        <v>45</v>
      </c>
      <c r="B49" s="204" t="inlineStr">
        <is>
          <t>TTW Urology</t>
        </is>
      </c>
      <c r="C49" s="203" t="inlineStr">
        <is>
          <t>Contacted</t>
        </is>
      </c>
      <c r="D49" s="203" t="inlineStr">
        <is>
          <t>Specialist centre</t>
        </is>
      </c>
      <c r="E49" s="203" t="inlineStr">
        <is>
          <t>Urology clinic</t>
        </is>
      </c>
      <c r="F49" s="203" t="inlineStr">
        <is>
          <t>Robotic urology, prostate cancer screening, MRI ultrasound fusion transperineal prostate biopsy, stones</t>
        </is>
      </c>
      <c r="G49" s="203" t="inlineStr">
        <is>
          <t>Novena (Mount Elizabeth Novena)</t>
        </is>
      </c>
      <c r="H49" s="205" t="inlineStr">
        <is>
          <t>https://ttwurology.com.sg</t>
        </is>
      </c>
      <c r="I49" s="203" t="inlineStr">
        <is>
          <t>+65 6518 3622 / WhatsApp +65 8090 3075</t>
        </is>
      </c>
      <c r="J49" s="203" t="inlineStr">
        <is>
          <t>info@ttwurology.com.sg</t>
        </is>
      </c>
      <c r="K49" s="203" t="inlineStr">
        <is>
          <t>Mount Elizabeth Novena Hospital, 38 Irrawaddy Road #08-54, Singapore 329563</t>
        </is>
      </c>
      <c r="L49" s="203" t="inlineStr">
        <is>
          <t>Dr Tan Teck Wei, Senior Consultant Urologist (named on own site)</t>
        </is>
      </c>
      <c r="M49" s="206" t="inlineStr">
        <is>
          <t>A</t>
        </is>
      </c>
      <c r="N49" s="203" t="inlineStr">
        <is>
          <t>Yes. MRI ultrasound fusion biopsy listed</t>
        </is>
      </c>
      <c r="O49" s="203" t="inlineStr">
        <is>
          <t>Bladder volume, kidney and prostate checks in clinic; automatic bladder volume on SonoAir 70 is a direct fit. Ultrasound already in use (MRI ultrasound fusion biopsy listed), so pitch added capacity or a second room.</t>
        </is>
      </c>
      <c r="P49" s="203" t="inlineStr">
        <is>
          <t>SonoAir 70 (auto bladder volume, four active ports) + SonoBook 9 (laptop for kidney and bladder checks)</t>
        </is>
      </c>
      <c r="Q49" s="206" t="inlineStr">
        <is>
          <t>P1</t>
        </is>
      </c>
      <c r="R49" s="203" t="inlineStr">
        <is>
          <t>P1: verified email on own site; high fit for CHISON; already scans in house.</t>
        </is>
      </c>
      <c r="S49" s="203" t="inlineStr">
        <is>
          <t>Own site opened 2 to 3 Oct 2026; email decoded from the site's spam protected link</t>
        </is>
      </c>
      <c r="T49" s="203" t="inlineStr">
        <is>
          <t>CHISON ultrasound for TTW Urology: bladder and kidney scans in clinic</t>
        </is>
      </c>
      <c r="U49" s="203" t="inlineStr">
        <is>
          <t>Dear Dr Tan,
I am Casper Tan, Senior Regional Sales Manager at AstraMed Healthcare, the Singapore subsidiary of CHISON Medical Technologies. Your fusion prostate biopsy work shows ultrasound is already central, and a compact second system for clinic scanning keeps the biopsy setup free for procedures.
CHISON has made diagnostic ultrasound in Wuxi since 1996 and sells in more than 100 countries. The systems below are registered with HSA, with AstraMed as the local registrant, so supply, application training and service are all handled here in Singapore.
For urology clinics, these are the two I would suggest:
• SonoAir 70: a 2.1 kg laptop with automatic bladder volume and four active probe ports, so you switch probes without unplugging
• SonoBook 9: a laptop system with about two hours of scanning on battery, for kidney and bladder checks between rooms
If you already have a system you are happy with, a second CHISON unit is a practical way to add capacity or free your main room for the longer scans.
Our demonstration units arrive in Singapore in October. Could I bring both systems to TTW Urology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50" ht="36" customHeight="1" s="104">
      <c r="A50" s="203" t="n">
        <v>46</v>
      </c>
      <c r="B50" s="204" t="inlineStr">
        <is>
          <t>URODOC (Dr Lee Fang Jann)</t>
        </is>
      </c>
      <c r="C50" s="203" t="inlineStr">
        <is>
          <t>Contacted</t>
        </is>
      </c>
      <c r="D50" s="203" t="inlineStr">
        <is>
          <t>Specialist centre</t>
        </is>
      </c>
      <c r="E50" s="203" t="inlineStr">
        <is>
          <t>Urology clinic</t>
        </is>
      </c>
      <c r="F50" s="203" t="inlineStr">
        <is>
          <t>Prostate ultrasound, TRUS biopsy, bladder procedures, stones, male infertility, uro oncology</t>
        </is>
      </c>
      <c r="G50" s="203" t="inlineStr">
        <is>
          <t>Farrer Park and Orchard (Mount Elizabeth)</t>
        </is>
      </c>
      <c r="H50" s="205" t="inlineStr">
        <is>
          <t>https://urodoc.sg</t>
        </is>
      </c>
      <c r="I50" s="203" t="inlineStr">
        <is>
          <t>+65 6993 3000 (Farrer Park) / +65 6993 2000 (Mount Elizabeth) / WhatsApp +65 8800 3633</t>
        </is>
      </c>
      <c r="J50" s="203" t="inlineStr">
        <is>
          <t>hello@urodoc.sg</t>
        </is>
      </c>
      <c r="K50" s="203" t="inlineStr">
        <is>
          <t>Farrer Park Medical Centre #08-05, 1 Farrer Park Station Road, Singapore 217562; Mount Elizabeth Medical Centre #11-16, 3 Mount Elizabeth, Singapore 228510</t>
        </is>
      </c>
      <c r="L50" s="203" t="inlineStr">
        <is>
          <t>Dr Lee Fang Jann, Urologist and Renal Transplant Surgeon (named on own site)</t>
        </is>
      </c>
      <c r="M50" s="206" t="inlineStr">
        <is>
          <t>A</t>
        </is>
      </c>
      <c r="N50" s="203" t="inlineStr">
        <is>
          <t>Yes. Prostate ultrasound and TRUS listed</t>
        </is>
      </c>
      <c r="O50" s="203" t="inlineStr">
        <is>
          <t>Bladder volume, kidney and prostate checks in clinic; automatic bladder volume on SonoAir 70 is a direct fit. Ultrasound already in use (Prostate ultrasound and TRUS listed), so pitch added capacity or a second room.</t>
        </is>
      </c>
      <c r="P50" s="203" t="inlineStr">
        <is>
          <t>SonoAir 70 (auto bladder volume, four active ports) + SonoBook 9 (laptop for kidney and bladder checks)</t>
        </is>
      </c>
      <c r="Q50" s="206" t="inlineStr">
        <is>
          <t>P1</t>
        </is>
      </c>
      <c r="R50" s="203" t="inlineStr">
        <is>
          <t>P1: verified email on own site; high fit for CHISON; already scans in house.</t>
        </is>
      </c>
      <c r="S50" s="203" t="inlineStr">
        <is>
          <t>Own site opened 2 to 3 Oct 2026</t>
        </is>
      </c>
      <c r="T50" s="203" t="inlineStr">
        <is>
          <t>CHISON ultrasound for URODOC: bladder and kidney scans in clinic</t>
        </is>
      </c>
      <c r="U50" s="203" t="inlineStr">
        <is>
          <t>Dear Dr Lee,
I am Casper Tan, Senior Regional Sales Manager at AstraMed Healthcare, the Singapore subsidiary of CHISON Medical Technologies. Prostate ultrasound and TRUS biopsy are already part of your practice at Farrer Park and Mount Elizabeth.
CHISON has made diagnostic ultrasound in Wuxi since 1996 and sells in more than 100 countries. The systems below are registered with HSA, with AstraMed as the local registrant, so supply, application training and service are all handled here in Singapore.
For urology clinics, I would start with these two:
• SonoAir 70: a 2.1 kg laptop with automatic bladder volume and four active probe ports, so you switch probes without unplugging
• SonoBook 9: a laptop system with about two hours of scanning on battery, for kidney and bladder checks between rooms
If you already have a system you are happy with, a second CHISON unit is a practical way to add capacity or free your main room for the longer scans.
Our demonstration units arrive in Singapore in October. Could I bring both systems to URODOC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51" ht="36" customHeight="1" s="104">
      <c r="A51" s="203" t="n">
        <v>47</v>
      </c>
      <c r="B51" s="204" t="inlineStr">
        <is>
          <t>Urohealth Medical Clinic</t>
        </is>
      </c>
      <c r="C51" s="203" t="inlineStr">
        <is>
          <t>Contacted</t>
        </is>
      </c>
      <c r="D51" s="203" t="inlineStr">
        <is>
          <t>Specialist centre</t>
        </is>
      </c>
      <c r="E51" s="203" t="inlineStr">
        <is>
          <t>Urology clinic</t>
        </is>
      </c>
      <c r="F51" s="203" t="inlineStr">
        <is>
          <t>BPH (Urolift, water vapour), incontinence and overactive bladder, stones, robotic surgery, men's and female urology</t>
        </is>
      </c>
      <c r="G51" s="203" t="inlineStr">
        <is>
          <t>Novena, Thomson, Orchard</t>
        </is>
      </c>
      <c r="H51" s="205" t="inlineStr">
        <is>
          <t>https://urologysingapore.com</t>
        </is>
      </c>
      <c r="I51" s="203" t="inlineStr">
        <is>
          <t>+65 6873 3800</t>
        </is>
      </c>
      <c r="J51" s="203" t="inlineStr">
        <is>
          <t>info@urohealth.sg</t>
        </is>
      </c>
      <c r="K51" s="203" t="inlineStr">
        <is>
          <t>Mount Elizabeth Novena Hospital; Mount Alvernia Medical Centre D; Mount Elizabeth Orchard (units not on home page)</t>
        </is>
      </c>
      <c r="L51" s="203" t="inlineStr">
        <is>
          <t>Dr Tan Yung Khan, Senior Consultant Urologist and Medical Director (named on own site)</t>
        </is>
      </c>
      <c r="M51" s="206" t="inlineStr">
        <is>
          <t>A</t>
        </is>
      </c>
      <c r="N51" s="203" t="inlineStr">
        <is>
          <t>Not stated on home page</t>
        </is>
      </c>
      <c r="O51" s="203" t="inlineStr">
        <is>
          <t>Bladder volume, kidney and prostate checks in clinic; automatic bladder volume on SonoAir 70 is a direct fit. Ultrasound use: Not stated on home page. Confirm on the first call.</t>
        </is>
      </c>
      <c r="P51" s="203" t="inlineStr">
        <is>
          <t>SonoAir 70 (auto bladder volume, four active ports) + SonoBook 9 (laptop for kidney and bladder checks)</t>
        </is>
      </c>
      <c r="Q51" s="206" t="inlineStr">
        <is>
          <t>P1</t>
        </is>
      </c>
      <c r="R51" s="203" t="inlineStr">
        <is>
          <t>P1: verified email on own site; high fit for CHISON.</t>
        </is>
      </c>
      <c r="S51" s="203" t="inlineStr">
        <is>
          <t>Own site opened 2 to 3 Oct 2026</t>
        </is>
      </c>
      <c r="T51" s="203" t="inlineStr">
        <is>
          <t>CHISON ultrasound for Urohealth Medical Clinic: bladder and kidney scans in clinic</t>
        </is>
      </c>
      <c r="U51" s="203" t="inlineStr">
        <is>
          <t>Dear Dr Tan,
I am Casper Tan, Senior Regional Sales Manager at AstraMed Healthcare, the Singapore subsidiary of CHISON Medical Technologies. BPH, incontinence and overactive bladder care all start with residual volume and bladder assessment, which is exactly what a quick scan in clinic gives you.
CHISON has made diagnostic ultrasound in Wuxi since 1996 and sells in more than 100 countries. The systems below are registered with HSA, with AstraMed as the local registrant, so supply, application training and service are all handled here in Singapore.
For urology clinics, these are the two I would put forward:
• SonoAir 70: a 2.1 kg laptop with automatic bladder volume and four active probe ports, so you switch probes without unplugging
• SonoBook 9: a laptop system with about two hours of scanning on battery, for kidney and bladder checks between rooms
My aim is to put strong image quality within reach of an independent practice, with application training done locally so your team is confident from the first week.
Our demonstration units arrive in Singapore in October. Could I bring both systems to Urohealth Medical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52" ht="36" customHeight="1" s="104">
      <c r="A52" s="203" t="n">
        <v>48</v>
      </c>
      <c r="B52" s="204" t="inlineStr">
        <is>
          <t>Ascle Healthcare Group (AHG) House Call</t>
        </is>
      </c>
      <c r="C52" s="203" t="inlineStr">
        <is>
          <t>Contacted</t>
        </is>
      </c>
      <c r="D52" s="203" t="inlineStr">
        <is>
          <t>Specialist centre</t>
        </is>
      </c>
      <c r="E52" s="203" t="inlineStr">
        <is>
          <t>Home care &amp; house call medicine</t>
        </is>
      </c>
      <c r="F52" s="203" t="inlineStr">
        <is>
          <t>24/7 home medical consultations, acute and chronic care, portable diagnostics (ECG, glucose, oximetry), wound care, post discharge follow up</t>
        </is>
      </c>
      <c r="G52" s="203" t="inlineStr">
        <is>
          <t>Islandwide (office Parkview Square)</t>
        </is>
      </c>
      <c r="H52" s="205" t="inlineStr">
        <is>
          <t>https://www.ahg.com.sg</t>
        </is>
      </c>
      <c r="I52" s="203" t="inlineStr">
        <is>
          <t>+65 6956 6588 / +65 8877 3318 (24 hr, WhatsApp)</t>
        </is>
      </c>
      <c r="J52" s="203" t="inlineStr">
        <is>
          <t>admin@ahg.com.sg</t>
        </is>
      </c>
      <c r="K52" s="203" t="inlineStr">
        <is>
          <t>Parkview Square, 600 North Bridge Road #10-01, Singapore 188778</t>
        </is>
      </c>
      <c r="L52" s="203" t="inlineStr">
        <is>
          <t>Dr Melissa Chan, GP (named on own site)</t>
        </is>
      </c>
      <c r="M52" s="206" t="inlineStr">
        <is>
          <t>A</t>
        </is>
      </c>
      <c r="N52" s="203" t="inlineStr">
        <is>
          <t>Not stated (portable ECG and bedside tests already in kit)</t>
        </is>
      </c>
      <c r="O52" s="203" t="inlineStr">
        <is>
          <t>House call doctors need a pocket scan for bladder, lungs and fluid; low unit price, repeatable across the team. Ultrasound use: Not stated (portable ECG and bedside tests already in kit). Confirm on the first call.</t>
        </is>
      </c>
      <c r="P52" s="203" t="inlineStr">
        <is>
          <t>SonoEye P3 (pocket handheld for the house call bag) + SonoAir 70 (2.1 kg, 26 mm, auto bladder volume)</t>
        </is>
      </c>
      <c r="Q52" s="206" t="inlineStr">
        <is>
          <t>P1</t>
        </is>
      </c>
      <c r="R52" s="203" t="inlineStr">
        <is>
          <t>P1: verified email on own site; high fit for CHISON.</t>
        </is>
      </c>
      <c r="S52" s="203" t="inlineStr">
        <is>
          <t>Own site opened 2 to 3 Oct 2026; email decoded from the site's spam protected link</t>
        </is>
      </c>
      <c r="T52" s="203" t="inlineStr">
        <is>
          <t>CHISON pocket ultrasound for Ascle Healthcare house calls</t>
        </is>
      </c>
      <c r="U52" s="203" t="inlineStr">
        <is>
          <t>Dear Ascle Healthcare team,
I am Casper Tan, Senior Regional Sales Manager at AstraMed Healthcare, the Singapore subsidiary of CHISON Medical Technologies. Your doctors already carry ECG and point of care tests on house calls, and a pocket ultrasound is the natural addition to that kit.
CHISON has made diagnostic ultrasound in Wuxi since 1996 and sells in more than 100 countries. The systems below are registered with HSA, with AstraMed as the local registrant, so supply, application training and service are all handled here in Singapore.
For house calls, these are the two I would put forward:
• SonoEye P3: a pocket handheld that fits in the house call bag
• SonoAir 70: a 2.1 kg laptop, 26 mm thick, with automatic bladder volume, for the visits that need more than a pocket scan
A pocket unit goes wherever your doctors go and costs far less than a cart, which is why it suits house call work.
Could I bring both to your team for a 20 minute try in the second half of October, so your doctors can see whether they fit the house call bag?
Best regards,
Casper Tan
Senior Regional Sales Manager
AstraMed Healthcare Pte Ltd, a subsidiary of CHISON Medical Technologies
casper@astramed.sg | +65 8719 0121</t>
        </is>
      </c>
    </row>
    <row r="53" ht="36" customHeight="1" s="104">
      <c r="A53" s="203" t="n">
        <v>49</v>
      </c>
      <c r="B53" s="204" t="inlineStr">
        <is>
          <t>DCMED (DC Medical Services)</t>
        </is>
      </c>
      <c r="C53" s="203" t="inlineStr">
        <is>
          <t>Contacted</t>
        </is>
      </c>
      <c r="D53" s="203" t="inlineStr">
        <is>
          <t>Specialist centre</t>
        </is>
      </c>
      <c r="E53" s="203" t="inlineStr">
        <is>
          <t>Home care &amp; house call medicine</t>
        </is>
      </c>
      <c r="F53" s="203" t="inlineStr">
        <is>
          <t>House calls within an hour, elderly and bedridden home care, telemedicine, workplace doctor and occupational health, ECG, wound care</t>
        </is>
      </c>
      <c r="G53" s="203" t="inlineStr">
        <is>
          <t>Novena (Goldhill Plaza), islandwide visits</t>
        </is>
      </c>
      <c r="H53" s="205" t="inlineStr">
        <is>
          <t>https://dcmed.org</t>
        </is>
      </c>
      <c r="I53" s="203" t="inlineStr">
        <is>
          <t>+65 9837 0158</t>
        </is>
      </c>
      <c r="J53" s="203" t="inlineStr">
        <is>
          <t>enquiry@dcmed.org</t>
        </is>
      </c>
      <c r="K53" s="203" t="inlineStr">
        <is>
          <t>51 Goldhill Plaza #19-10/12, Singapore 308900</t>
        </is>
      </c>
      <c r="L53" s="203" t="inlineStr">
        <is>
          <t>Dr Carol Lee, GP (named on own site)</t>
        </is>
      </c>
      <c r="M53" s="206" t="inlineStr">
        <is>
          <t>A</t>
        </is>
      </c>
      <c r="N53" s="203" t="inlineStr">
        <is>
          <t>Not stated</t>
        </is>
      </c>
      <c r="O53" s="203" t="inlineStr">
        <is>
          <t>House call doctors need a pocket scan for bladder, lungs and fluid; low unit price, repeatable across the team. Ultrasound use: Not stated. Confirm on the first call.</t>
        </is>
      </c>
      <c r="P53" s="203" t="inlineStr">
        <is>
          <t>SonoEye P3 (pocket handheld for the house call bag) + SonoAir 70 (2.1 kg, 26 mm, auto bladder volume)</t>
        </is>
      </c>
      <c r="Q53" s="206" t="inlineStr">
        <is>
          <t>P1</t>
        </is>
      </c>
      <c r="R53" s="203" t="inlineStr">
        <is>
          <t>P1: verified email on own site; high fit for CHISON.</t>
        </is>
      </c>
      <c r="S53" s="203" t="inlineStr">
        <is>
          <t>Own site opened 2 to 3 Oct 2026</t>
        </is>
      </c>
      <c r="T53" s="203" t="inlineStr">
        <is>
          <t>CHISON pocket ultrasound for DCMED house calls</t>
        </is>
      </c>
      <c r="U53" s="203" t="inlineStr">
        <is>
          <t>Dear Dr Lee,
I am Casper Tan, Senior Regional Sales Manager at AstraMed Healthcare, the Singapore subsidiary of CHISON Medical Technologies. House calls within the hour for elderly and bedridden patients are exactly where a pocket scan can save a hospital trip.
CHISON has made diagnostic ultrasound in Wuxi since 1996 and sells in more than 100 countries. The systems below are registered with HSA, with AstraMed as the local registrant, so supply, application training and service are all handled here in Singapore.
For house calls, I would start with these two:
• SonoEye P3: a pocket handheld that fits in the house call bag
• SonoAir 70: a 2.1 kg laptop, 26 mm thick, with automatic bladder volume, for the visits that need more than a pocket scan
A pocket unit goes wherever your doctors go and costs far less than a cart, which is why it suits house call work.
Could I bring both to your team for a 20 minute try in the second half of October, so your doctors can see whether they fit the house call bag?
Best regards,
Casper Tan
Senior Regional Sales Manager
AstraMed Healthcare Pte Ltd, a subsidiary of CHISON Medical Technologies
casper@astramed.sg | +65 8719 0121</t>
        </is>
      </c>
    </row>
    <row r="54" ht="36" customHeight="1" s="104">
      <c r="A54" s="203" t="n">
        <v>50</v>
      </c>
      <c r="B54" s="204" t="inlineStr">
        <is>
          <t>Urgent Care At Home</t>
        </is>
      </c>
      <c r="C54" s="203" t="inlineStr">
        <is>
          <t>Contacted</t>
        </is>
      </c>
      <c r="D54" s="203" t="inlineStr">
        <is>
          <t>Specialist centre</t>
        </is>
      </c>
      <c r="E54" s="203" t="inlineStr">
        <is>
          <t>Home care &amp; house call medicine</t>
        </is>
      </c>
      <c r="F54" s="203" t="inlineStr">
        <is>
          <t>24/7 islandwide house call doctors, post discharge care, palliative home care, elderly and paediatric home visits, teleconsultation</t>
        </is>
      </c>
      <c r="G54" s="203" t="inlineStr">
        <is>
          <t>Islandwide</t>
        </is>
      </c>
      <c r="H54" s="205" t="inlineStr">
        <is>
          <t>https://urgentcareathome.sg</t>
        </is>
      </c>
      <c r="I54" s="203" t="inlineStr">
        <is>
          <t>+65 8850 5133 / WhatsApp +65 8505 5728</t>
        </is>
      </c>
      <c r="J54" s="203" t="inlineStr">
        <is>
          <t>hello@urgentcareathome.sg</t>
        </is>
      </c>
      <c r="K54" s="203" t="inlineStr">
        <is>
          <t>Not published on site (Urgent Care At Home Pte Ltd, UEN 202627146M)</t>
        </is>
      </c>
      <c r="L54" s="203" t="inlineStr">
        <is>
          <t>Not named on page</t>
        </is>
      </c>
      <c r="M54" s="206" t="inlineStr">
        <is>
          <t>A</t>
        </is>
      </c>
      <c r="N54" s="203" t="inlineStr">
        <is>
          <t>Not stated</t>
        </is>
      </c>
      <c r="O54" s="203" t="inlineStr">
        <is>
          <t>House call doctors need a pocket scan for bladder, lungs and fluid; low unit price, repeatable across the team. Ultrasound use: Not stated. Confirm on the first call.</t>
        </is>
      </c>
      <c r="P54" s="203" t="inlineStr">
        <is>
          <t>SonoEye P3 (pocket handheld for the house call bag) + SonoAir 70 (2.1 kg, 26 mm, auto bladder volume)</t>
        </is>
      </c>
      <c r="Q54" s="206" t="inlineStr">
        <is>
          <t>P1</t>
        </is>
      </c>
      <c r="R54" s="203" t="inlineStr">
        <is>
          <t>P1: verified email on own site; high fit for CHISON.</t>
        </is>
      </c>
      <c r="S54" s="203" t="inlineStr">
        <is>
          <t>Own site opened 2 to 3 Oct 2026</t>
        </is>
      </c>
      <c r="T54" s="203" t="inlineStr">
        <is>
          <t>CHISON pocket ultrasound for Urgent Care At Home house calls</t>
        </is>
      </c>
      <c r="U54" s="203" t="inlineStr">
        <is>
          <t>Dear Urgent Care At Home team,
I am Casper Tan, Senior Regional Sales Manager at AstraMed Healthcare, the Singapore subsidiary of CHISON Medical Technologies. Your 24/7 house call service handles post discharge and elderly visits where a pocket scan answers questions about bladder, fluid and lungs at the bedside.
CHISON has made diagnostic ultrasound in Wuxi since 1996 and sells in more than 100 countries. The systems below are registered with HSA, with AstraMed as the local registrant, so supply, application training and service are all handled here in Singapore.
For house calls, these are the two I would suggest:
• SonoEye P3: a pocket handheld that fits in the house call bag
• SonoAir 70: a 2.1 kg laptop, 26 mm thick, with automatic bladder volume, for the visits that need more than a pocket scan
A pocket unit goes wherever your doctors go and costs far less than a cart, which is why it suits house call work.
Could I bring both to your team for a 20 minute try in the second half of October, so your doctors can see whether they fit the house call bag?
Best regards,
Casper Tan
Senior Regional Sales Manager
AstraMed Healthcare Pte Ltd, a subsidiary of CHISON Medical Technologies
casper@astramed.sg | +65 8719 0121</t>
        </is>
      </c>
    </row>
    <row r="55" ht="36" customHeight="1" s="104">
      <c r="A55" s="203" t="n">
        <v>51</v>
      </c>
      <c r="B55" s="204" t="inlineStr">
        <is>
          <t>Radoc Imaging Radiology Centre</t>
        </is>
      </c>
      <c r="C55" s="203" t="inlineStr">
        <is>
          <t>Contacted</t>
        </is>
      </c>
      <c r="D55" s="203" t="inlineStr">
        <is>
          <t>Specialist centre</t>
        </is>
      </c>
      <c r="E55" s="203" t="inlineStr">
        <is>
          <t>Imaging centre (X-ray &amp; ultrasound)</t>
        </is>
      </c>
      <c r="F55" s="203" t="inlineStr">
        <is>
          <t>Independent CBD radiology centre: digital X-ray and ultrasound/sonography</t>
        </is>
      </c>
      <c r="G55" s="203" t="inlineStr">
        <is>
          <t>Raffles Place (CBD)</t>
        </is>
      </c>
      <c r="H55" s="205" t="inlineStr">
        <is>
          <t>https://www.radocimaging.com.sg</t>
        </is>
      </c>
      <c r="I55" s="203" t="inlineStr">
        <is>
          <t>+65 6781 3818 (fax 6781 3829)</t>
        </is>
      </c>
      <c r="J55" s="203" t="inlineStr">
        <is>
          <t>contactus@radocimaging.com.sg</t>
        </is>
      </c>
      <c r="K55" s="203" t="inlineStr">
        <is>
          <t>#05-20 OneRaffles Place Shopping Mall, 1 Raffles Place, Singapore 048616</t>
        </is>
      </c>
      <c r="L55" s="203" t="inlineStr">
        <is>
          <t>Not named on site</t>
        </is>
      </c>
      <c r="M55" s="206" t="inlineStr">
        <is>
          <t>A</t>
        </is>
      </c>
      <c r="N55" s="203" t="inlineStr">
        <is>
          <t>Yes. Ultrasound is a core modality</t>
        </is>
      </c>
      <c r="O55" s="203" t="inlineStr">
        <is>
          <t>Ultrasound capacity is the product here, so image quality per dollar decides the purchase. Ultrasound already in use (Ultrasound is a core modality), so pitch added capacity or a second room.</t>
        </is>
      </c>
      <c r="P55" s="203" t="inlineStr">
        <is>
          <t>SonoMax 9 (AI breast lesion assessment, shear wave for small parts, single crystal) + SonoPort 8 (mid tier cart, 23.8 in + 15.6 in touch, about 3 h battery)</t>
        </is>
      </c>
      <c r="Q55" s="206" t="inlineStr">
        <is>
          <t>P1</t>
        </is>
      </c>
      <c r="R55" s="203" t="inlineStr">
        <is>
          <t>P1: verified email on own site; high fit for CHISON; already scans in house.</t>
        </is>
      </c>
      <c r="S55" s="203" t="inlineStr">
        <is>
          <t>Own site opened 2 to 3 Oct 2026</t>
        </is>
      </c>
      <c r="T55" s="203" t="inlineStr">
        <is>
          <t>CHISON ultrasound for Radoc Imaging: added scanning capacity</t>
        </is>
      </c>
      <c r="U55" s="203" t="inlineStr">
        <is>
          <t>Dear Radoc Imaging team,
I am Casper Tan, Senior Regional Sales Manager at AstraMed Healthcare, the Singapore subsidiary of CHISON Medical Technologies. For an independent X-ray and ultrasound centre in Raffles Place, every ultrasound room has to earn its keep.
CHISON has made diagnostic ultrasound in Wuxi since 1996 and sells in more than 100 countries. The systems below are registered with HSA, with AstraMed as the local registrant, so supply, application training and service are all handled here in Singapore.
For an imaging centre, I would start with these two:
• SonoMax 9: our flagship cart, with AI assisted breast lesion assessment, shear wave elastography for small parts and single crystal probes
• SonoPort 8: a mid tier cart with a 23.8 inch monitor and 15.6 inch touch screen, and up to about three hours on battery so it can move between rooms or go to onsite screenings
If you already have a system you are happy with, a second CHISON unit is a practical way to add capacity or free your main room for the longer scans.
Our demonstration units arrive in Singapore in October. Could I bring both systems to Radoc Imaging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56" ht="48" customHeight="1" s="104">
      <c r="A56" s="203" t="n">
        <v>52</v>
      </c>
      <c r="B56" s="204" t="inlineStr">
        <is>
          <t>Arden Endocrinology Specialist Clinic</t>
        </is>
      </c>
      <c r="C56" s="203" t="inlineStr">
        <is>
          <t>Contacted</t>
        </is>
      </c>
      <c r="D56" s="203" t="inlineStr">
        <is>
          <t>Specialist centre</t>
        </is>
      </c>
      <c r="E56" s="203" t="inlineStr">
        <is>
          <t>Endocrine &amp; thyroid clinic</t>
        </is>
      </c>
      <c r="F56" s="203" t="inlineStr">
        <is>
          <t>Diabetes, thyroid, adrenal, bone, PCOS; in house thyroid ultrasound assessment and FNA biopsy</t>
        </is>
      </c>
      <c r="G56" s="203" t="inlineStr">
        <is>
          <t>Novena (MENSC and Royal Square)</t>
        </is>
      </c>
      <c r="H56" s="205" t="inlineStr">
        <is>
          <t>https://www.arden.com.sg</t>
        </is>
      </c>
      <c r="I56" s="203" t="inlineStr">
        <is>
          <t>+65 6334 2301 (fax 6334 3273)</t>
        </is>
      </c>
      <c r="J56" s="203" t="inlineStr">
        <is>
          <t>admin@arden.com.sg</t>
        </is>
      </c>
      <c r="K56" s="203" t="inlineStr">
        <is>
          <t>Mount Elizabeth Novena Specialist Centre #04-28, 38 Irrawaddy Road, Singapore 329563; Royal Square Medical Centre #10-08, Singapore 329566</t>
        </is>
      </c>
      <c r="L56" s="203" t="inlineStr">
        <is>
          <t>Dr Ben Ng and Dr Donovan Tay, Senior Consultant Endocrinologists (named on own site)</t>
        </is>
      </c>
      <c r="M56" s="206" t="inlineStr">
        <is>
          <t>A</t>
        </is>
      </c>
      <c r="N56" s="203" t="inlineStr">
        <is>
          <t>Yes. Thyroid ultrasound and FNA in house</t>
        </is>
      </c>
      <c r="O56" s="203" t="inlineStr">
        <is>
          <t>Thyroid nodule and FNA work is linear probe work, where CHISON is strongest; automatic thyroid lesion measurement saves time per scan. Ultrasound already in use (Thyroid ultrasound and FNA in house), so pitch added capacity or a second room.</t>
        </is>
      </c>
      <c r="P56" s="203" t="inlineStr">
        <is>
          <t>SonoBook 9 (automatic thyroid lesion measurement, FNA guidance) + SonoMax 9 (shear wave for thyroid, automatic vessel diameter)</t>
        </is>
      </c>
      <c r="Q56" s="206" t="inlineStr">
        <is>
          <t>P1</t>
        </is>
      </c>
      <c r="R56" s="203" t="inlineStr">
        <is>
          <t>P1: verified email on own site; high fit for CHISON; already scans in house.</t>
        </is>
      </c>
      <c r="S56" s="203" t="inlineStr">
        <is>
          <t>Own site opened 2 to 3 Oct 2026; email decoded from the site's spam protected link</t>
        </is>
      </c>
      <c r="T56" s="203" t="inlineStr">
        <is>
          <t>CHISON ultrasound for Arden Endocrinology: thyroid scans and FNA guidance in clinic</t>
        </is>
      </c>
      <c r="U56" s="203" t="inlineStr">
        <is>
          <t>Dear Dr Ng and Dr Tay,
I am Casper Tan, Senior Regional Sales Manager at AstraMed Healthcare, the Singapore subsidiary of CHISON Medical Technologies. Thyroid ultrasound assessment and FNA biopsy are already done in house at both your clinics.
CHISON has made diagnostic ultrasound in Wuxi since 1996 and sells in more than 100 countries. The systems below are registered with HSA, with AstraMed as the local registrant, so supply, application training and service are all handled here in Singapore.
For thyroid and neck work, these are the two I would put forward:
• SonoBook 9: a laptop system with automatic thyroid lesion measurement, compact enough for the FNA trolley
• SonoMax 9: our flagship cart, with shear wave elastography for small parts such as the thyroid and automatic vessel diameter measurement
If you already have a system you are happy with, a second CHISON unit is a practical way to add capacity or free your main room for the longer scans.
Our demonstration units arrive in Singapore in October. Could I bring both systems to Arden Endocrinology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57" ht="48" customHeight="1" s="104">
      <c r="A57" s="203" t="n">
        <v>53</v>
      </c>
      <c r="B57" s="204" t="inlineStr">
        <is>
          <t>Dr Linsey Gani Endocrinology</t>
        </is>
      </c>
      <c r="C57" s="203" t="inlineStr">
        <is>
          <t>Contacted</t>
        </is>
      </c>
      <c r="D57" s="203" t="inlineStr">
        <is>
          <t>Specialist centre</t>
        </is>
      </c>
      <c r="E57" s="203" t="inlineStr">
        <is>
          <t>Endocrine &amp; thyroid clinic</t>
        </is>
      </c>
      <c r="F57" s="203" t="inlineStr">
        <is>
          <t>Thyroid disorders, ultrasound imaging, FNAC, hormone therapy</t>
        </is>
      </c>
      <c r="G57" s="203" t="inlineStr">
        <is>
          <t>Novena (Novena Medical Center)</t>
        </is>
      </c>
      <c r="H57" s="205" t="inlineStr">
        <is>
          <t>https://endocrinologist.com.sg</t>
        </is>
      </c>
      <c r="I57" s="203" t="inlineStr">
        <is>
          <t>+65 6397 7101 / WhatsApp +65 9128 7480</t>
        </is>
      </c>
      <c r="J57" s="203" t="inlineStr">
        <is>
          <t>info@endocrinologist.com.sg</t>
        </is>
      </c>
      <c r="K57" s="203" t="inlineStr">
        <is>
          <t>10 Sinaran Drive #10-08, Novena Medical Center, Singapore 307506</t>
        </is>
      </c>
      <c r="L57" s="203" t="inlineStr">
        <is>
          <t>Dr Linsey Gani, Consultant Endocrinologist (named on own site)</t>
        </is>
      </c>
      <c r="M57" s="206" t="inlineStr">
        <is>
          <t>A</t>
        </is>
      </c>
      <c r="N57" s="203" t="inlineStr">
        <is>
          <t>Yes. Ultrasound imaging and FNAC listed</t>
        </is>
      </c>
      <c r="O57" s="203" t="inlineStr">
        <is>
          <t>Thyroid nodule and FNA work is linear probe work, where CHISON is strongest; automatic thyroid lesion measurement saves time per scan. Ultrasound already in use (Ultrasound imaging and FNAC listed), so pitch added capacity or a second room.</t>
        </is>
      </c>
      <c r="P57" s="203" t="inlineStr">
        <is>
          <t>SonoBook 9 (automatic thyroid lesion measurement, FNA guidance) + SonoMax 9 (shear wave for thyroid, automatic vessel diameter)</t>
        </is>
      </c>
      <c r="Q57" s="206" t="inlineStr">
        <is>
          <t>P1</t>
        </is>
      </c>
      <c r="R57" s="203" t="inlineStr">
        <is>
          <t>P1: verified email on own site; high fit for CHISON; already scans in house.</t>
        </is>
      </c>
      <c r="S57" s="203" t="inlineStr">
        <is>
          <t>Own site opened 2 to 3 Oct 2026; email decoded from the site's spam protected link</t>
        </is>
      </c>
      <c r="T57" s="203" t="inlineStr">
        <is>
          <t>CHISON ultrasound for Dr Linsey Gani Endocrinology: thyroid scans and FNA guidance in clinic</t>
        </is>
      </c>
      <c r="U57" s="203" t="inlineStr">
        <is>
          <t>Dear Dr Gani,
I am Casper Tan, Senior Regional Sales Manager at AstraMed Healthcare, the Singapore subsidiary of CHISON Medical Technologies. You already offer ultrasound imaging and FNAC for thyroid patients at Novena Medical Center.
CHISON has made diagnostic ultrasound in Wuxi since 1996 and sells in more than 100 countries. The systems below are registered with HSA, with AstraMed as the local registrant, so supply, application training and service are all handled here in Singapore.
For thyroid and neck work, these are the two I would suggest:
• SonoBook 9: a laptop system with automatic thyroid lesion measurement, compact enough for the FNA trolley
• SonoMax 9: our flagship cart, with shear wave elastography for small parts such as the thyroid and automatic vessel diameter measurement
If you already have a system you are happy with, a second CHISON unit is a practical way to add capacity or free your main room for the longer scans.
Our demonstration units arrive in Singapore in October. Could I bring both systems to Dr Linsey Gani Endocrinology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58" ht="48" customHeight="1" s="104">
      <c r="A58" s="203" t="n">
        <v>54</v>
      </c>
      <c r="B58" s="204" t="inlineStr">
        <is>
          <t>Harmony Thyroid, Endocrinology and Diabetes Centre</t>
        </is>
      </c>
      <c r="C58" s="203" t="inlineStr">
        <is>
          <t>Contacted</t>
        </is>
      </c>
      <c r="D58" s="203" t="inlineStr">
        <is>
          <t>Specialist centre</t>
        </is>
      </c>
      <c r="E58" s="203" t="inlineStr">
        <is>
          <t>Endocrine &amp; thyroid clinic</t>
        </is>
      </c>
      <c r="F58" s="203" t="inlineStr">
        <is>
          <t>Thyroid nodules and cancer, FNA biopsy, diabetes, pituitary, adrenal, osteoporosis</t>
        </is>
      </c>
      <c r="G58" s="203" t="inlineStr">
        <is>
          <t>Orchard (Mount Elizabeth MC)</t>
        </is>
      </c>
      <c r="H58" s="205" t="inlineStr">
        <is>
          <t>https://www.endocrineharmony.sg</t>
        </is>
      </c>
      <c r="I58" s="203" t="inlineStr">
        <is>
          <t>+65 9834 9533 / +65 6257 0733</t>
        </is>
      </c>
      <c r="J58" s="203" t="inlineStr">
        <is>
          <t>info@endocrineharmony.sg</t>
        </is>
      </c>
      <c r="K58" s="203" t="inlineStr">
        <is>
          <t>3 Mount Elizabeth #12-04, Mt Elizabeth Medical Centre, Singapore 228510</t>
        </is>
      </c>
      <c r="L58" s="203" t="inlineStr">
        <is>
          <t>Dr Vikram Sonawane, Senior Consultant Endocrinologist and Medical Director (named on own site)</t>
        </is>
      </c>
      <c r="M58" s="206" t="inlineStr">
        <is>
          <t>A</t>
        </is>
      </c>
      <c r="N58" s="203" t="inlineStr">
        <is>
          <t>FNA biopsy listed (ultrasound guided by nature)</t>
        </is>
      </c>
      <c r="O58" s="203" t="inlineStr">
        <is>
          <t>Thyroid nodule and FNA work is linear probe work, where CHISON is strongest; automatic thyroid lesion measurement saves time per scan. Ultrasound use: FNA biopsy listed (ultrasound guided by nature). Confirm on the first call.</t>
        </is>
      </c>
      <c r="P58" s="203" t="inlineStr">
        <is>
          <t>SonoBook 9 (automatic thyroid lesion measurement, FNA guidance) + SonoEye P5 (phone paired, high frequency for neck and FNA)</t>
        </is>
      </c>
      <c r="Q58" s="206" t="inlineStr">
        <is>
          <t>P1</t>
        </is>
      </c>
      <c r="R58" s="203" t="inlineStr">
        <is>
          <t>P1: verified email on own site; high fit for CHISON.</t>
        </is>
      </c>
      <c r="S58" s="203" t="inlineStr">
        <is>
          <t>Own site opened 2 to 3 Oct 2026</t>
        </is>
      </c>
      <c r="T58" s="203" t="inlineStr">
        <is>
          <t>CHISON ultrasound for Harmony Thyroid Centre: thyroid scans and FNA guidance in clinic</t>
        </is>
      </c>
      <c r="U58" s="203" t="inlineStr">
        <is>
          <t>Dear Dr Sonawane,
I am Casper Tan, Senior Regional Sales Manager at AstraMed Healthcare, the Singapore subsidiary of CHISON Medical Technologies. Thyroid nodules and FNA biopsy are central to your practice at Mount Elizabeth.
CHISON has made diagnostic ultrasound in Wuxi since 1996 and sells in more than 100 countries. The systems below are registered with HSA, with AstraMed as the local registrant, so supply, application training and service are all handled here in Singapore.
For thyroid and neck work, I would start with these two:
• SonoBook 9: a laptop system with automatic thyroid lesion measurement, compact enough for the FNA trolley
• SonoEye P5: a phone paired handheld with high frequency imaging for neck checks and FNA guidance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Harmony Thyroid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59" ht="48" customHeight="1" s="104">
      <c r="A59" s="203" t="n">
        <v>55</v>
      </c>
      <c r="B59" s="204" t="inlineStr">
        <is>
          <t>Advanced Orthopaedic &amp; Sports Centre</t>
        </is>
      </c>
      <c r="C59" s="203" t="inlineStr">
        <is>
          <t>Contacted</t>
        </is>
      </c>
      <c r="D59" s="203" t="inlineStr">
        <is>
          <t>Specialist centre</t>
        </is>
      </c>
      <c r="E59" s="203" t="inlineStr">
        <is>
          <t>Orthopaedic &amp; sports medicine clinic</t>
        </is>
      </c>
      <c r="F59" s="203" t="inlineStr">
        <is>
          <t>Hip, knee, shoulder and elbow surgery, sports medicine, arthroscopy, ACL, joint replacement. Same practice (shared line +65 6592 5522) runs the Advanced Hand, Wrist &amp; Nerve Centre with Dr Jacqueline Tan</t>
        </is>
      </c>
      <c r="G59" s="203" t="inlineStr">
        <is>
          <t>Novena (Mount Elizabeth Novena Specialist Centre)</t>
        </is>
      </c>
      <c r="H59" s="205" t="inlineStr">
        <is>
          <t>https://www.advancedortho.com.sg</t>
        </is>
      </c>
      <c r="I59" s="203" t="inlineStr">
        <is>
          <t>+65 6592 5522 / WhatsApp +65 9877 8900</t>
        </is>
      </c>
      <c r="J59" s="203" t="inlineStr">
        <is>
          <t>contact@aohc.sg</t>
        </is>
      </c>
      <c r="K59" s="203" t="inlineStr">
        <is>
          <t>Mount Elizabeth Novena Specialist Centre, 38 Irrawaddy Road #07-42, Singapore 329563</t>
        </is>
      </c>
      <c r="L59" s="203" t="inlineStr">
        <is>
          <t>Dr Poh Seng Yew, Senior Consultant Orthopaedic Surgeon (named on own site)</t>
        </is>
      </c>
      <c r="M59" s="206" t="inlineStr">
        <is>
          <t>A</t>
        </is>
      </c>
      <c r="N59" s="203" t="inlineStr">
        <is>
          <t>Not stated on site</t>
        </is>
      </c>
      <c r="O59" s="203" t="inlineStr">
        <is>
          <t>Tendon, joint and injection work suits a high frequency handheld in the room and a laptop for guided procedures. Ultrasound use: Not stated on site. Confirm on the first call.</t>
        </is>
      </c>
      <c r="P59" s="203" t="inlineStr">
        <is>
          <t>SonoEye P5 (phone paired, high frequency for tendons, joints, injections) + SonoAir 70 (SonoMSK, SonoNerve, four active ports)</t>
        </is>
      </c>
      <c r="Q59" s="206" t="inlineStr">
        <is>
          <t>P1</t>
        </is>
      </c>
      <c r="R59" s="203" t="inlineStr">
        <is>
          <t>P1: verified email on own site; high fit for CHISON.</t>
        </is>
      </c>
      <c r="S59" s="203" t="inlineStr">
        <is>
          <t>Own site opened 2 to 3 Oct 2026; email decoded from the site's spam protected link</t>
        </is>
      </c>
      <c r="T59" s="203" t="inlineStr">
        <is>
          <t>CHISON ultrasound for Advanced Orthopaedic &amp; Sports Centre: MSK scans and guided injections</t>
        </is>
      </c>
      <c r="U59" s="203" t="inlineStr">
        <is>
          <t>Dear Dr Poh,
I am Casper Tan, Senior Regional Sales Manager at AstraMed Healthcare, the Singapore subsidiary of CHISON Medical Technologies. Hip, knee and shoulder surgery and sports injuries at Mount Elizabeth Novena raise injection and soft tissue questions that a scan in clinic answers on the spot.
CHISON has made diagnostic ultrasound in Wuxi since 1996 and sells in more than 100 countries. The systems below are registered with HSA, with AstraMed as the local registrant, so supply, application training and service are all handled here in Singapore.
For sports and MSK work, I would start with these two: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Advanced Orthopaedic &amp; Sports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60" ht="36" customHeight="1" s="104">
      <c r="A60" s="203" t="n">
        <v>56</v>
      </c>
      <c r="B60" s="204" t="inlineStr">
        <is>
          <t>Elite Orthopaedics (A/Prof Andrew Dutton)</t>
        </is>
      </c>
      <c r="C60" s="203" t="inlineStr">
        <is>
          <t>Contacted</t>
        </is>
      </c>
      <c r="D60" s="203" t="inlineStr">
        <is>
          <t>Specialist centre</t>
        </is>
      </c>
      <c r="E60" s="203" t="inlineStr">
        <is>
          <t>Orthopaedic &amp; sports medicine clinic</t>
        </is>
      </c>
      <c r="F60" s="203" t="inlineStr">
        <is>
          <t>Hip arthroscopy and replacement, knee and shoulder surgery, ACL, cartilage regeneration, sports injury, PRP, stem cell and APS injections</t>
        </is>
      </c>
      <c r="G60" s="203" t="inlineStr">
        <is>
          <t>Orchard (Mount Elizabeth MC)</t>
        </is>
      </c>
      <c r="H60" s="205" t="inlineStr">
        <is>
          <t>https://www.drandrewdutton.com</t>
        </is>
      </c>
      <c r="I60" s="203" t="inlineStr">
        <is>
          <t>+65 6836 8000 (also WhatsApp)</t>
        </is>
      </c>
      <c r="J60" s="203" t="inlineStr">
        <is>
          <t>info@eliteortho.com.sg</t>
        </is>
      </c>
      <c r="K60" s="203" t="inlineStr">
        <is>
          <t>Mount Elizabeth Medical Centre, 3 Mount Elizabeth #12-10, Singapore 228510</t>
        </is>
      </c>
      <c r="L60" s="203" t="inlineStr">
        <is>
          <t>A/Prof Andrew Quoc Dutton (named on own site)</t>
        </is>
      </c>
      <c r="M60" s="206" t="inlineStr">
        <is>
          <t>A</t>
        </is>
      </c>
      <c r="N60" s="203" t="inlineStr">
        <is>
          <t>Not stated (injection therapies suit ultrasound guidance)</t>
        </is>
      </c>
      <c r="O60" s="203" t="inlineStr">
        <is>
          <t>Tendon, joint and injection work suits a high frequency handheld in the room and a laptop for guided procedures. Ultrasound use: Not stated (injection therapies suit ultrasound guidance). Confirm on the first call.</t>
        </is>
      </c>
      <c r="P60" s="203" t="inlineStr">
        <is>
          <t>SonoEye P5 (phone paired, high frequency for tendons, joints, injections) + SonoAir 70 (SonoMSK, SonoNerve, four active ports)</t>
        </is>
      </c>
      <c r="Q60" s="206" t="inlineStr">
        <is>
          <t>P1</t>
        </is>
      </c>
      <c r="R60" s="203" t="inlineStr">
        <is>
          <t>P1: verified email on own site; high fit for CHISON.</t>
        </is>
      </c>
      <c r="S60" s="203" t="inlineStr">
        <is>
          <t>Own site opened 2 to 3 Oct 2026</t>
        </is>
      </c>
      <c r="T60" s="203" t="inlineStr">
        <is>
          <t>CHISON ultrasound for Elite Orthopaedics: MSK scans and guided injections</t>
        </is>
      </c>
      <c r="U60" s="203" t="inlineStr">
        <is>
          <t>Dear A/Prof Dutton,
I am Casper Tan, Senior Regional Sales Manager at AstraMed Healthcare, the Singapore subsidiary of CHISON Medical Technologies. PRP, stem cell and APS injections are part of your hip, knee and shoulder practice, and they are more precise and easier to document under ultrasound guidance.
CHISON has made diagnostic ultrasound in Wuxi since 1996 and sells in more than 100 countries. The systems below are registered with HSA, with AstraMed as the local registrant, so supply, application training and service are all handled here in Singapore.
For sports and MSK work, I would start with these two: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Elite Orthopaedics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61" ht="36" customHeight="1" s="104">
      <c r="A61" s="203" t="n">
        <v>57</v>
      </c>
      <c r="B61" s="204" t="inlineStr">
        <is>
          <t>Quantum Orthopaedics</t>
        </is>
      </c>
      <c r="C61" s="203" t="inlineStr">
        <is>
          <t>Contacted</t>
        </is>
      </c>
      <c r="D61" s="203" t="inlineStr">
        <is>
          <t>Specialist centre</t>
        </is>
      </c>
      <c r="E61" s="203" t="inlineStr">
        <is>
          <t>Orthopaedic &amp; sports medicine clinic</t>
        </is>
      </c>
      <c r="F61" s="203" t="inlineStr">
        <is>
          <t>Sports knee and shoulder surgery: ACL, meniscus, cartilage, rotator cuff, stabilisation; arthroscopy</t>
        </is>
      </c>
      <c r="G61" s="203" t="inlineStr">
        <is>
          <t>Orchard (Camden) and Thomson (Mount Alvernia)</t>
        </is>
      </c>
      <c r="H61" s="205" t="inlineStr">
        <is>
          <t>https://www.quantumortho.com.sg</t>
        </is>
      </c>
      <c r="I61" s="203" t="inlineStr">
        <is>
          <t>+65 8028 4572 (also WhatsApp)</t>
        </is>
      </c>
      <c r="J61" s="203" t="inlineStr">
        <is>
          <t>hello@quantumortho.com.sg</t>
        </is>
      </c>
      <c r="K61" s="203" t="inlineStr">
        <is>
          <t>Camden Medical, 1 Orchard Boulevard #09-06, Singapore 248649; Mount Alvernia Medical Centre D #05-60, Singapore 574623</t>
        </is>
      </c>
      <c r="L61" s="203" t="inlineStr">
        <is>
          <t>Dr James Tan Chung Hui, Orthopaedic Surgeon (named on own site)</t>
        </is>
      </c>
      <c r="M61" s="206" t="inlineStr">
        <is>
          <t>A</t>
        </is>
      </c>
      <c r="N61" s="203" t="inlineStr">
        <is>
          <t>Not stated on site</t>
        </is>
      </c>
      <c r="O61" s="203" t="inlineStr">
        <is>
          <t>Tendon, joint and injection work suits a high frequency handheld in the room and a laptop for guided procedures. Ultrasound use: Not stated on site. Confirm on the first call.</t>
        </is>
      </c>
      <c r="P61" s="203" t="inlineStr">
        <is>
          <t>SonoEye P5 (phone paired, high frequency for tendons, joints, injections) + SonoAir 70 (SonoMSK, SonoNerve, four active ports)</t>
        </is>
      </c>
      <c r="Q61" s="206" t="inlineStr">
        <is>
          <t>P1</t>
        </is>
      </c>
      <c r="R61" s="203" t="inlineStr">
        <is>
          <t>P1: verified email on own site; high fit for CHISON.</t>
        </is>
      </c>
      <c r="S61" s="203" t="inlineStr">
        <is>
          <t>Own site opened 2 to 3 Oct 2026</t>
        </is>
      </c>
      <c r="T61" s="203" t="inlineStr">
        <is>
          <t>CHISON ultrasound for Quantum Orthopaedics: MSK scans and guided injections</t>
        </is>
      </c>
      <c r="U61" s="203" t="inlineStr">
        <is>
          <t>Dear Dr Tan,
I am Casper Tan, Senior Regional Sales Manager at AstraMed Healthcare, the Singapore subsidiary of CHISON Medical Technologies. Sports knee and shoulder work at Camden and Mount Alvernia often needs a quick look at tendons, an effusion or a guided injection before the MRI.
CHISON has made diagnostic ultrasound in Wuxi since 1996 and sells in more than 100 countries. The systems below are registered with HSA, with AstraMed as the local registrant, so supply, application training and service are all handled here in Singapore.
For sports and MSK work, these are the two I would suggest: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Quantum Orthopaedics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62" ht="60" customHeight="1" s="104">
      <c r="A62" s="203" t="n">
        <v>58</v>
      </c>
      <c r="B62" s="204" t="inlineStr">
        <is>
          <t>FeM Surgery</t>
        </is>
      </c>
      <c r="C62" s="203" t="inlineStr">
        <is>
          <t>Contacted</t>
        </is>
      </c>
      <c r="D62" s="203" t="inlineStr">
        <is>
          <t>Specialist centre</t>
        </is>
      </c>
      <c r="E62" s="203" t="inlineStr">
        <is>
          <t>Multi specialty surgical group</t>
        </is>
      </c>
      <c r="F62" s="203" t="inlineStr">
        <is>
          <t>Eleven specialists (eight surgeons plus a GP, an anaesthesiologist and an interventional radiologist) across breast (incl. breast ultrasound), endocrine, colorectal, HPB, hernia, vascular and IR, orthopaedics, spine, urology; own day surgery centre. Six clinics</t>
        </is>
      </c>
      <c r="G62" s="203" t="inlineStr">
        <is>
          <t>Orchard, Gleneagles, Novena, Thomson, Farrer Park, Clarke Quay</t>
        </is>
      </c>
      <c r="H62" s="205" t="inlineStr">
        <is>
          <t>https://www.femsurgery.com</t>
        </is>
      </c>
      <c r="I62" s="203" t="inlineStr">
        <is>
          <t>+65 6733 3383 (Orchard) / WhatsApp +65 8353 9854</t>
        </is>
      </c>
      <c r="J62" s="203" t="inlineStr">
        <is>
          <t>info@femsurgery.com</t>
        </is>
      </c>
      <c r="K62" s="203" t="inlineStr">
        <is>
          <t>3 Mount Elizabeth Road #05-02, Mount Elizabeth Medical Centre, Singapore 228510 (plus Gleneagles #08-10, Novena #11-53, Mt Alvernia D #07-54, Farrer Park #11-19, Clarke Quay Central #22-90)</t>
        </is>
      </c>
      <c r="L62" s="203" t="inlineStr">
        <is>
          <t>Dr Felicia Tan Li Sher (first named surgeon on own site)</t>
        </is>
      </c>
      <c r="M62" s="206" t="inlineStr">
        <is>
          <t>A</t>
        </is>
      </c>
      <c r="N62" s="203" t="inlineStr">
        <is>
          <t>Yes. Breast ultrasound page on own site</t>
        </is>
      </c>
      <c r="O62" s="203" t="inlineStr">
        <is>
          <t>Multi specialty surgical group: one platform can serve its breast, endocrine and vascular specialists. Ultrasound already in use (Breast ultrasound page on own site), so pitch added capacity or a second room.</t>
        </is>
      </c>
      <c r="P62" s="203" t="inlineStr">
        <is>
          <t>SonoBook 9 (automatic breast and thyroid lesion measurement, biopsy guidance) + SonoMax 9 (flagship cart: AI assisted breast lesion assessment, shear wave for small parts)</t>
        </is>
      </c>
      <c r="Q62" s="206" t="inlineStr">
        <is>
          <t>P1</t>
        </is>
      </c>
      <c r="R62" s="203" t="inlineStr">
        <is>
          <t>P1: verified email on own site; high fit for CHISON; already scans in house.</t>
        </is>
      </c>
      <c r="S62" s="203" t="inlineStr">
        <is>
          <t>Own site opened 2 to 3 Oct 2026; email decoded from the site's spam protected link</t>
        </is>
      </c>
      <c r="T62" s="203" t="inlineStr">
        <is>
          <t>CHISON ultrasound for FeM Surgery: one platform across your specialists</t>
        </is>
      </c>
      <c r="U62" s="203" t="inlineStr">
        <is>
          <t>Dear FeM Surgery team,
I am Casper Tan, Senior Regional Sales Manager at AstraMed Healthcare, the Singapore subsidiary of CHISON Medical Technologies. With eleven specialists across breast, endocrine, vascular and other services, a breast ultrasound service and six clinics, FeM is one of the few groups where one ultrasound platform can serve several departments.
CHISON has made diagnostic ultrasound in Wuxi since 1996 and sells in more than 100 countries. The systems below are registered with HSA, with AstraMed as the local registrant, so supply, application training and service are all handled here in Singapore.
For a multi specialty surgical group, these are the two I would put forward:
• SonoBook 9: a laptop system with automatic breast and thyroid lesion measurement, light enough to sit beside the couch for biopsy guidance
• SonoMax 9: our flagship cart, with AI assisted breast lesion assessment and shear wave elastography for small parts such as breast and thyroid
Across several clinics, one platform means one training programme and one service contact for every site.
Would a short call with whoever looks after equipment across FeM Surgery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63" ht="48" customHeight="1" s="104">
      <c r="A63" s="203" t="n">
        <v>59</v>
      </c>
      <c r="B63" s="204" t="inlineStr">
        <is>
          <t>The Vascular Vein and Wound Centre</t>
        </is>
      </c>
      <c r="C63" s="203" t="inlineStr">
        <is>
          <t>Contacted</t>
        </is>
      </c>
      <c r="D63" s="203" t="inlineStr">
        <is>
          <t>Specialist centre</t>
        </is>
      </c>
      <c r="E63" s="203" t="inlineStr">
        <is>
          <t>Vascular, vein &amp; wound clinic</t>
        </is>
      </c>
      <c r="F63" s="203" t="inlineStr">
        <is>
          <t>Varicose veins, DVT, venous insufficiency, PAD, aortic disease, dialysis access, diabetic foot screening, advanced wound healing</t>
        </is>
      </c>
      <c r="G63" s="203" t="inlineStr">
        <is>
          <t>Farrer Park and Novena</t>
        </is>
      </c>
      <c r="H63" s="205" t="inlineStr">
        <is>
          <t>https://www.vascularcentre.com.sg</t>
        </is>
      </c>
      <c r="I63" s="203" t="inlineStr">
        <is>
          <t>+65 6443 9972 / WhatsApp +65 9667 6795</t>
        </is>
      </c>
      <c r="J63" s="203" t="inlineStr">
        <is>
          <t>enquiry@vascularcentre.com.sg</t>
        </is>
      </c>
      <c r="K63" s="203" t="inlineStr">
        <is>
          <t>Farrer Park Specialist Centre, 1 Farrer Park Station Road #13-11 Connexion, Singapore 217562; Mt Elizabeth Novena Specialist Centre #05-29, Singapore 329563</t>
        </is>
      </c>
      <c r="L63" s="203" t="inlineStr">
        <is>
          <t>Dr Tan Yih Kai, Senior Consultant Vascular and Endovascular Surgeon (named on own site)</t>
        </is>
      </c>
      <c r="M63" s="206" t="inlineStr">
        <is>
          <t>A</t>
        </is>
      </c>
      <c r="N63" s="203" t="inlineStr">
        <is>
          <t>Not stated (venous and wound work relies on duplex)</t>
        </is>
      </c>
      <c r="O63" s="203" t="inlineStr">
        <is>
          <t>Duplex is the core test in venous and arterial work; multi gate Doppler and automatic vessel measurement are among the SonoMax 9 claims that held up in the competitive check. Ultrasound use: Not stated (venous and wound work relies on duplex). Confirm on the first call.</t>
        </is>
      </c>
      <c r="P63" s="203" t="inlineStr">
        <is>
          <t>SonoMax 9 (automatic vessel diameter, one key volume flow, multi gate PW up to 4 gates) + SonoBook 9 (SonoPW multi gate PW, SonoIMT across visits)</t>
        </is>
      </c>
      <c r="Q63" s="206" t="inlineStr">
        <is>
          <t>P1</t>
        </is>
      </c>
      <c r="R63" s="203" t="inlineStr">
        <is>
          <t>P1: verified email on own site; high fit for CHISON.</t>
        </is>
      </c>
      <c r="S63" s="203" t="inlineStr">
        <is>
          <t>Own site opened 2 to 3 Oct 2026</t>
        </is>
      </c>
      <c r="T63" s="203" t="inlineStr">
        <is>
          <t>CHISON ultrasound for Vascular Vein and Wound Centre: duplex and procedure guidance</t>
        </is>
      </c>
      <c r="U63" s="203" t="inlineStr">
        <is>
          <t>Dear Dr Tan,
I am Casper Tan, Senior Regional Sales Manager at AstraMed Healthcare, the Singapore subsidiary of CHISON Medical Technologies. Venous insufficiency, diabetic foot and wound healing work all depend on duplex assessment at the visit.
CHISON has made diagnostic ultrasound in Wuxi since 1996 and sells in more than 100 countries. The systems below are registered with HSA, with AstraMed as the local registrant, so supply, application training and service are all handled here in Singapore.
For vascular and venous work, these are the two I would put forward:
• SonoMax 9: our flagship cart, with automatic vessel diameter and one key volume flow, and multi gate pulsed wave Doppler up to four gates
• SonoBook 9: a laptop system with SonoPW multi gate pulsed wave Doppler and intima media thickness tracked across visits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Vascular Vein and Wound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64" ht="36" customHeight="1" s="104">
      <c r="A64" s="203" t="n">
        <v>60</v>
      </c>
      <c r="B64" s="204" t="inlineStr">
        <is>
          <t>CHARMS Singapore</t>
        </is>
      </c>
      <c r="C64" s="203" t="inlineStr">
        <is>
          <t>Contacted</t>
        </is>
      </c>
      <c r="D64" s="203" t="inlineStr">
        <is>
          <t>Specialist centre</t>
        </is>
      </c>
      <c r="E64" s="203" t="inlineStr">
        <is>
          <t>Hand &amp; upper limb surgery clinic</t>
        </is>
      </c>
      <c r="F64" s="203" t="inlineStr">
        <is>
          <t>Hand and microsurgery, replantation, joint replacement, wrist arthroscopy, pain relief injections, occupational therapy</t>
        </is>
      </c>
      <c r="G64" s="203" t="inlineStr">
        <is>
          <t>Orchard (Paragon and Mount Elizabeth)</t>
        </is>
      </c>
      <c r="H64" s="205" t="inlineStr">
        <is>
          <t>https://charmssingapore.com</t>
        </is>
      </c>
      <c r="I64" s="203" t="inlineStr">
        <is>
          <t>+65 6733 9093 (Paragon) / +65 6733 8273 (Mount Elizabeth)</t>
        </is>
      </c>
      <c r="J64" s="203" t="inlineStr">
        <is>
          <t>contact@charmssingapore.com</t>
        </is>
      </c>
      <c r="K64" s="203" t="inlineStr">
        <is>
          <t>Paragon Medical Suites, 290 Orchard Road #09-08, Singapore 238859; Mount Elizabeth Medical Centre #06-05, Singapore 228510</t>
        </is>
      </c>
      <c r="L64" s="203" t="inlineStr">
        <is>
          <t>Dr Lim Beng Hai and Dr Aaron Gan (named on own site)</t>
        </is>
      </c>
      <c r="M64" s="206" t="inlineStr">
        <is>
          <t>A</t>
        </is>
      </c>
      <c r="N64" s="203" t="inlineStr">
        <is>
          <t>Not stated</t>
        </is>
      </c>
      <c r="O64" s="203" t="inlineStr">
        <is>
          <t>High frequency imaging of tendons and nerves suits hand surgery and injections in the consult room. Ultrasound use: Not stated. Confirm on the first call.</t>
        </is>
      </c>
      <c r="P64" s="203" t="inlineStr">
        <is>
          <t>SonoEye P5 (phone paired, high frequency for tendons, joints, injections) + SonoAir 70 (SonoMSK, SonoNerve, four active ports)</t>
        </is>
      </c>
      <c r="Q64" s="206" t="inlineStr">
        <is>
          <t>P1</t>
        </is>
      </c>
      <c r="R64" s="203" t="inlineStr">
        <is>
          <t>P1: verified email on own site; high fit for CHISON.</t>
        </is>
      </c>
      <c r="S64" s="203" t="inlineStr">
        <is>
          <t>Own site opened 2 to 3 Oct 2026</t>
        </is>
      </c>
      <c r="T64" s="203" t="inlineStr">
        <is>
          <t>CHISON ultrasound for CHARMS Singapore: high frequency scans for hand work</t>
        </is>
      </c>
      <c r="U64" s="203" t="inlineStr">
        <is>
          <t>Dear Dr Lim and Dr Gan,
I am Casper Tan, Senior Regional Sales Manager at AstraMed Healthcare, the Singapore subsidiary of CHISON Medical Technologies. Pain relief injections and hand surgery at Paragon and Mount Elizabeth both benefit from a high frequency view of tendons and nerves.
CHISON has made diagnostic ultrasound in Wuxi since 1996 and sells in more than 100 countries. The systems below are registered with HSA, with AstraMed as the local registrant, so supply, application training and service are all handled here in Singapore.
For hand and wrist work, these are the two I would suggest: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CHARMS Singapore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65" ht="48" customHeight="1" s="104">
      <c r="A65" s="203" t="n">
        <v>61</v>
      </c>
      <c r="B65" s="204" t="inlineStr">
        <is>
          <t>Hand Surgery Associates</t>
        </is>
      </c>
      <c r="C65" s="203" t="inlineStr">
        <is>
          <t>Contacted</t>
        </is>
      </c>
      <c r="D65" s="203" t="inlineStr">
        <is>
          <t>Specialist centre</t>
        </is>
      </c>
      <c r="E65" s="203" t="inlineStr">
        <is>
          <t>Hand &amp; upper limb surgery clinic</t>
        </is>
      </c>
      <c r="F65" s="203" t="inlineStr">
        <is>
          <t>Seven hand surgeons, five clinics: carpal tunnel, trigger finger, tenosynovitis, hand trauma, 24/7 emergency hand care, hand therapy</t>
        </is>
      </c>
      <c r="G65" s="203" t="inlineStr">
        <is>
          <t>Novena, Parkway East, Gleneagles, Thomson, Orchard</t>
        </is>
      </c>
      <c r="H65" s="205" t="inlineStr">
        <is>
          <t>https://www.handsurgerysingapore.com</t>
        </is>
      </c>
      <c r="I65" s="203" t="inlineStr">
        <is>
          <t>+65 6690 5690 (after hours +65 6535 8833)</t>
        </is>
      </c>
      <c r="J65" s="203" t="inlineStr">
        <is>
          <t>enquiries@hands.sg</t>
        </is>
      </c>
      <c r="K65" s="203" t="inlineStr">
        <is>
          <t>Mount Elizabeth Novena Specialist Centre, 38 Irrawaddy Road #10-51/52/53, Singapore 329563 (plus Parkway East #05-09, Gleneagles #06-07, Mt Alvernia A #03-04/05, MEMC #12-13)</t>
        </is>
      </c>
      <c r="L65" s="203" t="inlineStr">
        <is>
          <t>Dr Winston Chew, Dr Peng Yeong Pin, Dr Tan Ter Chyan and four others (named on own site)</t>
        </is>
      </c>
      <c r="M65" s="206" t="inlineStr">
        <is>
          <t>A</t>
        </is>
      </c>
      <c r="N65" s="203" t="inlineStr">
        <is>
          <t>Not stated (tendon, nerve and injection work suits high frequency ultrasound)</t>
        </is>
      </c>
      <c r="O65" s="203" t="inlineStr">
        <is>
          <t>High frequency imaging of tendons and nerves suits hand surgery and injections in the consult room. Ultrasound use: Not stated (tendon, nerve and injection work suits high frequency ultrasound). Confirm on the first call.</t>
        </is>
      </c>
      <c r="P65" s="203" t="inlineStr">
        <is>
          <t>SonoEye P5 (phone paired, high frequency for tendons, joints, injections) + SonoAir 70 (SonoMSK, SonoNerve, four active ports)</t>
        </is>
      </c>
      <c r="Q65" s="206" t="inlineStr">
        <is>
          <t>P1</t>
        </is>
      </c>
      <c r="R65" s="203" t="inlineStr">
        <is>
          <t>P1: verified email on own site; high fit for CHISON.</t>
        </is>
      </c>
      <c r="S65" s="203" t="inlineStr">
        <is>
          <t>Own site opened 2 to 3 Oct 2026; email decoded from the site's spam protected link</t>
        </is>
      </c>
      <c r="T65" s="203" t="inlineStr">
        <is>
          <t>CHISON ultrasound for Hand Surgery Associates: high frequency scans for hand work</t>
        </is>
      </c>
      <c r="U65" s="203" t="inlineStr">
        <is>
          <t>Dear Hand Surgery Associates team,
I am Casper Tan, Senior Regional Sales Manager at AstraMed Healthcare, the Singapore subsidiary of CHISON Medical Technologies. Carpal tunnel, trigger finger and tendon problems across your clinics are where high frequency ultrasound shows the anatomy in the consult room.
CHISON has made diagnostic ultrasound in Wuxi since 1996 and sells in more than 100 countries. The systems below are registered with HSA, with AstraMed as the local registrant, so supply, application training and service are all handled here in Singapore.
For hand and wrist work, I would start with these two:
• SonoEye P5: a phone paired handheld with high frequency imaging for tendons, joints and needle work
• SonoAir 70: a 2.1 kg laptop with SonoMSK and SonoNerve tools and four active probe ports
Across several clinics, one platform means one training programme and one service contact for every site.
Would a short call with whoever looks after equipment across Hand Surgery Associates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66" ht="48" customHeight="1" s="104">
      <c r="A66" s="203" t="n">
        <v>62</v>
      </c>
      <c r="B66" s="204" t="inlineStr">
        <is>
          <t>Dennis Lim Surgery</t>
        </is>
      </c>
      <c r="C66" s="203" t="inlineStr">
        <is>
          <t>Contacted</t>
        </is>
      </c>
      <c r="D66" s="203" t="inlineStr">
        <is>
          <t>Specialist centre</t>
        </is>
      </c>
      <c r="E66" s="203" t="inlineStr">
        <is>
          <t>Head &amp; neck / thyroid surgery clinic</t>
        </is>
      </c>
      <c r="F66" s="203" t="inlineStr">
        <is>
          <t>Thyroid and parotid surgery, neck dissection, thyroid ultrasound imaging and ultrasound guided biopsy, head and neck mass evaluation</t>
        </is>
      </c>
      <c r="G66" s="203" t="inlineStr">
        <is>
          <t>Orchard (Mount Elizabeth MC)</t>
        </is>
      </c>
      <c r="H66" s="205" t="inlineStr">
        <is>
          <t>https://www.dennislim.com.sg</t>
        </is>
      </c>
      <c r="I66" s="203" t="inlineStr">
        <is>
          <t>+65 6836 5167 / WhatsApp +65 9765 1109 (fax 6836 5165)</t>
        </is>
      </c>
      <c r="J66" s="203" t="inlineStr">
        <is>
          <t>enquiry@dennislim.com.sg</t>
        </is>
      </c>
      <c r="K66" s="203" t="inlineStr">
        <is>
          <t>3 Mount Elizabeth #11-09, Mount Elizabeth Medical Centre, Singapore 228510</t>
        </is>
      </c>
      <c r="L66" s="203" t="inlineStr">
        <is>
          <t>Dr Dennis T H Lim, Head and Neck General Surgeon (named on own site)</t>
        </is>
      </c>
      <c r="M66" s="206" t="inlineStr">
        <is>
          <t>A</t>
        </is>
      </c>
      <c r="N66" s="203" t="inlineStr">
        <is>
          <t>Yes. Thyroid ultrasound and guided biopsy listed</t>
        </is>
      </c>
      <c r="O66" s="203" t="inlineStr">
        <is>
          <t>Thyroid nodule and FNA work is linear probe work, where CHISON is strongest; automatic thyroid lesion measurement saves time per scan. Ultrasound already in use (Thyroid ultrasound and guided biopsy listed), so pitch added capacity or a second room.</t>
        </is>
      </c>
      <c r="P66" s="203" t="inlineStr">
        <is>
          <t>SonoBook 9 (automatic thyroid lesion measurement, FNA guidance) + SonoMax 9 (shear wave for thyroid, automatic vessel diameter)</t>
        </is>
      </c>
      <c r="Q66" s="206" t="inlineStr">
        <is>
          <t>P1</t>
        </is>
      </c>
      <c r="R66" s="203" t="inlineStr">
        <is>
          <t>P1: verified email on own site; high fit for CHISON; already scans in house.</t>
        </is>
      </c>
      <c r="S66" s="203" t="inlineStr">
        <is>
          <t>Own site opened 2 to 3 Oct 2026</t>
        </is>
      </c>
      <c r="T66" s="203" t="inlineStr">
        <is>
          <t>CHISON ultrasound for Dennis Lim Surgery: thyroid scans and FNA guidance in clinic</t>
        </is>
      </c>
      <c r="U66" s="203" t="inlineStr">
        <is>
          <t>Dear Dr Lim,
I am Casper Tan, Senior Regional Sales Manager at AstraMed Healthcare, the Singapore subsidiary of CHISON Medical Technologies. Thyroid ultrasound and ultrasound guided biopsy are already part of your head and neck practice.
CHISON has made diagnostic ultrasound in Wuxi since 1996 and sells in more than 100 countries. The systems below are registered with HSA, with AstraMed as the local registrant, so supply, application training and service are all handled here in Singapore.
For thyroid and neck work, these are the two I would put forward:
• SonoBook 9: a laptop system with automatic thyroid lesion measurement, compact enough for the FNA trolley
• SonoMax 9: our flagship cart, with shear wave elastography for small parts such as the thyroid and automatic vessel diameter measurement
If you already have a system you are happy with, a second CHISON unit is a practical way to add capacity or free your main room for the longer scans.
Our demonstration units arrive in Singapore in October. Could I bring both systems to Dennis Lim Surgery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67" ht="36" customHeight="1" s="104">
      <c r="A67" s="203" t="n">
        <v>63</v>
      </c>
      <c r="B67" s="204" t="inlineStr">
        <is>
          <t>DX Imaging</t>
        </is>
      </c>
      <c r="C67" s="203" t="inlineStr">
        <is>
          <t>Contacted</t>
        </is>
      </c>
      <c r="D67" s="203" t="inlineStr">
        <is>
          <t>Specialist centre</t>
        </is>
      </c>
      <c r="E67" s="203" t="inlineStr">
        <is>
          <t>Imaging centre (multi site)</t>
        </is>
      </c>
      <c r="F67" s="203" t="inlineStr">
        <is>
          <t>Independent imaging group: MRI, CT, X-ray, mammography, BMD; ultrasound at Novena and Orchard centres. Five centres</t>
        </is>
      </c>
      <c r="G67" s="203" t="inlineStr">
        <is>
          <t>Novena, Orchard, Royal Square, Eunos, Tanglin</t>
        </is>
      </c>
      <c r="H67" s="205" t="inlineStr">
        <is>
          <t>https://www.dximaging.com.sg</t>
        </is>
      </c>
      <c r="I67" s="203" t="inlineStr">
        <is>
          <t>+65 6264 8413 (Novena, fax 6264 8403) / +65 6993 9728 (Orchard)</t>
        </is>
      </c>
      <c r="J67" s="203" t="inlineStr">
        <is>
          <t>novena@dximaging.com.sg (Orchard: orchard@dximaging.com.sg)</t>
        </is>
      </c>
      <c r="K67" s="203" t="inlineStr">
        <is>
          <t>10 Sinaran Drive #09-02/03, Novena Medical Center, Singapore 307506 (plus Tong Building #15-02/04, Royal Square #16-03/06, Hexacube #02-07, Camden #03-03)</t>
        </is>
      </c>
      <c r="L67" s="203" t="inlineStr">
        <is>
          <t>Radiologists not named on locations page</t>
        </is>
      </c>
      <c r="M67" s="206" t="inlineStr">
        <is>
          <t>A</t>
        </is>
      </c>
      <c r="N67" s="203" t="inlineStr">
        <is>
          <t>Yes. Ultrasound at Novena and Orchard</t>
        </is>
      </c>
      <c r="O67" s="203" t="inlineStr">
        <is>
          <t>Ultrasound capacity is the product here, so image quality per dollar decides the purchase. Ultrasound already in use (Ultrasound at Novena and Orchard), so pitch added capacity or a second room.</t>
        </is>
      </c>
      <c r="P67" s="203" t="inlineStr">
        <is>
          <t>SonoMax 9 (AI breast lesion assessment, shear wave for small parts, single crystal) + SonoPort 8 (mid tier cart, 23.8 in + 15.6 in touch, about 3 h battery)</t>
        </is>
      </c>
      <c r="Q67" s="206" t="inlineStr">
        <is>
          <t>P1</t>
        </is>
      </c>
      <c r="R67" s="203" t="inlineStr">
        <is>
          <t>P1: verified email on own site; high fit for CHISON; already scans in house.</t>
        </is>
      </c>
      <c r="S67" s="203" t="inlineStr">
        <is>
          <t>Own site opened 2 to 3 Oct 2026</t>
        </is>
      </c>
      <c r="T67" s="203" t="inlineStr">
        <is>
          <t>CHISON ultrasound for DX Imaging: added scanning capacity</t>
        </is>
      </c>
      <c r="U67" s="203" t="inlineStr">
        <is>
          <t>Dear DX Imaging team,
I am Casper Tan, Senior Regional Sales Manager at AstraMed Healthcare, the Singapore subsidiary of CHISON Medical Technologies. Ultrasound runs at your Novena and Orchard centres alongside MRI, CT and mammography, so added ultrasound capacity directly adds bookable slots.
CHISON has made diagnostic ultrasound in Wuxi since 1996 and sells in more than 100 countries. The systems below are registered with HSA, with AstraMed as the local registrant, so supply, application training and service are all handled here in Singapore.
For an imaging centre, these are the two I would suggest:
• SonoMax 9: our flagship cart, with AI assisted breast lesion assessment, shear wave elastography for small parts and single crystal probes
• SonoPort 8: a mid tier cart with a 23.8 inch monitor and 15.6 inch touch screen, and up to about three hours on battery so it can move between rooms or go to onsite screenings
Across several clinics, one platform means one training programme and one service contact for every site.
Would a short call with whoever looks after equipment across DX Imaging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68" ht="48" customHeight="1" s="104">
      <c r="A68" s="203" t="n">
        <v>64</v>
      </c>
      <c r="B68" s="204" t="inlineStr">
        <is>
          <t>Australian Institute of Ultrasound (AIU) Singapore</t>
        </is>
      </c>
      <c r="C68" s="203" t="inlineStr">
        <is>
          <t>Not started</t>
        </is>
      </c>
      <c r="D68" s="203" t="inlineStr">
        <is>
          <t>Specialist centre</t>
        </is>
      </c>
      <c r="E68" s="203" t="inlineStr">
        <is>
          <t>Ultrasound training provider</t>
        </is>
      </c>
      <c r="F68" s="203" t="inlineStr">
        <is>
          <t>Credentialed POCUS courses with NUS and SkillsFuture: emergency, internal medicine, paediatrics, echo, lung, MSK, renal, eFAST, vascular access, DVT, AAA. A training centre partner rather than a buyer of one unit</t>
        </is>
      </c>
      <c r="G68" s="203" t="inlineStr">
        <is>
          <t>Kent Ridge (NUS MD6)</t>
        </is>
      </c>
      <c r="H68" s="205" t="inlineStr">
        <is>
          <t>https://www.aiu.sg</t>
        </is>
      </c>
      <c r="I68" s="203" t="inlineStr">
        <is>
          <t>+65 9226 7566</t>
        </is>
      </c>
      <c r="J68" s="203" t="inlineStr">
        <is>
          <t>Not published. Contact form: https://www.aiu.sg/contact/</t>
        </is>
      </c>
      <c r="K68" s="203" t="inlineStr">
        <is>
          <t>National University of Singapore MD6, 14 Medical Drive, Singapore 117599</t>
        </is>
      </c>
      <c r="L68" s="203" t="inlineStr">
        <is>
          <t>Not named on contact page</t>
        </is>
      </c>
      <c r="M68" s="207" t="inlineStr">
        <is>
          <t>B</t>
        </is>
      </c>
      <c r="N68" s="203" t="inlineStr">
        <is>
          <t>Yes. Runs hands on ultrasound courses</t>
        </is>
      </c>
      <c r="O68" s="203" t="inlineStr">
        <is>
          <t>Training partner, not a buyer: CHISON on the course stations puts the brand in front of every delegate. Ultrasound already in use (Runs hands on ultrasound courses), so pitch added capacity or a second room. No email published: call or WhatsApp for the right inbox, then send.</t>
        </is>
      </c>
      <c r="P68" s="203" t="inlineStr">
        <is>
          <t>SonoAir 70 (cardiac view recognition with quality rating for teaching) + SonoEye P3 (pocket handheld, bedside POCUS)</t>
        </is>
      </c>
      <c r="Q68" s="206" t="inlineStr">
        <is>
          <t>P1</t>
        </is>
      </c>
      <c r="R68" s="203" t="inlineStr">
        <is>
          <t>P1: training partner whose courses reach every POCUS delegate; contact form only, so use the form or call.</t>
        </is>
      </c>
      <c r="S68" s="203" t="inlineStr">
        <is>
          <t>Own site opened 2 to 3 Oct 2026; contact form only</t>
        </is>
      </c>
      <c r="T68" s="203" t="inlineStr">
        <is>
          <t>CHISON systems for AIU Singapore's POCUS courses</t>
        </is>
      </c>
      <c r="U68" s="203" t="inlineStr">
        <is>
          <t>Dear AIU Singapore team,
I am Casper Tan, Senior Regional Sales Manager at AstraMed Healthcare, the Singapore subsidiary of CHISON Medical Technologies. Your credentialed POCUS courses with NUS cover emergency, echo, lung, MSK, renal and vascular access, which is exactly the range CHISON builds for.
CHISON has made diagnostic ultrasound in Wuxi since 1996 and sells in more than 100 countries. The systems below are registered with HSA, with AstraMed as the local registrant, so supply, application training and service are all handled here in Singapore.
For POCUS teaching, I would start with these two:
• SonoAir 70: a 2.1 kg laptop with cardiac view recognition and a quality rating, useful while learners are building their views
• SonoEye P3: a pocket handheld for bedside point of care scanning
Delegates on your courses are the next generation of POCUS users, so supporting your stations matters more to us than running our own workshops.
Could we have a short call about placing CHISON systems on your upcoming courses? I would like to understand what your stations need before suggesting anything specific.
Best regards,
Casper Tan
Senior Regional Sales Manager
AstraMed Healthcare Pte Ltd, a subsidiary of CHISON Medical Technologies
casper@astramed.sg | +65 8719 0121</t>
        </is>
      </c>
    </row>
    <row r="69" ht="48" customHeight="1" s="104">
      <c r="A69" s="203" t="n">
        <v>65</v>
      </c>
      <c r="B69" s="204" t="inlineStr">
        <is>
          <t>The Prenatal Consultants</t>
        </is>
      </c>
      <c r="C69" s="203" t="inlineStr">
        <is>
          <t>Contacted</t>
        </is>
      </c>
      <c r="D69" s="203" t="inlineStr">
        <is>
          <t>Specialist centre</t>
        </is>
      </c>
      <c r="E69" s="203" t="inlineStr">
        <is>
          <t>Fetal medicine &amp; prenatal ultrasound</t>
        </is>
      </c>
      <c r="F69" s="203" t="inlineStr">
        <is>
          <t>Maternal fetal medicine: obstetric ultrasound, birth defect screening, high risk pregnancy, prenatal diagnosis and invasive procedures</t>
        </is>
      </c>
      <c r="G69" s="203" t="inlineStr">
        <is>
          <t>Novena</t>
        </is>
      </c>
      <c r="H69" s="205" t="inlineStr">
        <is>
          <t>https://www.theprenatalconsultants.com.sg</t>
        </is>
      </c>
      <c r="I69" s="203" t="inlineStr">
        <is>
          <t>+65 6694 4035 / WhatsApp +65 9773 8337</t>
        </is>
      </c>
      <c r="J69" s="203" t="inlineStr">
        <is>
          <t>enquiry@theprenatalconsultants.com.sg</t>
        </is>
      </c>
      <c r="K69" s="203" t="inlineStr">
        <is>
          <t>Novena (Royal Square / Mount Elizabeth Novena area; confirm unit on contact page)</t>
        </is>
      </c>
      <c r="L69" s="203" t="inlineStr">
        <is>
          <t>Prof George SH Yeo and Dr Edwin Thia (Senior Consultants, MFM), Dr Yip Swee Lin, Dr Angeline Chua (named on own site)</t>
        </is>
      </c>
      <c r="M69" s="206" t="inlineStr">
        <is>
          <t>A</t>
        </is>
      </c>
      <c r="N69" s="203" t="inlineStr">
        <is>
          <t>Yes. Obstetric ultrasound is the core service</t>
        </is>
      </c>
      <c r="O69" s="203" t="inlineStr">
        <is>
          <t>Fetal medicine runs on premium systems; the realistic entry is a second room or a labour ward portable, not a replacement. Ultrasound already in use (Obstetric ultrasound is the core service), so pitch added capacity or a second room.</t>
        </is>
      </c>
      <c r="P69" s="203" t="inlineStr">
        <is>
          <t>SonoMax 9 (single crystal probes, multi gate PW up to 4 gates) + SonoAir 70 (intrapartum assessment, labour ward portable)</t>
        </is>
      </c>
      <c r="Q69" s="208" t="inlineStr">
        <is>
          <t>P2</t>
        </is>
      </c>
      <c r="R69" s="203" t="inlineStr">
        <is>
          <t>P2: verified email on own site; mid fit (premium incumbents or purchase decided elsewhere); already scans in house.</t>
        </is>
      </c>
      <c r="S69" s="203" t="inlineStr">
        <is>
          <t>Own site opened 2 to 3 Oct 2026</t>
        </is>
      </c>
      <c r="T69" s="203" t="inlineStr">
        <is>
          <t>CHISON ultrasound for The Prenatal Consultants: a second scanning room</t>
        </is>
      </c>
      <c r="U69" s="203" t="inlineStr">
        <is>
          <t>Dear Prof Yeo, Dr Thia and colleagues,
I am Casper Tan, Senior Regional Sales Manager at AstraMed Healthcare, the Singapore subsidiary of CHISON Medical Technologies. Obstetric ultrasound, birth defect screening and prenatal diagnosis are the core of your practice, so I will not pretend a new brand replaces the system you rely on today.
CHISON has made diagnostic ultrasound in Wuxi since 1996 and sells in more than 100 countries. The systems below are registered with HSA, with AstraMed as the local registrant, so supply, application training and service are all handled here in Singapore.
For a second room or the labour ward, these are the two I would suggest:
• SonoMax 9: our flagship cart, with single crystal probes, multi gate pulsed wave Doppler up to four gates and a 23.8 inch monitor
• SonoAir 70: a 2.1 kg laptop with an intrapartum assessment tool, light enough to take to the labour ward
If you already have a system you are happy with, a second CHISON unit is a practical way to add capacity or free your main room for the longer scans.
Our demonstration units arrive in Singapore in October. Could I bring both systems to The Prenatal Consultants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0" ht="60" customHeight="1" s="104">
      <c r="A70" s="203" t="n">
        <v>66</v>
      </c>
      <c r="B70" s="204" t="inlineStr">
        <is>
          <t>Tony Tan Women and Fetal Clinic</t>
        </is>
      </c>
      <c r="C70" s="203" t="inlineStr">
        <is>
          <t>Contacted</t>
        </is>
      </c>
      <c r="D70" s="203" t="inlineStr">
        <is>
          <t>Specialist centre</t>
        </is>
      </c>
      <c r="E70" s="203" t="inlineStr">
        <is>
          <t>Fetal medicine &amp; prenatal ultrasound</t>
        </is>
      </c>
      <c r="F70" s="203" t="inlineStr">
        <is>
          <t>First, second and third trimester screening and diagnostic fetal scans, amniocentesis, CVS, O&amp;G surgery</t>
        </is>
      </c>
      <c r="G70" s="203" t="inlineStr">
        <is>
          <t>Thomson (Mount Alvernia)</t>
        </is>
      </c>
      <c r="H70" s="205" t="inlineStr">
        <is>
          <t>https://www.drtonytan.com</t>
        </is>
      </c>
      <c r="I70" s="203" t="inlineStr">
        <is>
          <t>+65 6972 4498 / +65 6972 4497 / WhatsApp +65 8743 9466</t>
        </is>
      </c>
      <c r="J70" s="203" t="inlineStr">
        <is>
          <t>enquiries@drtonytan.com (appointments: appt@drtonytan.com)</t>
        </is>
      </c>
      <c r="K70" s="203" t="inlineStr">
        <is>
          <t>820 Thomson Road #07-66, Medical Centre D, Mount Alvernia Hospital, Singapore 574623</t>
        </is>
      </c>
      <c r="L70" s="203" t="inlineStr">
        <is>
          <t>Dr Tony Tan, O&amp;G (named on own site)</t>
        </is>
      </c>
      <c r="M70" s="206" t="inlineStr">
        <is>
          <t>A</t>
        </is>
      </c>
      <c r="N70" s="203" t="inlineStr">
        <is>
          <t>Yes. Site names a GE (Voluson) E8 in use</t>
        </is>
      </c>
      <c r="O70" s="203" t="inlineStr">
        <is>
          <t>Fetal medicine runs on premium systems; the realistic entry is a second room or a labour ward portable, not a replacement. Ultrasound already in use (Site names a GE (Voluson) E8 in use), so pitch added capacity or a second room. GE Voluson E8 in use; pitch a second room or labour ward portable only.</t>
        </is>
      </c>
      <c r="P70" s="203" t="inlineStr">
        <is>
          <t>SonoMax 9 (single crystal probes, multi gate PW up to 4 gates) + SonoAir 70 (intrapartum assessment, labour ward portable)</t>
        </is>
      </c>
      <c r="Q70" s="208" t="inlineStr">
        <is>
          <t>P2</t>
        </is>
      </c>
      <c r="R70" s="203" t="inlineStr">
        <is>
          <t>P2: verified email; GE Voluson E8 incumbent, so a second room pitch only.</t>
        </is>
      </c>
      <c r="S70" s="203" t="inlineStr">
        <is>
          <t>Own site opened 2 to 3 Oct 2026</t>
        </is>
      </c>
      <c r="T70" s="203" t="inlineStr">
        <is>
          <t>CHISON ultrasound for Tony Tan Women and Fetal Clinic: a second room</t>
        </is>
      </c>
      <c r="U70" s="203" t="inlineStr">
        <is>
          <t>Dear Dr Tan,
I am Casper Tan, Senior Regional Sales Manager at AstraMed Healthcare, the Singapore subsidiary of CHISON Medical Technologies. I noticed you scan on a GE Voluson E8 for first, second and third trimester fetal assessment, so I am writing about a second room rather than a replacement.
CHISON has made diagnostic ultrasound in Wuxi since 1996 and sells in more than 100 countries. The systems below are registered with HSA, with AstraMed as the local registrant, so supply, application training and service are all handled here in Singapore.
For a second room or the labour ward, these are the two I would put forward:
• SonoMax 9: our flagship cart, with single crystal probes, multi gate pulsed wave Doppler up to four gates and a 23.8 inch monitor
• SonoAir 70: a 2.1 kg laptop with an intrapartum assessment tool, light enough to take to the labour ward
A second system for routine scans and a portable unit for the labour ward would keep the E8 free for detailed fetal work.
Our demonstration units arrive in Singapore in October. Could I bring one to Tony Tan Women and Fetal Clinic for 30 minutes so you can scan beside your current system and judge the image for yourself?
Best regards,
Casper Tan
Senior Regional Sales Manager
AstraMed Healthcare Pte Ltd, a subsidiary of CHISON Medical Technologies
casper@astramed.sg | +65 8719 0121</t>
        </is>
      </c>
    </row>
    <row r="71" ht="48" customHeight="1" s="104">
      <c r="A71" s="203" t="n">
        <v>67</v>
      </c>
      <c r="B71" s="204" t="inlineStr">
        <is>
          <t>ACUFEM Women's Specialist Services</t>
        </is>
      </c>
      <c r="C71" s="203" t="inlineStr">
        <is>
          <t>Not started</t>
        </is>
      </c>
      <c r="D71" s="203" t="inlineStr">
        <is>
          <t>Specialist centre</t>
        </is>
      </c>
      <c r="E71" s="203" t="inlineStr">
        <is>
          <t>O&amp;G clinic</t>
        </is>
      </c>
      <c r="F71" s="203" t="inlineStr">
        <is>
          <t>Antenatal care and delivery, gynaecology, hysteroscopy, menopause</t>
        </is>
      </c>
      <c r="G71" s="203" t="inlineStr">
        <is>
          <t>Orchard (Gleneagles MC)</t>
        </is>
      </c>
      <c r="H71" s="205" t="inlineStr">
        <is>
          <t>https://www.acufem.com</t>
        </is>
      </c>
      <c r="I71" s="203" t="inlineStr">
        <is>
          <t>+65 6474 3821</t>
        </is>
      </c>
      <c r="J71" s="203" t="inlineStr">
        <is>
          <t>Not published on site. Call to request</t>
        </is>
      </c>
      <c r="K71" s="203" t="inlineStr">
        <is>
          <t>Gleneagles Medical Center, 6 Napier Road #04-14, Singapore 258499</t>
        </is>
      </c>
      <c r="L71" s="203" t="inlineStr">
        <is>
          <t>Doctor not named on home page</t>
        </is>
      </c>
      <c r="M71" s="206" t="inlineStr">
        <is>
          <t>A</t>
        </is>
      </c>
      <c r="N71" s="203" t="inlineStr">
        <is>
          <t>Not stated on home page</t>
        </is>
      </c>
      <c r="O71" s="203" t="inlineStr">
        <is>
          <t>Private O&amp;G practice where the scanner runs all day; price sensitive enough to consider a value cart or a second unit. Ultrasound use: Not stated on home page. Confirm on the first call. No email published: call or WhatsApp for the right inbox, then send.</t>
        </is>
      </c>
      <c r="P71" s="203" t="inlineStr">
        <is>
          <t>SonoPort 8 (mid tier cart, 23.8 in monitor for the patient view) + SonoBook 9 (automatic follicle measurement, moves between rooms)</t>
        </is>
      </c>
      <c r="Q71" s="208" t="inlineStr">
        <is>
          <t>P2</t>
        </is>
      </c>
      <c r="R71" s="203" t="inlineStr">
        <is>
          <t>P2: no email published, call or WhatsApp first; high fit for CHISON.</t>
        </is>
      </c>
      <c r="S71" s="203" t="inlineStr">
        <is>
          <t>Own site opened 2 to 3 Oct 2026</t>
        </is>
      </c>
      <c r="T71" s="203" t="inlineStr">
        <is>
          <t>CHISON ultrasound for ACUFEM: O&amp;G scanning in your clinic</t>
        </is>
      </c>
      <c r="U71" s="203" t="inlineStr">
        <is>
          <t>Dear ACUFEM team,
I am Casper Tan, Senior Regional Sales Manager at AstraMed Healthcare, the Singapore subsidiary of CHISON Medical Technologies. Antenatal care, delivery and gynaecology at Gleneagles keep a scanner in use through the day.
CHISON has made diagnostic ultrasound in Wuxi since 1996 and sells in more than 100 countries. The systems below are registered with HSA, with AstraMed as the local registrant, so supply, application training and service are all handled here in Singapore.
For a busy O&amp;G practice, I would start with these two:
• SonoPort 8: a mid tier cart for the consult room, with a 23.8 inch monitor your patients can follow easily and a 15.6 inch touch screen
• SonoBook 9: a laptop system with automatic follicle measurement and about two hours of scanning on battery, easy to move between rooms
My aim is to put strong image quality within reach of an independent practice, with application training done locally so your team is confident from the first week.
Our demonstration units arrive in Singapore in October. Could I bring both systems to ACUFEM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2" ht="60" customHeight="1" s="104">
      <c r="A72" s="203" t="n">
        <v>68</v>
      </c>
      <c r="B72" s="204" t="inlineStr">
        <is>
          <t>Healthcare for Women</t>
        </is>
      </c>
      <c r="C72" s="203" t="inlineStr">
        <is>
          <t>Not started</t>
        </is>
      </c>
      <c r="D72" s="203" t="inlineStr">
        <is>
          <t>Specialist centre</t>
        </is>
      </c>
      <c r="E72" s="203" t="inlineStr">
        <is>
          <t>O&amp;G clinic</t>
        </is>
      </c>
      <c r="F72" s="203" t="inlineStr">
        <is>
          <t>Pelvic ultrasound, 2D/3D/4D obstetric ultrasound, antenatal risk assessment, fertility, menopause, continence</t>
        </is>
      </c>
      <c r="G72" s="203" t="inlineStr">
        <is>
          <t>Novena (Novena Specialist Center)</t>
        </is>
      </c>
      <c r="H72" s="205" t="inlineStr">
        <is>
          <t>https://www.healthcareforwomen.com.sg</t>
        </is>
      </c>
      <c r="I72" s="203" t="inlineStr">
        <is>
          <t>+65 6681 6699 (fax 6334 6313)</t>
        </is>
      </c>
      <c r="J72" s="203" t="inlineStr">
        <is>
          <t>Not published on site. Call to request</t>
        </is>
      </c>
      <c r="K72" s="203" t="inlineStr">
        <is>
          <t>8 Sinaran Drive #06-02, Novena Specialist Center, Singapore 307470</t>
        </is>
      </c>
      <c r="L72" s="203" t="inlineStr">
        <is>
          <t>Dr Chen Chern Yi, O&amp;G (named on own site)</t>
        </is>
      </c>
      <c r="M72" s="206" t="inlineStr">
        <is>
          <t>A</t>
        </is>
      </c>
      <c r="N72" s="203" t="inlineStr">
        <is>
          <t>Yes. 2D, 3D and 4D ultrasound listed</t>
        </is>
      </c>
      <c r="O72" s="203" t="inlineStr">
        <is>
          <t>Private O&amp;G practice where the scanner runs all day; price sensitive enough to consider a value cart or a second unit. Ultrasound already in use (2D, 3D and 4D ultrasound listed), so pitch added capacity or a second room. No email published: call or WhatsApp for the right inbox, then send.</t>
        </is>
      </c>
      <c r="P72" s="203" t="inlineStr">
        <is>
          <t>SonoPort 8 (mid tier cart, 23.8 in monitor for the patient view) + SonoBook 9 (automatic follicle measurement, moves between rooms)</t>
        </is>
      </c>
      <c r="Q72" s="208" t="inlineStr">
        <is>
          <t>P2</t>
        </is>
      </c>
      <c r="R72" s="203" t="inlineStr">
        <is>
          <t>P2: no email published, call or WhatsApp first; high fit for CHISON; already scans in house.</t>
        </is>
      </c>
      <c r="S72" s="203" t="inlineStr">
        <is>
          <t>Own site opened 2 to 3 Oct 2026</t>
        </is>
      </c>
      <c r="T72" s="203" t="inlineStr">
        <is>
          <t>CHISON ultrasound for Healthcare for Women: O&amp;G scanning in your clinic</t>
        </is>
      </c>
      <c r="U72" s="203" t="inlineStr">
        <is>
          <t>Dear Dr Chen,
I am Casper Tan, Senior Regional Sales Manager at AstraMed Healthcare, the Singapore subsidiary of CHISON Medical Technologies. Pelvic ultrasound and 2D, 3D and 4D pregnancy scans are listed among your services at Novena Specialist Center.
CHISON has made diagnostic ultrasound in Wuxi since 1996 and sells in more than 100 countries. The systems below are registered with HSA, with AstraMed as the local registrant, so supply, application training and service are all handled here in Singapore.
For a busy O&amp;G practice, I would start with these two:
• SonoPort 8: a mid tier cart for the consult room, with a 23.8 inch monitor your patients can follow easily and a 15.6 inch touch screen
• SonoBook 9: a laptop system with automatic follicle measurement and about two hours of scanning on battery, easy to move between rooms
If you already have a system you are happy with, a second CHISON unit is a practical way to add capacity or free your main room for the longer scans.
Our demonstration units arrive in Singapore in October. Could I bring both systems to Healthcare for Women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3" ht="48" customHeight="1" s="104">
      <c r="A73" s="203" t="n">
        <v>69</v>
      </c>
      <c r="B73" s="204" t="inlineStr">
        <is>
          <t>KL Tan Clinic &amp; Surgery for Women</t>
        </is>
      </c>
      <c r="C73" s="203" t="inlineStr">
        <is>
          <t>Not started</t>
        </is>
      </c>
      <c r="D73" s="203" t="inlineStr">
        <is>
          <t>Specialist centre</t>
        </is>
      </c>
      <c r="E73" s="203" t="inlineStr">
        <is>
          <t>O&amp;G clinic</t>
        </is>
      </c>
      <c r="F73" s="203" t="inlineStr">
        <is>
          <t>Antenatal care and delivery, prenatal testing, 3D/4D ultrasound, gynae surgery, fertility</t>
        </is>
      </c>
      <c r="G73" s="203" t="inlineStr">
        <is>
          <t>Thomson (Mount Alvernia)</t>
        </is>
      </c>
      <c r="H73" s="205" t="inlineStr">
        <is>
          <t>https://www.gynaeclinic-surgery.com</t>
        </is>
      </c>
      <c r="I73" s="203" t="inlineStr">
        <is>
          <t>+65 6902 0082</t>
        </is>
      </c>
      <c r="J73" s="203" t="inlineStr">
        <is>
          <t>Not published on site. Call to request</t>
        </is>
      </c>
      <c r="K73" s="203" t="inlineStr">
        <is>
          <t>820 Thomson Road, Medical Centre D #05-09, Mount Alvernia Hospital, Singapore 574623</t>
        </is>
      </c>
      <c r="L73" s="203" t="inlineStr">
        <is>
          <t>Dr Tan Kai Lit (named on own site)</t>
        </is>
      </c>
      <c r="M73" s="206" t="inlineStr">
        <is>
          <t>A</t>
        </is>
      </c>
      <c r="N73" s="203" t="inlineStr">
        <is>
          <t>Yes. 3D/4D ultrasound listed</t>
        </is>
      </c>
      <c r="O73" s="203" t="inlineStr">
        <is>
          <t>Private O&amp;G practice where the scanner runs all day; price sensitive enough to consider a value cart or a second unit. Ultrasound already in use (3D/4D ultrasound listed), so pitch added capacity or a second room. No email published: call or WhatsApp for the right inbox, then send.</t>
        </is>
      </c>
      <c r="P73" s="203" t="inlineStr">
        <is>
          <t>SonoPort 8 (mid tier cart, 23.8 in monitor for the patient view) + SonoBook 9 (automatic follicle measurement, moves between rooms)</t>
        </is>
      </c>
      <c r="Q73" s="208" t="inlineStr">
        <is>
          <t>P2</t>
        </is>
      </c>
      <c r="R73" s="203" t="inlineStr">
        <is>
          <t>P2: no email published, call or WhatsApp first; high fit for CHISON; already scans in house.</t>
        </is>
      </c>
      <c r="S73" s="203" t="inlineStr">
        <is>
          <t>Own site opened 2 to 3 Oct 2026</t>
        </is>
      </c>
      <c r="T73" s="203" t="inlineStr">
        <is>
          <t>CHISON ultrasound for KL Tan Clinic &amp; Surgery for Women: O&amp;G scanning in your clinic</t>
        </is>
      </c>
      <c r="U73" s="203" t="inlineStr">
        <is>
          <t>Dear Dr Tan,
I am Casper Tan, Senior Regional Sales Manager at AstraMed Healthcare, the Singapore subsidiary of CHISON Medical Technologies. You already offer 3D and 4D ultrasound alongside antenatal care and prenatal testing at Mount Alvernia.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put forward:
• SonoPort 8: a mid tier cart for the consult room, with a 23.8 inch monitor your patients can follow easily and a 15.6 inch touch screen
• SonoBook 9: a laptop system with automatic follicle measurement and about two hours of scanning on battery, easy to move between rooms
If you already have a system you are happy with, a second CHISON unit is a practical way to add capacity or free your main room for the longer scans.
Our demonstration units arrive in Singapore in October. Could I bring both systems to KL Tan Clinic &amp; Surgery for Women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4" ht="60" customHeight="1" s="104">
      <c r="A74" s="203" t="n">
        <v>70</v>
      </c>
      <c r="B74" s="204" t="inlineStr">
        <is>
          <t>O&amp;G The Women's Medical Specialist</t>
        </is>
      </c>
      <c r="C74" s="203" t="inlineStr">
        <is>
          <t>Not started</t>
        </is>
      </c>
      <c r="D74" s="203" t="inlineStr">
        <is>
          <t>Specialist centre</t>
        </is>
      </c>
      <c r="E74" s="203" t="inlineStr">
        <is>
          <t>O&amp;G clinic</t>
        </is>
      </c>
      <c r="F74" s="203" t="inlineStr">
        <is>
          <t>Pregnancy care and delivery, fertility (IUI, egg freezing), gynae surgery, menopause; pelvic ultrasound and fetal wellness assessment</t>
        </is>
      </c>
      <c r="G74" s="203" t="inlineStr">
        <is>
          <t>Novena (Mount Elizabeth Novena Specialist Centre)</t>
        </is>
      </c>
      <c r="H74" s="205" t="inlineStr">
        <is>
          <t>https://www.ogwomensspecialist.sg</t>
        </is>
      </c>
      <c r="I74" s="203" t="inlineStr">
        <is>
          <t>+65 6974 4188 / +65 8202 3803</t>
        </is>
      </c>
      <c r="J74" s="203" t="inlineStr">
        <is>
          <t>Not published on site. Call to request</t>
        </is>
      </c>
      <c r="K74" s="203" t="inlineStr">
        <is>
          <t>38 Irrawaddy Road #04-24, Mount Elizabeth Novena Specialist Centre, Singapore 329563</t>
        </is>
      </c>
      <c r="L74" s="203" t="inlineStr">
        <is>
          <t>Dr Tan Thiam Chye, O&amp;G (named on own site)</t>
        </is>
      </c>
      <c r="M74" s="206" t="inlineStr">
        <is>
          <t>A</t>
        </is>
      </c>
      <c r="N74" s="203" t="inlineStr">
        <is>
          <t>Yes. Pelvic ultrasound and fetal wellness assessment listed</t>
        </is>
      </c>
      <c r="O74" s="203" t="inlineStr">
        <is>
          <t>Private O&amp;G practice where the scanner runs all day; price sensitive enough to consider a value cart or a second unit. Ultrasound already in use (Pelvic ultrasound and fetal wellness assessment listed), so pitch added capacity or a second room. No email published: call or WhatsApp for the right inbox, then send.</t>
        </is>
      </c>
      <c r="P74" s="203" t="inlineStr">
        <is>
          <t>SonoPort 8 (mid tier cart, 23.8 in monitor for the patient view) + SonoBook 9 (automatic follicle measurement, moves between rooms)</t>
        </is>
      </c>
      <c r="Q74" s="208" t="inlineStr">
        <is>
          <t>P2</t>
        </is>
      </c>
      <c r="R74" s="203" t="inlineStr">
        <is>
          <t>P2: no email published, call or WhatsApp first; high fit for CHISON; already scans in house.</t>
        </is>
      </c>
      <c r="S74" s="203" t="inlineStr">
        <is>
          <t>Own site opened 2 to 3 Oct 2026</t>
        </is>
      </c>
      <c r="T74" s="203" t="inlineStr">
        <is>
          <t>CHISON ultrasound for O&amp;G The Women's Medical Specialist: O&amp;G scanning in your clinic</t>
        </is>
      </c>
      <c r="U74" s="203" t="inlineStr">
        <is>
          <t>Dear Dr Tan,
I am Casper Tan, Senior Regional Sales Manager at AstraMed Healthcare, the Singapore subsidiary of CHISON Medical Technologies. Your practice lists pelvic ultrasound and fetal wellness assessment alongside fertility care, so the scanner is central to almost every visit.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suggest:
• SonoPort 8: a mid tier cart for the consult room, with a 23.8 inch monitor your patients can follow easily and a 15.6 inch touch screen
• SonoBook 9: a laptop system with automatic follicle measurement and about two hours of scanning on battery, easy to move between rooms
If you already have a system you are happy with, a second CHISON unit is a practical way to add capacity or free your main room for the longer scans.
Our demonstration units arrive in Singapore in October. Could I bring both systems to O&amp;G The Women's Medical Specialist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5" ht="48" customHeight="1" s="104">
      <c r="A75" s="203" t="n">
        <v>71</v>
      </c>
      <c r="B75" s="204" t="inlineStr">
        <is>
          <t>SWJEN Clinic</t>
        </is>
      </c>
      <c r="C75" s="203" t="inlineStr">
        <is>
          <t>Not started</t>
        </is>
      </c>
      <c r="D75" s="203" t="inlineStr">
        <is>
          <t>Specialist centre</t>
        </is>
      </c>
      <c r="E75" s="203" t="inlineStr">
        <is>
          <t>O&amp;G clinic</t>
        </is>
      </c>
      <c r="F75" s="203" t="inlineStr">
        <is>
          <t>Heartland O&amp;G clinic: prenatal care and screening, delivery, family planning, fibroids and cysts, breast and cervical screening</t>
        </is>
      </c>
      <c r="G75" s="203" t="inlineStr">
        <is>
          <t>Ang Mo Kio (HDB heartland)</t>
        </is>
      </c>
      <c r="H75" s="205" t="inlineStr">
        <is>
          <t>https://www.swjen.com.sg</t>
        </is>
      </c>
      <c r="I75" s="203" t="inlineStr">
        <is>
          <t>+65 6459 2833 / WhatsApp +65 8827 6428</t>
        </is>
      </c>
      <c r="J75" s="203" t="inlineStr">
        <is>
          <t>Not published on site. WhatsApp or call</t>
        </is>
      </c>
      <c r="K75" s="203" t="inlineStr">
        <is>
          <t>Blk 721 Ang Mo Kio Ave 8 #01-2813, Singapore 560721</t>
        </is>
      </c>
      <c r="L75" s="203" t="inlineStr">
        <is>
          <t>Dr Jen Shek Wei, Consultant O&amp;G (named on own site)</t>
        </is>
      </c>
      <c r="M75" s="206" t="inlineStr">
        <is>
          <t>A</t>
        </is>
      </c>
      <c r="N75" s="203" t="inlineStr">
        <is>
          <t>Not stated (prenatal care implies scanning)</t>
        </is>
      </c>
      <c r="O75" s="203" t="inlineStr">
        <is>
          <t>Private O&amp;G practice where the scanner runs all day; price sensitive enough to consider a value cart or a second unit. Ultrasound use: Not stated (prenatal care implies scanning). Confirm on the first call. No email published: call or WhatsApp for the right inbox, then send.</t>
        </is>
      </c>
      <c r="P75" s="203" t="inlineStr">
        <is>
          <t>SonoPort 8 (mid tier cart, 23.8 in monitor for the patient view) + SonoBook 9 (automatic follicle measurement, moves between rooms)</t>
        </is>
      </c>
      <c r="Q75" s="208" t="inlineStr">
        <is>
          <t>P2</t>
        </is>
      </c>
      <c r="R75" s="203" t="inlineStr">
        <is>
          <t>P2: no email published, call or WhatsApp first; high fit for CHISON.</t>
        </is>
      </c>
      <c r="S75" s="203" t="inlineStr">
        <is>
          <t>Own site opened 2 to 3 Oct 2026</t>
        </is>
      </c>
      <c r="T75" s="203" t="inlineStr">
        <is>
          <t>CHISON ultrasound for SWJEN Clinic: O&amp;G scanning in your clinic</t>
        </is>
      </c>
      <c r="U75" s="203" t="inlineStr">
        <is>
          <t>Dear Dr Jen,
I am Casper Tan, Senior Regional Sales Manager at AstraMed Healthcare, the Singapore subsidiary of CHISON Medical Technologies. Prenatal care and gynae work at your Ang Mo Kio clinic run on a scanner every day, and heartland practices feel the cost of equipment the most.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suggest:
• SonoPort 8: a mid tier cart for the consult room, with a 23.8 inch monitor your patients can follow easily and a 15.6 inch touch screen
• SonoBook 9: a laptop system with automatic follicle measurement and about two hours of scanning on battery, easy to move between rooms
My aim is to put strong image quality within reach of an independent practice, with application training done locally so your team is confident from the first week.
Our demonstration units arrive in Singapore in October. Could I bring both systems to SWJEN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6" ht="48" customHeight="1" s="104">
      <c r="A76" s="203" t="n">
        <v>72</v>
      </c>
      <c r="B76" s="204" t="inlineStr">
        <is>
          <t>Wendy Women's Clinic</t>
        </is>
      </c>
      <c r="C76" s="203" t="inlineStr">
        <is>
          <t>Not started</t>
        </is>
      </c>
      <c r="D76" s="203" t="inlineStr">
        <is>
          <t>Specialist centre</t>
        </is>
      </c>
      <c r="E76" s="203" t="inlineStr">
        <is>
          <t>O&amp;G clinic</t>
        </is>
      </c>
      <c r="F76" s="203" t="inlineStr">
        <is>
          <t>Obstetrics, gynaecology, laparoscopic and urogynae surgery, IUI and IVF, ultrasound</t>
        </is>
      </c>
      <c r="G76" s="203" t="inlineStr">
        <is>
          <t>Novena (Mount Elizabeth Novena Specialist Centre)</t>
        </is>
      </c>
      <c r="H76" s="205" t="inlineStr">
        <is>
          <t>https://www.wendywomensclinic.com.sg</t>
        </is>
      </c>
      <c r="I76" s="203" t="inlineStr">
        <is>
          <t>+65 6250 1685 / WhatsApp +65 9118 9636</t>
        </is>
      </c>
      <c r="J76" s="203" t="inlineStr">
        <is>
          <t>Not published on site. WhatsApp or call</t>
        </is>
      </c>
      <c r="K76" s="203" t="inlineStr">
        <is>
          <t>Mount Elizabeth Novena Specialist Centre, 38 Irrawaddy Road #08-42, Singapore 329563</t>
        </is>
      </c>
      <c r="L76" s="203" t="inlineStr">
        <is>
          <t>Dr Wendy Teo, Consultant O&amp;G (named on own site)</t>
        </is>
      </c>
      <c r="M76" s="206" t="inlineStr">
        <is>
          <t>A</t>
        </is>
      </c>
      <c r="N76" s="203" t="inlineStr">
        <is>
          <t>Ultrasound referenced on site</t>
        </is>
      </c>
      <c r="O76" s="203" t="inlineStr">
        <is>
          <t>Private O&amp;G practice where the scanner runs all day; price sensitive enough to consider a value cart or a second unit. Ultrasound use: Ultrasound referenced on site. Confirm on the first call. No email published: call or WhatsApp for the right inbox, then send.</t>
        </is>
      </c>
      <c r="P76" s="203" t="inlineStr">
        <is>
          <t>SonoPort 8 (mid tier cart, 23.8 in monitor for the patient view) + SonoBook 9 (automatic follicle measurement, moves between rooms)</t>
        </is>
      </c>
      <c r="Q76" s="208" t="inlineStr">
        <is>
          <t>P2</t>
        </is>
      </c>
      <c r="R76" s="203" t="inlineStr">
        <is>
          <t>P2: no email published, call or WhatsApp first; high fit for CHISON.</t>
        </is>
      </c>
      <c r="S76" s="203" t="inlineStr">
        <is>
          <t>Own site opened 2 to 3 Oct 2026</t>
        </is>
      </c>
      <c r="T76" s="203" t="inlineStr">
        <is>
          <t>CHISON ultrasound for Wendy Women's Clinic: O&amp;G scanning in your clinic</t>
        </is>
      </c>
      <c r="U76" s="203" t="inlineStr">
        <is>
          <t>Dear Dr Teo,
I am Casper Tan, Senior Regional Sales Manager at AstraMed Healthcare, the Singapore subsidiary of CHISON Medical Technologies. Prenatal care, gynae surgery and fertility treatment at your Mount Elizabeth Novena clinic all run on in clinic ultrasound.
CHISON has made diagnostic ultrasound in Wuxi since 1996 and sells in more than 100 countries. The systems below are registered with HSA, with AstraMed as the local registrant, so supply, application training and service are all handled here in Singapore.
For a busy O&amp;G practice, I would start with these two:
• SonoPort 8: a mid tier cart for the consult room, with a 23.8 inch monitor your patients can follow easily and a 15.6 inch touch screen
• SonoBook 9: a laptop system with automatic follicle measurement and about two hours of scanning on battery, easy to move between rooms
My aim is to put strong image quality within reach of an independent practice, with application training done locally so your team is confident from the first week.
Our demonstration units arrive in Singapore in October. Could I bring both systems to Wendy Women's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7" ht="48" customHeight="1" s="104">
      <c r="A77" s="203" t="n">
        <v>73</v>
      </c>
      <c r="B77" s="204" t="inlineStr">
        <is>
          <t>Centurion Orthopaedic Centre</t>
        </is>
      </c>
      <c r="C77" s="203" t="inlineStr">
        <is>
          <t>Not started</t>
        </is>
      </c>
      <c r="D77" s="203" t="inlineStr">
        <is>
          <t>Specialist centre</t>
        </is>
      </c>
      <c r="E77" s="203" t="inlineStr">
        <is>
          <t>Orthopaedic surgery centre</t>
        </is>
      </c>
      <c r="F77" s="203" t="inlineStr">
        <is>
          <t>Knee, shoulder, hip, ankle and spine care; joint injections; on site X-ray</t>
        </is>
      </c>
      <c r="G77" s="203" t="inlineStr">
        <is>
          <t>Novena (Mount Elizabeth Novena Specialist Centre)</t>
        </is>
      </c>
      <c r="H77" s="205" t="inlineStr">
        <is>
          <t>https://coc.sg</t>
        </is>
      </c>
      <c r="I77" s="203" t="inlineStr">
        <is>
          <t>+65 9623 7153 (call, text or WhatsApp)</t>
        </is>
      </c>
      <c r="J77" s="203" t="inlineStr">
        <is>
          <t>Not published on site. WhatsApp or call</t>
        </is>
      </c>
      <c r="K77" s="203" t="inlineStr">
        <is>
          <t>38 Irrawaddy Road #07-40, Mt Elizabeth Novena Specialist Centre, Singapore 329563</t>
        </is>
      </c>
      <c r="L77" s="203" t="inlineStr">
        <is>
          <t>Dr Ang Chia Liang, Senior Consultant Orthopaedic Specialist (named on own site)</t>
        </is>
      </c>
      <c r="M77" s="206" t="inlineStr">
        <is>
          <t>A</t>
        </is>
      </c>
      <c r="N77" s="203" t="inlineStr">
        <is>
          <t>Not stated (on site X-ray only)</t>
        </is>
      </c>
      <c r="O77" s="203" t="inlineStr">
        <is>
          <t>Orthopaedic consults raise tendon, effusion and injection questions that point of care ultrasound answers without a referral. Ultrasound use: Not stated (on site X-ray only). Confirm on the first call. No email published: call or WhatsApp for the right inbox, then send.</t>
        </is>
      </c>
      <c r="P77" s="203" t="inlineStr">
        <is>
          <t>SonoEye P5 (phone paired, high frequency for tendons, joints, injections) + SonoAir 70 (SonoMSK, SonoNerve, four active ports)</t>
        </is>
      </c>
      <c r="Q77" s="208" t="inlineStr">
        <is>
          <t>P2</t>
        </is>
      </c>
      <c r="R77" s="203" t="inlineStr">
        <is>
          <t>P2: no email published, call or WhatsApp first; high fit for CHISON.</t>
        </is>
      </c>
      <c r="S77" s="203" t="inlineStr">
        <is>
          <t>Own site opened 2 to 3 Oct 2026</t>
        </is>
      </c>
      <c r="T77" s="203" t="inlineStr">
        <is>
          <t>CHISON ultrasound for Centurion Orthopaedic Centre: MSK scans in the consult room</t>
        </is>
      </c>
      <c r="U77" s="203" t="inlineStr">
        <is>
          <t>Dear Dr Ang,
I am Casper Tan, Senior Regional Sales Manager at AstraMed Healthcare, the Singapore subsidiary of CHISON Medical Technologies. Joint injections and soft tissue assessment for knee, shoulder and ankle patients are where ultrasound in the room saves a separate imaging trip.
CHISON has made diagnostic ultrasound in Wuxi since 1996 and sells in more than 100 countries. The systems below are registered with HSA, with AstraMed as the local registrant, so supply, application training and service are all handled here in Singapore.
For an orthopaedic practice, these are the two I would put forward: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Centurion Orthopaedic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8" ht="48" customHeight="1" s="104">
      <c r="A78" s="203" t="n">
        <v>74</v>
      </c>
      <c r="B78" s="204" t="inlineStr">
        <is>
          <t>OrthoKau Orthopaedic Surgery</t>
        </is>
      </c>
      <c r="C78" s="203" t="inlineStr">
        <is>
          <t>Not started</t>
        </is>
      </c>
      <c r="D78" s="203" t="inlineStr">
        <is>
          <t>Specialist centre</t>
        </is>
      </c>
      <c r="E78" s="203" t="inlineStr">
        <is>
          <t>Orthopaedic surgery centre</t>
        </is>
      </c>
      <c r="F78" s="203" t="inlineStr">
        <is>
          <t>Hip and knee replacement incl. robotic, ACL, meniscus, sports injury, fractures, shoulder, foot and ankle. Three sites</t>
        </is>
      </c>
      <c r="G78" s="203" t="inlineStr">
        <is>
          <t>Farrer Park, Novena, Thomson</t>
        </is>
      </c>
      <c r="H78" s="205" t="inlineStr">
        <is>
          <t>https://orthokau.com</t>
        </is>
      </c>
      <c r="I78" s="203" t="inlineStr">
        <is>
          <t>+65 6244 8022 (Farrer Park) / +65 6884 6788 / WhatsApp +65 8757 9903</t>
        </is>
      </c>
      <c r="J78" s="203" t="inlineStr">
        <is>
          <t>Shown on site behind spam protection; not machine readable. Call or WhatsApp</t>
        </is>
      </c>
      <c r="K78" s="203" t="inlineStr">
        <is>
          <t>Connexion, Farrer Park Hospital, 1 Farrer Park Station Road #14-06, Singapore 217562 (also MENSC #06-59/60/61, Mount Alvernia #07-53)</t>
        </is>
      </c>
      <c r="L78" s="203" t="inlineStr">
        <is>
          <t>Dr Kau Chung Yuan (named on own site)</t>
        </is>
      </c>
      <c r="M78" s="206" t="inlineStr">
        <is>
          <t>A</t>
        </is>
      </c>
      <c r="N78" s="203" t="inlineStr">
        <is>
          <t>Not stated on site</t>
        </is>
      </c>
      <c r="O78" s="203" t="inlineStr">
        <is>
          <t>Orthopaedic consults raise tendon, effusion and injection questions that point of care ultrasound answers without a referral. Ultrasound use: Not stated on site. Confirm on the first call. No email published: call or WhatsApp for the right inbox, then send.</t>
        </is>
      </c>
      <c r="P78" s="203" t="inlineStr">
        <is>
          <t>SonoEye P5 (phone paired, high frequency for tendons, joints, injections) + SonoAir 70 (SonoMSK, SonoNerve, four active ports)</t>
        </is>
      </c>
      <c r="Q78" s="208" t="inlineStr">
        <is>
          <t>P2</t>
        </is>
      </c>
      <c r="R78" s="203" t="inlineStr">
        <is>
          <t>P2: no email published, call or WhatsApp first; high fit for CHISON.</t>
        </is>
      </c>
      <c r="S78" s="203" t="inlineStr">
        <is>
          <t>Own site opened 2 to 3 Oct 2026</t>
        </is>
      </c>
      <c r="T78" s="203" t="inlineStr">
        <is>
          <t>CHISON ultrasound for OrthoKau Orthopaedic Surgery: MSK scans in the consult room</t>
        </is>
      </c>
      <c r="U78" s="203" t="inlineStr">
        <is>
          <t>Dear Dr Kau,
I am Casper Tan, Senior Regional Sales Manager at AstraMed Healthcare, the Singapore subsidiary of CHISON Medical Technologies. Sports injuries, foot and ankle and shoulder conditions across Farrer Park, Novena and Thomson suit point of care ultrasound in the consult room.
CHISON has made diagnostic ultrasound in Wuxi since 1996 and sells in more than 100 countries. The systems below are registered with HSA, with AstraMed as the local registrant, so supply, application training and service are all handled here in Singapore.
For an orthopaedic practice, these are the two I would put forward: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OrthoKau Orthopaedic Surgery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79" ht="48" customHeight="1" s="104">
      <c r="A79" s="203" t="n">
        <v>75</v>
      </c>
      <c r="B79" s="204" t="inlineStr">
        <is>
          <t>The Pain Relief Clinic</t>
        </is>
      </c>
      <c r="C79" s="203" t="inlineStr">
        <is>
          <t>Not started</t>
        </is>
      </c>
      <c r="D79" s="203" t="inlineStr">
        <is>
          <t>Specialist centre</t>
        </is>
      </c>
      <c r="E79" s="203" t="inlineStr">
        <is>
          <t>Pain management clinic</t>
        </is>
      </c>
      <c r="F79" s="203" t="inlineStr">
        <is>
          <t>Same day pain consults with shockwave, INDIBA, physiotherapy; imaging incl. X-ray, ultrasound, MRI arranged</t>
        </is>
      </c>
      <c r="G79" s="203" t="inlineStr">
        <is>
          <t>Orchard (Shaw House)</t>
        </is>
      </c>
      <c r="H79" s="205" t="inlineStr">
        <is>
          <t>https://painrelief.com.sg</t>
        </is>
      </c>
      <c r="I79" s="203" t="inlineStr">
        <is>
          <t>+65 6732 2397 / after hours +65 9068 9605</t>
        </is>
      </c>
      <c r="J79" s="203" t="inlineStr">
        <is>
          <t>Not published on site. WhatsApp link on site</t>
        </is>
      </c>
      <c r="K79" s="203" t="inlineStr">
        <is>
          <t>350 Orchard Road #10-00 Shaw House, Medical Suites @ Orchard, Singapore 238868</t>
        </is>
      </c>
      <c r="L79" s="203" t="inlineStr">
        <is>
          <t>Dr Terence Tan (named on own site)</t>
        </is>
      </c>
      <c r="M79" s="206" t="inlineStr">
        <is>
          <t>A</t>
        </is>
      </c>
      <c r="N79" s="203" t="inlineStr">
        <is>
          <t>Ultrasound listed among imaging available</t>
        </is>
      </c>
      <c r="O79" s="203" t="inlineStr">
        <is>
          <t>Ultrasound guided blocks and injections are daily work; nerve and needle visualisation tools are the hook. Ultrasound use: Ultrasound listed among imaging available. Confirm on the first call. No email published: call or WhatsApp for the right inbox, then send.</t>
        </is>
      </c>
      <c r="P79" s="203" t="inlineStr">
        <is>
          <t>SonoAir 70 (SonoMSK, SonoNerve, four active ports) + SonoMax 9 (SonoNerve, SonoNeedle and SuperNeedle included)</t>
        </is>
      </c>
      <c r="Q79" s="208" t="inlineStr">
        <is>
          <t>P2</t>
        </is>
      </c>
      <c r="R79" s="203" t="inlineStr">
        <is>
          <t>P2: no email published, call or WhatsApp first; high fit for CHISON.</t>
        </is>
      </c>
      <c r="S79" s="203" t="inlineStr">
        <is>
          <t>Own site opened 2 to 3 Oct 2026</t>
        </is>
      </c>
      <c r="T79" s="203" t="inlineStr">
        <is>
          <t>CHISON ultrasound for The Pain Relief Clinic: needle guidance for blocks</t>
        </is>
      </c>
      <c r="U79" s="203" t="inlineStr">
        <is>
          <t>Dear Dr Tan,
I am Casper Tan, Senior Regional Sales Manager at AstraMed Healthcare, the Singapore subsidiary of CHISON Medical Technologies. Your same day model at Shaw House depends on getting consultation, investigation and treatment done in one visit.
CHISON has made diagnostic ultrasound in Wuxi since 1996 and sells in more than 100 countries. The systems below are registered with HSA, with AstraMed as the local registrant, so supply, application training and service are all handled here in Singapore.
For interventional pain work, these are the two I would put forward:
• SonoAir 70: a 2.1 kg laptop with SonoMSK and SonoNerve tools and four active probe ports
• SonoMax 9: our flagship cart, which includes SonoNerve, SonoNeedle and SuperNeedle for nerve and needle visualisation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The Pain Relief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80" ht="60" customHeight="1" s="104">
      <c r="A80" s="203" t="n">
        <v>76</v>
      </c>
      <c r="B80" s="204" t="inlineStr">
        <is>
          <t>Apex Heart Clinic</t>
        </is>
      </c>
      <c r="C80" s="203" t="inlineStr">
        <is>
          <t>Contacted</t>
        </is>
      </c>
      <c r="D80" s="203" t="inlineStr">
        <is>
          <t>Specialist centre</t>
        </is>
      </c>
      <c r="E80" s="203" t="inlineStr">
        <is>
          <t>Cardiology centre</t>
        </is>
      </c>
      <c r="F80" s="203" t="inlineStr">
        <is>
          <t>Cardiology consults, in house echocardiography, ECG, stress testing, cardiac CT, angioplasty, pacing</t>
        </is>
      </c>
      <c r="G80" s="203" t="inlineStr">
        <is>
          <t>Orchard (Gleneagles Hospital Annexe)</t>
        </is>
      </c>
      <c r="H80" s="205" t="inlineStr">
        <is>
          <t>https://www.apexheartclinic.sg</t>
        </is>
      </c>
      <c r="I80" s="203" t="inlineStr">
        <is>
          <t>+65 6479 7928 / +65 6475 0568</t>
        </is>
      </c>
      <c r="J80" s="203" t="inlineStr">
        <is>
          <t>ApexHeartClinic@gmail.com</t>
        </is>
      </c>
      <c r="K80" s="203" t="inlineStr">
        <is>
          <t>6A Napier Road #04-37, Annexe Block, Gleneagles Hospital, Singapore 258500</t>
        </is>
      </c>
      <c r="L80" s="203" t="inlineStr">
        <is>
          <t>Dr Daniel Yeo, Senior Consultant Cardiologist (named on own site)</t>
        </is>
      </c>
      <c r="M80" s="206" t="inlineStr">
        <is>
          <t>A</t>
        </is>
      </c>
      <c r="N80" s="203" t="inlineStr">
        <is>
          <t>Yes. Echocardiography in house</t>
        </is>
      </c>
      <c r="O80" s="203" t="inlineStr">
        <is>
          <t>Echo across clinics; a value cart for screening echo frees the main system. Multi gate PW and tissue Doppler up to 4 gates and the extended apical view held up in the SonoMax competitive check. Ultrasound already in use (Echocardiography in house), so pitch added capacity or a second room.</t>
        </is>
      </c>
      <c r="P80" s="203" t="inlineStr">
        <is>
          <t>SonoPort 8 (auto EF without ECG accessory, multi gate PW up to 4 gates) + SonoMax 9 (multi gate PW and tissue Doppler up to 4 gates, extended apical view)</t>
        </is>
      </c>
      <c r="Q80" s="208" t="inlineStr">
        <is>
          <t>P2</t>
        </is>
      </c>
      <c r="R80" s="203" t="inlineStr">
        <is>
          <t>P2: verified email on own site; mid fit (premium incumbents or purchase decided elsewhere); already scans in house.</t>
        </is>
      </c>
      <c r="S80" s="203" t="inlineStr">
        <is>
          <t>Own site opened 2 to 3 Oct 2026</t>
        </is>
      </c>
      <c r="T80" s="203" t="inlineStr">
        <is>
          <t>CHISON ultrasound for Apex Heart Clinic: added echo capacity for your clinic</t>
        </is>
      </c>
      <c r="U80" s="203" t="inlineStr">
        <is>
          <t>Dear Dr Yeo,
I am Casper Tan, Senior Regional Sales Manager at AstraMed Healthcare, the Singapore subsidiary of CHISON Medical Technologies. In house echocardiography is part of your cardiology consults at the Gleneagles Annexe.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these are the two I would put forward:
• SonoPort 8: a mid tier cart with automatic EF from the 2D clip without an ECG accessory, and multi gate pulsed wave Doppler up to four gates
• SonoMax 9: our flagship cart, with multi gate pulsed wave and tissue Doppler up to four gates and an extended apical field of view
If you already have a system you are happy with, a second CHISON unit is a practical way to add capacity or free your main room for the longer scans.
Our demonstration units arrive in Singapore in October. Could I bring both systems to Apex Heart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81" ht="48" customHeight="1" s="104">
      <c r="A81" s="203" t="n">
        <v>77</v>
      </c>
      <c r="B81" s="204" t="inlineStr">
        <is>
          <t>Asian Heart &amp; Vascular Centre (AHVC)</t>
        </is>
      </c>
      <c r="C81" s="203" t="inlineStr">
        <is>
          <t>Contacted</t>
        </is>
      </c>
      <c r="D81" s="203" t="inlineStr">
        <is>
          <t>Specialist centre</t>
        </is>
      </c>
      <c r="E81" s="203" t="inlineStr">
        <is>
          <t>Cardiology centre</t>
        </is>
      </c>
      <c r="F81" s="203" t="inlineStr">
        <is>
          <t>Echocardiography, stress testing, coronary angiography and angioplasty, TAVI, ablation, devices, athlete screening. Seven clinic suites across five locations</t>
        </is>
      </c>
      <c r="G81" s="203" t="inlineStr">
        <is>
          <t>Novena, Orchard, Gleneagles, Parkway East, Farrer Park</t>
        </is>
      </c>
      <c r="H81" s="205" t="inlineStr">
        <is>
          <t>https://www.ahvc.com.sg</t>
        </is>
      </c>
      <c r="I81" s="203" t="inlineStr">
        <is>
          <t>+65 6339 3638 (MENSC #08-60) / WhatsApp +65 9648 5478 (fax 6339 3632)</t>
        </is>
      </c>
      <c r="J81" s="203" t="inlineStr">
        <is>
          <t>enquiry.mnh1@ahvc.com.sg (each clinic has its own, e.g. enquiry.meh1@, enquiry.geh1@, enquiry.peh1@, enquiry.fph1@ahvc.com.sg)</t>
        </is>
      </c>
      <c r="K81" s="203" t="inlineStr">
        <is>
          <t>38 Irrawaddy Road #08-60 to 61, Mount Elizabeth Novena Specialist Centre, Singapore 329563 (plus MEMC #17-08 and #10-14, Gleneagles Annexe #01-39, Parkway East #04-05, Farrer Park #09-05/06)</t>
        </is>
      </c>
      <c r="L81" s="203" t="inlineStr">
        <is>
          <t>Not named on contact page</t>
        </is>
      </c>
      <c r="M81" s="206" t="inlineStr">
        <is>
          <t>A</t>
        </is>
      </c>
      <c r="N81" s="203" t="inlineStr">
        <is>
          <t>Yes. Echocardiography listed</t>
        </is>
      </c>
      <c r="O81" s="203" t="inlineStr">
        <is>
          <t>Echo across clinics; a value cart for screening echo frees the main system. Multi gate PW and tissue Doppler up to 4 gates and the extended apical view held up in the SonoMax competitive check. Ultrasound already in use (Echocardiography listed), so pitch added capacity or a second room.</t>
        </is>
      </c>
      <c r="P81" s="203" t="inlineStr">
        <is>
          <t>SonoPort 8 (auto EF without ECG accessory, multi gate PW up to 4 gates) + SonoMax 9 (multi gate PW and tissue Doppler up to 4 gates, extended apical view)</t>
        </is>
      </c>
      <c r="Q81" s="208" t="inlineStr">
        <is>
          <t>P2</t>
        </is>
      </c>
      <c r="R81" s="203" t="inlineStr">
        <is>
          <t>P2: verified email on own site; mid fit (premium incumbents or purchase decided elsewhere); already scans in house.</t>
        </is>
      </c>
      <c r="S81" s="203" t="inlineStr">
        <is>
          <t>Own site opened 2 to 3 Oct 2026; email decoded from the site's spam protected link</t>
        </is>
      </c>
      <c r="T81" s="203" t="inlineStr">
        <is>
          <t>CHISON ultrasound for AHVC: added echo capacity for your clinic</t>
        </is>
      </c>
      <c r="U81" s="203" t="inlineStr">
        <is>
          <t>Dear AHVC team,
I am Casper Tan, Senior Regional Sales Manager at AstraMed Healthcare, the Singapore subsidiary of CHISON Medical Technologies. Echocardiography is part of your cardiac investigations across the AHVC clinics, along with screening packages for athletes and pre enlistment checks.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these are the two I would put forward:
• SonoPort 8: a mid tier cart with automatic EF from the 2D clip without an ECG accessory, and multi gate pulsed wave Doppler up to four gates
• SonoMax 9: our flagship cart, with multi gate pulsed wave and tissue Doppler up to four gates and an extended apical field of view
Across several clinics, one platform means one training programme and one service contact for every site.
Would a short call with whoever looks after equipment across AHVC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82" ht="48" customHeight="1" s="104">
      <c r="A82" s="203" t="n">
        <v>78</v>
      </c>
      <c r="B82" s="204" t="inlineStr">
        <is>
          <t>Gerard Leong Cardiology Clinic</t>
        </is>
      </c>
      <c r="C82" s="203" t="inlineStr">
        <is>
          <t>Contacted</t>
        </is>
      </c>
      <c r="D82" s="203" t="inlineStr">
        <is>
          <t>Specialist centre</t>
        </is>
      </c>
      <c r="E82" s="203" t="inlineStr">
        <is>
          <t>Cardiology centre</t>
        </is>
      </c>
      <c r="F82" s="203" t="inlineStr">
        <is>
          <t>Heart check ups, coronary disease assessment, hypertension, cardiac symptom evaluation</t>
        </is>
      </c>
      <c r="G82" s="203" t="inlineStr">
        <is>
          <t>Farrer Park (Connexion)</t>
        </is>
      </c>
      <c r="H82" s="205" t="inlineStr">
        <is>
          <t>https://drgerardleongcardiology.com</t>
        </is>
      </c>
      <c r="I82" s="203" t="inlineStr">
        <is>
          <t>+65 6993 7353 / WhatsApp +65 9799 3193 (fax 6993 7352)</t>
        </is>
      </c>
      <c r="J82" s="203" t="inlineStr">
        <is>
          <t>clinic@drgerardleongcardiology.com</t>
        </is>
      </c>
      <c r="K82" s="203" t="inlineStr">
        <is>
          <t>1 Farrer Park Station Road #13-09 Connexion, Singapore 217562</t>
        </is>
      </c>
      <c r="L82" s="203" t="inlineStr">
        <is>
          <t>Dr Gerard Leong, Cardiologist (named on own site)</t>
        </is>
      </c>
      <c r="M82" s="206" t="inlineStr">
        <is>
          <t>A</t>
        </is>
      </c>
      <c r="N82" s="203" t="inlineStr">
        <is>
          <t>Not itemised on contact page</t>
        </is>
      </c>
      <c r="O82" s="203" t="inlineStr">
        <is>
          <t>Echo across clinics; a value cart for screening echo frees the main system. Multi gate PW and tissue Doppler up to 4 gates and the extended apical view held up in the SonoMax competitive check. Ultrasound use: Not itemised on contact page. Confirm on the first call.</t>
        </is>
      </c>
      <c r="P82" s="203" t="inlineStr">
        <is>
          <t>SonoPort 8 (auto EF without ECG accessory, multi gate PW up to 4 gates) + SonoMax 9 (multi gate PW and tissue Doppler up to 4 gates, extended apical view)</t>
        </is>
      </c>
      <c r="Q82" s="208" t="inlineStr">
        <is>
          <t>P2</t>
        </is>
      </c>
      <c r="R82" s="203" t="inlineStr">
        <is>
          <t>P2: verified email on own site; mid fit (premium incumbents or purchase decided elsewhere).</t>
        </is>
      </c>
      <c r="S82" s="203" t="inlineStr">
        <is>
          <t>Own site opened 2 to 3 Oct 2026</t>
        </is>
      </c>
      <c r="T82" s="203" t="inlineStr">
        <is>
          <t>CHISON ultrasound for Gerard Leong Cardiology: added echo capacity for your clinic</t>
        </is>
      </c>
      <c r="U82" s="203" t="inlineStr">
        <is>
          <t>Dear Dr Leong,
I am Casper Tan, Senior Regional Sales Manager at AstraMed Healthcare, the Singapore subsidiary of CHISON Medical Technologies. Heart check ups and coronary assessments at Farrer Park are where a value echo system in the consult room speeds up the first visit.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I would start with these two:
• SonoPort 8: a mid tier cart with automatic EF from the 2D clip without an ECG accessory, and multi gate pulsed wave Doppler up to four gates
• SonoMax 9: our flagship cart, with multi gate pulsed wave and tissue Doppler up to four gates and an extended apical field of view
My aim is to put strong image quality within reach of an independent practice, with application training done locally so your team is confident from the first week.
Our demonstration units arrive in Singapore in October. Could I bring both systems to Gerard Leong Cardiology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83" ht="72" customHeight="1" s="104">
      <c r="A83" s="203" t="n">
        <v>79</v>
      </c>
      <c r="B83" s="204" t="inlineStr">
        <is>
          <t>Heart Matters Cardiac Centre</t>
        </is>
      </c>
      <c r="C83" s="203" t="inlineStr">
        <is>
          <t>Contacted</t>
        </is>
      </c>
      <c r="D83" s="203" t="inlineStr">
        <is>
          <t>Specialist centre</t>
        </is>
      </c>
      <c r="E83" s="203" t="inlineStr">
        <is>
          <t>Cardiology centre</t>
        </is>
      </c>
      <c r="F83" s="203" t="inlineStr">
        <is>
          <t>ECG, echocardiography, carotid ultrasound, ambulatory monitoring, CT angiography, angioplasty</t>
        </is>
      </c>
      <c r="G83" s="203" t="inlineStr">
        <is>
          <t>Novena (Mount Elizabeth Novena Specialist Centre)</t>
        </is>
      </c>
      <c r="H83" s="205" t="inlineStr">
        <is>
          <t>https://heartmatters.com.sg</t>
        </is>
      </c>
      <c r="I83" s="203" t="inlineStr">
        <is>
          <t>+65 6339 1991</t>
        </is>
      </c>
      <c r="J83" s="203" t="inlineStr">
        <is>
          <t>info@heartmatters.com.sg</t>
        </is>
      </c>
      <c r="K83" s="203" t="inlineStr">
        <is>
          <t>Mount Elizabeth Novena Specialist Centre, 38 Irrawaddy Road, Singapore 329563 (unit not on home page)</t>
        </is>
      </c>
      <c r="L83" s="203" t="inlineStr">
        <is>
          <t>Dr Dinesh Nair, Consultant Cardiologist (named on own site)</t>
        </is>
      </c>
      <c r="M83" s="206" t="inlineStr">
        <is>
          <t>A</t>
        </is>
      </c>
      <c r="N83" s="203" t="inlineStr">
        <is>
          <t>Yes. Echocardiography and carotid ultrasound in house</t>
        </is>
      </c>
      <c r="O83" s="203" t="inlineStr">
        <is>
          <t>Echo across clinics; a value cart for screening echo frees the main system. Multi gate PW and tissue Doppler up to 4 gates and the extended apical view held up in the SonoMax competitive check. Ultrasound already in use (Echocardiography and carotid ultrasound in house), so pitch added capacity or a second room. Dr Dinesh Nair is named at both Heart Matters and The Heart Practice; send to one first and stagger the second.</t>
        </is>
      </c>
      <c r="P83" s="203" t="inlineStr">
        <is>
          <t>SonoPort 8 (auto EF without ECG accessory, multi gate PW up to 4 gates) + SonoMax 9 (multi gate PW and tissue Doppler up to 4 gates, extended apical view)</t>
        </is>
      </c>
      <c r="Q83" s="208" t="inlineStr">
        <is>
          <t>P2</t>
        </is>
      </c>
      <c r="R83" s="203" t="inlineStr">
        <is>
          <t>P2: verified email on own site; mid fit (premium incumbents or purchase decided elsewhere); already scans in house.</t>
        </is>
      </c>
      <c r="S83" s="203" t="inlineStr">
        <is>
          <t>Own site opened 2 to 3 Oct 2026; email decoded from the site's spam protected link</t>
        </is>
      </c>
      <c r="T83" s="203" t="inlineStr">
        <is>
          <t>CHISON ultrasound for Heart Matters Cardiac Centre: added echo capacity for your clinic</t>
        </is>
      </c>
      <c r="U83" s="203" t="inlineStr">
        <is>
          <t>Dear Dr Nair,
I am Casper Tan, Senior Regional Sales Manager at AstraMed Healthcare, the Singapore subsidiary of CHISON Medical Technologies. You run echocardiography and carotid ultrasound in house at Mount Elizabeth Novena, a combination that suits one shared system.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these are the two I would put forward:
• SonoPort 8: a mid tier cart with automatic EF from the 2D clip without an ECG accessory, and multi gate pulsed wave Doppler up to four gates
• SonoMax 9: our flagship cart, with multi gate pulsed wave and tissue Doppler up to four gates and an extended apical field of view
If you already have a system you are happy with, a second CHISON unit is a practical way to add capacity or free your main room for the longer scans.
Our demonstration units arrive in Singapore in October. Could I bring both systems to Heart Matters Cardiac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84" ht="60" customHeight="1" s="104">
      <c r="A84" s="203" t="n">
        <v>80</v>
      </c>
      <c r="B84" s="204" t="inlineStr">
        <is>
          <t>Novena Heart Centre</t>
        </is>
      </c>
      <c r="C84" s="203" t="inlineStr">
        <is>
          <t>Contacted</t>
        </is>
      </c>
      <c r="D84" s="203" t="inlineStr">
        <is>
          <t>Specialist centre</t>
        </is>
      </c>
      <c r="E84" s="203" t="inlineStr">
        <is>
          <t>Cardiology centre</t>
        </is>
      </c>
      <c r="F84" s="203" t="inlineStr">
        <is>
          <t>Echocardiography, ECG, stress testing, CT coronary angiography, angioplasty, pacing, EP. Six cardiologists, four sites</t>
        </is>
      </c>
      <c r="G84" s="203" t="inlineStr">
        <is>
          <t>Novena, Orchard, Thomson, Gleneagles</t>
        </is>
      </c>
      <c r="H84" s="205" t="inlineStr">
        <is>
          <t>https://www.novenaheartcentre.com.sg</t>
        </is>
      </c>
      <c r="I84" s="203" t="inlineStr">
        <is>
          <t>+65 6397 2004 / WhatsApp +65 9642 4746 (fax 6397 2051)</t>
        </is>
      </c>
      <c r="J84" s="203" t="inlineStr">
        <is>
          <t>appt@novenaheartcentre.com.sg (appointments inbox; site also lists apptmeh@, apptmah@, apptgeh@)</t>
        </is>
      </c>
      <c r="K84" s="203" t="inlineStr">
        <is>
          <t>Mount Elizabeth Novena Specialist Centre, 38 Irrawaddy Road #07-58, Singapore 329563 (also MEMC #12-18, Mt Alvernia A #05-01, Gleneagles MC #04-03)</t>
        </is>
      </c>
      <c r="L84" s="203" t="inlineStr">
        <is>
          <t>Dr Raymond Lee and Dr Tang Hak Chiaw, cardiac imaging cardiologists (named on own site)</t>
        </is>
      </c>
      <c r="M84" s="206" t="inlineStr">
        <is>
          <t>A</t>
        </is>
      </c>
      <c r="N84" s="203" t="inlineStr">
        <is>
          <t>Yes. Echocardiography in house</t>
        </is>
      </c>
      <c r="O84" s="203" t="inlineStr">
        <is>
          <t>Echo across clinics; a value cart for screening echo frees the main system. Multi gate PW and tissue Doppler up to 4 gates and the extended apical view held up in the SonoMax competitive check. Ultrasound already in use (Echocardiography in house), so pitch added capacity or a second room.</t>
        </is>
      </c>
      <c r="P84" s="203" t="inlineStr">
        <is>
          <t>SonoPort 8 (auto EF without ECG accessory, multi gate PW up to 4 gates) + SonoMax 9 (multi gate PW and tissue Doppler up to 4 gates, extended apical view)</t>
        </is>
      </c>
      <c r="Q84" s="208" t="inlineStr">
        <is>
          <t>P2</t>
        </is>
      </c>
      <c r="R84" s="203" t="inlineStr">
        <is>
          <t>P2: verified email on own site; mid fit (premium incumbents or purchase decided elsewhere); already scans in house.</t>
        </is>
      </c>
      <c r="S84" s="203" t="inlineStr">
        <is>
          <t>Own site opened 2 to 3 Oct 2026; email decoded from the site's spam protected link</t>
        </is>
      </c>
      <c r="T84" s="203" t="inlineStr">
        <is>
          <t>CHISON ultrasound for Novena Heart Centre: added echo capacity for your clinic</t>
        </is>
      </c>
      <c r="U84" s="203" t="inlineStr">
        <is>
          <t>Dear Novena Heart Centre team,
I am Casper Tan, Senior Regional Sales Manager at AstraMed Healthcare, the Singapore subsidiary of CHISON Medical Technologies. With cardiac imaging cardiologists on the team and echocardiography across your sites, echo capacity is something you plan across the whole group.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these are the two I would suggest:
• SonoPort 8: a mid tier cart with automatic EF from the 2D clip without an ECG accessory, and multi gate pulsed wave Doppler up to four gates
• SonoMax 9: our flagship cart, with multi gate pulsed wave and tissue Doppler up to four gates and an extended apical field of view
Across several clinics, one platform means one training programme and one service contact for every site.
Would a short call with whoever looks after equipment across Novena Heart Centre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85" ht="60" customHeight="1" s="104">
      <c r="A85" s="203" t="n">
        <v>81</v>
      </c>
      <c r="B85" s="204" t="inlineStr">
        <is>
          <t>Peter Yan Cardiology Clinic</t>
        </is>
      </c>
      <c r="C85" s="203" t="inlineStr">
        <is>
          <t>Contacted</t>
        </is>
      </c>
      <c r="D85" s="203" t="inlineStr">
        <is>
          <t>Specialist centre</t>
        </is>
      </c>
      <c r="E85" s="203" t="inlineStr">
        <is>
          <t>Cardiology centre</t>
        </is>
      </c>
      <c r="F85" s="203" t="inlineStr">
        <is>
          <t>Heart disease prevention and treatment, interventional cardiology, cardiac investigations, personalised cardiovascular screening, pre participation heart checks</t>
        </is>
      </c>
      <c r="G85" s="203" t="inlineStr">
        <is>
          <t>Orchard (Gleneagles MC)</t>
        </is>
      </c>
      <c r="H85" s="205" t="inlineStr">
        <is>
          <t>https://cardiology.com.sg</t>
        </is>
      </c>
      <c r="I85" s="203" t="inlineStr">
        <is>
          <t>+65 6473 0160 / +65 6473 5285</t>
        </is>
      </c>
      <c r="J85" s="203" t="inlineStr">
        <is>
          <t>enquiry@cardiology.com.sg</t>
        </is>
      </c>
      <c r="K85" s="203" t="inlineStr">
        <is>
          <t>Gleneagles Medical Centre, 6 Napier Road #04-10, Singapore 258499</t>
        </is>
      </c>
      <c r="L85" s="203" t="inlineStr">
        <is>
          <t>Dr Peter Yan, Consultant Cardiologist (named on own site)</t>
        </is>
      </c>
      <c r="M85" s="206" t="inlineStr">
        <is>
          <t>A</t>
        </is>
      </c>
      <c r="N85" s="203" t="inlineStr">
        <is>
          <t>Cardiac investigations listed; echo not itemised on home page</t>
        </is>
      </c>
      <c r="O85" s="203" t="inlineStr">
        <is>
          <t>Echo across clinics; a value cart for screening echo frees the main system. Multi gate PW and tissue Doppler up to 4 gates and the extended apical view held up in the SonoMax competitive check. Ultrasound use: Cardiac investigations listed; echo not itemised on home page. Confirm on the first call.</t>
        </is>
      </c>
      <c r="P85" s="203" t="inlineStr">
        <is>
          <t>SonoPort 8 (auto EF without ECG accessory, multi gate PW up to 4 gates) + SonoMax 9 (multi gate PW and tissue Doppler up to 4 gates, extended apical view)</t>
        </is>
      </c>
      <c r="Q85" s="208" t="inlineStr">
        <is>
          <t>P2</t>
        </is>
      </c>
      <c r="R85" s="203" t="inlineStr">
        <is>
          <t>P2: verified email on own site; mid fit (premium incumbents or purchase decided elsewhere).</t>
        </is>
      </c>
      <c r="S85" s="203" t="inlineStr">
        <is>
          <t>Own site opened 2 to 3 Oct 2026</t>
        </is>
      </c>
      <c r="T85" s="203" t="inlineStr">
        <is>
          <t>CHISON ultrasound for Peter Yan Cardiology Clinic: added echo capacity for your clinic</t>
        </is>
      </c>
      <c r="U85" s="203" t="inlineStr">
        <is>
          <t>Dear Dr Yan,
I am Casper Tan, Senior Regional Sales Manager at AstraMed Healthcare, the Singapore subsidiary of CHISON Medical Technologies. Your heart screening and pre participation checks at Gleneagles are where a value echo system adds capacity without tying up your main room.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I would start with these two:
• SonoPort 8: a mid tier cart with automatic EF from the 2D clip without an ECG accessory, and multi gate pulsed wave Doppler up to four gates
• SonoMax 9: our flagship cart, with multi gate pulsed wave and tissue Doppler up to four gates and an extended apical field of view
My aim is to put strong image quality within reach of an independent practice, with application training done locally so your team is confident from the first week.
Our demonstration units arrive in Singapore in October. Could I bring both systems to Peter Yan Cardiology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86" ht="60" customHeight="1" s="104">
      <c r="A86" s="203" t="n">
        <v>82</v>
      </c>
      <c r="B86" s="204" t="inlineStr">
        <is>
          <t>The Harley Street Heart &amp; Vascular Centre</t>
        </is>
      </c>
      <c r="C86" s="203" t="inlineStr">
        <is>
          <t>Contacted</t>
        </is>
      </c>
      <c r="D86" s="203" t="inlineStr">
        <is>
          <t>Specialist centre</t>
        </is>
      </c>
      <c r="E86" s="203" t="inlineStr">
        <is>
          <t>Cardiology centre</t>
        </is>
      </c>
      <c r="F86" s="203" t="inlineStr">
        <is>
          <t>2D echocardiography, stress testing, angiography and stenting, devices, rhythm, cardiac rehab, heart screening. Four sites</t>
        </is>
      </c>
      <c r="G86" s="203" t="inlineStr">
        <is>
          <t>Novena, Orchard, Gleneagles, Farrer Park</t>
        </is>
      </c>
      <c r="H86" s="205" t="inlineStr">
        <is>
          <t>https://www.harleystreet.sg</t>
        </is>
      </c>
      <c r="I86" s="203" t="inlineStr">
        <is>
          <t>+65 6455 5388 (Novena) / WhatsApp +65 8031 2388</t>
        </is>
      </c>
      <c r="J86" s="203" t="inlineStr">
        <is>
          <t>enquiries@harleystreet.sg</t>
        </is>
      </c>
      <c r="K86" s="203" t="inlineStr">
        <is>
          <t>38 Irrawaddy Road #05-30, Mount Elizabeth Novena, Singapore 329563 (also Gleneagles Annexe #02-38/41, MEMC #11-07)</t>
        </is>
      </c>
      <c r="L86" s="203" t="inlineStr">
        <is>
          <t>Dr Reginald Liew, Senior Consultant Cardiologist; Dr Rohit Khurana; Dr Michael MacDonald; Dr Peter Ting (named on own site)</t>
        </is>
      </c>
      <c r="M86" s="206" t="inlineStr">
        <is>
          <t>A</t>
        </is>
      </c>
      <c r="N86" s="203" t="inlineStr">
        <is>
          <t>Yes. 2D echocardiography in house</t>
        </is>
      </c>
      <c r="O86" s="203" t="inlineStr">
        <is>
          <t>Echo across clinics; a value cart for screening echo frees the main system. Multi gate PW and tissue Doppler up to 4 gates and the extended apical view held up in the SonoMax competitive check. Ultrasound already in use (2D echocardiography in house), so pitch added capacity or a second room.</t>
        </is>
      </c>
      <c r="P86" s="203" t="inlineStr">
        <is>
          <t>SonoPort 8 (auto EF without ECG accessory, multi gate PW up to 4 gates) + SonoMax 9 (multi gate PW and tissue Doppler up to 4 gates, extended apical view)</t>
        </is>
      </c>
      <c r="Q86" s="208" t="inlineStr">
        <is>
          <t>P2</t>
        </is>
      </c>
      <c r="R86" s="203" t="inlineStr">
        <is>
          <t>P2: verified email on own site; mid fit (premium incumbents or purchase decided elsewhere); already scans in house.</t>
        </is>
      </c>
      <c r="S86" s="203" t="inlineStr">
        <is>
          <t>Own site opened 2 to 3 Oct 2026</t>
        </is>
      </c>
      <c r="T86" s="203" t="inlineStr">
        <is>
          <t>CHISON ultrasound for Harley Street Heart: added echo capacity for your clinic</t>
        </is>
      </c>
      <c r="U86" s="203" t="inlineStr">
        <is>
          <t>Dear Harley Street Heart team,
I am Casper Tan, Senior Regional Sales Manager at AstraMed Healthcare, the Singapore subsidiary of CHISON Medical Technologies. 2D echo, stress testing and heart screening run across your clinics, and screening volume is where a value echo system pays back fastest.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I would start with these two:
• SonoPort 8: a mid tier cart with automatic EF from the 2D clip without an ECG accessory, and multi gate pulsed wave Doppler up to four gates
• SonoMax 9: our flagship cart, with multi gate pulsed wave and tissue Doppler up to four gates and an extended apical field of view
Across several clinics, one platform means one training programme and one service contact for every site.
Would a short call with whoever looks after equipment across Harley Street Heart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87" ht="72" customHeight="1" s="104">
      <c r="A87" s="203" t="n">
        <v>83</v>
      </c>
      <c r="B87" s="204" t="inlineStr">
        <is>
          <t>The Heart Practice</t>
        </is>
      </c>
      <c r="C87" s="203" t="inlineStr">
        <is>
          <t>Contacted</t>
        </is>
      </c>
      <c r="D87" s="203" t="inlineStr">
        <is>
          <t>Specialist centre</t>
        </is>
      </c>
      <c r="E87" s="203" t="inlineStr">
        <is>
          <t>Cardiology centre</t>
        </is>
      </c>
      <c r="F87" s="203" t="inlineStr">
        <is>
          <t>Transthoracic, stress and transoesophageal echocardiography, ECG and Holter, cardiac MRI, angiography and angioplasty, ablation, devices. Four cardiologists</t>
        </is>
      </c>
      <c r="G87" s="203" t="inlineStr">
        <is>
          <t>Orchard (Gleneagles MC)</t>
        </is>
      </c>
      <c r="H87" s="205" t="inlineStr">
        <is>
          <t>https://heartpractice.sg</t>
        </is>
      </c>
      <c r="I87" s="203" t="inlineStr">
        <is>
          <t>+65 6733 6811 / WhatsApp +65 8926 0080</t>
        </is>
      </c>
      <c r="J87" s="203" t="inlineStr">
        <is>
          <t>info@heartpractice.sg</t>
        </is>
      </c>
      <c r="K87" s="203" t="inlineStr">
        <is>
          <t>6 Napier Road #03-05, Gleneagles Medical Centre, Singapore 258499</t>
        </is>
      </c>
      <c r="L87" s="203" t="inlineStr">
        <is>
          <t>Dr Deanna Khoo, Dr Paul Ong, Dr Soon Chao Yang, Dr Dinesh Nair (named on own site; Dr Nair also appears at Heart Matters)</t>
        </is>
      </c>
      <c r="M87" s="206" t="inlineStr">
        <is>
          <t>A</t>
        </is>
      </c>
      <c r="N87" s="203" t="inlineStr">
        <is>
          <t>Yes. Transthoracic, stress and TOE echo in house</t>
        </is>
      </c>
      <c r="O87" s="203" t="inlineStr">
        <is>
          <t>Echo across clinics; a value cart for screening echo frees the main system. Multi gate PW and tissue Doppler up to 4 gates and the extended apical view held up in the SonoMax competitive check. Ultrasound already in use (Transthoracic, stress and TOE echo in house), so pitch added capacity or a second room. Dr Dinesh Nair is named at both Heart Matters and The Heart Practice; send to one first and stagger the second.</t>
        </is>
      </c>
      <c r="P87" s="203" t="inlineStr">
        <is>
          <t>SonoPort 8 (auto EF without ECG accessory, multi gate PW up to 4 gates) + SonoMax 9 (multi gate PW and tissue Doppler up to 4 gates, extended apical view)</t>
        </is>
      </c>
      <c r="Q87" s="208" t="inlineStr">
        <is>
          <t>P2</t>
        </is>
      </c>
      <c r="R87" s="203" t="inlineStr">
        <is>
          <t>P2: verified email on own site; mid fit (premium incumbents or purchase decided elsewhere); already scans in house.</t>
        </is>
      </c>
      <c r="S87" s="203" t="inlineStr">
        <is>
          <t>Own site opened 2 to 3 Oct 2026; email decoded from the site's spam protected link</t>
        </is>
      </c>
      <c r="T87" s="203" t="inlineStr">
        <is>
          <t>CHISON ultrasound for The Heart Practice: added echo capacity for your clinic</t>
        </is>
      </c>
      <c r="U87" s="203" t="inlineStr">
        <is>
          <t>Dear The Heart Practice team,
I am Casper Tan, Senior Regional Sales Manager at AstraMed Healthcare, the Singapore subsidiary of CHISON Medical Technologies. Transthoracic, stress and TOE echo run in house at your Gleneagles practice, which keeps your main system busy.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these are the two I would suggest:
• SonoPort 8: a mid tier cart with automatic EF from the 2D clip without an ECG accessory, and multi gate pulsed wave Doppler up to four gates
• SonoMax 9: our flagship cart, with multi gate pulsed wave and tissue Doppler up to four gates and an extended apical field of view
If you already have a system you are happy with, a second CHISON unit is a practical way to add capacity or free your main room for the longer scans.
Our demonstration units arrive in Singapore in October. Could I bring both systems to The Heart Practice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88" ht="48" customHeight="1" s="104">
      <c r="A88" s="203" t="n">
        <v>84</v>
      </c>
      <c r="B88" s="204" t="inlineStr">
        <is>
          <t>Asia Arthritis &amp; Rheumatology Centre</t>
        </is>
      </c>
      <c r="C88" s="203" t="inlineStr">
        <is>
          <t>Not started</t>
        </is>
      </c>
      <c r="D88" s="203" t="inlineStr">
        <is>
          <t>Specialist centre</t>
        </is>
      </c>
      <c r="E88" s="203" t="inlineStr">
        <is>
          <t>Rheumatology clinic</t>
        </is>
      </c>
      <c r="F88" s="203" t="inlineStr">
        <is>
          <t>RA, lupus, psoriatic arthritis, gout, vasculitis; joint aspiration and injection</t>
        </is>
      </c>
      <c r="G88" s="203" t="inlineStr">
        <is>
          <t>Orchard (Mount Elizabeth MC)</t>
        </is>
      </c>
      <c r="H88" s="205" t="inlineStr">
        <is>
          <t>https://aarc.sg</t>
        </is>
      </c>
      <c r="I88" s="203" t="inlineStr">
        <is>
          <t>+65 8030 7862 (also WhatsApp)</t>
        </is>
      </c>
      <c r="J88" s="203" t="inlineStr">
        <is>
          <t>Not published on site. Call or WhatsApp</t>
        </is>
      </c>
      <c r="K88" s="203" t="inlineStr">
        <is>
          <t>3 Mt Elizabeth #05-03, Mt Elizabeth Medical Centre, Singapore 228510</t>
        </is>
      </c>
      <c r="L88" s="203" t="inlineStr">
        <is>
          <t>Dr Annie Law, Senior Consultant Rheumatologist and Medical Director (named on own site)</t>
        </is>
      </c>
      <c r="M88" s="206" t="inlineStr">
        <is>
          <t>A</t>
        </is>
      </c>
      <c r="N88" s="203" t="inlineStr">
        <is>
          <t>Not stated (joint injection work suits point of care ultrasound)</t>
        </is>
      </c>
      <c r="O88" s="203" t="inlineStr">
        <is>
          <t>Bedside joint ultrasound for effusion and synovitis is growing in rheumatology; a handheld is a low cost entry. Ultrasound use: Not stated (joint injection work suits point of care ultrasound). Confirm on the first call. No email published: call or WhatsApp for the right inbox, then send.</t>
        </is>
      </c>
      <c r="P88" s="203" t="inlineStr">
        <is>
          <t>SonoEye P5 (phone paired, high frequency for tendons, joints, injections) + SonoAir 70 (SonoMSK, SonoNerve, four active ports)</t>
        </is>
      </c>
      <c r="Q88" s="208" t="inlineStr">
        <is>
          <t>P2</t>
        </is>
      </c>
      <c r="R88" s="203" t="inlineStr">
        <is>
          <t>P2: no email published, call or WhatsApp first; high fit for CHISON.</t>
        </is>
      </c>
      <c r="S88" s="203" t="inlineStr">
        <is>
          <t>Own site opened 2 to 3 Oct 2026</t>
        </is>
      </c>
      <c r="T88" s="203" t="inlineStr">
        <is>
          <t>CHISON ultrasound for Asia Arthritis &amp; Rheumatology Centre: bedside joint scans</t>
        </is>
      </c>
      <c r="U88" s="203" t="inlineStr">
        <is>
          <t>Dear Dr Law,
I am Casper Tan, Senior Regional Sales Manager at AstraMed Healthcare, the Singapore subsidiary of CHISON Medical Technologies. Joint aspirations and injections are part of your rheumatology practice, and ultrasound makes both quicker and more precise.
CHISON has made diagnostic ultrasound in Wuxi since 1996 and sells in more than 100 countries. The systems below are registered with HSA, with AstraMed as the local registrant, so supply, application training and service are all handled here in Singapore.
For joint assessment and injections, these are the two I would put forward: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Asia Arthritis &amp; Rheumatology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89" ht="48" customHeight="1" s="104">
      <c r="A89" s="203" t="n">
        <v>85</v>
      </c>
      <c r="B89" s="204" t="inlineStr">
        <is>
          <t>Elim Rheumatic Centre</t>
        </is>
      </c>
      <c r="C89" s="203" t="inlineStr">
        <is>
          <t>Not started</t>
        </is>
      </c>
      <c r="D89" s="203" t="inlineStr">
        <is>
          <t>Specialist centre</t>
        </is>
      </c>
      <c r="E89" s="203" t="inlineStr">
        <is>
          <t>Rheumatology clinic</t>
        </is>
      </c>
      <c r="F89" s="203" t="inlineStr">
        <is>
          <t>Rheumatic and allergy conditions, non surgical knee pain treatment, drug desensitisation. Five clinics</t>
        </is>
      </c>
      <c r="G89" s="203" t="inlineStr">
        <is>
          <t>Orchard, Gleneagles, Farrer Park, Novena, Thomson</t>
        </is>
      </c>
      <c r="H89" s="205" t="inlineStr">
        <is>
          <t>https://elimrheumaticcentre.com</t>
        </is>
      </c>
      <c r="I89" s="203" t="inlineStr">
        <is>
          <t>+65 6611 1101 (Gleneagles) / +65 6684 4484 (Novena) / +65 6737 7377 (Orchard)</t>
        </is>
      </c>
      <c r="J89" s="203" t="inlineStr">
        <is>
          <t>Not published on home page. Call to request</t>
        </is>
      </c>
      <c r="K89" s="203" t="inlineStr">
        <is>
          <t>#04-06 Gleneagles Medical Centre, 6 Napier Road, Singapore 258499 (plus Farrer Park #08-16, MENSC #05-25, Orchard Medical Specialist Centre #05-03, Mt Alvernia A #01-06)</t>
        </is>
      </c>
      <c r="L89" s="203" t="inlineStr">
        <is>
          <t>Not named on home page</t>
        </is>
      </c>
      <c r="M89" s="206" t="inlineStr">
        <is>
          <t>A</t>
        </is>
      </c>
      <c r="N89" s="203" t="inlineStr">
        <is>
          <t>Not stated (knee and joint work suits point of care ultrasound)</t>
        </is>
      </c>
      <c r="O89" s="203" t="inlineStr">
        <is>
          <t>Bedside joint ultrasound for effusion and synovitis is growing in rheumatology; a handheld is a low cost entry. Ultrasound use: Not stated (knee and joint work suits point of care ultrasound). Confirm on the first call. No email published: call or WhatsApp for the right inbox, then send.</t>
        </is>
      </c>
      <c r="P89" s="203" t="inlineStr">
        <is>
          <t>SonoEye P5 (phone paired, high frequency for tendons, joints, injections) + SonoAir 70 (SonoMSK, SonoNerve, four active ports)</t>
        </is>
      </c>
      <c r="Q89" s="208" t="inlineStr">
        <is>
          <t>P2</t>
        </is>
      </c>
      <c r="R89" s="203" t="inlineStr">
        <is>
          <t>P2: no email published, call or WhatsApp first; high fit for CHISON.</t>
        </is>
      </c>
      <c r="S89" s="203" t="inlineStr">
        <is>
          <t>Own site opened 2 to 3 Oct 2026</t>
        </is>
      </c>
      <c r="T89" s="203" t="inlineStr">
        <is>
          <t>CHISON ultrasound for Elim Rheumatic Centre: bedside joint scans</t>
        </is>
      </c>
      <c r="U89" s="203" t="inlineStr">
        <is>
          <t>Dear Elim Rheumatic Centre team,
I am Casper Tan, Senior Regional Sales Manager at AstraMed Healthcare, the Singapore subsidiary of CHISON Medical Technologies. With several clinics and a non surgical knee pain service, Elim sees joint problems where ultrasound answers the question at the first visit.
CHISON has made diagnostic ultrasound in Wuxi since 1996 and sells in more than 100 countries. The systems below are registered with HSA, with AstraMed as the local registrant, so supply, application training and service are all handled here in Singapore.
For joint assessment and injections, these are the two I would suggest:
• SonoEye P5: a phone paired handheld with high frequency imaging for tendons, joints and needle work
• SonoAir 70: a 2.1 kg laptop with SonoMSK and SonoNerve tools and four active probe ports
Across several clinics, one platform means one training programme and one service contact for every site.
Would a short call with whoever looks after equipment across Elim Rheumatic Centre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90" ht="48" customHeight="1" s="104">
      <c r="A90" s="203" t="n">
        <v>86</v>
      </c>
      <c r="B90" s="204" t="inlineStr">
        <is>
          <t>Leong Keng Hong Arthritis &amp; Medical Clinic</t>
        </is>
      </c>
      <c r="C90" s="203" t="inlineStr">
        <is>
          <t>Not started</t>
        </is>
      </c>
      <c r="D90" s="203" t="inlineStr">
        <is>
          <t>Specialist centre</t>
        </is>
      </c>
      <c r="E90" s="203" t="inlineStr">
        <is>
          <t>Rheumatology clinic</t>
        </is>
      </c>
      <c r="F90" s="203" t="inlineStr">
        <is>
          <t>RA, lupus, gout, ankylosing spondylitis, psoriatic arthritis, joint pain evaluation</t>
        </is>
      </c>
      <c r="G90" s="203" t="inlineStr">
        <is>
          <t>Orchard (Gleneagles MC)</t>
        </is>
      </c>
      <c r="H90" s="205" t="inlineStr">
        <is>
          <t>https://www.leongkenghong.com</t>
        </is>
      </c>
      <c r="I90" s="203" t="inlineStr">
        <is>
          <t>+65 6472 4337 (fax 6472 0691)</t>
        </is>
      </c>
      <c r="J90" s="203" t="inlineStr">
        <is>
          <t>Not published on site. Call to request</t>
        </is>
      </c>
      <c r="K90" s="203" t="inlineStr">
        <is>
          <t>6 Napier Road #04-18, Gleneagles Medical Centre, Singapore 258499</t>
        </is>
      </c>
      <c r="L90" s="203" t="inlineStr">
        <is>
          <t>A/Prof Leong Keng Hong, Senior Consultant Rheumatologist (named on own site)</t>
        </is>
      </c>
      <c r="M90" s="206" t="inlineStr">
        <is>
          <t>A</t>
        </is>
      </c>
      <c r="N90" s="203" t="inlineStr">
        <is>
          <t>Not stated on site</t>
        </is>
      </c>
      <c r="O90" s="203" t="inlineStr">
        <is>
          <t>Bedside joint ultrasound for effusion and synovitis is growing in rheumatology; a handheld is a low cost entry. Ultrasound use: Not stated on site. Confirm on the first call. No email published: call or WhatsApp for the right inbox, then send.</t>
        </is>
      </c>
      <c r="P90" s="203" t="inlineStr">
        <is>
          <t>SonoEye P5 (phone paired, high frequency for tendons, joints, injections) + SonoAir 70 (SonoMSK, SonoNerve, four active ports)</t>
        </is>
      </c>
      <c r="Q90" s="208" t="inlineStr">
        <is>
          <t>P2</t>
        </is>
      </c>
      <c r="R90" s="203" t="inlineStr">
        <is>
          <t>P2: no email published, call or WhatsApp first; high fit for CHISON.</t>
        </is>
      </c>
      <c r="S90" s="203" t="inlineStr">
        <is>
          <t>Own site opened 2 to 3 Oct 2026</t>
        </is>
      </c>
      <c r="T90" s="203" t="inlineStr">
        <is>
          <t>CHISON ultrasound for Leong Keng Hong Arthritis Clinic: bedside joint scans</t>
        </is>
      </c>
      <c r="U90" s="203" t="inlineStr">
        <is>
          <t>Dear A/Prof Leong,
I am Casper Tan, Senior Regional Sales Manager at AstraMed Healthcare, the Singapore subsidiary of CHISON Medical Technologies. Inflammatory arthritis, gout and joint pain evaluation are where rheumatologists increasingly scan at the bedside to confirm synovitis or an effusion.
CHISON has made diagnostic ultrasound in Wuxi since 1996 and sells in more than 100 countries. The systems below are registered with HSA, with AstraMed as the local registrant, so supply, application training and service are all handled here in Singapore.
For joint assessment and injections, I would start with these two: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Leong Keng Hong Arthritis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91" ht="48" customHeight="1" s="104">
      <c r="A91" s="203" t="n">
        <v>87</v>
      </c>
      <c r="B91" s="204" t="inlineStr">
        <is>
          <t>PNG Urology</t>
        </is>
      </c>
      <c r="C91" s="203" t="inlineStr">
        <is>
          <t>Not started</t>
        </is>
      </c>
      <c r="D91" s="203" t="inlineStr">
        <is>
          <t>Specialist centre</t>
        </is>
      </c>
      <c r="E91" s="203" t="inlineStr">
        <is>
          <t>Urology clinic</t>
        </is>
      </c>
      <c r="F91" s="203" t="inlineStr">
        <is>
          <t>Kidney ultrasound, stones (ESWL, PCNL), bladder and prostate surgery, laparoscopic urology</t>
        </is>
      </c>
      <c r="G91" s="203" t="inlineStr">
        <is>
          <t>Orchard (Mount Elizabeth) and Parkway East</t>
        </is>
      </c>
      <c r="H91" s="205" t="inlineStr">
        <is>
          <t>https://www.pngurology.com.sg</t>
        </is>
      </c>
      <c r="I91" s="203" t="inlineStr">
        <is>
          <t>+65 6732 2966 (fax 6732 2960) / +65 6345 2966 (Parkway East)</t>
        </is>
      </c>
      <c r="J91" s="203" t="inlineStr">
        <is>
          <t>Not published on site. Call to request</t>
        </is>
      </c>
      <c r="K91" s="203" t="inlineStr">
        <is>
          <t>Mount Elizabeth Medical Centre, 3 Mount Elizabeth #07-08, Singapore 228510; Parkway East Medical Centre #02-05, 319 Joo Chiat Place, Singapore 427989</t>
        </is>
      </c>
      <c r="L91" s="203" t="inlineStr">
        <is>
          <t>Dr Damian Png Jin Chye, Senior Consultant Urologist (named on own site)</t>
        </is>
      </c>
      <c r="M91" s="206" t="inlineStr">
        <is>
          <t>A</t>
        </is>
      </c>
      <c r="N91" s="203" t="inlineStr">
        <is>
          <t>Yes. Kidney ultrasound listed</t>
        </is>
      </c>
      <c r="O91" s="203" t="inlineStr">
        <is>
          <t>Bladder volume, kidney and prostate checks in clinic; automatic bladder volume on SonoAir 70 is a direct fit. Ultrasound already in use (Kidney ultrasound listed), so pitch added capacity or a second room. No email published: call or WhatsApp for the right inbox, then send.</t>
        </is>
      </c>
      <c r="P91" s="203" t="inlineStr">
        <is>
          <t>SonoAir 70 (auto bladder volume, four active ports) + SonoBook 9 (laptop for kidney and bladder checks)</t>
        </is>
      </c>
      <c r="Q91" s="208" t="inlineStr">
        <is>
          <t>P2</t>
        </is>
      </c>
      <c r="R91" s="203" t="inlineStr">
        <is>
          <t>P2: no email published, call or WhatsApp first; high fit for CHISON; already scans in house.</t>
        </is>
      </c>
      <c r="S91" s="203" t="inlineStr">
        <is>
          <t>Own site opened 2 to 3 Oct 2026</t>
        </is>
      </c>
      <c r="T91" s="203" t="inlineStr">
        <is>
          <t>CHISON ultrasound for PNG Urology: bladder and kidney scans in clinic</t>
        </is>
      </c>
      <c r="U91" s="203" t="inlineStr">
        <is>
          <t>Dear Dr Png,
I am Casper Tan, Senior Regional Sales Manager at AstraMed Healthcare, the Singapore subsidiary of CHISON Medical Technologies. Kidney ultrasound is listed among your services at Mount Elizabeth and Parkway East, alongside stone and prostate work.
CHISON has made diagnostic ultrasound in Wuxi since 1996 and sells in more than 100 countries. The systems below are registered with HSA, with AstraMed as the local registrant, so supply, application training and service are all handled here in Singapore.
For urology clinics, I would start with these two:
• SonoAir 70: a 2.1 kg laptop with automatic bladder volume and four active probe ports, so you switch probes without unplugging
• SonoBook 9: a laptop system with about two hours of scanning on battery, for kidney and bladder checks between rooms
If you already have a system you are happy with, a second CHISON unit is a practical way to add capacity or free your main room for the longer scans.
Our demonstration units arrive in Singapore in October. Could I bring both systems to PNG Urology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92" ht="36" customHeight="1" s="104">
      <c r="A92" s="203" t="n">
        <v>88</v>
      </c>
      <c r="B92" s="204" t="inlineStr">
        <is>
          <t>Alpha Digestive &amp; Liver Centre</t>
        </is>
      </c>
      <c r="C92" s="203" t="inlineStr">
        <is>
          <t>Contacted</t>
        </is>
      </c>
      <c r="D92" s="203" t="inlineStr">
        <is>
          <t>Specialist centre</t>
        </is>
      </c>
      <c r="E92" s="203" t="inlineStr">
        <is>
          <t>Gastroenterology &amp; liver clinic</t>
        </is>
      </c>
      <c r="F92" s="203" t="inlineStr">
        <is>
          <t>Endoscopy incl. EUS and ERCP; abdominal imaging incl. hepatobiliary ultrasound and elastography</t>
        </is>
      </c>
      <c r="G92" s="203" t="inlineStr">
        <is>
          <t>Orchard (Mount Elizabeth), Thomson, Farrer Park</t>
        </is>
      </c>
      <c r="H92" s="205" t="inlineStr">
        <is>
          <t>https://alphagastro.sg</t>
        </is>
      </c>
      <c r="I92" s="203" t="inlineStr">
        <is>
          <t>+65 6235 9658 / WhatsApp +65 8876 9034 (fax 6235 9698)</t>
        </is>
      </c>
      <c r="J92" s="203" t="inlineStr">
        <is>
          <t>info@alphagastro.sg</t>
        </is>
      </c>
      <c r="K92" s="203" t="inlineStr">
        <is>
          <t>3 Mt Elizabeth #15-09, Mt Elizabeth Medical Centre, Singapore 228510 (plus Mt Alvernia D #06-70, Farrer Park #15-06/07)</t>
        </is>
      </c>
      <c r="L92" s="203" t="inlineStr">
        <is>
          <t>Dr Benjamin Yip Cherng Hann, Consultant Gastroenterologist and Hepatologist (named on own site)</t>
        </is>
      </c>
      <c r="M92" s="206" t="inlineStr">
        <is>
          <t>A</t>
        </is>
      </c>
      <c r="N92" s="203" t="inlineStr">
        <is>
          <t>Hepatobiliary ultrasound listed among imaging</t>
        </is>
      </c>
      <c r="O92" s="203" t="inlineStr">
        <is>
          <t>Hepatobiliary ultrasound sits beside endoscopy and FibroScan; a cart or laptop gives B mode in the consult room. Ultrasound use: Hepatobiliary ultrasound listed among imaging. Confirm on the first call.</t>
        </is>
      </c>
      <c r="P92" s="203" t="inlineStr">
        <is>
          <t>SonoPort 8 (mid tier cart for full abdominal work) + SonoBook 9 (laptop for liver and gallbladder checks)</t>
        </is>
      </c>
      <c r="Q92" s="208" t="inlineStr">
        <is>
          <t>P2</t>
        </is>
      </c>
      <c r="R92" s="203" t="inlineStr">
        <is>
          <t>P2: verified email on own site; mid fit (premium incumbents or purchase decided elsewhere).</t>
        </is>
      </c>
      <c r="S92" s="203" t="inlineStr">
        <is>
          <t>Own site opened 2 to 3 Oct 2026</t>
        </is>
      </c>
      <c r="T92" s="203" t="inlineStr">
        <is>
          <t>CHISON ultrasound for Alpha Digestive &amp; Liver Centre: liver and abdominal scans in clinic</t>
        </is>
      </c>
      <c r="U92" s="203" t="inlineStr">
        <is>
          <t>Dear Dr Yip,
I am Casper Tan, Senior Regional Sales Manager at AstraMed Healthcare, the Singapore subsidiary of CHISON Medical Technologies. Hepatobiliary ultrasound sits alongside your endoscopy and elastography work across Mount Elizabeth, Mount Alvernia and Farrer Park.
CHISON has made diagnostic ultrasound in Wuxi since 1996 and sells in more than 100 countries. The systems below are registered with HSA, with AstraMed as the local registrant, so supply, application training and service are all handled here in Singapore.
For liver and abdominal work, these are the two I would put forward:
• SonoPort 8: a mid tier cart with a 23.8 inch monitor and 15.6 inch touch screen for full abdominal work in the consult room
• SonoBook 9: a laptop system with about two hours of scanning on battery, for a quick liver and gallbladder look in the consult room
My aim is to put strong image quality within reach of an independent practice, with application training done locally so your team is confident from the first week.
Our demonstration units arrive in Singapore in October. Could I bring both systems to Alpha Digestive &amp; Liver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93" ht="48" customHeight="1" s="104">
      <c r="A93" s="203" t="n">
        <v>89</v>
      </c>
      <c r="B93" s="204" t="inlineStr">
        <is>
          <t>Juanda Leo Gastroenterology Liver Clinic</t>
        </is>
      </c>
      <c r="C93" s="203" t="inlineStr">
        <is>
          <t>Contacted</t>
        </is>
      </c>
      <c r="D93" s="203" t="inlineStr">
        <is>
          <t>Specialist centre</t>
        </is>
      </c>
      <c r="E93" s="203" t="inlineStr">
        <is>
          <t>Gastroenterology &amp; liver clinic</t>
        </is>
      </c>
      <c r="F93" s="203" t="inlineStr">
        <is>
          <t>Endoscopy and capsule endoscopy, in house ultrasound imaging and FibroScan, liver disease</t>
        </is>
      </c>
      <c r="G93" s="203" t="inlineStr">
        <is>
          <t>Orchard (Mount Elizabeth MC)</t>
        </is>
      </c>
      <c r="H93" s="205" t="inlineStr">
        <is>
          <t>https://www.juandaleogastroliver.sg</t>
        </is>
      </c>
      <c r="I93" s="203" t="inlineStr">
        <is>
          <t>+65 6513 7678 / WhatsApp +65 9651 6608</t>
        </is>
      </c>
      <c r="J93" s="203" t="inlineStr">
        <is>
          <t>info@juandaleogastroliver.sg</t>
        </is>
      </c>
      <c r="K93" s="203" t="inlineStr">
        <is>
          <t>3 Mount Elizabeth #12-03, Mount Elizabeth Medical Centre, Singapore 228510</t>
        </is>
      </c>
      <c r="L93" s="203" t="inlineStr">
        <is>
          <t>Dr Juanda Leo Hartono, Senior Consultant Gastroenterology and Hepatology (named on own site)</t>
        </is>
      </c>
      <c r="M93" s="206" t="inlineStr">
        <is>
          <t>A</t>
        </is>
      </c>
      <c r="N93" s="203" t="inlineStr">
        <is>
          <t>Yes. Ultrasound imaging and FibroScan listed in house</t>
        </is>
      </c>
      <c r="O93" s="203" t="inlineStr">
        <is>
          <t>Hepatobiliary ultrasound sits beside endoscopy and FibroScan; a cart or laptop gives B mode in the consult room. Ultrasound already in use (Ultrasound imaging and FibroScan listed in house), so pitch added capacity or a second room.</t>
        </is>
      </c>
      <c r="P93" s="203" t="inlineStr">
        <is>
          <t>SonoPort 8 (mid tier cart for full abdominal work) + SonoBook 9 (laptop for liver and gallbladder checks)</t>
        </is>
      </c>
      <c r="Q93" s="208" t="inlineStr">
        <is>
          <t>P2</t>
        </is>
      </c>
      <c r="R93" s="203" t="inlineStr">
        <is>
          <t>P2: verified email on own site; mid fit (premium incumbents or purchase decided elsewhere); already scans in house.</t>
        </is>
      </c>
      <c r="S93" s="203" t="inlineStr">
        <is>
          <t>Own site opened 2 to 3 Oct 2026; email decoded from the site's spam protected link</t>
        </is>
      </c>
      <c r="T93" s="203" t="inlineStr">
        <is>
          <t>CHISON ultrasound for Juanda Leo Gastro Liver Clinic: liver and abdominal scans in clinic</t>
        </is>
      </c>
      <c r="U93" s="203" t="inlineStr">
        <is>
          <t>Dear Dr Juanda Leo,
I am Casper Tan, Senior Regional Sales Manager at AstraMed Healthcare, the Singapore subsidiary of CHISON Medical Technologies. You already list ultrasound imaging and FibroScan in house at Mount Elizabeth, so a newer system with automatic measurements could take time out of each scan.
CHISON has made diagnostic ultrasound in Wuxi since 1996 and sells in more than 100 countries. The systems below are registered with HSA, with AstraMed as the local registrant, so supply, application training and service are all handled here in Singapore.
For liver and abdominal work, these are the two I would put forward:
• SonoPort 8: a mid tier cart with a 23.8 inch monitor and 15.6 inch touch screen for full abdominal work in the consult room
• SonoBook 9: a laptop system with about two hours of scanning on battery, for a quick liver and gallbladder look in the consult room
If you already have a system you are happy with, a second CHISON unit is a practical way to add capacity or free your main room for the longer scans.
Our demonstration units arrive in Singapore in October. Could I bring both systems to Juanda Leo Gastro Liver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94" ht="36" customHeight="1" s="104">
      <c r="A94" s="203" t="n">
        <v>90</v>
      </c>
      <c r="B94" s="204" t="inlineStr">
        <is>
          <t>Kieron Lim Gastroenterology and Hepatology</t>
        </is>
      </c>
      <c r="C94" s="203" t="inlineStr">
        <is>
          <t>Contacted</t>
        </is>
      </c>
      <c r="D94" s="203" t="inlineStr">
        <is>
          <t>Specialist centre</t>
        </is>
      </c>
      <c r="E94" s="203" t="inlineStr">
        <is>
          <t>Gastroenterology &amp; liver clinic</t>
        </is>
      </c>
      <c r="F94" s="203" t="inlineStr">
        <is>
          <t>Liver disease and transplant hepatology, FibroScan, endoscopy</t>
        </is>
      </c>
      <c r="G94" s="203" t="inlineStr">
        <is>
          <t>Orchard (Mount Elizabeth MC)</t>
        </is>
      </c>
      <c r="H94" s="205" t="inlineStr">
        <is>
          <t>https://www.kieronlimgastro.com.sg</t>
        </is>
      </c>
      <c r="I94" s="203" t="inlineStr">
        <is>
          <t>+65 6836 0080 / WhatsApp +65 9726 0495 (fax 6836 0090)</t>
        </is>
      </c>
      <c r="J94" s="203" t="inlineStr">
        <is>
          <t>enquiries@kieronlimgastro.sg</t>
        </is>
      </c>
      <c r="K94" s="203" t="inlineStr">
        <is>
          <t>Mount Elizabeth Medical Centre, 3 Mount Elizabeth #10-02, Singapore 228510</t>
        </is>
      </c>
      <c r="L94" s="203" t="inlineStr">
        <is>
          <t>Dr Kieron Lim, Senior Gastroenterologist and Hepatologist (named on own site)</t>
        </is>
      </c>
      <c r="M94" s="206" t="inlineStr">
        <is>
          <t>A</t>
        </is>
      </c>
      <c r="N94" s="203" t="inlineStr">
        <is>
          <t>FibroScan in house; B mode ultrasound not stated</t>
        </is>
      </c>
      <c r="O94" s="203" t="inlineStr">
        <is>
          <t>Hepatobiliary ultrasound sits beside endoscopy and FibroScan; a cart or laptop gives B mode in the consult room. Ultrasound use: FibroScan in house; B mode ultrasound not stated. Confirm on the first call.</t>
        </is>
      </c>
      <c r="P94" s="203" t="inlineStr">
        <is>
          <t>SonoPort 8 (mid tier cart for full abdominal work) + SonoBook 9 (laptop for liver and gallbladder checks)</t>
        </is>
      </c>
      <c r="Q94" s="208" t="inlineStr">
        <is>
          <t>P2</t>
        </is>
      </c>
      <c r="R94" s="203" t="inlineStr">
        <is>
          <t>P2: verified email on own site; mid fit (premium incumbents or purchase decided elsewhere).</t>
        </is>
      </c>
      <c r="S94" s="203" t="inlineStr">
        <is>
          <t>Own site opened 2 to 3 Oct 2026</t>
        </is>
      </c>
      <c r="T94" s="203" t="inlineStr">
        <is>
          <t>CHISON ultrasound for Kieron Lim Gastroenterology: liver and abdominal scans in clinic</t>
        </is>
      </c>
      <c r="U94" s="203" t="inlineStr">
        <is>
          <t>Dear Dr Lim,
I am Casper Tan, Senior Regional Sales Manager at AstraMed Healthcare, the Singapore subsidiary of CHISON Medical Technologies. FibroScan gives you liver stiffness, and a B mode scan in the same visit shows the liver, gallbladder and spleen behind the number.
CHISON has made diagnostic ultrasound in Wuxi since 1996 and sells in more than 100 countries. The systems below are registered with HSA, with AstraMed as the local registrant, so supply, application training and service are all handled here in Singapore.
For liver and abdominal work, I would start with these two:
• SonoPort 8: a mid tier cart with a 23.8 inch monitor and 15.6 inch touch screen for full abdominal work in the consult room
• SonoBook 9: a laptop system with about two hours of scanning on battery, for a quick liver and gallbladder look in the consult room
My aim is to put strong image quality within reach of an independent practice, with application training done locally so your team is confident from the first week.
Our demonstration units arrive in Singapore in October. Could I bring both systems to Kieron Lim Gastroenterology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95" ht="60" customHeight="1" s="104">
      <c r="A95" s="203" t="n">
        <v>91</v>
      </c>
      <c r="B95" s="204" t="inlineStr">
        <is>
          <t>Jaga-Me</t>
        </is>
      </c>
      <c r="C95" s="203" t="inlineStr">
        <is>
          <t>Contacted</t>
        </is>
      </c>
      <c r="D95" s="203" t="inlineStr">
        <is>
          <t>Specialist centre</t>
        </is>
      </c>
      <c r="E95" s="203" t="inlineStr">
        <is>
          <t>Home care &amp; house call medicine</t>
        </is>
      </c>
      <c r="F95" s="203" t="inlineStr">
        <is>
          <t>Doctor house calls, hospital at home style care, nursing procedures, palliative and dementia care; site lists ambulatory ultrasound among home procedures. Member of Alliance Healthcare Group</t>
        </is>
      </c>
      <c r="G95" s="203" t="inlineStr">
        <is>
          <t>Islandwide (office Bukit Batok, clinic Novena)</t>
        </is>
      </c>
      <c r="H95" s="205" t="inlineStr">
        <is>
          <t>https://jaga-me.com</t>
        </is>
      </c>
      <c r="I95" s="203" t="inlineStr">
        <is>
          <t>+65 6717 3737 (also WhatsApp)</t>
        </is>
      </c>
      <c r="J95" s="203" t="inlineStr">
        <is>
          <t>support@jaga-me.com</t>
        </is>
      </c>
      <c r="K95" s="203" t="inlineStr">
        <is>
          <t>25 Bukit Batok Crescent #07-05, The Elitist, Singapore 658066; clinic at 2 St George's Road, Singapore 328023</t>
        </is>
      </c>
      <c r="L95" s="203" t="inlineStr">
        <is>
          <t>Not named on page</t>
        </is>
      </c>
      <c r="M95" s="206" t="inlineStr">
        <is>
          <t>A</t>
        </is>
      </c>
      <c r="N95" s="203" t="inlineStr">
        <is>
          <t>Yes. Ambulatory ultrasound listed as a home procedure</t>
        </is>
      </c>
      <c r="O95" s="203" t="inlineStr">
        <is>
          <t>House call doctors need a pocket scan for bladder, lungs and fluid; low unit price, repeatable across the team. Ultrasound already in use (Ambulatory ultrasound listed as a home procedure), so pitch added capacity or a second room. Group link: Alliance Healthcare (on Singapore End-Users tab).</t>
        </is>
      </c>
      <c r="P95" s="203" t="inlineStr">
        <is>
          <t>SonoAir 70 (2.1 kg, 26 mm, auto bladder volume) + SonoEye P3 (pocket handheld for the house call bag)</t>
        </is>
      </c>
      <c r="Q95" s="208" t="inlineStr">
        <is>
          <t>P2</t>
        </is>
      </c>
      <c r="R95" s="203" t="inlineStr">
        <is>
          <t>P2: verified email and already lists ambulatory ultrasound, but part of Alliance Healthcare (Singapore End-Users tab), so coordinate before sending.</t>
        </is>
      </c>
      <c r="S95" s="203" t="inlineStr">
        <is>
          <t>Own site opened 2 to 3 Oct 2026</t>
        </is>
      </c>
      <c r="T95" s="203" t="inlineStr">
        <is>
          <t>CHISON portable ultrasound for Jaga-Me home visits</t>
        </is>
      </c>
      <c r="U95" s="203" t="inlineStr">
        <is>
          <t>Dear Jaga-Me team,
I am Casper Tan, Senior Regional Sales Manager at AstraMed Healthcare, the Singapore subsidiary of CHISON Medical Technologies. You already list ambulatory ultrasound among the procedures your team does at home, which puts Jaga-Me ahead of most home care providers.
CHISON has made diagnostic ultrasound in Wuxi since 1996 and sells in more than 100 countries. The systems below are registered with HSA, with AstraMed as the local registrant, so supply, application training and service are all handled here in Singapore.
For house calls, I would start with these two:
• SonoAir 70: a 2.1 kg laptop, 26 mm thick, with automatic bladder volume, for the visits that need more than a pocket scan
• SonoEye P3: a pocket handheld that fits in the house call bag
If your team already scans at home, a lighter unit, or a second one for the busier days, is the practical next step.
Could I bring both to your team for a 20 minute try in the second half of October, so your doctors can see whether they fit the house call bag?
Best regards,
Casper Tan
Senior Regional Sales Manager
AstraMed Healthcare Pte Ltd, a subsidiary of CHISON Medical Technologies
casper@astramed.sg | +65 8719 0121</t>
        </is>
      </c>
    </row>
    <row r="96" ht="72" customHeight="1" s="104">
      <c r="A96" s="203" t="n">
        <v>92</v>
      </c>
      <c r="B96" s="204" t="inlineStr">
        <is>
          <t>Health Outreach Programme (HOP Medical Centre)</t>
        </is>
      </c>
      <c r="C96" s="203" t="inlineStr">
        <is>
          <t>Not started</t>
        </is>
      </c>
      <c r="D96" s="203" t="inlineStr">
        <is>
          <t>Specialist centre</t>
        </is>
      </c>
      <c r="E96" s="203" t="inlineStr">
        <is>
          <t>Health screening centre</t>
        </is>
      </c>
      <c r="F96" s="203" t="inlineStr">
        <is>
          <t>Executive and corporate screening with in house ultrasound (abdomen, thyroid, carotid, prostate, pelvis, breast), mammography, X-ray, stress test; mobile and onsite screening</t>
        </is>
      </c>
      <c r="G96" s="203" t="inlineStr">
        <is>
          <t>Jurong East (Vision Exchange), Orchard, Tampines</t>
        </is>
      </c>
      <c r="H96" s="205" t="inlineStr">
        <is>
          <t>https://hop.sg</t>
        </is>
      </c>
      <c r="I96" s="203" t="inlineStr">
        <is>
          <t>+65 6777 3667 / WhatsApp +65 8831 3515</t>
        </is>
      </c>
      <c r="J96" s="203" t="inlineStr">
        <is>
          <t>Not published on page. WhatsApp or call</t>
        </is>
      </c>
      <c r="K96" s="203" t="inlineStr">
        <is>
          <t>Vision Exchange, 2 Venture Drive #10-16, Singapore 608526 (plus Palais Renaissance #11-04, CPF Tampines #07-04/05)</t>
        </is>
      </c>
      <c r="L96" s="203" t="inlineStr">
        <is>
          <t>Not named on page</t>
        </is>
      </c>
      <c r="M96" s="206" t="inlineStr">
        <is>
          <t>A</t>
        </is>
      </c>
      <c r="N96" s="203" t="inlineStr">
        <is>
          <t>Yes. In house ultrasound across six regions</t>
        </is>
      </c>
      <c r="O96" s="203" t="inlineStr">
        <is>
          <t>Screening volume is where cost per scan matters; a value cart adds capacity without a flagship price. Ultrasound already in use (In house ultrasound across six regions), so pitch added capacity or a second room. Mobile and onsite corporate screening makes SonoPort battery life and SonoAir weight relevant. No email published: call or WhatsApp for the right inbox, then send.</t>
        </is>
      </c>
      <c r="P96" s="203" t="inlineStr">
        <is>
          <t>SonoPort 8 (mid tier cart, 23.8 in + 15.6 in touch, about 3 h battery) + SonoAir 70 (auto thyroid and breast nodule tools, IMT across visits)</t>
        </is>
      </c>
      <c r="Q96" s="208" t="inlineStr">
        <is>
          <t>P2</t>
        </is>
      </c>
      <c r="R96" s="203" t="inlineStr">
        <is>
          <t>P2: no email published, call or WhatsApp first; high fit for CHISON; already scans in house.</t>
        </is>
      </c>
      <c r="S96" s="203" t="inlineStr">
        <is>
          <t>Own site opened 2 to 3 Oct 2026</t>
        </is>
      </c>
      <c r="T96" s="203" t="inlineStr">
        <is>
          <t>CHISON ultrasound for HOP Medical Centre: more scanning capacity for screening</t>
        </is>
      </c>
      <c r="U96" s="203" t="inlineStr">
        <is>
          <t>Dear HOP Medical Centre team,
I am Casper Tan, Senior Regional Sales Manager at AstraMed Healthcare, the Singapore subsidiary of CHISON Medical Technologies. You already run in house ultrasound across your centres plus mobile and onsite corporate screening, so throughput per scan and portability both matter.
CHISON has made diagnostic ultrasound in Wuxi since 1996 and sells in more than 100 countries. The systems below are registered with HSA, with AstraMed as the local registrant, so supply, application training and service are all handled here in Singapore.
For screening volume, these are the two I would suggest:
• SonoPort 8: a mid tier cart with a 23.8 inch monitor and 15.6 inch touch screen, and up to about three hours on battery so it can move between rooms or go to onsite screenings
• SonoAir 70: a 2.1 kg laptop with automatic thyroid and breast nodule tools and intima media thickness tracked across visits
If you already have a system you are happy with, a second CHISON unit is a practical way to add capacity or free your main room for the longer scans.
Our demonstration units arrive in Singapore in October. Could I bring both systems to HOP Medical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97" ht="48" customHeight="1" s="104">
      <c r="A97" s="203" t="n">
        <v>93</v>
      </c>
      <c r="B97" s="204" t="inlineStr">
        <is>
          <t>Singapore Sports and Orthopaedic Clinic (SSOC)</t>
        </is>
      </c>
      <c r="C97" s="203" t="inlineStr">
        <is>
          <t>Not started</t>
        </is>
      </c>
      <c r="D97" s="203" t="inlineStr">
        <is>
          <t>Specialist centre</t>
        </is>
      </c>
      <c r="E97" s="203" t="inlineStr">
        <is>
          <t>Orthopaedic &amp; sports medicine clinic</t>
        </is>
      </c>
      <c r="F97" s="203" t="inlineStr">
        <is>
          <t>Orthopaedic and spine surgery, robotic joint replacement, physiotherapy, shockwave, Synvisc injection; MRI and X-ray arranged. Six doctors</t>
        </is>
      </c>
      <c r="G97" s="203" t="inlineStr">
        <is>
          <t>Orchard (Gleneagles) and Novena</t>
        </is>
      </c>
      <c r="H97" s="205" t="inlineStr">
        <is>
          <t>https://www.orthopaedics.com.sg</t>
        </is>
      </c>
      <c r="I97" s="203" t="inlineStr">
        <is>
          <t>+65 8033 7003 (also WhatsApp)</t>
        </is>
      </c>
      <c r="J97" s="203" t="inlineStr">
        <is>
          <t>Not published on site. WhatsApp or call</t>
        </is>
      </c>
      <c r="K97" s="203" t="inlineStr">
        <is>
          <t>6 Napier Road #02-10/11, Gleneagles Medical Centre, Singapore 258499 (also MENSC #08-63)</t>
        </is>
      </c>
      <c r="L97" s="203" t="inlineStr">
        <is>
          <t>Dr Kelvin Tan Guoping, Senior Consultant Orthopaedic Surgeon (first named on own site)</t>
        </is>
      </c>
      <c r="M97" s="206" t="inlineStr">
        <is>
          <t>A</t>
        </is>
      </c>
      <c r="N97" s="203" t="inlineStr">
        <is>
          <t>Not stated on site</t>
        </is>
      </c>
      <c r="O97" s="203" t="inlineStr">
        <is>
          <t>Tendon, joint and injection work suits a high frequency handheld in the room and a laptop for guided procedures. Ultrasound use: Not stated on site. Confirm on the first call. No email published: call or WhatsApp for the right inbox, then send.</t>
        </is>
      </c>
      <c r="P97" s="203" t="inlineStr">
        <is>
          <t>SonoEye P5 (phone paired, high frequency for tendons, joints, injections) + SonoAir 70 (SonoMSK, SonoNerve, four active ports)</t>
        </is>
      </c>
      <c r="Q97" s="208" t="inlineStr">
        <is>
          <t>P2</t>
        </is>
      </c>
      <c r="R97" s="203" t="inlineStr">
        <is>
          <t>P2: no email published, call or WhatsApp first; high fit for CHISON.</t>
        </is>
      </c>
      <c r="S97" s="203" t="inlineStr">
        <is>
          <t>Own site opened 2 to 3 Oct 2026</t>
        </is>
      </c>
      <c r="T97" s="203" t="inlineStr">
        <is>
          <t>CHISON ultrasound for SSOC: MSK scans and guided injections</t>
        </is>
      </c>
      <c r="U97" s="203" t="inlineStr">
        <is>
          <t>Dear SSOC team,
I am Casper Tan, Senior Regional Sales Manager at AstraMed Healthcare, the Singapore subsidiary of CHISON Medical Technologies. With physiotherapy and injection treatments alongside your doctors at Gleneagles and Novena, SSOC has daily uses for a scanner in the consult room.
CHISON has made diagnostic ultrasound in Wuxi since 1996 and sells in more than 100 countries. The systems below are registered with HSA, with AstraMed as the local registrant, so supply, application training and service are all handled here in Singapore.
For sports and MSK work, these are the two I would suggest: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SSOC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98" ht="60" customHeight="1" s="104">
      <c r="A98" s="203" t="n">
        <v>94</v>
      </c>
      <c r="B98" s="204" t="inlineStr">
        <is>
          <t>Farrer Park Hospital 24-Hour Medical Urgency Clinic</t>
        </is>
      </c>
      <c r="C98" s="203" t="inlineStr">
        <is>
          <t>Not started</t>
        </is>
      </c>
      <c r="D98" s="203" t="inlineStr">
        <is>
          <t>Specialist centre</t>
        </is>
      </c>
      <c r="E98" s="203" t="inlineStr">
        <is>
          <t>Emergency &amp; urgent care (private hospital)</t>
        </is>
      </c>
      <c r="F98" s="203" t="inlineStr">
        <is>
          <t>24 hour urgent care with observation bay, critical care facilities, procedure rooms, imaging and lab on site, minor orthopaedic procedures</t>
        </is>
      </c>
      <c r="G98" s="203" t="inlineStr">
        <is>
          <t>Farrer Park</t>
        </is>
      </c>
      <c r="H98" s="205" t="inlineStr">
        <is>
          <t>https://www.farrerpark.com/Services/our-facilities/detail.html?id=12</t>
        </is>
      </c>
      <c r="I98" s="203" t="inlineStr">
        <is>
          <t>+65 6705 2999</t>
        </is>
      </c>
      <c r="J98" s="203" t="inlineStr">
        <is>
          <t>Not published for the unit. Route via Farrer Park Hospital procurement</t>
        </is>
      </c>
      <c r="K98" s="203" t="inlineStr">
        <is>
          <t>Level 2, Farrer Park Hospital, 1 Farrer Park Station Road, Singapore 217562</t>
        </is>
      </c>
      <c r="L98" s="203" t="inlineStr">
        <is>
          <t>Head of unit not named on page</t>
        </is>
      </c>
      <c r="M98" s="206" t="inlineStr">
        <is>
          <t>A</t>
        </is>
      </c>
      <c r="N98" s="203" t="inlineStr">
        <is>
          <t>Imaging on site; bedside POCUS not stated</t>
        </is>
      </c>
      <c r="O98" s="203" t="inlineStr">
        <is>
          <t>Urgent care is classic POCUS territory; the purchase runs through the parent hospital. Ultrasound use: Imaging on site; bedside POCUS not stated. Confirm on the first call. Group link: Farrer Park Hospital (on Singapore End-Users tab). No email published: call or WhatsApp for the right inbox, then send.</t>
        </is>
      </c>
      <c r="P98" s="203" t="inlineStr">
        <is>
          <t>SonoEye P3 (pocket handheld for acute bedside scans) + SonoAir 70 (auto diaphragm excursion, bladder volume, cardiac view recognition)</t>
        </is>
      </c>
      <c r="Q98" s="208" t="inlineStr">
        <is>
          <t>P2</t>
        </is>
      </c>
      <c r="R98" s="203" t="inlineStr">
        <is>
          <t>P2: no email published, call or WhatsApp first; mid fit (premium incumbents or purchase decided elsewhere); group link: Farrer Park Hospital (on Singapore End-Users tab).</t>
        </is>
      </c>
      <c r="S98" s="203" t="inlineStr">
        <is>
          <t>Hospital's own page opened 2 to 3 Oct 2026</t>
        </is>
      </c>
      <c r="T98" s="203" t="inlineStr">
        <is>
          <t>CHISON point of care ultrasound for Farrer Park Medical Urgency Clinic</t>
        </is>
      </c>
      <c r="U98" s="203" t="inlineStr">
        <is>
          <t>Dear Farrer Park Medical Urgency Clinic team,
I am Casper Tan, Senior Regional Sales Manager at AstraMed Healthcare, the Singapore subsidiary of CHISON Medical Technologies. Your urgency clinic has an observation bay and critical care facilities, which is exactly where a bedside scan speeds up the first assessment.
CHISON has made diagnostic ultrasound in Wuxi since 1996 and sells in more than 100 countries. The systems below are registered with HSA, with AstraMed as the local registrant, so supply, application training and service are all handled here in Singapore.
For urgent care, I would start with these two:
• SonoEye P3: a pocket handheld that goes to the bedside for a first look in acute cases
• SonoAir 70: a 2.1 kg laptop with automatic diaphragm excursion, bladder volume and cardiac view recognition with a quality rating
Any purchase would go through the hospital's normal procurement, and I am not asking for a decision at this stage.
Could you point me to the right person in the department or in procurement? Once our demonstration units arrive in October, I would like to arrange a short hands on session for your doctors.
Best regards,
Casper Tan
Senior Regional Sales Manager
AstraMed Healthcare Pte Ltd, a subsidiary of CHISON Medical Technologies
casper@astramed.sg | +65 8719 0121</t>
        </is>
      </c>
    </row>
    <row r="99" ht="60" customHeight="1" s="104">
      <c r="A99" s="203" t="n">
        <v>95</v>
      </c>
      <c r="B99" s="204" t="inlineStr">
        <is>
          <t>Gleneagles Hospital 24-Hour Urgent Care Centre</t>
        </is>
      </c>
      <c r="C99" s="203" t="inlineStr">
        <is>
          <t>Not started</t>
        </is>
      </c>
      <c r="D99" s="203" t="inlineStr">
        <is>
          <t>Specialist centre</t>
        </is>
      </c>
      <c r="E99" s="203" t="inlineStr">
        <is>
          <t>Emergency &amp; urgent care (private hospital)</t>
        </is>
      </c>
      <c r="F99" s="203" t="inlineStr">
        <is>
          <t>24 hour urgent care with triage, specialist consults and admission; ambulance and medical evacuation lines</t>
        </is>
      </c>
      <c r="G99" s="203" t="inlineStr">
        <is>
          <t>Orchard (Napier Road)</t>
        </is>
      </c>
      <c r="H99" s="205" t="inlineStr">
        <is>
          <t>https://www.gleneagles.com.sg/24hr-urgent-care-centre/overview</t>
        </is>
      </c>
      <c r="I99" s="203" t="inlineStr">
        <is>
          <t>+65 6470 5688 (24 hr UCC)</t>
        </is>
      </c>
      <c r="J99" s="203" t="inlineStr">
        <is>
          <t>Not published for the unit. Route via IHH / Parkway procurement</t>
        </is>
      </c>
      <c r="K99" s="203" t="inlineStr">
        <is>
          <t>6A Napier Road, Singapore 258500</t>
        </is>
      </c>
      <c r="L99" s="203" t="inlineStr">
        <is>
          <t>Head of unit not named on page</t>
        </is>
      </c>
      <c r="M99" s="206" t="inlineStr">
        <is>
          <t>A</t>
        </is>
      </c>
      <c r="N99" s="203" t="inlineStr">
        <is>
          <t>Bedside POCUS not stated</t>
        </is>
      </c>
      <c r="O99" s="203" t="inlineStr">
        <is>
          <t>Urgent care is classic POCUS territory; the purchase runs through the parent hospital. Ultrasound use: Bedside POCUS not stated. Confirm on the first call. Group link: Gleneagles Hospital (on Singapore End-Users tab). No email published: call or WhatsApp for the right inbox, then send.</t>
        </is>
      </c>
      <c r="P99" s="203" t="inlineStr">
        <is>
          <t>SonoEye P3 (pocket handheld for acute bedside scans) + SonoAir 70 (auto diaphragm excursion, bladder volume, cardiac view recognition)</t>
        </is>
      </c>
      <c r="Q99" s="208" t="inlineStr">
        <is>
          <t>P2</t>
        </is>
      </c>
      <c r="R99" s="203" t="inlineStr">
        <is>
          <t>P2: no email published, call or WhatsApp first; mid fit (premium incumbents or purchase decided elsewhere); group link: Gleneagles Hospital (on Singapore End-Users tab).</t>
        </is>
      </c>
      <c r="S99" s="203" t="inlineStr">
        <is>
          <t>Hospital's own page opened 2 to 3 Oct 2026</t>
        </is>
      </c>
      <c r="T99" s="203" t="inlineStr">
        <is>
          <t>CHISON point of care ultrasound for Gleneagles Urgent Care</t>
        </is>
      </c>
      <c r="U99" s="203" t="inlineStr">
        <is>
          <t>Dear Gleneagles Urgent Care team,
I am Casper Tan, Senior Regional Sales Manager at AstraMed Healthcare, the Singapore subsidiary of CHISON Medical Technologies. Your urgent care centre sees chest pain, abdominal pain, breathlessness and trauma around the clock, which is where bedside ultrasound shortens the first assessment.
CHISON has made diagnostic ultrasound in Wuxi since 1996 and sells in more than 100 countries. The systems below are registered with HSA, with AstraMed as the local registrant, so supply, application training and service are all handled here in Singapore.
For urgent care, these are the two I would put forward:
• SonoEye P3: a pocket handheld that goes to the bedside for a first look in acute cases
• SonoAir 70: a 2.1 kg laptop with automatic diaphragm excursion, bladder volume and cardiac view recognition with a quality rating
Any purchase would go through the hospital's normal procurement, and I am not asking for a decision at this stage.
Could you point me to the right person in the department or in procurement? Once our demonstration units arrive in October, I would like to arrange a short hands on session for your doctors.
Best regards,
Casper Tan
Senior Regional Sales Manager
AstraMed Healthcare Pte Ltd, a subsidiary of CHISON Medical Technologies
casper@astramed.sg | +65 8719 0121</t>
        </is>
      </c>
    </row>
    <row r="100" ht="60" customHeight="1" s="104">
      <c r="A100" s="203" t="n">
        <v>96</v>
      </c>
      <c r="B100" s="204" t="inlineStr">
        <is>
          <t>Mount Alvernia Hospital 24-Hr Urgent Care Centre</t>
        </is>
      </c>
      <c r="C100" s="203" t="inlineStr">
        <is>
          <t>Not started</t>
        </is>
      </c>
      <c r="D100" s="203" t="inlineStr">
        <is>
          <t>Specialist centre</t>
        </is>
      </c>
      <c r="E100" s="203" t="inlineStr">
        <is>
          <t>Emergency &amp; urgent care (private hospital)</t>
        </is>
      </c>
      <c r="F100" s="203" t="inlineStr">
        <is>
          <t>24 hour outpatient urgent consultations, medical and surgical care, statutory medicals, on call specialist support</t>
        </is>
      </c>
      <c r="G100" s="203" t="inlineStr">
        <is>
          <t>Thomson</t>
        </is>
      </c>
      <c r="H100" s="205" t="inlineStr">
        <is>
          <t>https://mtalvernia.sg/clinical_services/24hr-urgent-care-centre/</t>
        </is>
      </c>
      <c r="I100" s="203" t="inlineStr">
        <is>
          <t>+65 6347 6688 (24 hr) / +65 6347 6210</t>
        </is>
      </c>
      <c r="J100" s="203" t="inlineStr">
        <is>
          <t>Not published for the unit. Route via Mount Alvernia procurement</t>
        </is>
      </c>
      <c r="K100" s="203" t="inlineStr">
        <is>
          <t>820 Thomson Road, Singapore 574623</t>
        </is>
      </c>
      <c r="L100" s="203" t="inlineStr">
        <is>
          <t>Head of unit not named on page</t>
        </is>
      </c>
      <c r="M100" s="206" t="inlineStr">
        <is>
          <t>A</t>
        </is>
      </c>
      <c r="N100" s="203" t="inlineStr">
        <is>
          <t>Bedside POCUS not stated</t>
        </is>
      </c>
      <c r="O100" s="203" t="inlineStr">
        <is>
          <t>Urgent care is classic POCUS territory; the purchase runs through the parent hospital. Ultrasound use: Bedside POCUS not stated. Confirm on the first call. Group link: Mount Alvernia Hospital (on Singapore End-Users tab). No email published: call or WhatsApp for the right inbox, then send.</t>
        </is>
      </c>
      <c r="P100" s="203" t="inlineStr">
        <is>
          <t>SonoEye P3 (pocket handheld for acute bedside scans) + SonoAir 70 (auto diaphragm excursion, bladder volume, cardiac view recognition)</t>
        </is>
      </c>
      <c r="Q100" s="208" t="inlineStr">
        <is>
          <t>P2</t>
        </is>
      </c>
      <c r="R100" s="203" t="inlineStr">
        <is>
          <t>P2: no email published, call or WhatsApp first; mid fit (premium incumbents or purchase decided elsewhere); group link: Mount Alvernia Hospital (on Singapore End-Users tab).</t>
        </is>
      </c>
      <c r="S100" s="203" t="inlineStr">
        <is>
          <t>Hospital's own page opened 2 to 3 Oct 2026</t>
        </is>
      </c>
      <c r="T100" s="203" t="inlineStr">
        <is>
          <t>CHISON point of care ultrasound for Mount Alvernia Urgent Care</t>
        </is>
      </c>
      <c r="U100" s="203" t="inlineStr">
        <is>
          <t>Dear Mount Alvernia Urgent Care team,
I am Casper Tan, Senior Regional Sales Manager at AstraMed Healthcare, the Singapore subsidiary of CHISON Medical Technologies. Round the clock urgent consultations at Mount Alvernia are where a pocket scan speeds up the first assessment.
CHISON has made diagnostic ultrasound in Wuxi since 1996 and sells in more than 100 countries. The systems below are registered with HSA, with AstraMed as the local registrant, so supply, application training and service are all handled here in Singapore.
For urgent care, these are the two I would suggest:
• SonoEye P3: a pocket handheld that goes to the bedside for a first look in acute cases
• SonoAir 70: a 2.1 kg laptop with automatic diaphragm excursion, bladder volume and cardiac view recognition with a quality rating
Any purchase would go through the hospital's normal procurement, and I am not asking for a decision at this stage.
Could you point me to the right person in the department or in procurement? Once our demonstration units arrive in October, I would like to arrange a short hands on session for your doctors.
Best regards,
Casper Tan
Senior Regional Sales Manager
AstraMed Healthcare Pte Ltd, a subsidiary of CHISON Medical Technologies
casper@astramed.sg | +65 8719 0121</t>
        </is>
      </c>
    </row>
    <row r="101" ht="60" customHeight="1" s="104">
      <c r="A101" s="203" t="n">
        <v>97</v>
      </c>
      <c r="B101" s="204" t="inlineStr">
        <is>
          <t>Mount Elizabeth Urgent Care Centres (Orchard and Novena)</t>
        </is>
      </c>
      <c r="C101" s="203" t="inlineStr">
        <is>
          <t>Not started</t>
        </is>
      </c>
      <c r="D101" s="203" t="inlineStr">
        <is>
          <t>Specialist centre</t>
        </is>
      </c>
      <c r="E101" s="203" t="inlineStr">
        <is>
          <t>Emergency &amp; urgent care (private hospital)</t>
        </is>
      </c>
      <c r="F101" s="203" t="inlineStr">
        <is>
          <t>24/7 urgent care for chest pain, abdominal pain, fractures, head injury, breathlessness; triage and admission</t>
        </is>
      </c>
      <c r="G101" s="203" t="inlineStr">
        <is>
          <t>Orchard and Novena</t>
        </is>
      </c>
      <c r="H101" s="205" t="inlineStr">
        <is>
          <t>https://www.mountelizabeth.com.sg/24hr-urgent-care-centre/overview</t>
        </is>
      </c>
      <c r="I101" s="203" t="inlineStr">
        <is>
          <t>+65 6731 2218 (Mount Elizabeth Hospital UCC) / +65 6933 0100 (Mount Elizabeth Novena UCC)</t>
        </is>
      </c>
      <c r="J101" s="203" t="inlineStr">
        <is>
          <t>Not published for the unit. Route via IHH / Parkway procurement</t>
        </is>
      </c>
      <c r="K101" s="203" t="inlineStr">
        <is>
          <t>3 Mount Elizabeth, Singapore 228510; 38 Irrawaddy Road, Singapore 329563</t>
        </is>
      </c>
      <c r="L101" s="203" t="inlineStr">
        <is>
          <t>Head of unit not named on page</t>
        </is>
      </c>
      <c r="M101" s="206" t="inlineStr">
        <is>
          <t>A</t>
        </is>
      </c>
      <c r="N101" s="203" t="inlineStr">
        <is>
          <t>Bedside POCUS not stated</t>
        </is>
      </c>
      <c r="O101" s="203" t="inlineStr">
        <is>
          <t>Urgent care is classic POCUS territory; the purchase runs through the parent hospital. Ultrasound use: Bedside POCUS not stated. Confirm on the first call. Group link: Mount Elizabeth Hospital and Mount Elizabeth Novena (on Singapore End-Users tab). No email published: call or WhatsApp for the right inbox, then send.</t>
        </is>
      </c>
      <c r="P101" s="203" t="inlineStr">
        <is>
          <t>SonoEye P3 (pocket handheld for acute bedside scans) + SonoAir 70 (auto diaphragm excursion, bladder volume, cardiac view recognition)</t>
        </is>
      </c>
      <c r="Q101" s="208" t="inlineStr">
        <is>
          <t>P2</t>
        </is>
      </c>
      <c r="R101" s="203" t="inlineStr">
        <is>
          <t>P2: no email published, call or WhatsApp first; mid fit (premium incumbents or purchase decided elsewhere); group link: Mount Elizabeth Hospital and Mount Elizabeth Novena (on Singapore End-Users tab).</t>
        </is>
      </c>
      <c r="S101" s="203" t="inlineStr">
        <is>
          <t>Hospital's own page opened 2 to 3 Oct 2026</t>
        </is>
      </c>
      <c r="T101" s="203" t="inlineStr">
        <is>
          <t>CHISON point of care ultrasound for Mount Elizabeth Urgent Care</t>
        </is>
      </c>
      <c r="U101" s="203" t="inlineStr">
        <is>
          <t>Dear Mount Elizabeth Urgent Care team,
I am Casper Tan, Senior Regional Sales Manager at AstraMed Healthcare, the Singapore subsidiary of CHISON Medical Technologies. Both urgent care centres see abdominal pain, chest pain, breathlessness and trauma around the clock, which is where bedside ultrasound shortens the first assessment.
CHISON has made diagnostic ultrasound in Wuxi since 1996 and sells in more than 100 countries. The systems below are registered with HSA, with AstraMed as the local registrant, so supply, application training and service are all handled here in Singapore.
For urgent care, I would start with these two:
• SonoEye P3: a pocket handheld that goes to the bedside for a first look in acute cases
• SonoAir 70: a 2.1 kg laptop with automatic diaphragm excursion, bladder volume and cardiac view recognition with a quality rating
Any purchase would go through the hospital's normal procurement, and I am not asking for a decision at this stage.
Could you point me to the right person in the department or in procurement? Once our demonstration units arrive in October, I would like to arrange a short hands on session for your doctors.
Best regards,
Casper Tan
Senior Regional Sales Manager
AstraMed Healthcare Pte Ltd, a subsidiary of CHISON Medical Technologies
casper@astramed.sg | +65 8719 0121</t>
        </is>
      </c>
    </row>
    <row r="102" ht="60" customHeight="1" s="104">
      <c r="A102" s="203" t="n">
        <v>98</v>
      </c>
      <c r="B102" s="204" t="inlineStr">
        <is>
          <t>Parkway East Hospital 24-Hour Urgent Care Centre</t>
        </is>
      </c>
      <c r="C102" s="203" t="inlineStr">
        <is>
          <t>Not started</t>
        </is>
      </c>
      <c r="D102" s="203" t="inlineStr">
        <is>
          <t>Specialist centre</t>
        </is>
      </c>
      <c r="E102" s="203" t="inlineStr">
        <is>
          <t>Emergency &amp; urgent care (private hospital)</t>
        </is>
      </c>
      <c r="F102" s="203" t="inlineStr">
        <is>
          <t>24 hour urgent care for the east: chest pain, fractures, head injury, paediatric fever, breathlessness; triage and admission</t>
        </is>
      </c>
      <c r="G102" s="203" t="inlineStr">
        <is>
          <t>Joo Chiat (east)</t>
        </is>
      </c>
      <c r="H102" s="205" t="inlineStr">
        <is>
          <t>https://www.parkwayeast.com.sg/24hr-urgent-care-centre/overview</t>
        </is>
      </c>
      <c r="I102" s="203" t="inlineStr">
        <is>
          <t>+65 6340 8666 (24 hr UCC)</t>
        </is>
      </c>
      <c r="J102" s="203" t="inlineStr">
        <is>
          <t>Not published for the unit. Route via IHH / Parkway procurement</t>
        </is>
      </c>
      <c r="K102" s="203" t="inlineStr">
        <is>
          <t>321 Joo Chiat Place, Singapore 427990</t>
        </is>
      </c>
      <c r="L102" s="203" t="inlineStr">
        <is>
          <t>Head of unit not named on page</t>
        </is>
      </c>
      <c r="M102" s="206" t="inlineStr">
        <is>
          <t>A</t>
        </is>
      </c>
      <c r="N102" s="203" t="inlineStr">
        <is>
          <t>Bedside POCUS not stated</t>
        </is>
      </c>
      <c r="O102" s="203" t="inlineStr">
        <is>
          <t>Urgent care is classic POCUS territory; the purchase runs through the parent hospital. Ultrasound use: Bedside POCUS not stated. Confirm on the first call. Group link: Parkway East Hospital (on Singapore End-Users tab). No email published: call or WhatsApp for the right inbox, then send.</t>
        </is>
      </c>
      <c r="P102" s="203" t="inlineStr">
        <is>
          <t>SonoEye P3 (pocket handheld for acute bedside scans) + SonoAir 70 (auto diaphragm excursion, bladder volume, cardiac view recognition)</t>
        </is>
      </c>
      <c r="Q102" s="208" t="inlineStr">
        <is>
          <t>P2</t>
        </is>
      </c>
      <c r="R102" s="203" t="inlineStr">
        <is>
          <t>P2: no email published, call or WhatsApp first; mid fit (premium incumbents or purchase decided elsewhere); group link: Parkway East Hospital (on Singapore End-Users tab).</t>
        </is>
      </c>
      <c r="S102" s="203" t="inlineStr">
        <is>
          <t>Hospital's own page opened 2 to 3 Oct 2026</t>
        </is>
      </c>
      <c r="T102" s="203" t="inlineStr">
        <is>
          <t>CHISON point of care ultrasound for Parkway East Urgent Care</t>
        </is>
      </c>
      <c r="U102" s="203" t="inlineStr">
        <is>
          <t>Dear Parkway East Urgent Care team,
I am Casper Tan, Senior Regional Sales Manager at AstraMed Healthcare, the Singapore subsidiary of CHISON Medical Technologies. As the east's private urgent care centre, you see abdominal pain, breathlessness and paediatric fever around the clock, which is where bedside ultrasound helps most.
CHISON has made diagnostic ultrasound in Wuxi since 1996 and sells in more than 100 countries. The systems below are registered with HSA, with AstraMed as the local registrant, so supply, application training and service are all handled here in Singapore.
For urgent care, I would start with these two:
• SonoEye P3: a pocket handheld that goes to the bedside for a first look in acute cases
• SonoAir 70: a 2.1 kg laptop with automatic diaphragm excursion, bladder volume and cardiac view recognition with a quality rating
Any purchase would go through the hospital's normal procurement, and I am not asking for a decision at this stage.
Could you point me to the right person in the department or in procurement? Once our demonstration units arrive in October, I would like to arrange a short hands on session for your doctors.
Best regards,
Casper Tan
Senior Regional Sales Manager
AstraMed Healthcare Pte Ltd, a subsidiary of CHISON Medical Technologies
casper@astramed.sg | +65 8719 0121</t>
        </is>
      </c>
    </row>
    <row r="103" ht="60" customHeight="1" s="104">
      <c r="A103" s="203" t="n">
        <v>99</v>
      </c>
      <c r="B103" s="204" t="inlineStr">
        <is>
          <t>Thomson Medical 24-Hour Urgent Care Centre</t>
        </is>
      </c>
      <c r="C103" s="203" t="inlineStr">
        <is>
          <t>Not started</t>
        </is>
      </c>
      <c r="D103" s="203" t="inlineStr">
        <is>
          <t>Specialist centre</t>
        </is>
      </c>
      <c r="E103" s="203" t="inlineStr">
        <is>
          <t>Emergency &amp; urgent care (private hospital)</t>
        </is>
      </c>
      <c r="F103" s="203" t="inlineStr">
        <is>
          <t>24 hour urgent care incl. paediatric urgent care, minor procedures, X-ray and same day MRI</t>
        </is>
      </c>
      <c r="G103" s="203" t="inlineStr">
        <is>
          <t>Novena (Thomson Medical Centre)</t>
        </is>
      </c>
      <c r="H103" s="205" t="inlineStr">
        <is>
          <t>https://www.thomsonmedical.com/centres/urgent-care-centre</t>
        </is>
      </c>
      <c r="I103" s="203" t="inlineStr">
        <is>
          <t>+65 6350 8812</t>
        </is>
      </c>
      <c r="J103" s="203" t="inlineStr">
        <is>
          <t>Not published for the unit. Route via Thomson Medical procurement</t>
        </is>
      </c>
      <c r="K103" s="203" t="inlineStr">
        <is>
          <t>Thomson Medical Centre, 339 Thomson Road, Singapore 307677</t>
        </is>
      </c>
      <c r="L103" s="203" t="inlineStr">
        <is>
          <t>Head of unit not named on page</t>
        </is>
      </c>
      <c r="M103" s="206" t="inlineStr">
        <is>
          <t>A</t>
        </is>
      </c>
      <c r="N103" s="203" t="inlineStr">
        <is>
          <t>Bedside POCUS not stated</t>
        </is>
      </c>
      <c r="O103" s="203" t="inlineStr">
        <is>
          <t>Urgent care is classic POCUS territory; the purchase runs through the parent hospital. Ultrasound use: Bedside POCUS not stated. Confirm on the first call. Group link: Thomson Medical Centre (on Singapore End-Users tab). No email published: call or WhatsApp for the right inbox, then send.</t>
        </is>
      </c>
      <c r="P103" s="203" t="inlineStr">
        <is>
          <t>SonoEye P3 (pocket handheld for acute bedside scans) + SonoAir 70 (auto diaphragm excursion, bladder volume, cardiac view recognition)</t>
        </is>
      </c>
      <c r="Q103" s="208" t="inlineStr">
        <is>
          <t>P2</t>
        </is>
      </c>
      <c r="R103" s="203" t="inlineStr">
        <is>
          <t>P2: no email published, call or WhatsApp first; mid fit (premium incumbents or purchase decided elsewhere); group link: Thomson Medical Centre (on Singapore End-Users tab).</t>
        </is>
      </c>
      <c r="S103" s="203" t="inlineStr">
        <is>
          <t>Hospital's own page opened 2 to 3 Oct 2026</t>
        </is>
      </c>
      <c r="T103" s="203" t="inlineStr">
        <is>
          <t>CHISON point of care ultrasound for Thomson Medical Urgent Care</t>
        </is>
      </c>
      <c r="U103" s="203" t="inlineStr">
        <is>
          <t>Dear Thomson Medical Urgent Care team,
I am Casper Tan, Senior Regional Sales Manager at AstraMed Healthcare, the Singapore subsidiary of CHISON Medical Technologies. Your 24 hour urgent care, including paediatric urgent care, sees abdominal pain, chest pain and injuries where a bedside scan speeds up the first decision.
CHISON has made diagnostic ultrasound in Wuxi since 1996 and sells in more than 100 countries. The systems below are registered with HSA, with AstraMed as the local registrant, so supply, application training and service are all handled here in Singapore.
For urgent care, these are the two I would put forward:
• SonoEye P3: a pocket handheld that goes to the bedside for a first look in acute cases
• SonoAir 70: a 2.1 kg laptop with automatic diaphragm excursion, bladder volume and cardiac view recognition with a quality rating
Any purchase would go through the hospital's normal procurement, and I am not asking for a decision at this stage.
Could you point me to the right person in the department or in procurement? Once our demonstration units arrive in October, I would like to arrange a short hands on session for your doctors.
Best regards,
Casper Tan
Senior Regional Sales Manager
AstraMed Healthcare Pte Ltd, a subsidiary of CHISON Medical Technologies
casper@astramed.sg | +65 8719 0121</t>
        </is>
      </c>
    </row>
    <row r="104" ht="48" customHeight="1" s="104">
      <c r="A104" s="203" t="n">
        <v>100</v>
      </c>
      <c r="B104" s="204" t="inlineStr">
        <is>
          <t>Firstline Dialysis Centre (Bedok)</t>
        </is>
      </c>
      <c r="C104" s="203" t="inlineStr">
        <is>
          <t>Contacted</t>
        </is>
      </c>
      <c r="D104" s="203" t="inlineStr">
        <is>
          <t>Specialist centre</t>
        </is>
      </c>
      <c r="E104" s="203" t="inlineStr">
        <is>
          <t>Dialysis centre</t>
        </is>
      </c>
      <c r="F104" s="203" t="inlineStr">
        <is>
          <t>Private haemodialysis and haemodiafiltration, tourist dialysis</t>
        </is>
      </c>
      <c r="G104" s="203" t="inlineStr">
        <is>
          <t>Bedok</t>
        </is>
      </c>
      <c r="H104" s="205" t="inlineStr">
        <is>
          <t>https://firstlinedialysis.sg</t>
        </is>
      </c>
      <c r="I104" s="203" t="inlineStr">
        <is>
          <t>+65 6517 9577 / WhatsApp +65 8825 4235 (fax 6517 9588)</t>
        </is>
      </c>
      <c r="J104" s="203" t="inlineStr">
        <is>
          <t>admin@firstlinedialysis.sg</t>
        </is>
      </c>
      <c r="K104" s="203" t="inlineStr">
        <is>
          <t>203 Bedok North Street 1, Singapore 460203</t>
        </is>
      </c>
      <c r="L104" s="203" t="inlineStr">
        <is>
          <t>Not named on site</t>
        </is>
      </c>
      <c r="M104" s="206" t="inlineStr">
        <is>
          <t>A</t>
        </is>
      </c>
      <c r="N104" s="203" t="inlineStr">
        <is>
          <t>Not stated (fistula assessment and needling is a growing POCUS use)</t>
        </is>
      </c>
      <c r="O104" s="203" t="inlineStr">
        <is>
          <t>Fistula assessment and difficult cannulation at the chair; a handheld is a small ticket entry into renal care. Ultrasound use: Not stated (fistula assessment and needling is a growing POCUS use). Confirm on the first call.</t>
        </is>
      </c>
      <c r="P104" s="203" t="inlineStr">
        <is>
          <t>SonoEye P5 (phone paired, fistula checks and needling) + SonoAir 70 (four active ports, fistula mapping)</t>
        </is>
      </c>
      <c r="Q104" s="208" t="inlineStr">
        <is>
          <t>P2</t>
        </is>
      </c>
      <c r="R104" s="203" t="inlineStr">
        <is>
          <t>P2: verified email on own site; mid fit (premium incumbents or purchase decided elsewhere).</t>
        </is>
      </c>
      <c r="S104" s="203" t="inlineStr">
        <is>
          <t>Own site opened 2 to 3 Oct 2026</t>
        </is>
      </c>
      <c r="T104" s="203" t="inlineStr">
        <is>
          <t>CHISON pocket ultrasound for Firstline Dialysis Centre: fistula checks at the chair</t>
        </is>
      </c>
      <c r="U104" s="203" t="inlineStr">
        <is>
          <t>Dear Firstline Dialysis Centre team,
I am Casper Tan, Senior Regional Sales Manager at AstraMed Healthcare, the Singapore subsidiary of CHISON Medical Technologies. Fistula assessment and ultrasound guided needling are becoming routine in dialysis units, and a pocket device makes it practical at the chair.
CHISON has made diagnostic ultrasound in Wuxi since 1996 and sells in more than 100 countries. The systems below are registered with HSA, with AstraMed as the local registrant, so supply, application training and service are all handled here in Singapore.
For a dialysis unit, these are the two I would suggest:
• SonoEye P5: a phone paired handheld with high frequency imaging for fistula checks and needle guidance at the chair
• SonoAir 70: a 2.1 kg laptop with four active probe ports for fistula mapping before access surgery and at follow up
In a dialysis unit the handheld lives at the nurses' station and comes out when a fistula is hard to find or a needle needs guiding.
Could I bring a handheld for a short demonstration during a quieter session in the second half of October?
Best regards,
Casper Tan
Senior Regional Sales Manager
AstraMed Healthcare Pte Ltd, a subsidiary of CHISON Medical Technologies
casper@astramed.sg | +65 8719 0121</t>
        </is>
      </c>
    </row>
    <row r="105" ht="48" customHeight="1" s="104">
      <c r="A105" s="203" t="n">
        <v>101</v>
      </c>
      <c r="B105" s="204" t="inlineStr">
        <is>
          <t>Renal Dialysis Centre (RDC)</t>
        </is>
      </c>
      <c r="C105" s="203" t="inlineStr">
        <is>
          <t>Contacted</t>
        </is>
      </c>
      <c r="D105" s="203" t="inlineStr">
        <is>
          <t>Specialist centre</t>
        </is>
      </c>
      <c r="E105" s="203" t="inlineStr">
        <is>
          <t>Dialysis centre</t>
        </is>
      </c>
      <c r="F105" s="203" t="inlineStr">
        <is>
          <t>Over 10 community dialysis centres: long term, acute, hospital, holiday and home haemodialysis. Affiliated with Stephen Chew Centre and The Kidney Clinic (Dr Ho Chee Khun, drho.1209@yahoo.com.sg)</t>
        </is>
      </c>
      <c r="G105" s="203" t="inlineStr">
        <is>
          <t>Islandwide (HQ Bishan)</t>
        </is>
      </c>
      <c r="H105" s="205" t="inlineStr">
        <is>
          <t>https://renaldc.com</t>
        </is>
      </c>
      <c r="I105" s="203" t="inlineStr">
        <is>
          <t>+65 6513 3778 / WhatsApp +65 8284 9709 (fax 6513 5506)</t>
        </is>
      </c>
      <c r="J105" s="203" t="inlineStr">
        <is>
          <t>General@renaldc.com</t>
        </is>
      </c>
      <c r="K105" s="203" t="inlineStr">
        <is>
          <t>244D Upper Thomson Road, Singapore 574369</t>
        </is>
      </c>
      <c r="L105" s="203" t="inlineStr">
        <is>
          <t>Dr Stephen Chew, Chief Medical Director; Dr Ho Chee Khun, Medical Director (named on own site)</t>
        </is>
      </c>
      <c r="M105" s="206" t="inlineStr">
        <is>
          <t>A</t>
        </is>
      </c>
      <c r="N105" s="203" t="inlineStr">
        <is>
          <t>Not stated (fistula assessment and needling is a growing POCUS use)</t>
        </is>
      </c>
      <c r="O105" s="203" t="inlineStr">
        <is>
          <t>Fistula assessment and difficult cannulation at the chair; a handheld is a small ticket entry into renal care. Ultrasound use: Not stated (fistula assessment and needling is a growing POCUS use). Confirm on the first call.</t>
        </is>
      </c>
      <c r="P105" s="203" t="inlineStr">
        <is>
          <t>SonoEye P5 (phone paired, fistula checks and needling) + SonoAir 70 (four active ports, fistula mapping)</t>
        </is>
      </c>
      <c r="Q105" s="208" t="inlineStr">
        <is>
          <t>P2</t>
        </is>
      </c>
      <c r="R105" s="203" t="inlineStr">
        <is>
          <t>P2: verified email on own site; mid fit (premium incumbents or purchase decided elsewhere).</t>
        </is>
      </c>
      <c r="S105" s="203" t="inlineStr">
        <is>
          <t>Own site opened 2 to 3 Oct 2026</t>
        </is>
      </c>
      <c r="T105" s="203" t="inlineStr">
        <is>
          <t>CHISON pocket ultrasound for Renal Dialysis Centre: fistula checks at the chair</t>
        </is>
      </c>
      <c r="U105" s="203" t="inlineStr">
        <is>
          <t>Dear Dr Chew and Dr Ho,
I am Casper Tan, Senior Regional Sales Manager at AstraMed Healthcare, the Singapore subsidiary of CHISON Medical Technologies. Across more than ten centres, fistula assessment and difficult cannulations are where a pocket ultrasound helps your nurses most.
CHISON has made diagnostic ultrasound in Wuxi since 1996 and sells in more than 100 countries. The systems below are registered with HSA, with AstraMed as the local registrant, so supply, application training and service are all handled here in Singapore.
For a dialysis unit, these are the two I would put forward:
• SonoEye P5: a phone paired handheld with high frequency imaging for fistula checks and needle guidance at the chair
• SonoAir 70: a 2.1 kg laptop with four active probe ports for fistula mapping before access surgery and at follow up
In a dialysis unit the handheld lives at the nurses' station and comes out when a fistula is hard to find or a needle needs guiding.
Could I bring a handheld for a short demonstration during a quieter session in the second half of October?
Best regards,
Casper Tan
Senior Regional Sales Manager
AstraMed Healthcare Pte Ltd, a subsidiary of CHISON Medical Technologies
casper@astramed.sg | +65 8719 0121</t>
        </is>
      </c>
    </row>
    <row r="106" ht="48" customHeight="1" s="104">
      <c r="A106" s="203" t="n">
        <v>102</v>
      </c>
      <c r="B106" s="204" t="inlineStr">
        <is>
          <t>Society of Intensive Care Medicine (Singapore), SICM</t>
        </is>
      </c>
      <c r="C106" s="203" t="inlineStr">
        <is>
          <t>Contacted</t>
        </is>
      </c>
      <c r="D106" s="203" t="inlineStr">
        <is>
          <t>Specialist centre</t>
        </is>
      </c>
      <c r="E106" s="203" t="inlineStr">
        <is>
          <t>ICU / critical care community (society)</t>
        </is>
      </c>
      <c r="F106" s="203" t="inlineStr">
        <is>
          <t>Professional society for intensivists in public and private ICUs; runs FCCS, ECMO and webinar programmes. The route to private ICU intensivists and to sponsoring a critical care ultrasound session</t>
        </is>
      </c>
      <c r="G106" s="203" t="inlineStr">
        <is>
          <t>Singapore</t>
        </is>
      </c>
      <c r="H106" s="205" t="inlineStr">
        <is>
          <t>https://sicm.org.sg</t>
        </is>
      </c>
      <c r="I106" s="203" t="inlineStr">
        <is>
          <t>Not published</t>
        </is>
      </c>
      <c r="J106" s="203" t="inlineStr">
        <is>
          <t>secretariat@sicm.org.sg</t>
        </is>
      </c>
      <c r="K106" s="203" t="inlineStr">
        <is>
          <t>c/o Ace:Daytons Direct, 2 Leng Kee Road #04-01 Thye Hong Centre, Singapore 159086</t>
        </is>
      </c>
      <c r="L106" s="203" t="inlineStr">
        <is>
          <t>Secretariat</t>
        </is>
      </c>
      <c r="M106" s="206" t="inlineStr">
        <is>
          <t>A</t>
        </is>
      </c>
      <c r="N106" s="203" t="inlineStr">
        <is>
          <t>Not applicable (society)</t>
        </is>
      </c>
      <c r="O106" s="203" t="inlineStr">
        <is>
          <t>Society route to private ICU intensivists: support a critical care ultrasound session rather than sell to the society.</t>
        </is>
      </c>
      <c r="P106" s="203" t="inlineStr">
        <is>
          <t>SonoEye P3 (pocket handheld for acute bedside scans) + SonoAir 70 (auto diaphragm excursion, bladder volume, cardiac view recognition)</t>
        </is>
      </c>
      <c r="Q106" s="208" t="inlineStr">
        <is>
          <t>P2</t>
        </is>
      </c>
      <c r="R106" s="203" t="inlineStr">
        <is>
          <t>P2: verified email on own site; mid fit (premium incumbents or purchase decided elsewhere).</t>
        </is>
      </c>
      <c r="S106" s="203" t="inlineStr">
        <is>
          <t>Own site opened 2 to 3 Oct 2026</t>
        </is>
      </c>
      <c r="T106" s="203" t="inlineStr">
        <is>
          <t>CHISON and SICM: supporting a critical care ultrasound session</t>
        </is>
      </c>
      <c r="U106" s="203" t="inlineStr">
        <is>
          <t>Dear SICM Secretariat,
I am Casper Tan, Senior Regional Sales Manager at AstraMed Healthcare, the Singapore subsidiary of CHISON Medical Technologies. SICM brings together intensivists across public and private ICUs, and critical care ultrasound is now part of everyday ICU practice.
CHISON has made diagnostic ultrasound in Wuxi since 1996 and sells in more than 100 countries. The systems below are registered with HSA, with AstraMed as the local registrant, so supply, application training and service are all handled here in Singapore.
For critical care, these are the two I would put forward:
• SonoEye P3: a pocket handheld that goes to the bedside for a first look in acute cases
• SonoAir 70: a 2.1 kg laptop with automatic diaphragm excursion, bladder volume and cardiac view recognition with a quality rating
SICM members work in both public and private ICUs, and supporting education is the right way for us to earn a hearing.
Would SICM be open to CHISON supporting a critical care ultrasound session or workshop in the coming months? We would bring the systems, run the hands on stations and keep product talk out of the teaching.
Best regards,
Casper Tan
Senior Regional Sales Manager
AstraMed Healthcare Pte Ltd, a subsidiary of CHISON Medical Technologies
casper@astramed.sg | +65 8719 0121</t>
        </is>
      </c>
    </row>
    <row r="107" ht="72" customHeight="1" s="104">
      <c r="A107" s="203" t="n">
        <v>103</v>
      </c>
      <c r="B107" s="204" t="inlineStr">
        <is>
          <t>Royal Healthcare</t>
        </is>
      </c>
      <c r="C107" s="203" t="inlineStr">
        <is>
          <t>Contacted</t>
        </is>
      </c>
      <c r="D107" s="203" t="inlineStr">
        <is>
          <t>Specialist centre</t>
        </is>
      </c>
      <c r="E107" s="203" t="inlineStr">
        <is>
          <t>Health screening &amp; imaging centre</t>
        </is>
      </c>
      <c r="F107" s="203" t="inlineStr">
        <is>
          <t>Imaging and screening: 3T MRI, photon counting CT, ultrasound (carotid, echo, general), X-ray, mammography, stress test, BMD</t>
        </is>
      </c>
      <c r="G107" s="203" t="inlineStr">
        <is>
          <t>Novena (Royal Square)</t>
        </is>
      </c>
      <c r="H107" s="205" t="inlineStr">
        <is>
          <t>https://royal-healthcare.com</t>
        </is>
      </c>
      <c r="I107" s="203" t="inlineStr">
        <is>
          <t>+65 6565 6868</t>
        </is>
      </c>
      <c r="J107" s="203" t="inlineStr">
        <is>
          <t>askus@royal-healthcare.com</t>
        </is>
      </c>
      <c r="K107" s="203" t="inlineStr">
        <is>
          <t>Royal Square Medical Centre, Level 7, 101 Irrawaddy Road, Singapore 329565</t>
        </is>
      </c>
      <c r="L107" s="203" t="inlineStr">
        <is>
          <t>Not named on page</t>
        </is>
      </c>
      <c r="M107" s="206" t="inlineStr">
        <is>
          <t>A</t>
        </is>
      </c>
      <c r="N107" s="203" t="inlineStr">
        <is>
          <t>Yes. Ultrasound in house. Site states it is a Siemens Healthineers Asia Reference Centre</t>
        </is>
      </c>
      <c r="O107" s="203" t="inlineStr">
        <is>
          <t>Screening volume is where cost per scan matters; a value cart adds capacity without a flagship price. Ultrasound already in use (Ultrasound in house. Site states it is a Siemens Healthineers Asia Reference Centre), so pitch added capacity or a second room. Siemens Healthineers reference centre, so a core imaging switch is unrealistic; only routine screening capacity is in play.</t>
        </is>
      </c>
      <c r="P107" s="203" t="inlineStr">
        <is>
          <t>SonoPort 8 (mid tier cart, 23.8 in + 15.6 in touch, about 3 h battery) + SonoAir 70 (auto thyroid and breast nodule tools, IMT across visits)</t>
        </is>
      </c>
      <c r="Q107" s="209" t="inlineStr">
        <is>
          <t>P3</t>
        </is>
      </c>
      <c r="R107" s="203" t="inlineStr">
        <is>
          <t>P3: Siemens Healthineers reference centre; only routine screening capacity is in play.</t>
        </is>
      </c>
      <c r="S107" s="203" t="inlineStr">
        <is>
          <t>Own site opened 2 to 3 Oct 2026</t>
        </is>
      </c>
      <c r="T107" s="203" t="inlineStr">
        <is>
          <t>CHISON ultrasound for Royal Healthcare: routine screening capacity</t>
        </is>
      </c>
      <c r="U107" s="203" t="inlineStr">
        <is>
          <t>Dear Royal Healthcare team,
I am Casper Tan, Senior Regional Sales Manager at AstraMed Healthcare, the Singapore subsidiary of CHISON Medical Technologies. I understand Royal Healthcare is a Siemens Healthineers reference centre, so I am writing only about ultrasound capacity for screening, not your core imaging.
CHISON has made diagnostic ultrasound in Wuxi since 1996 and sells in more than 100 countries. The systems below are registered with HSA, with AstraMed as the local registrant, so supply, application training and service are all handled here in Singapore.
For screening volume, these are the two I would suggest:
• SonoPort 8: a mid tier cart with a 23.8 inch monitor and 15.6 inch touch screen, and up to about three hours on battery so it can move between rooms or go to onsite screenings
• SonoAir 70: a 2.1 kg laptop with automatic thyroid and breast nodule tools and intima media thickness tracked across visits
A value system for routine screening ultrasound keeps your main rooms free for the longer studies.
Our demonstration units arrive in Singapore in October. Could I bring one to Royal Healthcare for 30 minutes so you can scan beside your current system and judge the image for yourself?
Best regards,
Casper Tan
Senior Regional Sales Manager
AstraMed Healthcare Pte Ltd, a subsidiary of CHISON Medical Technologies
casper@astramed.sg | +65 8719 0121</t>
        </is>
      </c>
    </row>
    <row r="108" ht="72" customHeight="1" s="104">
      <c r="A108" s="203" t="n">
        <v>104</v>
      </c>
      <c r="B108" s="204" t="inlineStr">
        <is>
          <t>Leslie Tay Heart Specialist</t>
        </is>
      </c>
      <c r="C108" s="203" t="inlineStr">
        <is>
          <t>Not started</t>
        </is>
      </c>
      <c r="D108" s="203" t="inlineStr">
        <is>
          <t>Specialist centre</t>
        </is>
      </c>
      <c r="E108" s="203" t="inlineStr">
        <is>
          <t>Cardiology centre</t>
        </is>
      </c>
      <c r="F108" s="203" t="inlineStr">
        <is>
          <t>Echocardiogram, CTCA, stress testing, heart screening, angiography and PCI, ablation, devices</t>
        </is>
      </c>
      <c r="G108" s="203" t="inlineStr">
        <is>
          <t>Novena (Mount Elizabeth Novena Specialist Centre)</t>
        </is>
      </c>
      <c r="H108" s="205" t="inlineStr">
        <is>
          <t>https://www.leslietayheart.com.sg</t>
        </is>
      </c>
      <c r="I108" s="203" t="inlineStr">
        <is>
          <t>+65 6262 0677 / WhatsApp +65 8851 2068 (fax 6962 5277)</t>
        </is>
      </c>
      <c r="J108" s="203" t="inlineStr">
        <is>
          <t>Not published on site. Call or WhatsApp</t>
        </is>
      </c>
      <c r="K108" s="203" t="inlineStr">
        <is>
          <t>38 Irrawaddy Road #08-51, Mount Elizabeth Novena Specialist Centre, Singapore 329563</t>
        </is>
      </c>
      <c r="L108" s="203" t="inlineStr">
        <is>
          <t>Dr Leslie Tay, Senior Consultant Interventional Cardiologist (named on own site)</t>
        </is>
      </c>
      <c r="M108" s="206" t="inlineStr">
        <is>
          <t>A</t>
        </is>
      </c>
      <c r="N108" s="203" t="inlineStr">
        <is>
          <t>Yes. Echocardiogram in house</t>
        </is>
      </c>
      <c r="O108" s="203" t="inlineStr">
        <is>
          <t>Echo across clinics; a value cart for screening echo frees the main system. Multi gate PW and tissue Doppler up to 4 gates and the extended apical view held up in the SonoMax competitive check. Ultrasound already in use (Echocardiogram in house), so pitch added capacity or a second room. No email published: call or WhatsApp for the right inbox, then send.</t>
        </is>
      </c>
      <c r="P108" s="203" t="inlineStr">
        <is>
          <t>SonoPort 8 (auto EF without ECG accessory, multi gate PW up to 4 gates) + SonoMax 9 (multi gate PW and tissue Doppler up to 4 gates, extended apical view)</t>
        </is>
      </c>
      <c r="Q108" s="209" t="inlineStr">
        <is>
          <t>P3</t>
        </is>
      </c>
      <c r="R108" s="203" t="inlineStr">
        <is>
          <t>P3: no email published, call or WhatsApp first; mid fit (premium incumbents or purchase decided elsewhere); already scans in house.</t>
        </is>
      </c>
      <c r="S108" s="203" t="inlineStr">
        <is>
          <t>Own site opened 2 to 3 Oct 2026</t>
        </is>
      </c>
      <c r="T108" s="203" t="inlineStr">
        <is>
          <t>CHISON ultrasound for Leslie Tay Heart Specialist: added echo capacity for your clinic</t>
        </is>
      </c>
      <c r="U108" s="203" t="inlineStr">
        <is>
          <t>Dear Dr Tay,
I am Casper Tan, Senior Regional Sales Manager at AstraMed Healthcare, the Singapore subsidiary of CHISON Medical Technologies. Echocardiograms and heart screening sit alongside your interventional work at Mount Elizabeth Novena.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I would start with these two:
• SonoPort 8: a mid tier cart with automatic EF from the 2D clip without an ECG accessory, and multi gate pulsed wave Doppler up to four gates
• SonoMax 9: our flagship cart, with multi gate pulsed wave and tissue Doppler up to four gates and an extended apical field of view
If you already have a system you are happy with, a second CHISON unit is a practical way to add capacity or free your main room for the longer scans.
Our demonstration units arrive in Singapore in October. Could I bring both systems to Leslie Tay Heart Specialist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09" ht="72" customHeight="1" s="104">
      <c r="A109" s="203" t="n">
        <v>105</v>
      </c>
      <c r="B109" s="204" t="inlineStr">
        <is>
          <t>The Heart Specialist Clinic (THSC)</t>
        </is>
      </c>
      <c r="C109" s="203" t="inlineStr">
        <is>
          <t>Not started</t>
        </is>
      </c>
      <c r="D109" s="203" t="inlineStr">
        <is>
          <t>Specialist centre</t>
        </is>
      </c>
      <c r="E109" s="203" t="inlineStr">
        <is>
          <t>Cardiology centre</t>
        </is>
      </c>
      <c r="F109" s="203" t="inlineStr">
        <is>
          <t>Echocardiography, cardiac MRI, investigations, devices, procedures, cardiac screening. Four cardiologists</t>
        </is>
      </c>
      <c r="G109" s="203" t="inlineStr">
        <is>
          <t>Orchard (Mount Elizabeth MC)</t>
        </is>
      </c>
      <c r="H109" s="205" t="inlineStr">
        <is>
          <t>https://www.theheartspecialistclinic.com</t>
        </is>
      </c>
      <c r="I109" s="203" t="inlineStr">
        <is>
          <t>+65 6235 8733 (fax 6235 8955)</t>
        </is>
      </c>
      <c r="J109" s="203" t="inlineStr">
        <is>
          <t>Not published on site. Call to request</t>
        </is>
      </c>
      <c r="K109" s="203" t="inlineStr">
        <is>
          <t>3 Mount Elizabeth #14-10, Mount Elizabeth Medical Centre, Singapore 228510</t>
        </is>
      </c>
      <c r="L109" s="203" t="inlineStr">
        <is>
          <t>Dr Teo Wee Siong, Dr Chee Tek Siong, Dr Lim Tiong Keng, Dr Paul Lim (named on own site)</t>
        </is>
      </c>
      <c r="M109" s="206" t="inlineStr">
        <is>
          <t>A</t>
        </is>
      </c>
      <c r="N109" s="203" t="inlineStr">
        <is>
          <t>Yes. Echocardiography in house</t>
        </is>
      </c>
      <c r="O109" s="203" t="inlineStr">
        <is>
          <t>Echo across clinics; a value cart for screening echo frees the main system. Multi gate PW and tissue Doppler up to 4 gates and the extended apical view held up in the SonoMax competitive check. Ultrasound already in use (Echocardiography in house), so pitch added capacity or a second room. No email published: call or WhatsApp for the right inbox, then send.</t>
        </is>
      </c>
      <c r="P109" s="203" t="inlineStr">
        <is>
          <t>SonoPort 8 (auto EF without ECG accessory, multi gate PW up to 4 gates) + SonoMax 9 (multi gate PW and tissue Doppler up to 4 gates, extended apical view)</t>
        </is>
      </c>
      <c r="Q109" s="209" t="inlineStr">
        <is>
          <t>P3</t>
        </is>
      </c>
      <c r="R109" s="203" t="inlineStr">
        <is>
          <t>P3: no email published, call or WhatsApp first; mid fit (premium incumbents or purchase decided elsewhere); already scans in house.</t>
        </is>
      </c>
      <c r="S109" s="203" t="inlineStr">
        <is>
          <t>Own site opened 2 to 3 Oct 2026</t>
        </is>
      </c>
      <c r="T109" s="203" t="inlineStr">
        <is>
          <t>CHISON ultrasound for The Heart Specialist Clinic: added echo capacity for your clinic</t>
        </is>
      </c>
      <c r="U109" s="203" t="inlineStr">
        <is>
          <t>Dear The Heart Specialist Clinic team,
I am Casper Tan, Senior Regional Sales Manager at AstraMed Healthcare, the Singapore subsidiary of CHISON Medical Technologies. Echocardiography and cardiac screening are done in house at your Mount Elizabeth clinic and shared across the cardiologists in the practice.
CHISON has made diagnostic ultrasound in Wuxi since 1996 and sells in more than 100 countries. The systems below are registered with HSA, with AstraMed as the local registrant, so supply, application training and service are all handled here in Singapore.
For echo and heart screening, these are the two I would suggest:
• SonoPort 8: a mid tier cart with automatic EF from the 2D clip without an ECG accessory, and multi gate pulsed wave Doppler up to four gates
• SonoMax 9: our flagship cart, with multi gate pulsed wave and tissue Doppler up to four gates and an extended apical field of view
If you already have a system you are happy with, a second CHISON unit is a practical way to add capacity or free your main room for the longer scans.
Our demonstration units arrive in Singapore in October. Could I bring both systems to The Heart Specialist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10" ht="60" customHeight="1" s="104">
      <c r="A110" s="203" t="n">
        <v>106</v>
      </c>
      <c r="B110" s="204" t="inlineStr">
        <is>
          <t>AliveoMedical</t>
        </is>
      </c>
      <c r="C110" s="203" t="inlineStr">
        <is>
          <t>Not started</t>
        </is>
      </c>
      <c r="D110" s="203" t="inlineStr">
        <is>
          <t>Specialist centre</t>
        </is>
      </c>
      <c r="E110" s="203" t="inlineStr">
        <is>
          <t>Gastroenterology &amp; liver clinic</t>
        </is>
      </c>
      <c r="F110" s="203" t="inlineStr">
        <is>
          <t>Four gastroenterologists, four sites: endoscopy, EUS, ERCP, FibroScan, polyp resection</t>
        </is>
      </c>
      <c r="G110" s="203" t="inlineStr">
        <is>
          <t>Orchard, Novena, Thomson, Farrer Park</t>
        </is>
      </c>
      <c r="H110" s="205" t="inlineStr">
        <is>
          <t>https://aliveomedical.com</t>
        </is>
      </c>
      <c r="I110" s="203" t="inlineStr">
        <is>
          <t>+65 6235 6136 (Mount Elizabeth) / WhatsApp +65 8022 0811</t>
        </is>
      </c>
      <c r="J110" s="203" t="inlineStr">
        <is>
          <t>Not published on home page. WhatsApp or call</t>
        </is>
      </c>
      <c r="K110" s="203" t="inlineStr">
        <is>
          <t>Mount Elizabeth Medical Centre, 3 Mount Elizabeth #16-16, Singapore 228510 (plus MENSC #09-44, Mt Alvernia A #06-01, Farrer Park #08-12)</t>
        </is>
      </c>
      <c r="L110" s="203" t="inlineStr">
        <is>
          <t>Dr Chua Tju Siang, Dr Stephen Tsao, Dr Lee Keat Hong, Dr Loo Wai Mun (named on own site)</t>
        </is>
      </c>
      <c r="M110" s="206" t="inlineStr">
        <is>
          <t>A</t>
        </is>
      </c>
      <c r="N110" s="203" t="inlineStr">
        <is>
          <t>EUS and FibroScan in house; transabdominal ultrasound not stated</t>
        </is>
      </c>
      <c r="O110" s="203" t="inlineStr">
        <is>
          <t>Hepatobiliary ultrasound sits beside endoscopy and FibroScan; a cart or laptop gives B mode in the consult room. Ultrasound use: EUS and FibroScan in house; transabdominal ultrasound not stated. Confirm on the first call. No email published: call or WhatsApp for the right inbox, then send.</t>
        </is>
      </c>
      <c r="P110" s="203" t="inlineStr">
        <is>
          <t>SonoPort 8 (mid tier cart for full abdominal work) + SonoBook 9 (laptop for liver and gallbladder checks)</t>
        </is>
      </c>
      <c r="Q110" s="209" t="inlineStr">
        <is>
          <t>P3</t>
        </is>
      </c>
      <c r="R110" s="203" t="inlineStr">
        <is>
          <t>P3: no email published, call or WhatsApp first; mid fit (premium incumbents or purchase decided elsewhere).</t>
        </is>
      </c>
      <c r="S110" s="203" t="inlineStr">
        <is>
          <t>Own site opened 2 to 3 Oct 2026</t>
        </is>
      </c>
      <c r="T110" s="203" t="inlineStr">
        <is>
          <t>CHISON ultrasound for AliveoMedical: liver and abdominal scans in clinic</t>
        </is>
      </c>
      <c r="U110" s="203" t="inlineStr">
        <is>
          <t>Dear AliveoMedical team,
I am Casper Tan, Senior Regional Sales Manager at AstraMed Healthcare, the Singapore subsidiary of CHISON Medical Technologies. Your gastroenterologists, with EUS and FibroScan in house, already think in ultrasound, and a transabdominal system in the consult room completes the picture.
CHISON has made diagnostic ultrasound in Wuxi since 1996 and sells in more than 100 countries. The systems below are registered with HSA, with AstraMed as the local registrant, so supply, application training and service are all handled here in Singapore.
For liver and abdominal work, these are the two I would suggest:
• SonoPort 8: a mid tier cart with a 23.8 inch monitor and 15.6 inch touch screen for full abdominal work in the consult room
• SonoBook 9: a laptop system with about two hours of scanning on battery, for a quick liver and gallbladder look in the consult room
My aim is to put strong image quality within reach of an independent practice, with application training done locally so your team is confident from the first week.
Our demonstration units arrive in Singapore in October. Could I bring both systems to AliveoMedical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11" ht="60" customHeight="1" s="104">
      <c r="A111" s="203" t="n">
        <v>107</v>
      </c>
      <c r="B111" s="204" t="inlineStr">
        <is>
          <t>The Specialist Breast Clinic @ Orchard</t>
        </is>
      </c>
      <c r="C111" s="203" t="inlineStr">
        <is>
          <t>Contacted</t>
        </is>
      </c>
      <c r="D111" s="203" t="inlineStr">
        <is>
          <t>Specialist centre</t>
        </is>
      </c>
      <c r="E111" s="203" t="inlineStr">
        <is>
          <t>Breast surgery &amp; screening clinic</t>
        </is>
      </c>
      <c r="F111" s="203" t="inlineStr">
        <is>
          <t>Breast screening (mammogram, ultrasound, MRI), bedside breast ultrasound during consultation, ultrasound guided minimally invasive biopsy, breast surgery</t>
        </is>
      </c>
      <c r="G111" s="203" t="inlineStr">
        <is>
          <t>Orchard (Mount Elizabeth MC)</t>
        </is>
      </c>
      <c r="H111" s="205" t="inlineStr">
        <is>
          <t>https://www.tsbclinic.com</t>
        </is>
      </c>
      <c r="I111" s="203" t="inlineStr">
        <is>
          <t>+65 6235 4669 / +65 8020 4849</t>
        </is>
      </c>
      <c r="J111" s="203" t="inlineStr">
        <is>
          <t>info@tsbclinic.com</t>
        </is>
      </c>
      <c r="K111" s="203" t="inlineStr">
        <is>
          <t>#17-05 Mount Elizabeth Medical Centre, 3 Mount Elizabeth, Singapore 228510</t>
        </is>
      </c>
      <c r="L111" s="203" t="inlineStr">
        <is>
          <t>Dr Jendana Chanyaputhipong (named on MEMC clinic page)</t>
        </is>
      </c>
      <c r="M111" s="208" t="inlineStr">
        <is>
          <t>C</t>
        </is>
      </c>
      <c r="N111" s="203" t="inlineStr">
        <is>
          <t>Yes. Bedside breast ultrasound and US guided biopsy</t>
        </is>
      </c>
      <c r="O111" s="203" t="inlineStr">
        <is>
          <t>Independent breast practice: in clinic ultrasound shortens the path from lump to biopsy, and linear probe image quality is where CHISON is strongest. Ultrasound already in use (Bedside breast ultrasound and US guided biopsy), so pitch added capacity or a second room. Contact details come from a directory or network page, so confirm them before sending.</t>
        </is>
      </c>
      <c r="P111" s="203" t="inlineStr">
        <is>
          <t>SonoBook 9 (automatic breast and thyroid lesion measurement, biopsy guidance) + SonoMax 9 (flagship cart: AI assisted breast lesion assessment, shear wave for small parts)</t>
        </is>
      </c>
      <c r="Q111" s="210" t="inlineStr">
        <is>
          <t>VERIFY FIRST</t>
        </is>
      </c>
      <c r="R111" s="203" t="inlineStr">
        <is>
          <t>VERIFY FIRST. MEMC building directory page (not the clinic's own site). Confirm the phone and email by calling before sending.</t>
        </is>
      </c>
      <c r="S111" s="203" t="inlineStr">
        <is>
          <t>MEMC building directory page (not the clinic's own site)</t>
        </is>
      </c>
      <c r="T111" s="203" t="inlineStr">
        <is>
          <t>CHISON ultrasound for The Specialist Breast Clinic: breast scans and biopsy guidance in clinic</t>
        </is>
      </c>
      <c r="U111" s="203" t="inlineStr">
        <is>
          <t>Dear Dr Jendana Chanyaputhipong,
I am Casper Tan, Senior Regional Sales Manager at AstraMed Healthcare, the Singapore subsidiary of CHISON Medical Technologies. Bedside breast ultrasound during the consultation and ultrasound guided biopsy are already part of how you practise.
CHISON has made diagnostic ultrasound in Wuxi since 1996 and sells in more than 100 countries. The systems below are registered with HSA, with AstraMed as the local registrant, so supply, application training and service are all handled here in Singapore.
For breast work, I would start with these two:
• SonoBook 9: a laptop system with automatic breast and thyroid lesion measurement, light enough to sit beside the couch for biopsy guidance
• SonoMax 9: our flagship cart, with AI assisted breast lesion assessment and shear wave elastography for small parts such as breast and thyroid
If you already have a system you are happy with, a second CHISON unit is a practical way to add capacity or free your main room for the longer scans.
Our demonstration units arrive in Singapore in October. Could I bring both systems to The Specialist Breast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12" ht="48" customHeight="1" s="104">
      <c r="A112" s="203" t="n">
        <v>108</v>
      </c>
      <c r="B112" s="204" t="inlineStr">
        <is>
          <t>Rosalind Chong Clinic &amp; Surgery for Women</t>
        </is>
      </c>
      <c r="C112" s="203" t="inlineStr">
        <is>
          <t>Not started</t>
        </is>
      </c>
      <c r="D112" s="203" t="inlineStr">
        <is>
          <t>Specialist centre</t>
        </is>
      </c>
      <c r="E112" s="203" t="inlineStr">
        <is>
          <t>O&amp;G clinic</t>
        </is>
      </c>
      <c r="F112" s="203" t="inlineStr">
        <is>
          <t>Obstetrics and gynaecology</t>
        </is>
      </c>
      <c r="G112" s="203" t="inlineStr">
        <is>
          <t>Novena (Novena Medical Center)</t>
        </is>
      </c>
      <c r="H112" s="205" t="inlineStr">
        <is>
          <t>https://novenamedicalcenter.com/our-clinics/rosalind-chong-clinsurg-for-women/</t>
        </is>
      </c>
      <c r="I112" s="203" t="inlineStr">
        <is>
          <t>+65 6737 9333</t>
        </is>
      </c>
      <c r="J112" s="203" t="inlineStr">
        <is>
          <t>Not published. Call to request</t>
        </is>
      </c>
      <c r="K112" s="203" t="inlineStr">
        <is>
          <t>10 Sinaran Drive #10-31, Novena Medical Center, Singapore 307506</t>
        </is>
      </c>
      <c r="L112" s="203" t="inlineStr">
        <is>
          <t>Dr Rosalind K. L. Chong (named on directory)</t>
        </is>
      </c>
      <c r="M112" s="208" t="inlineStr">
        <is>
          <t>C</t>
        </is>
      </c>
      <c r="N112" s="203" t="inlineStr">
        <is>
          <t>Not stated</t>
        </is>
      </c>
      <c r="O112" s="203" t="inlineStr">
        <is>
          <t>Private O&amp;G practice where the scanner runs all day; price sensitive enough to consider a value cart or a second unit. Ultrasound use: Not stated. Confirm on the first call. Contact details come from a directory or network page, so confirm them before sending.</t>
        </is>
      </c>
      <c r="P112" s="203" t="inlineStr">
        <is>
          <t>SonoPort 8 (mid tier cart, 23.8 in monitor for the patient view) + SonoBook 9 (automatic follicle measurement, moves between rooms)</t>
        </is>
      </c>
      <c r="Q112" s="210" t="inlineStr">
        <is>
          <t>VERIFY FIRST</t>
        </is>
      </c>
      <c r="R112" s="203" t="inlineStr">
        <is>
          <t>VERIFY FIRST. Novena Medical Center building directory page (no own website found). Confirm the phone and email by calling before sending.</t>
        </is>
      </c>
      <c r="S112" s="203" t="inlineStr">
        <is>
          <t>Novena Medical Center building directory page (no own website found)</t>
        </is>
      </c>
      <c r="T112" s="203" t="inlineStr">
        <is>
          <t>CHISON ultrasound for Rosalind Chong Clinic: O&amp;G scanning in your clinic</t>
        </is>
      </c>
      <c r="U112" s="203" t="inlineStr">
        <is>
          <t>Dear Dr Chong,
I am Casper Tan, Senior Regional Sales Manager at AstraMed Healthcare, the Singapore subsidiary of CHISON Medical Technologies. An O&amp;G practice at Novena Medical Center runs on in clinic scanning every day.
CHISON has made diagnostic ultrasound in Wuxi since 1996 and sells in more than 100 countries. The systems below are registered with HSA, with AstraMed as the local registrant, so supply, application training and service are all handled here in Singapore.
For a busy O&amp;G practice, these are the two I would put forward:
• SonoPort 8: a mid tier cart for the consult room, with a 23.8 inch monitor your patients can follow easily and a 15.6 inch touch screen
• SonoBook 9: a laptop system with automatic follicle measurement and about two hours of scanning on battery, easy to move between rooms
My aim is to put strong image quality within reach of an independent practice, with application training done locally so your team is confident from the first week.
Our demonstration units arrive in Singapore in October. Could I bring both systems to Rosalind Chong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13" ht="48" customHeight="1" s="104">
      <c r="A113" s="203" t="n">
        <v>109</v>
      </c>
      <c r="B113" s="204" t="inlineStr">
        <is>
          <t>United Specialist Centre</t>
        </is>
      </c>
      <c r="C113" s="203" t="inlineStr">
        <is>
          <t>Contacted</t>
        </is>
      </c>
      <c r="D113" s="203" t="inlineStr">
        <is>
          <t>Specialist centre</t>
        </is>
      </c>
      <c r="E113" s="203" t="inlineStr">
        <is>
          <t>Orthopaedic surgery centre</t>
        </is>
      </c>
      <c r="F113" s="203" t="inlineStr">
        <is>
          <t>Orthopaedic surgery group practice, three surgeons</t>
        </is>
      </c>
      <c r="G113" s="203" t="inlineStr">
        <is>
          <t>Novena (Novena Medical Center)</t>
        </is>
      </c>
      <c r="H113" s="205" t="inlineStr">
        <is>
          <t>https://novenamedicalcenter.com/our-clinics/united-specialist-centre/</t>
        </is>
      </c>
      <c r="I113" s="203" t="inlineStr">
        <is>
          <t>+65 6397 7077 (fax 6397 2202)</t>
        </is>
      </c>
      <c r="J113" s="203" t="inlineStr">
        <is>
          <t>unitedspecialist@gmail.com</t>
        </is>
      </c>
      <c r="K113" s="203" t="inlineStr">
        <is>
          <t>10 Sinaran Drive #09-08, Novena Medical Center, Singapore 307506</t>
        </is>
      </c>
      <c r="L113" s="203" t="inlineStr">
        <is>
          <t>Dr Mathew Cheng, Dr Yang Kuang Ying, Dr Ooi Boon Swee (named on directory)</t>
        </is>
      </c>
      <c r="M113" s="208" t="inlineStr">
        <is>
          <t>C</t>
        </is>
      </c>
      <c r="N113" s="203" t="inlineStr">
        <is>
          <t>Not stated</t>
        </is>
      </c>
      <c r="O113" s="203" t="inlineStr">
        <is>
          <t>Orthopaedic consults raise tendon, effusion and injection questions that point of care ultrasound answers without a referral. Ultrasound use: Not stated. Confirm on the first call. Contact details come from a directory or network page, so confirm them before sending.</t>
        </is>
      </c>
      <c r="P113" s="203" t="inlineStr">
        <is>
          <t>SonoEye P5 (phone paired, high frequency for tendons, joints, injections) + SonoAir 70 (SonoMSK, SonoNerve, four active ports)</t>
        </is>
      </c>
      <c r="Q113" s="210" t="inlineStr">
        <is>
          <t>VERIFY FIRST</t>
        </is>
      </c>
      <c r="R113" s="203" t="inlineStr">
        <is>
          <t>VERIFY FIRST. Novena Medical Center building directory page (no own website found). Confirm the phone and email by calling before sending.</t>
        </is>
      </c>
      <c r="S113" s="203" t="inlineStr">
        <is>
          <t>Novena Medical Center building directory page (no own website found)</t>
        </is>
      </c>
      <c r="T113" s="203" t="inlineStr">
        <is>
          <t>CHISON ultrasound for United Specialist Centre: MSK scans in the consult room</t>
        </is>
      </c>
      <c r="U113" s="203" t="inlineStr">
        <is>
          <t>Dear United Specialist Centre team,
I am Casper Tan, Senior Regional Sales Manager at AstraMed Healthcare, the Singapore subsidiary of CHISON Medical Technologies. An orthopaedic group practice at Novena Medical Center sees enough tendon, joint and injection work to keep a point of care scanner in daily use.
CHISON has made diagnostic ultrasound in Wuxi since 1996 and sells in more than 100 countries. The systems below are registered with HSA, with AstraMed as the local registrant, so supply, application training and service are all handled here in Singapore.
For an orthopaedic practice, these are the two I would suggest: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United Specialist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14" ht="48" customHeight="1" s="104">
      <c r="A114" s="203" t="n">
        <v>110</v>
      </c>
      <c r="B114" s="204" t="inlineStr">
        <is>
          <t>The Tanglin Clinic</t>
        </is>
      </c>
      <c r="C114" s="203" t="inlineStr">
        <is>
          <t>Contacted</t>
        </is>
      </c>
      <c r="D114" s="203" t="inlineStr">
        <is>
          <t>Specialist centre</t>
        </is>
      </c>
      <c r="E114" s="203" t="inlineStr">
        <is>
          <t>Rheumatology clinic</t>
        </is>
      </c>
      <c r="F114" s="203" t="inlineStr">
        <is>
          <t>Rheumatology and internal medicine</t>
        </is>
      </c>
      <c r="G114" s="203" t="inlineStr">
        <is>
          <t>Orchard (Mount Elizabeth MC)</t>
        </is>
      </c>
      <c r="H114" s="205" t="inlineStr">
        <is>
          <t>https://www.memc.com.sg/clinic/the-tanglin-clinic-pte-ltd/</t>
        </is>
      </c>
      <c r="I114" s="203" t="inlineStr">
        <is>
          <t>+65 6235 8336</t>
        </is>
      </c>
      <c r="J114" s="203" t="inlineStr">
        <is>
          <t>Thetanglinclinic0803@yahoo.com.sg</t>
        </is>
      </c>
      <c r="K114" s="203" t="inlineStr">
        <is>
          <t>#08-03 Mount Elizabeth Medical Centre, 3 Mount Elizabeth, Singapore 228510</t>
        </is>
      </c>
      <c r="L114" s="203" t="inlineStr">
        <is>
          <t>Doctor not named on directory page</t>
        </is>
      </c>
      <c r="M114" s="208" t="inlineStr">
        <is>
          <t>C</t>
        </is>
      </c>
      <c r="N114" s="203" t="inlineStr">
        <is>
          <t>Not stated</t>
        </is>
      </c>
      <c r="O114" s="203" t="inlineStr">
        <is>
          <t>Bedside joint ultrasound for effusion and synovitis is growing in rheumatology; a handheld is a low cost entry. Ultrasound use: Not stated. Confirm on the first call. Contact details come from a directory or network page, so confirm them before sending.</t>
        </is>
      </c>
      <c r="P114" s="203" t="inlineStr">
        <is>
          <t>SonoEye P5 (phone paired, high frequency for tendons, joints, injections) + SonoAir 70 (SonoMSK, SonoNerve, four active ports)</t>
        </is>
      </c>
      <c r="Q114" s="210" t="inlineStr">
        <is>
          <t>VERIFY FIRST</t>
        </is>
      </c>
      <c r="R114" s="203" t="inlineStr">
        <is>
          <t>VERIFY FIRST. Mount Elizabeth Medical Centre building directory page (no own website found). Confirm the phone and email by calling before sending.</t>
        </is>
      </c>
      <c r="S114" s="203" t="inlineStr">
        <is>
          <t>Mount Elizabeth Medical Centre building directory page (no own website found)</t>
        </is>
      </c>
      <c r="T114" s="203" t="inlineStr">
        <is>
          <t>CHISON ultrasound for The Tanglin Clinic: bedside joint scans</t>
        </is>
      </c>
      <c r="U114" s="203" t="inlineStr">
        <is>
          <t>Dear The Tanglin Clinic team,
I am Casper Tan, Senior Regional Sales Manager at AstraMed Healthcare, the Singapore subsidiary of CHISON Medical Technologies. Rheumatology and internal medicine consultations are where a bedside joint scan answers questions about effusion and synovitis at the first visit.
CHISON has made diagnostic ultrasound in Wuxi since 1996 and sells in more than 100 countries. The systems below are registered with HSA, with AstraMed as the local registrant, so supply, application training and service are all handled here in Singapore.
For joint assessment and injections, these are the two I would suggest:
• SonoEye P5: a phone paired handheld with high frequency imaging for tendons, joints and needle work
• SonoAir 70: a 2.1 kg laptop with SonoMSK and SonoNerve tools and four active probe ports
My aim is to put strong image quality, particularly on the linear probe, within reach of an independent practice, with application training done locally so your team is confident from the first week.
Our demonstration units arrive in Singapore in October. Could I bring both systems to The Tanglin Clinic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15" ht="48" customHeight="1" s="104">
      <c r="A115" s="203" t="n">
        <v>111</v>
      </c>
      <c r="B115" s="204" t="inlineStr">
        <is>
          <t>Thomson Diagnostic Ultrasound Centre</t>
        </is>
      </c>
      <c r="C115" s="203" t="inlineStr">
        <is>
          <t>Not started</t>
        </is>
      </c>
      <c r="D115" s="203" t="inlineStr">
        <is>
          <t>Specialist centre</t>
        </is>
      </c>
      <c r="E115" s="203" t="inlineStr">
        <is>
          <t>Imaging centre (ultrasound only)</t>
        </is>
      </c>
      <c r="F115" s="203" t="inlineStr">
        <is>
          <t>Stand alone diagnostic ultrasound centre</t>
        </is>
      </c>
      <c r="G115" s="203" t="inlineStr">
        <is>
          <t>Novena (Novena Medical Center)</t>
        </is>
      </c>
      <c r="H115" s="205" t="inlineStr">
        <is>
          <t>https://novenamedicalcenter.com/our-clinics/thomson-diagnostic-ultrasound-centre/</t>
        </is>
      </c>
      <c r="I115" s="203" t="inlineStr">
        <is>
          <t>+65 6397 6866 (fax 6397 6366)</t>
        </is>
      </c>
      <c r="J115" s="203" t="inlineStr">
        <is>
          <t>Not published. Call to request</t>
        </is>
      </c>
      <c r="K115" s="203" t="inlineStr">
        <is>
          <t>10 Sinaran Drive #11-09, Novena Medical Center, Singapore 307506</t>
        </is>
      </c>
      <c r="L115" s="203" t="inlineStr">
        <is>
          <t>Not named</t>
        </is>
      </c>
      <c r="M115" s="208" t="inlineStr">
        <is>
          <t>C</t>
        </is>
      </c>
      <c r="N115" s="203" t="inlineStr">
        <is>
          <t>Yes. Dedicated ultrasound centre</t>
        </is>
      </c>
      <c r="O115" s="203" t="inlineStr">
        <is>
          <t>Ultrasound capacity is the product here, so image quality per dollar decides the purchase. Ultrasound already in use (Dedicated ultrasound centre), so pitch added capacity or a second room. Contact details come from a directory or network page, so confirm them before sending.</t>
        </is>
      </c>
      <c r="P115" s="203" t="inlineStr">
        <is>
          <t>SonoMax 9 (AI breast lesion assessment, shear wave for small parts, single crystal) + SonoPort 8 (mid tier cart, 23.8 in + 15.6 in touch, about 3 h battery)</t>
        </is>
      </c>
      <c r="Q115" s="210" t="inlineStr">
        <is>
          <t>VERIFY FIRST</t>
        </is>
      </c>
      <c r="R115" s="203" t="inlineStr">
        <is>
          <t>VERIFY FIRST. Novena Medical Center building directory page (no own website found). Confirm the phone and email by calling before sending.</t>
        </is>
      </c>
      <c r="S115" s="203" t="inlineStr">
        <is>
          <t>Novena Medical Center building directory page (no own website found)</t>
        </is>
      </c>
      <c r="T115" s="203" t="inlineStr">
        <is>
          <t>CHISON ultrasound for Thomson Diagnostic Ultrasound Centre: added scanning capacity</t>
        </is>
      </c>
      <c r="U115" s="203" t="inlineStr">
        <is>
          <t>Dear Thomson Diagnostic Ultrasound Centre team,
I am Casper Tan, Senior Regional Sales Manager at AstraMed Healthcare, the Singapore subsidiary of CHISON Medical Technologies. For a dedicated ultrasound centre at Novena Medical Center, the scanners are the business, so image quality per dollar matters more than almost anywhere else.
CHISON has made diagnostic ultrasound in Wuxi since 1996 and sells in more than 100 countries. The systems below are registered with HSA, with AstraMed as the local registrant, so supply, application training and service are all handled here in Singapore.
For an imaging centre, these are the two I would put forward:
• SonoMax 9: our flagship cart, with AI assisted breast lesion assessment, shear wave elastography for small parts and single crystal probes
• SonoPort 8: a mid tier cart with a 23.8 inch monitor and 15.6 inch touch screen, and up to about three hours on battery so it can move between rooms or go to onsite screenings
If you already have a system you are happy with, a second CHISON unit is a practical way to add capacity or free your main room for the longer scans.
Our demonstration units arrive in Singapore in October. Could I bring both systems to Thomson Diagnostic Ultrasound Centre for a 30 minute hands on session in the second half of the month? Scanning a few of your own cases is the quickest way to judge the image.
Best regards,
Casper Tan
Senior Regional Sales Manager
AstraMed Healthcare Pte Ltd, a subsidiary of CHISON Medical Technologies
casper@astramed.sg | +65 8719 0121</t>
        </is>
      </c>
    </row>
    <row r="116" ht="60" customHeight="1" s="104">
      <c r="A116" s="203" t="n">
        <v>112</v>
      </c>
      <c r="B116" s="204" t="inlineStr">
        <is>
          <t>Central 24-HR Clinic Group</t>
        </is>
      </c>
      <c r="C116" s="203" t="inlineStr">
        <is>
          <t>Contacted</t>
        </is>
      </c>
      <c r="D116" s="203" t="inlineStr">
        <is>
          <t>GP clinic</t>
        </is>
      </c>
      <c r="E116" s="203" t="inlineStr">
        <is>
          <t>24 hour GP group (urgent care)</t>
        </is>
      </c>
      <c r="F116" s="203" t="inlineStr">
        <is>
          <t>24 hour GP clinics open 365 days (site text says 12 clinics; its locations page lists 11): acute and chronic care, screening, vaccinations, women's and men's health</t>
        </is>
      </c>
      <c r="G116" s="203" t="inlineStr">
        <is>
          <t>Islandwide (Hougang, Bedok, Tampines, Pasir Ris, Woodlands, Yishun, CCK, Clementi, Jurong West, Pioneer)</t>
        </is>
      </c>
      <c r="H116" s="205" t="inlineStr">
        <is>
          <t>https://www.centralclinic.com.sg</t>
        </is>
      </c>
      <c r="I116" s="203" t="inlineStr">
        <is>
          <t>+65 8877 1706 (also WhatsApp)</t>
        </is>
      </c>
      <c r="J116" s="203" t="inlineStr">
        <is>
          <t>enquiries@centralclinic.com.sg</t>
        </is>
      </c>
      <c r="K116" s="203" t="inlineStr">
        <is>
          <t>Head clinic listed: 681 Hougang Avenue 8 #01-829, Singapore 530681 (directory); site text says 12 clinics, locations page lists 11</t>
        </is>
      </c>
      <c r="L116" s="203" t="inlineStr">
        <is>
          <t>Medical director not named on site</t>
        </is>
      </c>
      <c r="M116" s="206" t="inlineStr">
        <is>
          <t>A</t>
        </is>
      </c>
      <c r="N116" s="203" t="inlineStr">
        <is>
          <t>Not stated (night urgent care is a classic POCUS setting)</t>
        </is>
      </c>
      <c r="O116" s="203" t="inlineStr">
        <is>
          <t>Night urgent care when imaging is closed is the strongest POCUS case among GPs. Ultrasound use: Not stated (night urgent care is a classic POCUS setting). Confirm on the first call.</t>
        </is>
      </c>
      <c r="P116" s="203" t="inlineStr">
        <is>
          <t>SonoEye P3 (pocket handheld for acute bedside scans) + SonoAir 70 (auto diaphragm excursion, bladder volume, cardiac view recognition)</t>
        </is>
      </c>
      <c r="Q116" s="206" t="inlineStr">
        <is>
          <t>P1</t>
        </is>
      </c>
      <c r="R116" s="203" t="inlineStr">
        <is>
          <t>P1: verified email on own site; high fit for CHISON.</t>
        </is>
      </c>
      <c r="S116" s="203" t="inlineStr">
        <is>
          <t>Own site opened 2 to 3 Oct 2026</t>
        </is>
      </c>
      <c r="T116" s="203" t="inlineStr">
        <is>
          <t>CHISON point of care ultrasound for Central 24-HR Clinic: answers at night</t>
        </is>
      </c>
      <c r="U116" s="203" t="inlineStr">
        <is>
          <t>Dear Central 24-HR Clinic team,
I am Casper Tan, Senior Regional Sales Manager at AstraMed Healthcare, the Singapore subsidiary of CHISON Medical Technologies. With clinics open 24 hours a day, 365 days a year, your doctors see abdominal pain, injuries and breathlessness at night, when imaging is not available.
CHISON has made diagnostic ultrasound in Wuxi since 1996 and sells in more than 100 countries. The systems below are registered with HSA, with AstraMed as the local registrant, so supply, application training and service are all handled here in Singapore.
For night and weekend urgent care, these are the two I would suggest:
• SonoEye P3: a pocket handheld that goes to the bedside for a first look in acute cases
• SonoAir 70: a 2.1 kg laptop with automatic diaphragm excursion, bladder volume and cardiac view recognition with a quality rating
Across several clinics, one platform means one training programme and one service contact, and the handhelds can move between sites as demand shifts.
Would a short call with whoever looks after equipment across Central 24-HR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17" ht="36" customHeight="1" s="104">
      <c r="A117" s="203" t="n">
        <v>113</v>
      </c>
      <c r="B117" s="204" t="inlineStr">
        <is>
          <t>Unihealth 24-Hr Clinic</t>
        </is>
      </c>
      <c r="C117" s="203" t="inlineStr">
        <is>
          <t>Contacted</t>
        </is>
      </c>
      <c r="D117" s="203" t="inlineStr">
        <is>
          <t>GP clinic</t>
        </is>
      </c>
      <c r="E117" s="203" t="inlineStr">
        <is>
          <t>24 hour GP group (urgent care)</t>
        </is>
      </c>
      <c r="F117" s="203" t="inlineStr">
        <is>
          <t>Five 24/7 clinics: acute care, chronic disease, minor surgery, screening, vaccinations</t>
        </is>
      </c>
      <c r="G117" s="203" t="inlineStr">
        <is>
          <t>Jurong East, Toa Payoh, Yishun, Tampines, Punggol</t>
        </is>
      </c>
      <c r="H117" s="205" t="inlineStr">
        <is>
          <t>https://www.unihealthclinic.sg</t>
        </is>
      </c>
      <c r="I117" s="203" t="inlineStr">
        <is>
          <t>+65 6203 1639 (Toa Payoh) / +65 6970 5868 (Jurong East)</t>
        </is>
      </c>
      <c r="J117" s="203" t="inlineStr">
        <is>
          <t>admin@unihealthclinic.com (branches: jurongeast@, yishun@, tampines@, punggol@unihealthclinic.com)</t>
        </is>
      </c>
      <c r="K117" s="203" t="inlineStr">
        <is>
          <t>178 Toa Payoh Central #01-218, Singapore 310178 (plus 4 other 24 hr clinics)</t>
        </is>
      </c>
      <c r="L117" s="203" t="inlineStr">
        <is>
          <t>Dr Daniel Soong and Dr Xie Huizhuang, Medical Directors (named on own site)</t>
        </is>
      </c>
      <c r="M117" s="206" t="inlineStr">
        <is>
          <t>A</t>
        </is>
      </c>
      <c r="N117" s="203" t="inlineStr">
        <is>
          <t>Not stated (night urgent care is a classic POCUS setting)</t>
        </is>
      </c>
      <c r="O117" s="203" t="inlineStr">
        <is>
          <t>Night urgent care when imaging is closed is the strongest POCUS case among GPs. Ultrasound use: Not stated (night urgent care is a classic POCUS setting). Confirm on the first call.</t>
        </is>
      </c>
      <c r="P117" s="203" t="inlineStr">
        <is>
          <t>SonoEye P3 (pocket handheld for acute bedside scans) + SonoAir 70 (auto diaphragm excursion, bladder volume, cardiac view recognition)</t>
        </is>
      </c>
      <c r="Q117" s="206" t="inlineStr">
        <is>
          <t>P1</t>
        </is>
      </c>
      <c r="R117" s="203" t="inlineStr">
        <is>
          <t>P1: verified email on own site; high fit for CHISON.</t>
        </is>
      </c>
      <c r="S117" s="203" t="inlineStr">
        <is>
          <t>Own site opened 2 to 3 Oct 2026</t>
        </is>
      </c>
      <c r="T117" s="203" t="inlineStr">
        <is>
          <t>CHISON point of care ultrasound for Unihealth: answers at night</t>
        </is>
      </c>
      <c r="U117" s="203" t="inlineStr">
        <is>
          <t>Dear Dr Soong and Dr Xie,
I am Casper Tan, Senior Regional Sales Manager at AstraMed Healthcare, the Singapore subsidiary of CHISON Medical Technologies. Your 24 hour clinics handle acute cases at night, when the nearest scanner is a hospital away.
CHISON has made diagnostic ultrasound in Wuxi since 1996 and sells in more than 100 countries. The systems below are registered with HSA, with AstraMed as the local registrant, so supply, application training and service are all handled here in Singapore.
For night and weekend urgent care, these are the two I would put forward:
• SonoEye P3: a pocket handheld that goes to the bedside for a first look in acute cases
• SonoAir 70: a 2.1 kg laptop with automatic diaphragm excursion, bladder volume and cardiac view recognition with a quality rating
Across several clinics, one platform means one training programme and one service contact, and the handhelds can move between sites as demand shifts.
Would a short call with whoever looks after equipment across Unihealth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18" ht="48" customHeight="1" s="104">
      <c r="A118" s="203" t="n">
        <v>114</v>
      </c>
      <c r="B118" s="204" t="inlineStr">
        <is>
          <t>Beacon Medical Clinic Group (incl. Apexmed Imaging)</t>
        </is>
      </c>
      <c r="C118" s="203" t="inlineStr">
        <is>
          <t>Contacted</t>
        </is>
      </c>
      <c r="D118" s="203" t="inlineStr">
        <is>
          <t>GP clinic</t>
        </is>
      </c>
      <c r="E118" s="203" t="inlineStr">
        <is>
          <t>GP group with in house ultrasound</t>
        </is>
      </c>
      <c r="F118" s="203" t="inlineStr">
        <is>
          <t>Five GP clinics plus Apexmed Imaging: women's health, prenatal and fertility, in clinic X-ray and ultrasound, screening, pain management, work permit medicals</t>
        </is>
      </c>
      <c r="G118" s="203" t="inlineStr">
        <is>
          <t>Tanjong Pagar, Holland Road, Fernvale, Chun Tin, Marsiling</t>
        </is>
      </c>
      <c r="H118" s="205" t="inlineStr">
        <is>
          <t>https://beaconmedical.com.sg</t>
        </is>
      </c>
      <c r="I118" s="203" t="inlineStr">
        <is>
          <t>+65 6592 2739 / +65 9693 6196 (Tanjong Pagar and Apexmed Imaging)</t>
        </is>
      </c>
      <c r="J118" s="203" t="inlineStr">
        <is>
          <t>corporate@beaconmedical.com.sg (Tanjong Pagar clinic: Tanjongpagar@beaconmedical.com.sg)</t>
        </is>
      </c>
      <c r="K118" s="203" t="inlineStr">
        <is>
          <t>Blk 7 Tanjong Pagar Plaza #02-103, Singapore 081007 (plus Jelita Mall, Fernvale Lea, Chun Tin Road, Marsiling)</t>
        </is>
      </c>
      <c r="L118" s="203" t="inlineStr">
        <is>
          <t>Dr Kong Huijia Estella, Dr Alex Wong and four others (named on own site)</t>
        </is>
      </c>
      <c r="M118" s="206" t="inlineStr">
        <is>
          <t>A</t>
        </is>
      </c>
      <c r="N118" s="203" t="inlineStr">
        <is>
          <t>Yes. In clinic ultrasound and X-ray (Apexmed Imaging)</t>
        </is>
      </c>
      <c r="O118" s="203" t="inlineStr">
        <is>
          <t>Already scans in house, so the conversation is added capacity and cost per scan, not whether to scan. Ultrasound already in use (In clinic ultrasound and X-ray (Apexmed Imaging)), so pitch added capacity or a second room.</t>
        </is>
      </c>
      <c r="P118" s="203" t="inlineStr">
        <is>
          <t>SonoPort 8 (mid tier cart, 23.8 in + 15.6 in touch, about 3 h battery) + SonoAir 70 (2.1 kg, four active ports, auto bladder volume, thyroid and breast nodule tools)</t>
        </is>
      </c>
      <c r="Q118" s="206" t="inlineStr">
        <is>
          <t>P1</t>
        </is>
      </c>
      <c r="R118" s="203" t="inlineStr">
        <is>
          <t>P1: verified email on own site; high fit for CHISON; already scans in house.</t>
        </is>
      </c>
      <c r="S118" s="203" t="inlineStr">
        <is>
          <t>Own site opened 2 to 3 Oct 2026</t>
        </is>
      </c>
      <c r="T118" s="203" t="inlineStr">
        <is>
          <t>CHISON ultrasound for Beacon Medical: more scanning capacity per dollar</t>
        </is>
      </c>
      <c r="U118" s="203" t="inlineStr">
        <is>
          <t>Dear Beacon Medical team,
I am Casper Tan, Senior Regional Sales Manager at AstraMed Healthcare, the Singapore subsidiary of CHISON Medical Technologies. You already run in clinic X-ray and ultrasound through Apexmed Imaging at Tanjong Pagar, along with women's health and prenatal care.
CHISON has made diagnostic ultrasound in Wuxi since 1996 and sells in more than 100 countries. The systems below are registered with HSA, with AstraMed as the local registrant, so supply, application training and service are all handled here in Singapore.
For a clinic that already scans, these are the two I would suggest:
• SonoPort 8: a mid tier cart with a 23.8 inch monitor and 15.6 inch touch screen, and up to about three hours on battery so it can move between rooms or go to onsite screenings
• SonoAir 70: a 2.1 kg laptop with four active probe ports, automatic bladder volume and thyroid and breast nodule tools
Since you already scan, the question is cost per scan and how many rooms can scan at once, and that is where CHISON is positioned.
Would a short call with whoever looks after equipment across Beacon Medical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19" ht="48" customHeight="1" s="104">
      <c r="A119" s="203" t="n">
        <v>115</v>
      </c>
      <c r="B119" s="204" t="inlineStr">
        <is>
          <t>Bethesda Medical</t>
        </is>
      </c>
      <c r="C119" s="203" t="inlineStr">
        <is>
          <t>Contacted</t>
        </is>
      </c>
      <c r="D119" s="203" t="inlineStr">
        <is>
          <t>GP clinic</t>
        </is>
      </c>
      <c r="E119" s="203" t="inlineStr">
        <is>
          <t>GP group with in house ultrasound</t>
        </is>
      </c>
      <c r="F119" s="203" t="inlineStr">
        <is>
          <t>Five GP clinics with screening and diagnostics: ultrasound, X-ray, mammogram, MRI and CT, minor surgery, corporate health</t>
        </is>
      </c>
      <c r="G119" s="203" t="inlineStr">
        <is>
          <t>Suntec City, Macpherson, Toa Payoh, Tampines, Beach Road</t>
        </is>
      </c>
      <c r="H119" s="205" t="inlineStr">
        <is>
          <t>https://bethesdamedical.com.sg</t>
        </is>
      </c>
      <c r="I119" s="203" t="inlineStr">
        <is>
          <t>+65 8897 3413 (also WhatsApp)</t>
        </is>
      </c>
      <c r="J119" s="203" t="inlineStr">
        <is>
          <t>info@bethesda.com.sg</t>
        </is>
      </c>
      <c r="K119" s="203" t="inlineStr">
        <is>
          <t>3 Temasek Boulevard #03-330, Suntec City North Wing (plus Grantral Mall, TPY Hub, Tampines St 41, Gateway East)</t>
        </is>
      </c>
      <c r="L119" s="203" t="inlineStr">
        <is>
          <t>Doctors not named on home page</t>
        </is>
      </c>
      <c r="M119" s="206" t="inlineStr">
        <is>
          <t>A</t>
        </is>
      </c>
      <c r="N119" s="203" t="inlineStr">
        <is>
          <t>Yes. Ultrasound listed among in clinic diagnostics</t>
        </is>
      </c>
      <c r="O119" s="203" t="inlineStr">
        <is>
          <t>Already scans in house, so the conversation is added capacity and cost per scan, not whether to scan. Ultrasound already in use (Ultrasound listed among in clinic diagnostics), so pitch added capacity or a second room.</t>
        </is>
      </c>
      <c r="P119" s="203" t="inlineStr">
        <is>
          <t>SonoPort 8 (mid tier cart, 23.8 in + 15.6 in touch, about 3 h battery) + SonoAir 70 (2.1 kg, four active ports, auto bladder volume, thyroid and breast nodule tools)</t>
        </is>
      </c>
      <c r="Q119" s="206" t="inlineStr">
        <is>
          <t>P1</t>
        </is>
      </c>
      <c r="R119" s="203" t="inlineStr">
        <is>
          <t>P1: verified email on own site; high fit for CHISON; already scans in house.</t>
        </is>
      </c>
      <c r="S119" s="203" t="inlineStr">
        <is>
          <t>Own site opened 2 to 3 Oct 2026</t>
        </is>
      </c>
      <c r="T119" s="203" t="inlineStr">
        <is>
          <t>CHISON ultrasound for Bethesda Medical: more scanning capacity per dollar</t>
        </is>
      </c>
      <c r="U119" s="203" t="inlineStr">
        <is>
          <t>Dear Bethesda Medical team,
I am Casper Tan, Senior Regional Sales Manager at AstraMed Healthcare, the Singapore subsidiary of CHISON Medical Technologies. You already list ultrasound among the in clinic diagnostics across your clinics.
CHISON has made diagnostic ultrasound in Wuxi since 1996 and sells in more than 100 countries. The systems below are registered with HSA, with AstraMed as the local registrant, so supply, application training and service are all handled here in Singapore.
For a clinic that already scans, I would start with these two:
• SonoPort 8: a mid tier cart with a 23.8 inch monitor and 15.6 inch touch screen, and up to about three hours on battery so it can move between rooms or go to onsite screenings
• SonoAir 70: a 2.1 kg laptop with four active probe ports, automatic bladder volume and thyroid and breast nodule tools
Since you already scan, the question is cost per scan and how many rooms can scan at once, and that is where CHISON is positioned.
Would a short call with whoever looks after equipment across Bethesda Medical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20" ht="48" customHeight="1" s="104">
      <c r="A120" s="203" t="n">
        <v>116</v>
      </c>
      <c r="B120" s="204" t="inlineStr">
        <is>
          <t>Phoenix Medical Group</t>
        </is>
      </c>
      <c r="C120" s="203" t="inlineStr">
        <is>
          <t>Contacted</t>
        </is>
      </c>
      <c r="D120" s="203" t="inlineStr">
        <is>
          <t>GP clinic</t>
        </is>
      </c>
      <c r="E120" s="203" t="inlineStr">
        <is>
          <t>GP group with in house ultrasound</t>
        </is>
      </c>
      <c r="F120" s="203" t="inlineStr">
        <is>
          <t>Eight family clinics with health screening, chest X-ray and in house ultrasound (abdomen, thyroid, testes, breast, pelvis)</t>
        </is>
      </c>
      <c r="G120" s="203" t="inlineStr">
        <is>
          <t>Seletar, Hillview, Paya Lebar, Novena, Potong Pasir, Thomson, Redhill, Kovan</t>
        </is>
      </c>
      <c r="H120" s="205" t="inlineStr">
        <is>
          <t>https://phoenixmedical.sg</t>
        </is>
      </c>
      <c r="I120" s="203" t="inlineStr">
        <is>
          <t>+65 6254 3862 (Novena) / +65 6702 2940 (Paya Lebar)</t>
        </is>
      </c>
      <c r="J120" s="203" t="inlineStr">
        <is>
          <t>enquiries@phoenixmedical.sg</t>
        </is>
      </c>
      <c r="K120" s="203" t="inlineStr">
        <is>
          <t>275 Thomson Road #01-05 Novena Regency, Singapore 307645 (plus 7 clinics)</t>
        </is>
      </c>
      <c r="L120" s="203" t="inlineStr">
        <is>
          <t>Doctors not named on screening page</t>
        </is>
      </c>
      <c r="M120" s="206" t="inlineStr">
        <is>
          <t>A</t>
        </is>
      </c>
      <c r="N120" s="203" t="inlineStr">
        <is>
          <t>Yes. In house ultrasound across five regions</t>
        </is>
      </c>
      <c r="O120" s="203" t="inlineStr">
        <is>
          <t>Already scans in house, so the conversation is added capacity and cost per scan, not whether to scan. Ultrasound already in use (In house ultrasound across five regions), so pitch added capacity or a second room.</t>
        </is>
      </c>
      <c r="P120" s="203" t="inlineStr">
        <is>
          <t>SonoPort 8 (mid tier cart, 23.8 in + 15.6 in touch, about 3 h battery) + SonoAir 70 (2.1 kg, four active ports, auto bladder volume, thyroid and breast nodule tools)</t>
        </is>
      </c>
      <c r="Q120" s="206" t="inlineStr">
        <is>
          <t>P1</t>
        </is>
      </c>
      <c r="R120" s="203" t="inlineStr">
        <is>
          <t>P1: verified email on own site; high fit for CHISON; already scans in house.</t>
        </is>
      </c>
      <c r="S120" s="203" t="inlineStr">
        <is>
          <t>Own site opened 2 to 3 Oct 2026; email decoded from the site's spam protected link</t>
        </is>
      </c>
      <c r="T120" s="203" t="inlineStr">
        <is>
          <t>CHISON ultrasound for Phoenix Medical Group: more scanning capacity per dollar</t>
        </is>
      </c>
      <c r="U120" s="203" t="inlineStr">
        <is>
          <t>Dear Phoenix Medical Group team,
I am Casper Tan, Senior Regional Sales Manager at AstraMed Healthcare, the Singapore subsidiary of CHISON Medical Technologies. You already run in house ultrasound for abdomen, thyroid, testes, breast and pelvis across your clinics.
CHISON has made diagnostic ultrasound in Wuxi since 1996 and sells in more than 100 countries. The systems below are registered with HSA, with AstraMed as the local registrant, so supply, application training and service are all handled here in Singapore.
For a clinic that already scans, I would start with these two:
• SonoPort 8: a mid tier cart with a 23.8 inch monitor and 15.6 inch touch screen, and up to about three hours on battery so it can move between rooms or go to onsite screenings
• SonoAir 70: a 2.1 kg laptop with four active probe ports, automatic bladder volume and thyroid and breast nodule tools
Since you already scan, the question is cost per scan and how many rooms can scan at once, and that is where CHISON is positioned.
Would a short call with whoever looks after equipment across Phoenix Medical Group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21" ht="36" customHeight="1" s="104">
      <c r="A121" s="203" t="n">
        <v>117</v>
      </c>
      <c r="B121" s="204" t="inlineStr">
        <is>
          <t>Kingsway Medical Group (Health Screening Centre)</t>
        </is>
      </c>
      <c r="C121" s="203" t="inlineStr">
        <is>
          <t>Contacted</t>
        </is>
      </c>
      <c r="D121" s="203" t="inlineStr">
        <is>
          <t>GP clinic</t>
        </is>
      </c>
      <c r="E121" s="203" t="inlineStr">
        <is>
          <t>GP group with screening &amp; ultrasound add ons</t>
        </is>
      </c>
      <c r="F121" s="203" t="inlineStr">
        <is>
          <t>Three GP clinics running screening packages with ultrasound (abdomen, thyroid, pelvis, breast), mammogram, X-ray, CT calcium score, BMD</t>
        </is>
      </c>
      <c r="G121" s="203" t="inlineStr">
        <is>
          <t>Toa Payoh (Braddell), Beauty World, Sengkang</t>
        </is>
      </c>
      <c r="H121" s="205" t="inlineStr">
        <is>
          <t>https://www.healthscreeningcentre.sg</t>
        </is>
      </c>
      <c r="I121" s="203" t="inlineStr">
        <is>
          <t>+65 6917 1055 (Braddell) / WhatsApp +65 8803 3070</t>
        </is>
      </c>
      <c r="J121" s="203" t="inlineStr">
        <is>
          <t>hello@kingswaymedical.sg</t>
        </is>
      </c>
      <c r="K121" s="203" t="inlineStr">
        <is>
          <t>109 Lorong 1 Toa Payoh #01-316, Singapore 310109 (plus Upper Bukit Timah and Sengkang)</t>
        </is>
      </c>
      <c r="L121" s="203" t="inlineStr">
        <is>
          <t>Doctors not named on page</t>
        </is>
      </c>
      <c r="M121" s="206" t="inlineStr">
        <is>
          <t>A</t>
        </is>
      </c>
      <c r="N121" s="203" t="inlineStr">
        <is>
          <t>Ultrasound offered as screening add on</t>
        </is>
      </c>
      <c r="O121" s="203" t="inlineStr">
        <is>
          <t>Already scans in house, so the conversation is added capacity and cost per scan, not whether to scan. Ultrasound use: Ultrasound offered as screening add on. Confirm on the first call.</t>
        </is>
      </c>
      <c r="P121" s="203" t="inlineStr">
        <is>
          <t>SonoPort 8 (mid tier cart, 23.8 in + 15.6 in touch, about 3 h battery) + SonoAir 70 (2.1 kg, four active ports, auto bladder volume, thyroid and breast nodule tools)</t>
        </is>
      </c>
      <c r="Q121" s="206" t="inlineStr">
        <is>
          <t>P1</t>
        </is>
      </c>
      <c r="R121" s="203" t="inlineStr">
        <is>
          <t>P1: verified email on own site; high fit for CHISON.</t>
        </is>
      </c>
      <c r="S121" s="203" t="inlineStr">
        <is>
          <t>Own site opened 2 to 3 Oct 2026</t>
        </is>
      </c>
      <c r="T121" s="203" t="inlineStr">
        <is>
          <t>CHISON ultrasound for Kingsway Medical: more scanning capacity per dollar</t>
        </is>
      </c>
      <c r="U121" s="203" t="inlineStr">
        <is>
          <t>Dear Kingsway Medical team,
I am Casper Tan, Senior Regional Sales Manager at AstraMed Healthcare, the Singapore subsidiary of CHISON Medical Technologies. Ultrasound is already part of your screening packages at Braddell, Beauty World and Sengkang.
CHISON has made diagnostic ultrasound in Wuxi since 1996 and sells in more than 100 countries. The systems below are registered with HSA, with AstraMed as the local registrant, so supply, application training and service are all handled here in Singapore.
For a clinic that already scans, these are the two I would suggest:
• SonoPort 8: a mid tier cart with a 23.8 inch monitor and 15.6 inch touch screen, and up to about three hours on battery so it can move between rooms or go to onsite screenings
• SonoAir 70: a 2.1 kg laptop with four active probe ports, automatic bladder volume and thyroid and breast nodule tools
Since you already scan, the question is cost per scan and how many rooms can scan at once, and that is where CHISON is positioned.
Would a short call with whoever looks after equipment across Kingsway Medical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22" ht="36" customHeight="1" s="104">
      <c r="A122" s="203" t="n">
        <v>118</v>
      </c>
      <c r="B122" s="204" t="inlineStr">
        <is>
          <t>AN Medical Clinic @ AMK</t>
        </is>
      </c>
      <c r="C122" s="203" t="inlineStr">
        <is>
          <t>Contacted</t>
        </is>
      </c>
      <c r="D122" s="203" t="inlineStr">
        <is>
          <t>GP clinic</t>
        </is>
      </c>
      <c r="E122" s="203" t="inlineStr">
        <is>
          <t>GP clinic (independent)</t>
        </is>
      </c>
      <c r="F122" s="203" t="inlineStr">
        <is>
          <t>General medicine, screening, minor surgery, ENT, degenerative joint and tendon treatment, children's health, work permit medicals, corporate health</t>
        </is>
      </c>
      <c r="G122" s="203" t="inlineStr">
        <is>
          <t>Ang Mo Kio</t>
        </is>
      </c>
      <c r="H122" s="205" t="inlineStr">
        <is>
          <t>https://anmedical.com.sg</t>
        </is>
      </c>
      <c r="I122" s="203" t="inlineStr">
        <is>
          <t>+65 6904 2468</t>
        </is>
      </c>
      <c r="J122" s="203" t="inlineStr">
        <is>
          <t>contact@anmedical.com.sg</t>
        </is>
      </c>
      <c r="K122" s="203" t="inlineStr">
        <is>
          <t>Blk 722 Ang Mo Kio Avenue 8 #01-2831, Singapore 560722</t>
        </is>
      </c>
      <c r="L122" s="203" t="inlineStr">
        <is>
          <t>Doctors not named on home page</t>
        </is>
      </c>
      <c r="M122" s="206" t="inlineStr">
        <is>
          <t>A</t>
        </is>
      </c>
      <c r="N122" s="203" t="inlineStr">
        <is>
          <t>Not stated (joint and tendon treatment offered)</t>
        </is>
      </c>
      <c r="O122" s="203" t="inlineStr">
        <is>
          <t>GP with joint and injection work: a high frequency handheld turns blind injections into guided ones. Ultrasound use: Not stated (joint and tendon treatment offered). Confirm on the first call.</t>
        </is>
      </c>
      <c r="P122" s="203" t="inlineStr">
        <is>
          <t>SonoEye P5 (phone paired, high frequency for tendons, joints, injections) + SonoAir 70 (SonoMSK, SonoNerve, four active ports)</t>
        </is>
      </c>
      <c r="Q122" s="206" t="inlineStr">
        <is>
          <t>P1</t>
        </is>
      </c>
      <c r="R122" s="203" t="inlineStr">
        <is>
          <t>P1: verified email on own site; high fit for CHISON.</t>
        </is>
      </c>
      <c r="S122" s="203" t="inlineStr">
        <is>
          <t>Own site opened 2 to 3 Oct 2026</t>
        </is>
      </c>
      <c r="T122" s="203" t="inlineStr">
        <is>
          <t>CHISON ultrasound for AN Medical Clinic @ AMK: joint scans and guided injections</t>
        </is>
      </c>
      <c r="U122" s="203" t="inlineStr">
        <is>
          <t>Dear AN Medical Clinic @ AMK team,
I am Casper Tan, Senior Regional Sales Manager at AstraMed Healthcare, the Singapore subsidiary of CHISON Medical Technologies. You treat degenerative joint and tendon problems alongside screening at Ang Mo Kio, which is where ultrasound guided injections help.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I would start with these two:
• SonoEye P5: a phone paired handheld with high frequency imaging for tendons, joints and needle work
• SonoAir 70: a 2.1 kg laptop with SonoMSK and SonoNerve tools and four active probe ports
For joint and muscle work, a scan before the needle shows you the target and makes each injection easier to document.
Our demonstration units arrive in Singapore in October. Could I drop by AN Medical Clinic @ AMK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23" ht="36" customHeight="1" s="104">
      <c r="A123" s="203" t="n">
        <v>119</v>
      </c>
      <c r="B123" s="204" t="inlineStr">
        <is>
          <t>Everhealth Medical Centre / Everhealth Family Clinic &amp; Surgery</t>
        </is>
      </c>
      <c r="C123" s="203" t="inlineStr">
        <is>
          <t>Contacted</t>
        </is>
      </c>
      <c r="D123" s="203" t="inlineStr">
        <is>
          <t>GP clinic</t>
        </is>
      </c>
      <c r="E123" s="203" t="inlineStr">
        <is>
          <t>GP clinic (independent)</t>
        </is>
      </c>
      <c r="F123" s="203" t="inlineStr">
        <is>
          <t>Two clinics: healthspan programmes, women's and men's health, joint health, vaccines, child development, check ups</t>
        </is>
      </c>
      <c r="G123" s="203" t="inlineStr">
        <is>
          <t>Hougang and Bukit Batok</t>
        </is>
      </c>
      <c r="H123" s="205" t="inlineStr">
        <is>
          <t>https://www.everhealth.com.sg</t>
        </is>
      </c>
      <c r="I123" s="203" t="inlineStr">
        <is>
          <t>+65 6385 0815 (Hougang) / +65 6793 3113 (Bukit Batok)</t>
        </is>
      </c>
      <c r="J123" s="203" t="inlineStr">
        <is>
          <t>everhealth.medical@gmail.com (Bukit Batok: everhealthbb@gmail.com)</t>
        </is>
      </c>
      <c r="K123" s="203" t="inlineStr">
        <is>
          <t>540 Hougang Ave 8 #B1-1235, Singapore 530540; 4 Bukit Batok St 41, Le Quest #01-88, Singapore 657991</t>
        </is>
      </c>
      <c r="L123" s="203" t="inlineStr">
        <is>
          <t>Doctors not named on contact page</t>
        </is>
      </c>
      <c r="M123" s="206" t="inlineStr">
        <is>
          <t>A</t>
        </is>
      </c>
      <c r="N123" s="203" t="inlineStr">
        <is>
          <t>Not stated (joint health service listed)</t>
        </is>
      </c>
      <c r="O123" s="203" t="inlineStr">
        <is>
          <t>GP with joint and injection work: a high frequency handheld turns blind injections into guided ones. Ultrasound use: Not stated (joint health service listed). Confirm on the first call.</t>
        </is>
      </c>
      <c r="P123" s="203" t="inlineStr">
        <is>
          <t>SonoEye P5 (phone paired, high frequency for tendons, joints, injections) + SonoAir 70 (SonoMSK, SonoNerve, four active ports)</t>
        </is>
      </c>
      <c r="Q123" s="206" t="inlineStr">
        <is>
          <t>P1</t>
        </is>
      </c>
      <c r="R123" s="203" t="inlineStr">
        <is>
          <t>P1: verified email on own site; high fit for CHISON.</t>
        </is>
      </c>
      <c r="S123" s="203" t="inlineStr">
        <is>
          <t>Own site opened 2 to 3 Oct 2026</t>
        </is>
      </c>
      <c r="T123" s="203" t="inlineStr">
        <is>
          <t>CHISON ultrasound for Everhealth: joint scans and guided injections</t>
        </is>
      </c>
      <c r="U123" s="203" t="inlineStr">
        <is>
          <t>Dear Everhealth team,
I am Casper Tan, Senior Regional Sales Manager at AstraMed Healthcare, the Singapore subsidiary of CHISON Medical Technologies. Joint health care at Hougang and Bukit Batok is where a scan in the room shows what the examination cannot.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I would start with these two:
• SonoEye P5: a phone paired handheld with high frequency imaging for tendons, joints and needle work
• SonoAir 70: a 2.1 kg laptop with SonoMSK and SonoNerve tools and four active probe ports
For joint and muscle work, a scan before the needle shows you the target and makes each injection easier to document.
Our demonstration units arrive in Singapore in October. Could I drop by Everhealth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24" ht="36" customHeight="1" s="104">
      <c r="A124" s="203" t="n">
        <v>120</v>
      </c>
      <c r="B124" s="204" t="inlineStr">
        <is>
          <t>Greenhealth Family Clinic</t>
        </is>
      </c>
      <c r="C124" s="203" t="inlineStr">
        <is>
          <t>Contacted</t>
        </is>
      </c>
      <c r="D124" s="203" t="inlineStr">
        <is>
          <t>GP clinic</t>
        </is>
      </c>
      <c r="E124" s="203" t="inlineStr">
        <is>
          <t>GP clinic (independent)</t>
        </is>
      </c>
      <c r="F124" s="203" t="inlineStr">
        <is>
          <t>Family physicians: chronic care, women's and men's health, minor procedures incl. joint injections, point of care tests (ECG, flu, urine); imaging referred out</t>
        </is>
      </c>
      <c r="G124" s="203" t="inlineStr">
        <is>
          <t>Tampines</t>
        </is>
      </c>
      <c r="H124" s="205" t="inlineStr">
        <is>
          <t>https://greenhealthmedical.sg</t>
        </is>
      </c>
      <c r="I124" s="203" t="inlineStr">
        <is>
          <t>+65 6592 4458 / WhatsApp +65 8897 7868</t>
        </is>
      </c>
      <c r="J124" s="203" t="inlineStr">
        <is>
          <t>clinic.greenhealth@gmail.com</t>
        </is>
      </c>
      <c r="K124" s="203" t="inlineStr">
        <is>
          <t>138 Tampines Street 11 #01-142, Singapore 521138</t>
        </is>
      </c>
      <c r="L124" s="203" t="inlineStr">
        <is>
          <t>Dr Poon Zhimin and Dr Hong Wei Li, Senior Family Physicians (named on own site)</t>
        </is>
      </c>
      <c r="M124" s="206" t="inlineStr">
        <is>
          <t>A</t>
        </is>
      </c>
      <c r="N124" s="203" t="inlineStr">
        <is>
          <t>No. Imaging referred to external partner</t>
        </is>
      </c>
      <c r="O124" s="203" t="inlineStr">
        <is>
          <t>GP with joint and injection work: a high frequency handheld turns blind injections into guided ones. Refers imaging out today, the clearest case for an in clinic system.</t>
        </is>
      </c>
      <c r="P124" s="203" t="inlineStr">
        <is>
          <t>SonoEye P5 (phone paired, high frequency for tendons, joints, injections) + SonoAir 70 (SonoMSK, SonoNerve, four active ports)</t>
        </is>
      </c>
      <c r="Q124" s="206" t="inlineStr">
        <is>
          <t>P1</t>
        </is>
      </c>
      <c r="R124" s="203" t="inlineStr">
        <is>
          <t>P1: verified email on own site; high fit for CHISON.</t>
        </is>
      </c>
      <c r="S124" s="203" t="inlineStr">
        <is>
          <t>Own site opened 2 to 3 Oct 2026</t>
        </is>
      </c>
      <c r="T124" s="203" t="inlineStr">
        <is>
          <t>CHISON ultrasound for Greenhealth Family Clinic: joint scans and guided injections</t>
        </is>
      </c>
      <c r="U124" s="203" t="inlineStr">
        <is>
          <t>Dear Dr Poon and Dr Hong,
I am Casper Tan, Senior Regional Sales Manager at AstraMed Healthcare, the Singapore subsidiary of CHISON Medical Technologies. Your clinic already does joint injections and point of care tests, while imaging still goes to an external partner.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I would start with these two:
• SonoEye P5: a phone paired handheld with high frequency imaging for tendons, joints and needle work
• SonoAir 70: a 2.1 kg laptop with SonoMSK and SonoNerve tools and four active probe ports
For joint and muscle work, a scan before the needle shows you the target and makes each injection easier to document.
Our demonstration units arrive in Singapore in October. Could I drop by Greenhealth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25" ht="36" customHeight="1" s="104">
      <c r="A125" s="203" t="n">
        <v>121</v>
      </c>
      <c r="B125" s="204" t="inlineStr">
        <is>
          <t>Nuffield Medical Siglap</t>
        </is>
      </c>
      <c r="C125" s="203" t="inlineStr">
        <is>
          <t>Contacted</t>
        </is>
      </c>
      <c r="D125" s="203" t="inlineStr">
        <is>
          <t>GP clinic</t>
        </is>
      </c>
      <c r="E125" s="203" t="inlineStr">
        <is>
          <t>GP clinic (independent)</t>
        </is>
      </c>
      <c r="F125" s="203" t="inlineStr">
        <is>
          <t>GP with women's, men's and fatigue screening, travel medicine, chronic disease, sexual health, dermatology, corporate healthcare</t>
        </is>
      </c>
      <c r="G125" s="203" t="inlineStr">
        <is>
          <t>Siglap / East Coast</t>
        </is>
      </c>
      <c r="H125" s="205" t="inlineStr">
        <is>
          <t>https://www.nuffieldmedical.com.sg</t>
        </is>
      </c>
      <c r="I125" s="203" t="inlineStr">
        <is>
          <t>+65 6636 3083 / WhatsApp +65 9837 5754</t>
        </is>
      </c>
      <c r="J125" s="203" t="inlineStr">
        <is>
          <t>siglap@nuffieldmedical.com.sg</t>
        </is>
      </c>
      <c r="K125" s="203" t="inlineStr">
        <is>
          <t>914 East Coast Road, The Domain #01-03, Singapore 459108</t>
        </is>
      </c>
      <c r="L125" s="203" t="inlineStr">
        <is>
          <t>Dr Lin Kai Wei, Medical Director (named on own site)</t>
        </is>
      </c>
      <c r="M125" s="206" t="inlineStr">
        <is>
          <t>A</t>
        </is>
      </c>
      <c r="N125" s="203" t="inlineStr">
        <is>
          <t>Not stated</t>
        </is>
      </c>
      <c r="O125" s="203" t="inlineStr">
        <is>
          <t>Screening led practice where thyroid, abdominal and carotid ultrasound add value to existing packages. Ultrasound use: Not stated. Confirm on the first call.</t>
        </is>
      </c>
      <c r="P125" s="203" t="inlineStr">
        <is>
          <t>SonoAir 70 (auto thyroid and breast nodule tools, IMT across visits) + SonoEye P3 (pocket handheld for the consult room)</t>
        </is>
      </c>
      <c r="Q125" s="206" t="inlineStr">
        <is>
          <t>P1</t>
        </is>
      </c>
      <c r="R125" s="203" t="inlineStr">
        <is>
          <t>P1: verified email on own site; high fit for CHISON.</t>
        </is>
      </c>
      <c r="S125" s="203" t="inlineStr">
        <is>
          <t>Own site opened 2 to 3 Oct 2026</t>
        </is>
      </c>
      <c r="T125" s="203" t="inlineStr">
        <is>
          <t>CHISON ultrasound for Nuffield Medical Siglap: thyroid, abdomen and carotid in one visit</t>
        </is>
      </c>
      <c r="U125" s="203" t="inlineStr">
        <is>
          <t>Dear Dr Lin,
I am Casper Tan, Senior Regional Sales Manager at AstraMed Healthcare, the Singapore subsidiary of CHISON Medical Technologies. Women's, men's and fatigue screening at Siglap are where abdominal, thyroid and pelvic ultrasound fit naturally.
CHISON has made diagnostic ultrasound in Wuxi since 1996 and sells in more than 100 countries. The systems below are registered with HSA, with AstraMed as the local registrant, so supply, application training and service are all handled here in Singapore.
For screening and preventive work, these are the two I would suggest:
• SonoAir 70: a 2.1 kg laptop with automatic thyroid and breast nodule tools and intima media thickness tracked across visits
• SonoEye P3: a pocket handheld for quick bedside answers in the consult room
Adding ultrasound to the screening visit keeps the patient with you instead of sending them on to an imaging centre.
Our demonstration units arrive in Singapore in October. Could I drop by Nuffield Medical Siglap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26" ht="36" customHeight="1" s="104">
      <c r="A126" s="203" t="n">
        <v>122</v>
      </c>
      <c r="B126" s="204" t="inlineStr">
        <is>
          <t>Regis Medical GP Clinic</t>
        </is>
      </c>
      <c r="C126" s="203" t="inlineStr">
        <is>
          <t>Contacted</t>
        </is>
      </c>
      <c r="D126" s="203" t="inlineStr">
        <is>
          <t>GP clinic</t>
        </is>
      </c>
      <c r="E126" s="203" t="inlineStr">
        <is>
          <t>GP clinic (independent)</t>
        </is>
      </c>
      <c r="F126" s="203" t="inlineStr">
        <is>
          <t>GP with chronic care, screening, women's and men's health, pain management, physiotherapy, acupuncture, sports medicine, minor surgery</t>
        </is>
      </c>
      <c r="G126" s="203" t="inlineStr">
        <is>
          <t>Holland Village and Katong</t>
        </is>
      </c>
      <c r="H126" s="205" t="inlineStr">
        <is>
          <t>https://regismedical.com</t>
        </is>
      </c>
      <c r="I126" s="203" t="inlineStr">
        <is>
          <t>+65 8118 5298 (Holland Village) / +65 9851 3728 (Katong)</t>
        </is>
      </c>
      <c r="J126" s="203" t="inlineStr">
        <is>
          <t>care@regismedical.com</t>
        </is>
      </c>
      <c r="K126" s="203" t="inlineStr">
        <is>
          <t>255 Holland Avenue, Singapore 278983; 437 Joo Chiat Road, Singapore 427650</t>
        </is>
      </c>
      <c r="L126" s="203" t="inlineStr">
        <is>
          <t>Dr Tan Hue Min, Dr Clarice Chong, Dr Audrey Han, Dr Paul Chang (named on own site)</t>
        </is>
      </c>
      <c r="M126" s="206" t="inlineStr">
        <is>
          <t>A</t>
        </is>
      </c>
      <c r="N126" s="203" t="inlineStr">
        <is>
          <t>Not stated (sports medicine and pain services listed)</t>
        </is>
      </c>
      <c r="O126" s="203" t="inlineStr">
        <is>
          <t>GP with joint and injection work: a high frequency handheld turns blind injections into guided ones. Ultrasound use: Not stated (sports medicine and pain services listed). Confirm on the first call.</t>
        </is>
      </c>
      <c r="P126" s="203" t="inlineStr">
        <is>
          <t>SonoEye P5 (phone paired, high frequency for tendons, joints, injections) + SonoAir 70 (SonoMSK, SonoNerve, four active ports)</t>
        </is>
      </c>
      <c r="Q126" s="206" t="inlineStr">
        <is>
          <t>P1</t>
        </is>
      </c>
      <c r="R126" s="203" t="inlineStr">
        <is>
          <t>P1: verified email on own site; high fit for CHISON.</t>
        </is>
      </c>
      <c r="S126" s="203" t="inlineStr">
        <is>
          <t>Own site opened 2 to 3 Oct 2026</t>
        </is>
      </c>
      <c r="T126" s="203" t="inlineStr">
        <is>
          <t>CHISON ultrasound for Regis Medical GP Clinic: joint scans and guided injections</t>
        </is>
      </c>
      <c r="U126" s="203" t="inlineStr">
        <is>
          <t>Dear Regis Medical GP Clinic team,
I am Casper Tan, Senior Regional Sales Manager at AstraMed Healthcare, the Singapore subsidiary of CHISON Medical Technologies. Your clinics offer sports medicine and pain management alongside GP care, which is where point of care ultrasound earns its keep.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these are the two I would suggest:
• SonoEye P5: a phone paired handheld with high frequency imaging for tendons, joints and needle work
• SonoAir 70: a 2.1 kg laptop with SonoMSK and SonoNerve tools and four active probe ports
For joint and muscle work, a scan before the needle shows you the target and makes each injection easier to document.
Our demonstration units arrive in Singapore in October. Could I drop by Regis Medical GP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27" ht="36" customHeight="1" s="104">
      <c r="A127" s="203" t="n">
        <v>123</v>
      </c>
      <c r="B127" s="204" t="inlineStr">
        <is>
          <t>The Downstairs Clinic</t>
        </is>
      </c>
      <c r="C127" s="203" t="inlineStr">
        <is>
          <t>Contacted</t>
        </is>
      </c>
      <c r="D127" s="203" t="inlineStr">
        <is>
          <t>GP clinic</t>
        </is>
      </c>
      <c r="E127" s="203" t="inlineStr">
        <is>
          <t>GP clinic (independent)</t>
        </is>
      </c>
      <c r="F127" s="203" t="inlineStr">
        <is>
          <t>Family physician with sports medicine training: men's and women's health, sexual health, weight, travel medicine, telemedicine</t>
        </is>
      </c>
      <c r="G127" s="203" t="inlineStr">
        <is>
          <t>Everton Park / Outram</t>
        </is>
      </c>
      <c r="H127" s="205" t="inlineStr">
        <is>
          <t>https://www.thedownstairsclinic.com</t>
        </is>
      </c>
      <c r="I127" s="203" t="inlineStr">
        <is>
          <t>+65 8491 6741 (also WhatsApp)</t>
        </is>
      </c>
      <c r="J127" s="203" t="inlineStr">
        <is>
          <t>hello@thedownstairsclinic.com</t>
        </is>
      </c>
      <c r="K127" s="203" t="inlineStr">
        <is>
          <t>Near Outram Park MRT, Everton Park (unit not on home page)</t>
        </is>
      </c>
      <c r="L127" s="203" t="inlineStr">
        <is>
          <t>Dr Justin Lim, Family Physician, GDSM (sports medicine) (named on own site)</t>
        </is>
      </c>
      <c r="M127" s="206" t="inlineStr">
        <is>
          <t>A</t>
        </is>
      </c>
      <c r="N127" s="203" t="inlineStr">
        <is>
          <t>Not stated (doctor holds a sports medicine diploma)</t>
        </is>
      </c>
      <c r="O127" s="203" t="inlineStr">
        <is>
          <t>GP with joint and injection work: a high frequency handheld turns blind injections into guided ones. Ultrasound use: Not stated (doctor holds a sports medicine diploma). Confirm on the first call. | 7 Oct 2026: Dr Justin Lim replied by email and asked for a product demo, next Monday or Wednesday around 3.30pm. Confirm the slot and book the demo unit.</t>
        </is>
      </c>
      <c r="P127" s="203" t="inlineStr">
        <is>
          <t>SonoEye P5 (phone paired, high frequency for tendons, joints, injections) + SonoAir 70 (SonoMSK, SonoNerve, four active ports)</t>
        </is>
      </c>
      <c r="Q127" s="206" t="inlineStr">
        <is>
          <t>P1</t>
        </is>
      </c>
      <c r="R127" s="203" t="inlineStr">
        <is>
          <t>P1: verified email on own site; high fit for CHISON.</t>
        </is>
      </c>
      <c r="S127" s="203" t="inlineStr">
        <is>
          <t>Own site opened 2 to 3 Oct 2026</t>
        </is>
      </c>
      <c r="T127" s="203" t="inlineStr">
        <is>
          <t>CHISON ultrasound for The Downstairs Clinic: joint scans and guided injections</t>
        </is>
      </c>
      <c r="U127" s="203" t="inlineStr">
        <is>
          <t>Dear Dr Lim,
I am Casper Tan, Senior Regional Sales Manager at AstraMed Healthcare, the Singapore subsidiary of CHISON Medical Technologies. With your sports medicine training, MSK problems and injections at the clinic are where a pocket high frequency scanner pays off.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these are the two I would put forward:
• SonoEye P5: a phone paired handheld with high frequency imaging for tendons, joints and needle work
• SonoAir 70: a 2.1 kg laptop with SonoMSK and SonoNerve tools and four active probe ports
For joint and muscle work, a scan before the needle shows you the target and makes each injection easier to document.
Our demonstration units arrive in Singapore in October. Could I drop by The Downstairs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28" ht="36" customHeight="1" s="104">
      <c r="A128" s="203" t="n">
        <v>124</v>
      </c>
      <c r="B128" s="204" t="inlineStr">
        <is>
          <t>1doc Medical Group</t>
        </is>
      </c>
      <c r="C128" s="203" t="inlineStr">
        <is>
          <t>Contacted</t>
        </is>
      </c>
      <c r="D128" s="203" t="inlineStr">
        <is>
          <t>GP clinic</t>
        </is>
      </c>
      <c r="E128" s="203" t="inlineStr">
        <is>
          <t>GP group (small)</t>
        </is>
      </c>
      <c r="F128" s="203" t="inlineStr">
        <is>
          <t>GP and family medicine with screening, chronic care, health coaching, sleep study, allergy and longevity testing</t>
        </is>
      </c>
      <c r="G128" s="203" t="inlineStr">
        <is>
          <t>Bedok (Heartbeat@Bedok) and other 1doc sites</t>
        </is>
      </c>
      <c r="H128" s="205" t="inlineStr">
        <is>
          <t>https://www.1doc.sg</t>
        </is>
      </c>
      <c r="I128" s="203" t="inlineStr">
        <is>
          <t>+65 6282 7088 (also WhatsApp)</t>
        </is>
      </c>
      <c r="J128" s="203" t="inlineStr">
        <is>
          <t>bedok@1doc.sg</t>
        </is>
      </c>
      <c r="K128" s="203" t="inlineStr">
        <is>
          <t>11 Bedok North Street 1 #01-11/12 Heartbeat@Bedok, Singapore 469662</t>
        </is>
      </c>
      <c r="L128" s="203" t="inlineStr">
        <is>
          <t>Dr Eugene Loke, Medical Director (named on own site)</t>
        </is>
      </c>
      <c r="M128" s="206" t="inlineStr">
        <is>
          <t>A</t>
        </is>
      </c>
      <c r="N128" s="203" t="inlineStr">
        <is>
          <t>Not stated</t>
        </is>
      </c>
      <c r="O128" s="203" t="inlineStr">
        <is>
          <t>Screening led practice where thyroid, abdominal and carotid ultrasound add value to existing packages. Ultrasound use: Not stated. Confirm on the first call.</t>
        </is>
      </c>
      <c r="P128" s="203" t="inlineStr">
        <is>
          <t>SonoAir 70 (auto thyroid and breast nodule tools, IMT across visits) + SonoEye P3 (pocket handheld for the consult room)</t>
        </is>
      </c>
      <c r="Q128" s="206" t="inlineStr">
        <is>
          <t>P1</t>
        </is>
      </c>
      <c r="R128" s="203" t="inlineStr">
        <is>
          <t>P1: verified email on own site; high fit for CHISON.</t>
        </is>
      </c>
      <c r="S128" s="203" t="inlineStr">
        <is>
          <t>Own site opened 2 to 3 Oct 2026</t>
        </is>
      </c>
      <c r="T128" s="203" t="inlineStr">
        <is>
          <t>CHISON ultrasound for 1doc Medical Group: thyroid, abdomen and carotid in one visit</t>
        </is>
      </c>
      <c r="U128" s="203" t="inlineStr">
        <is>
          <t>Dear Dr Loke,
I am Casper Tan, Senior Regional Sales Manager at AstraMed Healthcare, the Singapore subsidiary of CHISON Medical Technologies. Your clinics focus on screening, chronic care and longevity testing, where abdominal and thyroid ultrasound fit naturally.
CHISON has made diagnostic ultrasound in Wuxi since 1996 and sells in more than 100 countries. The systems below are registered with HSA, with AstraMed as the local registrant, so supply, application training and service are all handled here in Singapore.
For screening and preventive work, these are the two I would put forward:
• SonoAir 70: a 2.1 kg laptop with automatic thyroid and breast nodule tools and intima media thickness tracked across visits
• SonoEye P3: a pocket handheld for quick bedside answers in the consult room
Adding ultrasound to the screening visit keeps the patient with you instead of sending them on to an imaging centre.
Our demonstration units arrive in Singapore in October. Could I drop by 1doc Medical Group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29" ht="48" customHeight="1" s="104">
      <c r="A129" s="203" t="n">
        <v>125</v>
      </c>
      <c r="B129" s="204" t="inlineStr">
        <is>
          <t>OneDoctors Family Clinic</t>
        </is>
      </c>
      <c r="C129" s="203" t="inlineStr">
        <is>
          <t>Contacted</t>
        </is>
      </c>
      <c r="D129" s="203" t="inlineStr">
        <is>
          <t>GP clinic</t>
        </is>
      </c>
      <c r="E129" s="203" t="inlineStr">
        <is>
          <t>GP group (small)</t>
        </is>
      </c>
      <c r="F129" s="203" t="inlineStr">
        <is>
          <t>Five clinics (formerly Silver Cross Group): acute care, sports injury, chronic disease, women's health, minor surgery</t>
        </is>
      </c>
      <c r="G129" s="203" t="inlineStr">
        <is>
          <t>Ang Mo Kio, Holland Village, Khatib, Serangoon, Punggol</t>
        </is>
      </c>
      <c r="H129" s="205" t="inlineStr">
        <is>
          <t>https://www.onedoctors.com.sg</t>
        </is>
      </c>
      <c r="I129" s="203" t="inlineStr">
        <is>
          <t>+65 6554 2918 (AMK) / +65 6634 4918 (Serangoon)</t>
        </is>
      </c>
      <c r="J129" s="203" t="inlineStr">
        <is>
          <t>onedoctorsfeedback@gmail.com (management; each clinic also has its own inbox, e.g. onedoctorsamk@yahoo.com.sg)</t>
        </is>
      </c>
      <c r="K129" s="203" t="inlineStr">
        <is>
          <t>Ang Mo Kio clinic (see site) plus 4 clinics</t>
        </is>
      </c>
      <c r="L129" s="203" t="inlineStr">
        <is>
          <t>Doctors not named on About page</t>
        </is>
      </c>
      <c r="M129" s="206" t="inlineStr">
        <is>
          <t>A</t>
        </is>
      </c>
      <c r="N129" s="203" t="inlineStr">
        <is>
          <t>Not stated (sports injury management offered)</t>
        </is>
      </c>
      <c r="O129" s="203" t="inlineStr">
        <is>
          <t>GP with joint and injection work: a high frequency handheld turns blind injections into guided ones. Ultrasound use: Not stated (sports injury management offered). Confirm on the first call.</t>
        </is>
      </c>
      <c r="P129" s="203" t="inlineStr">
        <is>
          <t>SonoEye P5 (phone paired, high frequency for tendons, joints, injections) + SonoAir 70 (SonoMSK, SonoNerve, four active ports)</t>
        </is>
      </c>
      <c r="Q129" s="206" t="inlineStr">
        <is>
          <t>P1</t>
        </is>
      </c>
      <c r="R129" s="203" t="inlineStr">
        <is>
          <t>P1: verified email on own site; high fit for CHISON.</t>
        </is>
      </c>
      <c r="S129" s="203" t="inlineStr">
        <is>
          <t>Own site opened 2 to 3 Oct 2026</t>
        </is>
      </c>
      <c r="T129" s="203" t="inlineStr">
        <is>
          <t>CHISON ultrasound for OneDoctors Family Clinic: joint scans and guided injections</t>
        </is>
      </c>
      <c r="U129" s="203" t="inlineStr">
        <is>
          <t>Dear OneDoctors Family Clinic team,
I am Casper Tan, Senior Regional Sales Manager at AstraMed Healthcare, the Singapore subsidiary of CHISON Medical Technologies. Sports injury management and minor surgery across your clinics are where a scan in the room changes the plan.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I would start with these two:
• SonoEye P5: a phone paired handheld with high frequency imaging for tendons, joints and needle work
• SonoAir 70: a 2.1 kg laptop with SonoMSK and SonoNerve tools and four active probe ports
Across several clinics, one platform means one training programme and one service contact, and the handhelds can move between sites as demand shifts.
Would a short call with whoever looks after equipment across OneDoctors Family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30" ht="48" customHeight="1" s="104">
      <c r="A130" s="203" t="n">
        <v>126</v>
      </c>
      <c r="B130" s="204" t="inlineStr">
        <is>
          <t>Pinnacle Family Clinic (Pinnacle Medical Holdings)</t>
        </is>
      </c>
      <c r="C130" s="203" t="inlineStr">
        <is>
          <t>Contacted</t>
        </is>
      </c>
      <c r="D130" s="203" t="inlineStr">
        <is>
          <t>GP clinic</t>
        </is>
      </c>
      <c r="E130" s="203" t="inlineStr">
        <is>
          <t>GP group (large) with imaging centre</t>
        </is>
      </c>
      <c r="F130" s="203" t="inlineStr">
        <is>
          <t>Twenty family clinics plus Pinnacle Imaging Centre and Pinnacle Medical Centre at Raffles Place; screening and imaging services</t>
        </is>
      </c>
      <c r="G130" s="203" t="inlineStr">
        <is>
          <t>Islandwide</t>
        </is>
      </c>
      <c r="H130" s="205" t="inlineStr">
        <is>
          <t>https://pinnaclefamilyclinic.com.sg</t>
        </is>
      </c>
      <c r="I130" s="203" t="inlineStr">
        <is>
          <t>+65 6298 0823 (Pinnacle Imaging Centre) / +65 6514 6889 (Pinnacle Medical Centre)</t>
        </is>
      </c>
      <c r="J130" s="203" t="inlineStr">
        <is>
          <t>pinnacleicrp@gmail.com (imaging centre); pinnaclemcrp@gmail.com (medical centre); each clinic has its own Gmail inbox on the locations page</t>
        </is>
      </c>
      <c r="K130" s="203" t="inlineStr">
        <is>
          <t>22 Malacca Street #13-01/03, RB Capital Building, Singapore 048980 (plus 20 family clinics)</t>
        </is>
      </c>
      <c r="L130" s="203" t="inlineStr">
        <is>
          <t>Doctors not named on locations page</t>
        </is>
      </c>
      <c r="M130" s="206" t="inlineStr">
        <is>
          <t>A</t>
        </is>
      </c>
      <c r="N130" s="203" t="inlineStr">
        <is>
          <t>Group runs an imaging centre; clinic level ultrasound not stated</t>
        </is>
      </c>
      <c r="O130" s="203" t="inlineStr">
        <is>
          <t>Already scans in house, so the conversation is added capacity and cost per scan, not whether to scan. Ultrasound use: Group runs an imaging centre; clinic level ultrasound not stated. Confirm on the first call.</t>
        </is>
      </c>
      <c r="P130" s="203" t="inlineStr">
        <is>
          <t>SonoPort 8 (mid tier cart, 23.8 in + 15.6 in touch, about 3 h battery) + SonoEye P3 (pocket handheld for the consult room)</t>
        </is>
      </c>
      <c r="Q130" s="206" t="inlineStr">
        <is>
          <t>P1</t>
        </is>
      </c>
      <c r="R130" s="203" t="inlineStr">
        <is>
          <t>P1: verified email on own site; twenty family clinics plus its own imaging centre.</t>
        </is>
      </c>
      <c r="S130" s="203" t="inlineStr">
        <is>
          <t>Own site opened 2 to 3 Oct 2026</t>
        </is>
      </c>
      <c r="T130" s="203" t="inlineStr">
        <is>
          <t>CHISON ultrasound for Pinnacle Family Clinic: more scanning capacity per dollar</t>
        </is>
      </c>
      <c r="U130" s="203" t="inlineStr">
        <is>
          <t>Dear Pinnacle Family Clinic team,
I am Casper Tan, Senior Regional Sales Manager at AstraMed Healthcare, the Singapore subsidiary of CHISON Medical Technologies. With twenty family clinics and your own imaging centre at Raffles Place, Pinnacle is one of the few GP groups that already thinks about imaging at scale.
CHISON has made diagnostic ultrasound in Wuxi since 1996 and sells in more than 100 countries. The systems below are registered with HSA, with AstraMed as the local registrant, so supply, application training and service are all handled here in Singapore.
For a clinic that already scans, these are the two I would suggest:
• SonoPort 8: a mid tier cart with a 23.8 inch monitor and 15.6 inch touch screen, and up to about three hours on battery so it can move between rooms or go to onsite screenings
• SonoEye P3: a pocket handheld for quick bedside answers in the consult room
Since you already scan, the question is cost per scan and how many rooms can scan at once, and that is where CHISON is positioned.
Would a short call with whoever looks after equipment across Pinnacle Family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31" ht="72" customHeight="1" s="104">
      <c r="A131" s="203" t="n">
        <v>127</v>
      </c>
      <c r="B131" s="204" t="inlineStr">
        <is>
          <t>DR+ Medical &amp; Paincare</t>
        </is>
      </c>
      <c r="C131" s="203" t="inlineStr">
        <is>
          <t>Contacted</t>
        </is>
      </c>
      <c r="D131" s="203" t="inlineStr">
        <is>
          <t>GP clinic</t>
        </is>
      </c>
      <c r="E131" s="203" t="inlineStr">
        <is>
          <t>GP group with pain care &amp; POCUS</t>
        </is>
      </c>
      <c r="F131" s="203" t="inlineStr">
        <is>
          <t>Eleven DR+ family clinics (plus Doctors For Life Medical) of Singapore Paincare Holdings: family medicine plus nerve blocks, intra articular injections, PRP, shockwave and point of care ultrasound</t>
        </is>
      </c>
      <c r="G131" s="203" t="inlineStr">
        <is>
          <t>Islandwide (AMK, Bishan, East Coast, Hougang, Marsiling, Tampines, Upper Thomson, Kovan, Alexandra, Boon Lay, Telok Blangah)</t>
        </is>
      </c>
      <c r="H131" s="205" t="inlineStr">
        <is>
          <t>https://drplus.com.sg</t>
        </is>
      </c>
      <c r="I131" s="203" t="inlineStr">
        <is>
          <t>+65 8777 9500 (group hotline) / +65 6312 3164 (AMK)</t>
        </is>
      </c>
      <c r="J131" s="203" t="inlineStr">
        <is>
          <t>enquiries@sgpaincare.com (AMK clinic: drp_angmokio@sgpaincare.com)</t>
        </is>
      </c>
      <c r="K131" s="203" t="inlineStr">
        <is>
          <t>529 Ang Mo Kio Ave 10 #01-2353, Singapore 560529 (plus 10 other DR+ clinics and Doctors For Life Medical)</t>
        </is>
      </c>
      <c r="L131" s="203" t="inlineStr">
        <is>
          <t>Dr Seah Heap Yong (AMK clinic, named on own site)</t>
        </is>
      </c>
      <c r="M131" s="206" t="inlineStr">
        <is>
          <t>A</t>
        </is>
      </c>
      <c r="N131" s="203" t="inlineStr">
        <is>
          <t>Yes. POCUS listed as a clinic service</t>
        </is>
      </c>
      <c r="O131" s="203" t="inlineStr">
        <is>
          <t>GP with joint and injection work: a high frequency handheld turns blind injections into guided ones. Ultrasound already in use (POCUS listed as a clinic service), so pitch added capacity or a second room. Shares the enquiries@sgpaincare.com inbox with Singapore Paincare Center. Send the Singapore Paincare email to that inbox; use this version only for the AMK clinic inbox if a separate GP conversation is wanted.</t>
        </is>
      </c>
      <c r="P131" s="203" t="inlineStr">
        <is>
          <t>SonoAir 70 (SonoMSK, SonoNerve, four active ports) + SonoEye P5 (phone paired, high frequency for tendons, joints, injections)</t>
        </is>
      </c>
      <c r="Q131" s="206" t="inlineStr">
        <is>
          <t>P1</t>
        </is>
      </c>
      <c r="R131" s="203" t="inlineStr">
        <is>
          <t>P1: POCUS and nerve blocks already on the DR+ service list; same group and inbox as Singapore Paincare Center, so send one email to the group.</t>
        </is>
      </c>
      <c r="S131" s="203" t="inlineStr">
        <is>
          <t>Own site opened 2 to 3 Oct 2026</t>
        </is>
      </c>
      <c r="T131" s="203" t="inlineStr">
        <is>
          <t>CHISON ultrasound for DR+ clinics: more point of care scanning</t>
        </is>
      </c>
      <c r="U131" s="203" t="inlineStr">
        <is>
          <t>Dear DR+ Medical &amp; Paincare team,
I am Casper Tan, Senior Regional Sales Manager at AstraMed Healthcare, the Singapore subsidiary of CHISON Medical Technologies. Point of care ultrasound and nerve blocks are already on the DR+ service list, so CHISON would be adding capacity to something your doctors already do.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these are the two I would suggest:
• SonoAir 70: a 2.1 kg laptop with SonoMSK and SonoNerve tools and four active probe ports
• SonoEye P5: a phone paired handheld with high frequency imaging for tendons, joints and needle work
Across several clinics, one platform means one training programme and one service contact, and the handhelds can move between sites as demand shifts.
Would a short call with whoever looks after equipment across DR+ Medical &amp; Paincare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32" ht="48" customHeight="1" s="104">
      <c r="A132" s="203" t="n">
        <v>128</v>
      </c>
      <c r="B132" s="204" t="inlineStr">
        <is>
          <t>Japan Green Clinic</t>
        </is>
      </c>
      <c r="C132" s="203" t="inlineStr">
        <is>
          <t>Contacted</t>
        </is>
      </c>
      <c r="D132" s="203" t="inlineStr">
        <is>
          <t>GP clinic</t>
        </is>
      </c>
      <c r="E132" s="203" t="inlineStr">
        <is>
          <t>GP clinic (Japanese community)</t>
        </is>
      </c>
      <c r="F132" s="203" t="inlineStr">
        <is>
          <t>Japanese clinic since 1983 with about 30 Japanese staff: internal medicine, paediatrics, infant checks and vaccinations, health screening, cardiology, physiotherapy, dental; ultrasound listed in house</t>
        </is>
      </c>
      <c r="G132" s="203" t="inlineStr">
        <is>
          <t>Orchard (Paragon)</t>
        </is>
      </c>
      <c r="H132" s="205" t="inlineStr">
        <is>
          <t>https://www.japan-green.com.sg</t>
        </is>
      </c>
      <c r="I132" s="203" t="inlineStr">
        <is>
          <t>+65 6734 8871</t>
        </is>
      </c>
      <c r="J132" s="203" t="inlineStr">
        <is>
          <t>reception@japan-green.com.sg (also jghmail@japan-green.com.sg)</t>
        </is>
      </c>
      <c r="K132" s="203" t="inlineStr">
        <is>
          <t>290 Orchard Road #10-01 Paragon, Singapore 238859</t>
        </is>
      </c>
      <c r="L132" s="203" t="inlineStr">
        <is>
          <t>Japanese doctors (not named on home page)</t>
        </is>
      </c>
      <c r="M132" s="206" t="inlineStr">
        <is>
          <t>A</t>
        </is>
      </c>
      <c r="N132" s="203" t="inlineStr">
        <is>
          <t>Yes. Ultrasound diagnostic equipment listed among the clinic's examination devices</t>
        </is>
      </c>
      <c r="O132" s="203" t="inlineStr">
        <is>
          <t>Already scans in house, so the conversation is added capacity and cost per scan, not whether to scan. Ultrasound already in use (Ultrasound diagnostic equipment listed among the clinic's examination devices), so pitch added capacity or a second room.</t>
        </is>
      </c>
      <c r="P132" s="203" t="inlineStr">
        <is>
          <t>SonoAir 70 (2.1 kg, four active ports, auto bladder volume, thyroid and breast nodule tools) + SonoEye P3 (pocket handheld for the consult room)</t>
        </is>
      </c>
      <c r="Q132" s="206" t="inlineStr">
        <is>
          <t>P1</t>
        </is>
      </c>
      <c r="R132" s="203" t="inlineStr">
        <is>
          <t>P1: verified email on own site; high fit for CHISON; already scans in house.</t>
        </is>
      </c>
      <c r="S132" s="203" t="inlineStr">
        <is>
          <t>Own site opened 2 to 3 Oct 2026</t>
        </is>
      </c>
      <c r="T132" s="203" t="inlineStr">
        <is>
          <t>CHISON ultrasound for Japan Green Clinic: a compact second system</t>
        </is>
      </c>
      <c r="U132" s="203" t="inlineStr">
        <is>
          <t>Dear Japan Green Clinic team,
I am Casper Tan, Senior Regional Sales Manager at AstraMed Healthcare, the Singapore subsidiary of CHISON Medical Technologies. Your clinic already lists ultrasound among its examination equipment, and your patients expect thorough screening.
CHISON has made diagnostic ultrasound in Wuxi since 1996 and sells in more than 100 countries. The systems below are registered with HSA, with AstraMed as the local registrant, so supply, application training and service are all handled here in Singapore.
For a clinic that already scans, these are the two I would suggest:
• SonoAir 70: a 2.1 kg laptop with four active probe ports, automatic bladder volume and thyroid and breast nodule tools
• SonoEye P3: a pocket handheld for quick bedside answers in the consult room
Since you already scan, the question is cost per scan and how many rooms can scan at once, and that is where CHISON is positioned.
Our demonstration units arrive in Singapore in October. Could I drop by Japan Green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33" ht="36" customHeight="1" s="104">
      <c r="A133" s="203" t="n">
        <v>129</v>
      </c>
      <c r="B133" s="204" t="inlineStr">
        <is>
          <t>Kids Clinic</t>
        </is>
      </c>
      <c r="C133" s="203" t="inlineStr">
        <is>
          <t>Contacted</t>
        </is>
      </c>
      <c r="D133" s="203" t="inlineStr">
        <is>
          <t>GP clinic</t>
        </is>
      </c>
      <c r="E133" s="203" t="inlineStr">
        <is>
          <t>Paediatric GP group</t>
        </is>
      </c>
      <c r="F133" s="203" t="inlineStr">
        <is>
          <t>Six children's clinics with seven doctors: acute paediatric care, vaccinations, development checks</t>
        </is>
      </c>
      <c r="G133" s="203" t="inlineStr">
        <is>
          <t>Bishan, Bukit Batok, Punggol, Sengkang, Tampines, Toa Payoh</t>
        </is>
      </c>
      <c r="H133" s="205" t="inlineStr">
        <is>
          <t>https://kidsclinic.sg</t>
        </is>
      </c>
      <c r="I133" s="203" t="inlineStr">
        <is>
          <t>+65 6356 8909 (Bishan)</t>
        </is>
      </c>
      <c r="J133" s="203" t="inlineStr">
        <is>
          <t>contact@kidsclinic.sg (each clinic also has its own, e.g. bishan@kidsclinic.sg)</t>
        </is>
      </c>
      <c r="K133" s="203" t="inlineStr">
        <is>
          <t>Blk 116 Bishan Street 12 #01-28, Singapore 570116 (plus 5 clinics)</t>
        </is>
      </c>
      <c r="L133" s="203" t="inlineStr">
        <is>
          <t>Dr Chua Xiuzhen, Dr Dave Ong, Dr Heng Siok Kheng and four others (named on own site)</t>
        </is>
      </c>
      <c r="M133" s="206" t="inlineStr">
        <is>
          <t>A</t>
        </is>
      </c>
      <c r="N133" s="203" t="inlineStr">
        <is>
          <t>Not stated (paediatric lung and abdominal POCUS is an emerging use)</t>
        </is>
      </c>
      <c r="O133" s="203" t="inlineStr">
        <is>
          <t>Paediatric practice: a high frequency handheld suits small patients and is a low ticket entry. Ultrasound use: Not stated (paediatric lung and abdominal POCUS is an emerging use). Confirm on the first call.</t>
        </is>
      </c>
      <c r="P133" s="203" t="inlineStr">
        <is>
          <t>SonoEye P5 (phone paired, high frequency for small patients) + SonoEye P3 (pocket handheld for the consult room)</t>
        </is>
      </c>
      <c r="Q133" s="206" t="inlineStr">
        <is>
          <t>P1</t>
        </is>
      </c>
      <c r="R133" s="203" t="inlineStr">
        <is>
          <t>P1: verified email on own site; paediatric group of six clinics, a strong handheld fit.</t>
        </is>
      </c>
      <c r="S133" s="203" t="inlineStr">
        <is>
          <t>Own site opened 2 to 3 Oct 2026</t>
        </is>
      </c>
      <c r="T133" s="203" t="inlineStr">
        <is>
          <t>CHISON ultrasound for Kids Clinic: gentle bedside scans for children</t>
        </is>
      </c>
      <c r="U133" s="203" t="inlineStr">
        <is>
          <t>Dear Kids Clinic team,
I am Casper Tan, Senior Regional Sales Manager at AstraMed Healthcare, the Singapore subsidiary of CHISON Medical Technologies. Six children's clinics see coughs, tummy pain and lumps every day, where a gentle bedside scan can spare a child a hospital visit.
CHISON has made diagnostic ultrasound in Wuxi since 1996 and sells in more than 100 countries. The systems below are registered with HSA, with AstraMed as the local registrant, so supply, application training and service are all handled here in Singapore.
For children's clinics, these are the two I would put forward:
• SonoEye P5: a phone paired handheld with high frequency imaging, well suited to small patients and superficial structures
• SonoEye P3: a pocket handheld for quick bedside answers in the consult room
With children, a quick scan in the room can settle a question without a hospital trip, which parents appreciate.
Our demonstration units arrive in Singapore in October. Could I drop by Kids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34" ht="36" customHeight="1" s="104">
      <c r="A134" s="203" t="n">
        <v>130</v>
      </c>
      <c r="B134" s="204" t="inlineStr">
        <is>
          <t>NOVI Health</t>
        </is>
      </c>
      <c r="C134" s="203" t="inlineStr">
        <is>
          <t>Contacted</t>
        </is>
      </c>
      <c r="D134" s="203" t="inlineStr">
        <is>
          <t>GP clinic</t>
        </is>
      </c>
      <c r="E134" s="203" t="inlineStr">
        <is>
          <t>GP &amp; preventive medicine clinic</t>
        </is>
      </c>
      <c r="F134" s="203" t="inlineStr">
        <is>
          <t>CBD clinic for health assessment and screening, diabetes and weight programmes, longevity care; endocrinologist led</t>
        </is>
      </c>
      <c r="G134" s="203" t="inlineStr">
        <is>
          <t>Tanjong Pagar (SBF Center)</t>
        </is>
      </c>
      <c r="H134" s="205" t="inlineStr">
        <is>
          <t>https://novi-health.com</t>
        </is>
      </c>
      <c r="I134" s="203" t="inlineStr">
        <is>
          <t>+65 8600 3628 / WhatsApp +65 9014 9577</t>
        </is>
      </c>
      <c r="J134" s="203" t="inlineStr">
        <is>
          <t>info@novi-health.com</t>
        </is>
      </c>
      <c r="K134" s="203" t="inlineStr">
        <is>
          <t>160 Robinson Road #03-01, SBF Medical Suites, Singapore 068914</t>
        </is>
      </c>
      <c r="L134" s="203" t="inlineStr">
        <is>
          <t>Adj A/Prof Sue-Anne Toh, Senior Consultant Endocrinologist (named on own site)</t>
        </is>
      </c>
      <c r="M134" s="206" t="inlineStr">
        <is>
          <t>A</t>
        </is>
      </c>
      <c r="N134" s="203" t="inlineStr">
        <is>
          <t>Not stated (screening and thyroid work suit point of care ultrasound)</t>
        </is>
      </c>
      <c r="O134" s="203" t="inlineStr">
        <is>
          <t>Screening led practice where thyroid, abdominal and carotid ultrasound add value to existing packages. Ultrasound use: Not stated (screening and thyroid work suit point of care ultrasound). Confirm on the first call.</t>
        </is>
      </c>
      <c r="P134" s="203" t="inlineStr">
        <is>
          <t>SonoAir 70 (auto thyroid and breast nodule tools, IMT across visits) + SonoEye P5 (phone paired, high frequency for thyroid and neck checks)</t>
        </is>
      </c>
      <c r="Q134" s="206" t="inlineStr">
        <is>
          <t>P1</t>
        </is>
      </c>
      <c r="R134" s="203" t="inlineStr">
        <is>
          <t>P1: verified email on own site; high fit for CHISON.</t>
        </is>
      </c>
      <c r="S134" s="203" t="inlineStr">
        <is>
          <t>Own site opened 2 to 3 Oct 2026</t>
        </is>
      </c>
      <c r="T134" s="203" t="inlineStr">
        <is>
          <t>CHISON ultrasound for NOVI Health: thyroid, abdomen and carotid in one visit</t>
        </is>
      </c>
      <c r="U134" s="203" t="inlineStr">
        <is>
          <t>Dear NOVI Health team,
I am Casper Tan, Senior Regional Sales Manager at AstraMed Healthcare, the Singapore subsidiary of CHISON Medical Technologies. Your screening, diabetes and longevity programmes at Robinson Road suit thyroid, abdominal and carotid ultrasound in the same visit.
CHISON has made diagnostic ultrasound in Wuxi since 1996 and sells in more than 100 countries. The systems below are registered with HSA, with AstraMed as the local registrant, so supply, application training and service are all handled here in Singapore.
For screening and preventive work, these are the two I would put forward:
• SonoAir 70: a 2.1 kg laptop with automatic thyroid and breast nodule tools and intima media thickness tracked across visits
• SonoEye P5: a phone paired handheld with high frequency imaging for quick thyroid and neck checks
Adding ultrasound to the screening visit keeps the patient with you instead of sending them on to an imaging centre.
Our demonstration units arrive in Singapore in October. Could I drop by NOVI Health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35" ht="36" customHeight="1" s="104">
      <c r="A135" s="203" t="n">
        <v>131</v>
      </c>
      <c r="B135" s="204" t="inlineStr">
        <is>
          <t>Inflexion Clinic (Inflexion Health)</t>
        </is>
      </c>
      <c r="C135" s="203" t="inlineStr">
        <is>
          <t>Contacted</t>
        </is>
      </c>
      <c r="D135" s="203" t="inlineStr">
        <is>
          <t>GP clinic</t>
        </is>
      </c>
      <c r="E135" s="203" t="inlineStr">
        <is>
          <t>GP clinic for joint &amp; muscle pain</t>
        </is>
      </c>
      <c r="F135" s="203" t="inlineStr">
        <is>
          <t>GP led musculoskeletal clinic: PRP, hyaluronic acid and steroid joint injections, in clinic ultrasound scan, shockwave, rehab, minor procedures incl. trigger finger and carpal tunnel release</t>
        </is>
      </c>
      <c r="G135" s="203" t="inlineStr">
        <is>
          <t>East Coast (The Flow)</t>
        </is>
      </c>
      <c r="H135" s="205" t="inlineStr">
        <is>
          <t>https://www.inflexionhealth.com.sg</t>
        </is>
      </c>
      <c r="I135" s="203" t="inlineStr">
        <is>
          <t>+65 6222 7864</t>
        </is>
      </c>
      <c r="J135" s="203" t="inlineStr">
        <is>
          <t>hello@inflexionhealth.com.sg</t>
        </is>
      </c>
      <c r="K135" s="203" t="inlineStr">
        <is>
          <t>66 East Coast Road #03-12 &amp; #03-13, The Flow, Singapore 428778</t>
        </is>
      </c>
      <c r="L135" s="203" t="inlineStr">
        <is>
          <t>Doctors not named on home page</t>
        </is>
      </c>
      <c r="M135" s="206" t="inlineStr">
        <is>
          <t>A</t>
        </is>
      </c>
      <c r="N135" s="203" t="inlineStr">
        <is>
          <t>Yes. In clinic ultrasound scan listed</t>
        </is>
      </c>
      <c r="O135" s="203" t="inlineStr">
        <is>
          <t>GP with joint and injection work: a high frequency handheld turns blind injections into guided ones. Ultrasound already in use (In clinic ultrasound scan listed), so pitch added capacity or a second room.</t>
        </is>
      </c>
      <c r="P135" s="203" t="inlineStr">
        <is>
          <t>SonoEye P5 (phone paired, high frequency for tendons, joints, injections) + SonoAir 70 (SonoMSK, SonoNerve, four active ports)</t>
        </is>
      </c>
      <c r="Q135" s="206" t="inlineStr">
        <is>
          <t>P1</t>
        </is>
      </c>
      <c r="R135" s="203" t="inlineStr">
        <is>
          <t>P1: verified email on own site; high fit for CHISON; already scans in house.</t>
        </is>
      </c>
      <c r="S135" s="203" t="inlineStr">
        <is>
          <t>Own site opened 2 to 3 Oct 2026</t>
        </is>
      </c>
      <c r="T135" s="203" t="inlineStr">
        <is>
          <t>CHISON ultrasound for Inflexion Clinic: joint scans and guided injections</t>
        </is>
      </c>
      <c r="U135" s="203" t="inlineStr">
        <is>
          <t>Dear Inflexion Clinic team,
I am Casper Tan, Senior Regional Sales Manager at AstraMed Healthcare, the Singapore subsidiary of CHISON Medical Technologies. Joint injections and in clinic ultrasound are already at the centre of your musculoskeletal practice at The Flow.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these are the two I would put forward:
• SonoEye P5: a phone paired handheld with high frequency imaging for tendons, joints and needle work
• SonoAir 70: a 2.1 kg laptop with SonoMSK and SonoNerve tools and four active probe ports
For joint and muscle work, a scan before the needle shows you the target and makes each injection easier to document.
Our demonstration units arrive in Singapore in October. Could I drop by Inflexion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36" ht="36" customHeight="1" s="104">
      <c r="A136" s="203" t="n">
        <v>132</v>
      </c>
      <c r="B136" s="204" t="inlineStr">
        <is>
          <t>Babysteps Medical</t>
        </is>
      </c>
      <c r="C136" s="203" t="inlineStr">
        <is>
          <t>Contacted</t>
        </is>
      </c>
      <c r="D136" s="203" t="inlineStr">
        <is>
          <t>GP clinic</t>
        </is>
      </c>
      <c r="E136" s="203" t="inlineStr">
        <is>
          <t>House call GP (paediatric)</t>
        </is>
      </c>
      <c r="F136" s="203" t="inlineStr">
        <is>
          <t>Paediatric house call doctors: neonatal jaundice screening, baby immunisation, development checks, acute and chronic home visits, teleconsult</t>
        </is>
      </c>
      <c r="G136" s="203" t="inlineStr">
        <is>
          <t>Newton (by appointment), islandwide visits</t>
        </is>
      </c>
      <c r="H136" s="205" t="inlineStr">
        <is>
          <t>https://babystepsmedical.sg</t>
        </is>
      </c>
      <c r="I136" s="203" t="inlineStr">
        <is>
          <t>+65 8810 1717 (also WhatsApp)</t>
        </is>
      </c>
      <c r="J136" s="203" t="inlineStr">
        <is>
          <t>contact@babystepsmedical.sg</t>
        </is>
      </c>
      <c r="K136" s="203" t="inlineStr">
        <is>
          <t>36H Dunearn Road #02-46, Chancery Court, Singapore 309433 (by appointment)</t>
        </is>
      </c>
      <c r="L136" s="203" t="inlineStr">
        <is>
          <t>Dr Adrian Tan, Medical Director (named on own site)</t>
        </is>
      </c>
      <c r="M136" s="206" t="inlineStr">
        <is>
          <t>A</t>
        </is>
      </c>
      <c r="N136" s="203" t="inlineStr">
        <is>
          <t>Not stated (home visits suit a pocket handheld)</t>
        </is>
      </c>
      <c r="O136" s="203" t="inlineStr">
        <is>
          <t>Paediatric practice: a high frequency handheld suits small patients and is a low ticket entry. Ultrasound use: Not stated (home visits suit a pocket handheld). Confirm on the first call.</t>
        </is>
      </c>
      <c r="P136" s="203" t="inlineStr">
        <is>
          <t>SonoEye P5 (phone paired, high frequency for small patients) + SonoEye P3 (pocket handheld for the house call bag)</t>
        </is>
      </c>
      <c r="Q136" s="206" t="inlineStr">
        <is>
          <t>P1</t>
        </is>
      </c>
      <c r="R136" s="203" t="inlineStr">
        <is>
          <t>P1: verified email on own site; paediatric house calls, a natural handheld fit.</t>
        </is>
      </c>
      <c r="S136" s="203" t="inlineStr">
        <is>
          <t>Own site opened 2 to 3 Oct 2026</t>
        </is>
      </c>
      <c r="T136" s="203" t="inlineStr">
        <is>
          <t>CHISON ultrasound for Babysteps Medical: gentle bedside scans for children</t>
        </is>
      </c>
      <c r="U136" s="203" t="inlineStr">
        <is>
          <t>Dear Dr Tan,
I am Casper Tan, Senior Regional Sales Manager at AstraMed Healthcare, the Singapore subsidiary of CHISON Medical Technologies. Paediatric house calls and newborn checks are exactly where a gentle pocket scan can save a family a hospital trip.
CHISON has made diagnostic ultrasound in Wuxi since 1996 and sells in more than 100 countries. The systems below are registered with HSA, with AstraMed as the local registrant, so supply, application training and service are all handled here in Singapore.
For children's clinics, these are the two I would put forward:
• SonoEye P5: a phone paired handheld with high frequency imaging, well suited to small patients and superficial structures
• SonoEye P3: a pocket handheld that fits in the house call bag
With children, a quick scan in the room can settle a question without a hospital trip, which parents appreciate.
Our demonstration units arrive in Singapore in October. Could I drop by Babysteps Medical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37" ht="60" customHeight="1" s="104">
      <c r="A137" s="203" t="n">
        <v>133</v>
      </c>
      <c r="B137" s="204" t="inlineStr">
        <is>
          <t>Class PCN</t>
        </is>
      </c>
      <c r="C137" s="203" t="inlineStr">
        <is>
          <t>Contacted</t>
        </is>
      </c>
      <c r="D137" s="203" t="inlineStr">
        <is>
          <t>GP clinic</t>
        </is>
      </c>
      <c r="E137" s="203" t="inlineStr">
        <is>
          <t>GP network (Primary Care Network)</t>
        </is>
      </c>
      <c r="F137" s="203" t="inlineStr">
        <is>
          <t>MOH Primary Care Network of Healthier SG GP clinics across all five regions (member list on its own contact page), supported by nurse counsellors and care coordinators. One conversation reaches many member GPs, for example through a hands on POCUS CME evening</t>
        </is>
      </c>
      <c r="G137" s="203" t="inlineStr">
        <is>
          <t>Islandwide (all five regions)</t>
        </is>
      </c>
      <c r="H137" s="205" t="inlineStr">
        <is>
          <t>https://classpcn.sg</t>
        </is>
      </c>
      <c r="I137" s="203" t="inlineStr">
        <is>
          <t>+65 6951 8726</t>
        </is>
      </c>
      <c r="J137" s="203" t="inlineStr">
        <is>
          <t>contactus@classpcn.sg</t>
        </is>
      </c>
      <c r="K137" s="203" t="inlineStr">
        <is>
          <t>No central address published; member clinics listed on own site</t>
        </is>
      </c>
      <c r="L137" s="203" t="inlineStr">
        <is>
          <t>Not named on contact page</t>
        </is>
      </c>
      <c r="M137" s="206" t="inlineStr">
        <is>
          <t>A</t>
        </is>
      </c>
      <c r="N137" s="203" t="inlineStr">
        <is>
          <t>Not applicable (network)</t>
        </is>
      </c>
      <c r="O137" s="203" t="inlineStr">
        <is>
          <t>Network route: one conversation reaches many independent GPs. Offer a hands on POCUS evening.</t>
        </is>
      </c>
      <c r="P137" s="203" t="inlineStr">
        <is>
          <t>SonoEye P3 (pocket handheld for the consult room) + SonoAir 70 (2.1 kg, four active ports, auto bladder volume, thyroid and breast nodule tools)</t>
        </is>
      </c>
      <c r="Q137" s="206" t="inlineStr">
        <is>
          <t>P1</t>
        </is>
      </c>
      <c r="R137" s="203" t="inlineStr">
        <is>
          <t>P1: verified email on own site; one conversation reaches a large network of member GP clinics across all five regions.</t>
        </is>
      </c>
      <c r="S137" s="203" t="inlineStr">
        <is>
          <t>Own site opened 2 to 3 Oct 2026</t>
        </is>
      </c>
      <c r="T137" s="203" t="inlineStr">
        <is>
          <t>CHISON and Class PCN: a hands on POCUS evening for your member GPs</t>
        </is>
      </c>
      <c r="U137" s="203" t="inlineStr">
        <is>
          <t>Dear Class PCN team,
I am Casper Tan, Senior Regional Sales Manager at AstraMed Healthcare, the Singapore subsidiary of CHISON Medical Technologies. With a network of Healthier SG GP clinics across all five regions and a care team behind them, Class PCN can reach many family doctors through one conversation.
CHISON has made diagnostic ultrasound in Wuxi since 1996 and sells in more than 100 countries. The systems below are registered with HSA, with AstraMed as the local registrant, so supply, application training and service are all handled here in Singapore.
For member GPs, these are the two I would suggest:
• SonoEye P3: a pocket handheld for quick bedside answers in the consult room
• SonoAir 70: a 2.1 kg laptop with four active probe ports, automatic bladder volume and thyroid and breast nodule tools
A network level session lets each member GP try the systems without committing their own clinic first.
Would Class PCN be open to a hands on POCUS evening for member GPs in the second half of October? AstraMed would bring the systems and run the stations.
Best regards,
Casper Tan
Senior Regional Sales Manager
AstraMed Healthcare Pte Ltd, a subsidiary of CHISON Medical Technologies
casper@astramed.sg | +65 8719 0121</t>
        </is>
      </c>
    </row>
    <row r="138" ht="60" customHeight="1" s="104">
      <c r="A138" s="203" t="n">
        <v>134</v>
      </c>
      <c r="B138" s="204" t="inlineStr">
        <is>
          <t>Advantage Medical Group</t>
        </is>
      </c>
      <c r="C138" s="203" t="inlineStr">
        <is>
          <t>Not started</t>
        </is>
      </c>
      <c r="D138" s="203" t="inlineStr">
        <is>
          <t>GP clinic</t>
        </is>
      </c>
      <c r="E138" s="203" t="inlineStr">
        <is>
          <t>GP group with in house ultrasound</t>
        </is>
      </c>
      <c r="F138" s="203" t="inlineStr">
        <is>
          <t>Three clinics: GP, screening, X-ray and ultrasound (Bukit Timah, Parkway Parade), mammogram, DEXA, treadmill ECG, liver FibroScan</t>
        </is>
      </c>
      <c r="G138" s="203" t="inlineStr">
        <is>
          <t>Bukit Timah, Marine Parade, Jurong West</t>
        </is>
      </c>
      <c r="H138" s="205" t="inlineStr">
        <is>
          <t>https://www.advantagemedical.sg</t>
        </is>
      </c>
      <c r="I138" s="203" t="inlineStr">
        <is>
          <t>+65 6980 7780 (also WhatsApp)</t>
        </is>
      </c>
      <c r="J138" s="203" t="inlineStr">
        <is>
          <t>Not published on locations page. WhatsApp or call</t>
        </is>
      </c>
      <c r="K138" s="203" t="inlineStr">
        <is>
          <t>1 Fifth Avenue #03-14 Guthrie House, Singapore 268802 (plus Parkway Parade Office Tower #06-01/02, Blk 492 Jurong West St 41 #01-56)</t>
        </is>
      </c>
      <c r="L138" s="203" t="inlineStr">
        <is>
          <t>Doctors not named on page</t>
        </is>
      </c>
      <c r="M138" s="206" t="inlineStr">
        <is>
          <t>A</t>
        </is>
      </c>
      <c r="N138" s="203" t="inlineStr">
        <is>
          <t>Yes. Ultrasound at Bukit Timah and Parkway Parade</t>
        </is>
      </c>
      <c r="O138" s="203" t="inlineStr">
        <is>
          <t>Already scans in house, so the conversation is added capacity and cost per scan, not whether to scan. Ultrasound already in use (Ultrasound at Bukit Timah and Parkway Parade), so pitch added capacity or a second room. No email published: call or WhatsApp for the right inbox, then send.</t>
        </is>
      </c>
      <c r="P138" s="203" t="inlineStr">
        <is>
          <t>SonoPort 8 (mid tier cart, 23.8 in + 15.6 in touch, about 3 h battery) + SonoAir 70 (2.1 kg, four active ports, auto bladder volume, thyroid and breast nodule tools)</t>
        </is>
      </c>
      <c r="Q138" s="208" t="inlineStr">
        <is>
          <t>P2</t>
        </is>
      </c>
      <c r="R138" s="203" t="inlineStr">
        <is>
          <t>P2: no email published, call or WhatsApp first; high fit for CHISON; already scans in house.</t>
        </is>
      </c>
      <c r="S138" s="203" t="inlineStr">
        <is>
          <t>Own site opened 2 to 3 Oct 2026</t>
        </is>
      </c>
      <c r="T138" s="203" t="inlineStr">
        <is>
          <t>CHISON ultrasound for Advantage Medical Group: more scanning capacity per dollar</t>
        </is>
      </c>
      <c r="U138" s="203" t="inlineStr">
        <is>
          <t>Dear Advantage Medical Group team,
I am Casper Tan, Senior Regional Sales Manager at AstraMed Healthcare, the Singapore subsidiary of CHISON Medical Technologies. You already offer X-ray and ultrasound at Bukit Timah and Parkway Parade, and your Jurong West clinic is the obvious next site.
CHISON has made diagnostic ultrasound in Wuxi since 1996 and sells in more than 100 countries. The systems below are registered with HSA, with AstraMed as the local registrant, so supply, application training and service are all handled here in Singapore.
For a clinic that already scans, I would start with these two:
• SonoPort 8: a mid tier cart with a 23.8 inch monitor and 15.6 inch touch screen, and up to about three hours on battery so it can move between rooms or go to onsite screenings
• SonoAir 70: a 2.1 kg laptop with four active probe ports, automatic bladder volume and thyroid and breast nodule tools
Since you already scan, the question is cost per scan and how many rooms can scan at once, and that is where CHISON is positioned.
Would a short call with whoever looks after equipment across Advantage Medical Group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39" ht="60" customHeight="1" s="104">
      <c r="A139" s="203" t="n">
        <v>135</v>
      </c>
      <c r="B139" s="204" t="inlineStr">
        <is>
          <t>Alliance Medical Centre</t>
        </is>
      </c>
      <c r="C139" s="203" t="inlineStr">
        <is>
          <t>Contacted</t>
        </is>
      </c>
      <c r="D139" s="203" t="inlineStr">
        <is>
          <t>GP clinic</t>
        </is>
      </c>
      <c r="E139" s="203" t="inlineStr">
        <is>
          <t>GP &amp; screening clinic with in house imaging</t>
        </is>
      </c>
      <c r="F139" s="203" t="inlineStr">
        <is>
          <t>In house digital X-ray, ultrasound (abdominal, cardiac, breast, prostate), mammography, DEXA, stress test, audiometry</t>
        </is>
      </c>
      <c r="G139" s="203" t="inlineStr">
        <is>
          <t>Singapore (address on Locate Us page)</t>
        </is>
      </c>
      <c r="H139" s="205" t="inlineStr">
        <is>
          <t>https://alliancemedicalcentre.com.sg</t>
        </is>
      </c>
      <c r="I139" s="203" t="inlineStr">
        <is>
          <t>+65 6939 6161</t>
        </is>
      </c>
      <c r="J139" s="203" t="inlineStr">
        <is>
          <t>enquiries@alliancemedicalcentre.com.sg</t>
        </is>
      </c>
      <c r="K139" s="203" t="inlineStr">
        <is>
          <t>See Locate Us page on own site</t>
        </is>
      </c>
      <c r="L139" s="203" t="inlineStr">
        <is>
          <t>Doctors not named on radiology page</t>
        </is>
      </c>
      <c r="M139" s="206" t="inlineStr">
        <is>
          <t>A</t>
        </is>
      </c>
      <c r="N139" s="203" t="inlineStr">
        <is>
          <t>Yes. In house ultrasound and X-ray</t>
        </is>
      </c>
      <c r="O139" s="203" t="inlineStr">
        <is>
          <t>Already scans in house, so the conversation is added capacity and cost per scan, not whether to scan. Ultrasound already in use (In house ultrasound and X-ray), so pitch added capacity or a second room. Group link: Alliance Healthcare Group (on Singapore End-Users tab; Jaga-Me on this tab is also a member).</t>
        </is>
      </c>
      <c r="P139" s="203" t="inlineStr">
        <is>
          <t>SonoPort 8 (mid tier cart, 23.8 in + 15.6 in touch, about 3 h battery) + SonoAir 70 (2.1 kg, four active ports, auto bladder volume, thyroid and breast nodule tools)</t>
        </is>
      </c>
      <c r="Q139" s="208" t="inlineStr">
        <is>
          <t>P2</t>
        </is>
      </c>
      <c r="R139" s="203" t="inlineStr">
        <is>
          <t>P2: verified email and already scans in house, but part of Alliance Healthcare (Singapore End-Users tab), so coordinate before sending.</t>
        </is>
      </c>
      <c r="S139" s="203" t="inlineStr">
        <is>
          <t>Own site opened 2 to 3 Oct 2026; email decoded from the site's spam protected link</t>
        </is>
      </c>
      <c r="T139" s="203" t="inlineStr">
        <is>
          <t>CHISON ultrasound for Alliance Medical Centre: more scanning capacity per dollar</t>
        </is>
      </c>
      <c r="U139" s="203" t="inlineStr">
        <is>
          <t>Dear Alliance Medical Centre team,
I am Casper Tan, Senior Regional Sales Manager at AstraMed Healthcare, the Singapore subsidiary of CHISON Medical Technologies. Your centre already runs in house X-ray, ultrasound, mammography and DEXA alongside GP care.
CHISON has made diagnostic ultrasound in Wuxi since 1996 and sells in more than 100 countries. The systems below are registered with HSA, with AstraMed as the local registrant, so supply, application training and service are all handled here in Singapore.
For a clinic that already scans, these are the two I would put forward:
• SonoPort 8: a mid tier cart with a 23.8 inch monitor and 15.6 inch touch screen, and up to about three hours on battery so it can move between rooms or go to onsite screenings
• SonoAir 70: a 2.1 kg laptop with four active probe ports, automatic bladder volume and thyroid and breast nodule tools
Since you already scan, the question is cost per scan and how many rooms can scan at once, and that is where CHISON is positioned.
Our demonstration units arrive in Singapore in October. Could I drop by Alliance Medical Centre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0" ht="36" customHeight="1" s="104">
      <c r="A140" s="203" t="n">
        <v>136</v>
      </c>
      <c r="B140" s="204" t="inlineStr">
        <is>
          <t>Alexandra Family Clinic &amp; Surgery</t>
        </is>
      </c>
      <c r="C140" s="203" t="inlineStr">
        <is>
          <t>Contacted</t>
        </is>
      </c>
      <c r="D140" s="203" t="inlineStr">
        <is>
          <t>GP clinic</t>
        </is>
      </c>
      <c r="E140" s="203" t="inlineStr">
        <is>
          <t>GP clinic (independent)</t>
        </is>
      </c>
      <c r="F140" s="203" t="inlineStr">
        <is>
          <t>Family clinic and surgery</t>
        </is>
      </c>
      <c r="G140" s="203" t="inlineStr">
        <is>
          <t>Queenstown (Dawson Road)</t>
        </is>
      </c>
      <c r="H140" s="205" t="inlineStr">
        <is>
          <t>https://www.alexandrafamilyclinic.com</t>
        </is>
      </c>
      <c r="I140" s="203" t="inlineStr">
        <is>
          <t>+65 6479 7022 / WhatsApp +65 8899 8630 (WhatsApp only)</t>
        </is>
      </c>
      <c r="J140" s="203" t="inlineStr">
        <is>
          <t>alexandrafamilyclinic@gmail.com</t>
        </is>
      </c>
      <c r="K140" s="203" t="inlineStr">
        <is>
          <t>57 Dawson Road #02-02, Singapore 142057</t>
        </is>
      </c>
      <c r="L140" s="203" t="inlineStr">
        <is>
          <t>Doctors not named on contact page</t>
        </is>
      </c>
      <c r="M140" s="206" t="inlineStr">
        <is>
          <t>A</t>
        </is>
      </c>
      <c r="N140" s="203" t="inlineStr">
        <is>
          <t>Not stated</t>
        </is>
      </c>
      <c r="O140" s="203" t="inlineStr">
        <is>
          <t>Independent GP: price sensitive and not yet saturated, which fits the GP and small clinic focus. Point of care answers in the room without a referral. Ultrasound use: Not stated. Confirm on the first call.</t>
        </is>
      </c>
      <c r="P140" s="203" t="inlineStr">
        <is>
          <t>SonoEye P3 (pocket handheld for the consult room) + SonoAir 70 (2.1 kg, four active ports, auto bladder volume, thyroid and breast nodule tools)</t>
        </is>
      </c>
      <c r="Q140" s="208" t="inlineStr">
        <is>
          <t>P2</t>
        </is>
      </c>
      <c r="R140" s="203" t="inlineStr">
        <is>
          <t>P2: verified email on own site; general GP fit.</t>
        </is>
      </c>
      <c r="S140" s="203" t="inlineStr">
        <is>
          <t>Own site opened 2 to 3 Oct 2026</t>
        </is>
      </c>
      <c r="T140" s="203" t="inlineStr">
        <is>
          <t>CHISON point of care ultrasound for Alexandra Family Clinic</t>
        </is>
      </c>
      <c r="U140" s="203" t="inlineStr">
        <is>
          <t>Dear Alexandra Family Clinic team,
I am Casper Tan, Senior Regional Sales Manager at AstraMed Healthcare, the Singapore subsidiary of CHISON Medical Technologies. For a family clinic and surgery at Dawson, a quick scan in the room saves patients a separate imaging appointment.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Alexandra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1" ht="36" customHeight="1" s="104">
      <c r="A141" s="203" t="n">
        <v>137</v>
      </c>
      <c r="B141" s="204" t="inlineStr">
        <is>
          <t>Atlas Associates Clinic</t>
        </is>
      </c>
      <c r="C141" s="203" t="inlineStr">
        <is>
          <t>Contacted</t>
        </is>
      </c>
      <c r="D141" s="203" t="inlineStr">
        <is>
          <t>GP clinic</t>
        </is>
      </c>
      <c r="E141" s="203" t="inlineStr">
        <is>
          <t>GP clinic (independent)</t>
        </is>
      </c>
      <c r="F141" s="203" t="inlineStr">
        <is>
          <t>GP, women's health check ups, house calls, teleconsult, screening, minor procedures, weight management</t>
        </is>
      </c>
      <c r="G141" s="203" t="inlineStr">
        <is>
          <t>Orchard (Grange Road)</t>
        </is>
      </c>
      <c r="H141" s="205" t="inlineStr">
        <is>
          <t>https://atlasclinic.com.sg</t>
        </is>
      </c>
      <c r="I141" s="203" t="inlineStr">
        <is>
          <t>+65 6956 6577 (also WhatsApp)</t>
        </is>
      </c>
      <c r="J141" s="203" t="inlineStr">
        <is>
          <t>info@atlasclinic.com.sg</t>
        </is>
      </c>
      <c r="K141" s="203" t="inlineStr">
        <is>
          <t>1 Grange Road #10-11, Orchard Building, Singapore 239693</t>
        </is>
      </c>
      <c r="L141" s="203" t="inlineStr">
        <is>
          <t>Doctors not named on contact page</t>
        </is>
      </c>
      <c r="M141" s="206" t="inlineStr">
        <is>
          <t>A</t>
        </is>
      </c>
      <c r="N141" s="203" t="inlineStr">
        <is>
          <t>Not stated</t>
        </is>
      </c>
      <c r="O141" s="203" t="inlineStr">
        <is>
          <t>Independent GP: price sensitive and not yet saturated, which fits the GP and small clinic focus. Point of care answers in the room without a referral. Ultrasound use: Not stated. Confirm on the first call.</t>
        </is>
      </c>
      <c r="P141" s="203" t="inlineStr">
        <is>
          <t>SonoEye P3 (pocket handheld for the consult room) + SonoAir 70 (2.1 kg, four active ports, auto bladder volume, thyroid and breast nodule tools)</t>
        </is>
      </c>
      <c r="Q141" s="208" t="inlineStr">
        <is>
          <t>P2</t>
        </is>
      </c>
      <c r="R141" s="203" t="inlineStr">
        <is>
          <t>P2: verified email on own site; general GP fit.</t>
        </is>
      </c>
      <c r="S141" s="203" t="inlineStr">
        <is>
          <t>Own site opened 2 to 3 Oct 2026</t>
        </is>
      </c>
      <c r="T141" s="203" t="inlineStr">
        <is>
          <t>CHISON point of care ultrasound for Atlas Associates Clinic</t>
        </is>
      </c>
      <c r="U141" s="203" t="inlineStr">
        <is>
          <t>Dear Atlas Associates Clinic team,
I am Casper Tan, Senior Regional Sales Manager at AstraMed Healthcare, the Singapore subsidiary of CHISON Medical Technologies. House calls, women's health checks and screening from your Orchard clinic are three settings where a pocket scan fits.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Atlas Associates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2" ht="36" customHeight="1" s="104">
      <c r="A142" s="203" t="n">
        <v>138</v>
      </c>
      <c r="B142" s="204" t="inlineStr">
        <is>
          <t>Belfield Medical Clinic</t>
        </is>
      </c>
      <c r="C142" s="203" t="inlineStr">
        <is>
          <t>Contacted</t>
        </is>
      </c>
      <c r="D142" s="203" t="inlineStr">
        <is>
          <t>GP clinic</t>
        </is>
      </c>
      <c r="E142" s="203" t="inlineStr">
        <is>
          <t>GP clinic (independent)</t>
        </is>
      </c>
      <c r="F142" s="203" t="inlineStr">
        <is>
          <t>GP acute and chronic care, minor procedures, screening, women's wellness, paediatrics, teleconsult and house calls</t>
        </is>
      </c>
      <c r="G142" s="203" t="inlineStr">
        <is>
          <t>Bedok</t>
        </is>
      </c>
      <c r="H142" s="205" t="inlineStr">
        <is>
          <t>https://belfieldmedical.sg</t>
        </is>
      </c>
      <c r="I142" s="203" t="inlineStr">
        <is>
          <t>+65 6298 4043 / WhatsApp +65 9882 5610</t>
        </is>
      </c>
      <c r="J142" s="203" t="inlineStr">
        <is>
          <t>admin@belfieldmedical.sg (doctor: yieroei.chee@belfieldmedical.sg)</t>
        </is>
      </c>
      <c r="K142" s="203" t="inlineStr">
        <is>
          <t>214 Bedok North Street 1 #01-179, Singapore 460214</t>
        </is>
      </c>
      <c r="L142" s="203" t="inlineStr">
        <is>
          <t>Dr Chee Yie Roei, Director (named on own site)</t>
        </is>
      </c>
      <c r="M142" s="206" t="inlineStr">
        <is>
          <t>A</t>
        </is>
      </c>
      <c r="N142" s="203" t="inlineStr">
        <is>
          <t>Not stated</t>
        </is>
      </c>
      <c r="O142" s="203" t="inlineStr">
        <is>
          <t>Independent GP: price sensitive and not yet saturated, which fits the GP and small clinic focus. Point of care answers in the room without a referral. Ultrasound use: Not stated. Confirm on the first call.</t>
        </is>
      </c>
      <c r="P142" s="203" t="inlineStr">
        <is>
          <t>SonoEye P3 (pocket handheld for the consult room) + SonoAir 70 (2.1 kg, four active ports, auto bladder volume, thyroid and breast nodule tools)</t>
        </is>
      </c>
      <c r="Q142" s="208" t="inlineStr">
        <is>
          <t>P2</t>
        </is>
      </c>
      <c r="R142" s="203" t="inlineStr">
        <is>
          <t>P2: verified email on own site; general GP fit.</t>
        </is>
      </c>
      <c r="S142" s="203" t="inlineStr">
        <is>
          <t>Own site opened 2 to 3 Oct 2026</t>
        </is>
      </c>
      <c r="T142" s="203" t="inlineStr">
        <is>
          <t>CHISON point of care ultrasound for Belfield Medical Clinic</t>
        </is>
      </c>
      <c r="U142" s="203" t="inlineStr">
        <is>
          <t>Dear Dr Chee,
I am Casper Tan, Senior Regional Sales Manager at AstraMed Healthcare, the Singapore subsidiary of CHISON Medical Technologies. You do minor procedures, women's wellness and house calls from Bedok, three settings where a pocket scan earns its place.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Belfield Medical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3" ht="48" customHeight="1" s="104">
      <c r="A143" s="203" t="n">
        <v>139</v>
      </c>
      <c r="B143" s="204" t="inlineStr">
        <is>
          <t>Belief Medical</t>
        </is>
      </c>
      <c r="C143" s="203" t="inlineStr">
        <is>
          <t>Not started</t>
        </is>
      </c>
      <c r="D143" s="203" t="inlineStr">
        <is>
          <t>GP clinic</t>
        </is>
      </c>
      <c r="E143" s="203" t="inlineStr">
        <is>
          <t>GP clinic (independent)</t>
        </is>
      </c>
      <c r="F143" s="203" t="inlineStr">
        <is>
          <t>Family medicine, screening, skin and hair, weight management, sexual health</t>
        </is>
      </c>
      <c r="G143" s="203" t="inlineStr">
        <is>
          <t>Lavender (Kitchener Complex)</t>
        </is>
      </c>
      <c r="H143" s="205" t="inlineStr">
        <is>
          <t>https://belief.sg</t>
        </is>
      </c>
      <c r="I143" s="203" t="inlineStr">
        <is>
          <t>+65 6592 4667 / WhatsApp +65 8770 9188</t>
        </is>
      </c>
      <c r="J143" s="203" t="inlineStr">
        <is>
          <t>Not published on site. WhatsApp or call</t>
        </is>
      </c>
      <c r="K143" s="203" t="inlineStr">
        <is>
          <t>Kitchener Complex, 809 French Road #02-32, Singapore 200809</t>
        </is>
      </c>
      <c r="L143" s="203" t="inlineStr">
        <is>
          <t>Dr Sam Lua (named on own site)</t>
        </is>
      </c>
      <c r="M143" s="206" t="inlineStr">
        <is>
          <t>A</t>
        </is>
      </c>
      <c r="N143" s="203" t="inlineStr">
        <is>
          <t>Not stated</t>
        </is>
      </c>
      <c r="O143" s="203" t="inlineStr">
        <is>
          <t>Screening led practice where thyroid, abdominal and carotid ultrasound add value to existing packages. Ultrasound use: Not stated. Confirm on the first call. No email published: call or WhatsApp for the right inbox, then send.</t>
        </is>
      </c>
      <c r="P143" s="203" t="inlineStr">
        <is>
          <t>SonoAir 70 (auto thyroid and breast nodule tools, IMT across visits) + SonoEye P3 (pocket handheld for the consult room)</t>
        </is>
      </c>
      <c r="Q143" s="208" t="inlineStr">
        <is>
          <t>P2</t>
        </is>
      </c>
      <c r="R143" s="203" t="inlineStr">
        <is>
          <t>P2: no email published, call or WhatsApp first; high fit for CHISON.</t>
        </is>
      </c>
      <c r="S143" s="203" t="inlineStr">
        <is>
          <t>Own site opened 2 to 3 Oct 2026</t>
        </is>
      </c>
      <c r="T143" s="203" t="inlineStr">
        <is>
          <t>CHISON ultrasound for Belief Medical: thyroid, abdomen and carotid in one visit</t>
        </is>
      </c>
      <c r="U143" s="203" t="inlineStr">
        <is>
          <t>Dear Dr Lua,
I am Casper Tan, Senior Regional Sales Manager at AstraMed Healthcare, the Singapore subsidiary of CHISON Medical Technologies. Preventive screening and family medicine near Lavender are where abdominal and thyroid ultrasound add value.
CHISON has made diagnostic ultrasound in Wuxi since 1996 and sells in more than 100 countries. The systems below are registered with HSA, with AstraMed as the local registrant, so supply, application training and service are all handled here in Singapore.
For screening and preventive work, these are the two I would put forward:
• SonoAir 70: a 2.1 kg laptop with automatic thyroid and breast nodule tools and intima media thickness tracked across visits
• SonoEye P3: a pocket handheld for quick bedside answers in the consult room
Adding ultrasound to the screening visit keeps the patient with you instead of sending them on to an imaging centre.
Our demonstration units arrive in Singapore in October. Could I drop by Belief Medical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4" ht="36" customHeight="1" s="104">
      <c r="A144" s="203" t="n">
        <v>140</v>
      </c>
      <c r="B144" s="204" t="inlineStr">
        <is>
          <t>Boey @ Holland V (Family Health Medical Clinic)</t>
        </is>
      </c>
      <c r="C144" s="203" t="inlineStr">
        <is>
          <t>Contacted</t>
        </is>
      </c>
      <c r="D144" s="203" t="inlineStr">
        <is>
          <t>GP clinic</t>
        </is>
      </c>
      <c r="E144" s="203" t="inlineStr">
        <is>
          <t>GP clinic (independent)</t>
        </is>
      </c>
      <c r="F144" s="203" t="inlineStr">
        <is>
          <t>Primary care for all ages, surgical procedures, vaccinations, screening packages</t>
        </is>
      </c>
      <c r="G144" s="203" t="inlineStr">
        <is>
          <t>Holland Village</t>
        </is>
      </c>
      <c r="H144" s="205" t="inlineStr">
        <is>
          <t>https://www.boeyhollandv.com</t>
        </is>
      </c>
      <c r="I144" s="203" t="inlineStr">
        <is>
          <t>+65 6235 7988</t>
        </is>
      </c>
      <c r="J144" s="203" t="inlineStr">
        <is>
          <t>boeyathollandv@gmail.com</t>
        </is>
      </c>
      <c r="K144" s="203" t="inlineStr">
        <is>
          <t>6 Lorong Mambong, Singapore 277673</t>
        </is>
      </c>
      <c r="L144" s="203" t="inlineStr">
        <is>
          <t>Dr Boey Kok Hoe (named on own site)</t>
        </is>
      </c>
      <c r="M144" s="206" t="inlineStr">
        <is>
          <t>A</t>
        </is>
      </c>
      <c r="N144" s="203" t="inlineStr">
        <is>
          <t>Not stated</t>
        </is>
      </c>
      <c r="O144" s="203" t="inlineStr">
        <is>
          <t>Independent GP: price sensitive and not yet saturated, which fits the GP and small clinic focus. Point of care answers in the room without a referral. Ultrasound use: Not stated. Confirm on the first call.</t>
        </is>
      </c>
      <c r="P144" s="203" t="inlineStr">
        <is>
          <t>SonoEye P3 (pocket handheld for the consult room) + SonoAir 70 (2.1 kg, four active ports, auto bladder volume, thyroid and breast nodule tools)</t>
        </is>
      </c>
      <c r="Q144" s="208" t="inlineStr">
        <is>
          <t>P2</t>
        </is>
      </c>
      <c r="R144" s="203" t="inlineStr">
        <is>
          <t>P2: verified email on own site; general GP fit.</t>
        </is>
      </c>
      <c r="S144" s="203" t="inlineStr">
        <is>
          <t>Own site opened 2 to 3 Oct 2026</t>
        </is>
      </c>
      <c r="T144" s="203" t="inlineStr">
        <is>
          <t>CHISON point of care ultrasound for Boey @ Holland V</t>
        </is>
      </c>
      <c r="U144" s="203" t="inlineStr">
        <is>
          <t>Dear Dr Boey,
I am Casper Tan, Senior Regional Sales Manager at AstraMed Healthcare, the Singapore subsidiary of CHISON Medical Technologies. Your practice covers medical and surgical care and screening for all ages in Holland Village.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Boey @ Holland V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5" ht="36" customHeight="1" s="104">
      <c r="A145" s="203" t="n">
        <v>141</v>
      </c>
      <c r="B145" s="204" t="inlineStr">
        <is>
          <t>Chang Clinic &amp; Surgery</t>
        </is>
      </c>
      <c r="C145" s="203" t="inlineStr">
        <is>
          <t>Contacted</t>
        </is>
      </c>
      <c r="D145" s="203" t="inlineStr">
        <is>
          <t>GP clinic</t>
        </is>
      </c>
      <c r="E145" s="203" t="inlineStr">
        <is>
          <t>GP clinic (independent)</t>
        </is>
      </c>
      <c r="F145" s="203" t="inlineStr">
        <is>
          <t>Family medicine, screening, ECG and breath tests, minor surgery, vaccinations, statutory medicals, video consults</t>
        </is>
      </c>
      <c r="G145" s="203" t="inlineStr">
        <is>
          <t>Everton Park</t>
        </is>
      </c>
      <c r="H145" s="205" t="inlineStr">
        <is>
          <t>https://www.changclinicandsurgery.com</t>
        </is>
      </c>
      <c r="I145" s="203" t="inlineStr">
        <is>
          <t>+65 6221 6955 (also WhatsApp)</t>
        </is>
      </c>
      <c r="J145" s="203" t="inlineStr">
        <is>
          <t>admin@changclinicandsurgery.com</t>
        </is>
      </c>
      <c r="K145" s="203" t="inlineStr">
        <is>
          <t>Blk 7 Everton Park #01-21, Singapore 080007</t>
        </is>
      </c>
      <c r="L145" s="203" t="inlineStr">
        <is>
          <t>Doctors not named on home page</t>
        </is>
      </c>
      <c r="M145" s="206" t="inlineStr">
        <is>
          <t>A</t>
        </is>
      </c>
      <c r="N145" s="203" t="inlineStr">
        <is>
          <t>Not stated</t>
        </is>
      </c>
      <c r="O145" s="203" t="inlineStr">
        <is>
          <t>Independent GP: price sensitive and not yet saturated, which fits the GP and small clinic focus. Point of care answers in the room without a referral. Ultrasound use: Not stated. Confirm on the first call.</t>
        </is>
      </c>
      <c r="P145" s="203" t="inlineStr">
        <is>
          <t>SonoEye P3 (pocket handheld for the consult room) + SonoAir 70 (2.1 kg, four active ports, auto bladder volume, thyroid and breast nodule tools)</t>
        </is>
      </c>
      <c r="Q145" s="208" t="inlineStr">
        <is>
          <t>P2</t>
        </is>
      </c>
      <c r="R145" s="203" t="inlineStr">
        <is>
          <t>P2: verified email on own site; general GP fit.</t>
        </is>
      </c>
      <c r="S145" s="203" t="inlineStr">
        <is>
          <t>Own site opened 2 to 3 Oct 2026</t>
        </is>
      </c>
      <c r="T145" s="203" t="inlineStr">
        <is>
          <t>CHISON point of care ultrasound for Chang Clinic &amp; Surgery</t>
        </is>
      </c>
      <c r="U145" s="203" t="inlineStr">
        <is>
          <t>Dear Chang Clinic &amp; Surgery team,
I am Casper Tan, Senior Regional Sales Manager at AstraMed Healthcare, the Singapore subsidiary of CHISON Medical Technologies. Screening, investigations and minor surgery at Everton Park are where a quick scan in the room saves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Chang Clinic &amp; Surgery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6" ht="36" customHeight="1" s="104">
      <c r="A146" s="203" t="n">
        <v>142</v>
      </c>
      <c r="B146" s="204" t="inlineStr">
        <is>
          <t>Crossroads Family Clinic</t>
        </is>
      </c>
      <c r="C146" s="203" t="inlineStr">
        <is>
          <t>Contacted</t>
        </is>
      </c>
      <c r="D146" s="203" t="inlineStr">
        <is>
          <t>GP clinic</t>
        </is>
      </c>
      <c r="E146" s="203" t="inlineStr">
        <is>
          <t>GP clinic (independent)</t>
        </is>
      </c>
      <c r="F146" s="203" t="inlineStr">
        <is>
          <t>Family clinic</t>
        </is>
      </c>
      <c r="G146" s="203" t="inlineStr">
        <is>
          <t>Tampines</t>
        </is>
      </c>
      <c r="H146" s="205" t="inlineStr">
        <is>
          <t>https://crossroadsfamilyclinic.com.sg</t>
        </is>
      </c>
      <c r="I146" s="203" t="inlineStr">
        <is>
          <t>+65 6592 7080 (fax 6592 7079)</t>
        </is>
      </c>
      <c r="J146" s="203" t="inlineStr">
        <is>
          <t>enquiry.crfc@gmail.com</t>
        </is>
      </c>
      <c r="K146" s="203" t="inlineStr">
        <is>
          <t>Blk 601B Tampines Ave 9 #01-10, Singapore 522601</t>
        </is>
      </c>
      <c r="L146" s="203" t="inlineStr">
        <is>
          <t>Not named on contact page</t>
        </is>
      </c>
      <c r="M146" s="206" t="inlineStr">
        <is>
          <t>A</t>
        </is>
      </c>
      <c r="N146" s="203" t="inlineStr">
        <is>
          <t>Not stated</t>
        </is>
      </c>
      <c r="O146" s="203" t="inlineStr">
        <is>
          <t>Independent GP: price sensitive and not yet saturated, which fits the GP and small clinic focus. Point of care answers in the room without a referral. Ultrasound use: Not stated. Confirm on the first call.</t>
        </is>
      </c>
      <c r="P146" s="203" t="inlineStr">
        <is>
          <t>SonoEye P3 (pocket handheld for the consult room) + SonoAir 70 (2.1 kg, four active ports, auto bladder volume, thyroid and breast nodule tools)</t>
        </is>
      </c>
      <c r="Q146" s="208" t="inlineStr">
        <is>
          <t>P2</t>
        </is>
      </c>
      <c r="R146" s="203" t="inlineStr">
        <is>
          <t>P2: verified email on own site; general GP fit.</t>
        </is>
      </c>
      <c r="S146" s="203" t="inlineStr">
        <is>
          <t>Own site opened 2 to 3 Oct 2026</t>
        </is>
      </c>
      <c r="T146" s="203" t="inlineStr">
        <is>
          <t>CHISON point of care ultrasound for Crossroads Family Clinic</t>
        </is>
      </c>
      <c r="U146" s="203" t="inlineStr">
        <is>
          <t>Dear Crossroads Family Clinic team,
I am Casper Tan, Senior Regional Sales Manager at AstraMed Healthcare, the Singapore subsidiary of CHISON Medical Technologies. For a neighbourhood family clinic in Tampines, a quick scan in the consult room can save your patients a separate imaging trip.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Crossroads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7" ht="36" customHeight="1" s="104">
      <c r="A147" s="203" t="n">
        <v>143</v>
      </c>
      <c r="B147" s="204" t="inlineStr">
        <is>
          <t>Doctors Clinic and Surgery (Woodlands)</t>
        </is>
      </c>
      <c r="C147" s="203" t="inlineStr">
        <is>
          <t>Contacted</t>
        </is>
      </c>
      <c r="D147" s="203" t="inlineStr">
        <is>
          <t>GP clinic</t>
        </is>
      </c>
      <c r="E147" s="203" t="inlineStr">
        <is>
          <t>GP clinic (independent)</t>
        </is>
      </c>
      <c r="F147" s="203" t="inlineStr">
        <is>
          <t>Family GP clinic, anonymous HIV testing, designated factory doctor services</t>
        </is>
      </c>
      <c r="G147" s="203" t="inlineStr">
        <is>
          <t>Woodlands</t>
        </is>
      </c>
      <c r="H147" s="205" t="inlineStr">
        <is>
          <t>https://www.doctorsclinicandsurgery.com</t>
        </is>
      </c>
      <c r="I147" s="203" t="inlineStr">
        <is>
          <t>+65 6269 1017</t>
        </is>
      </c>
      <c r="J147" s="203" t="inlineStr">
        <is>
          <t>lowcheewahmark@outlook.com</t>
        </is>
      </c>
      <c r="K147" s="203" t="inlineStr">
        <is>
          <t>Blk 305 Woodlands Street 31 #01-91, Singapore 730305</t>
        </is>
      </c>
      <c r="L147" s="203" t="inlineStr">
        <is>
          <t>Dr Low Chee Wah Mark, Family Physician (named on own site)</t>
        </is>
      </c>
      <c r="M147" s="206" t="inlineStr">
        <is>
          <t>A</t>
        </is>
      </c>
      <c r="N147" s="203" t="inlineStr">
        <is>
          <t>Not stated</t>
        </is>
      </c>
      <c r="O147" s="203" t="inlineStr">
        <is>
          <t>Independent GP: price sensitive and not yet saturated, which fits the GP and small clinic focus. Point of care answers in the room without a referral. Ultrasound use: Not stated. Confirm on the first call.</t>
        </is>
      </c>
      <c r="P147" s="203" t="inlineStr">
        <is>
          <t>SonoEye P3 (pocket handheld for the consult room) + SonoAir 70 (2.1 kg, four active ports, auto bladder volume, thyroid and breast nodule tools)</t>
        </is>
      </c>
      <c r="Q147" s="208" t="inlineStr">
        <is>
          <t>P2</t>
        </is>
      </c>
      <c r="R147" s="203" t="inlineStr">
        <is>
          <t>P2: verified email on own site; general GP fit.</t>
        </is>
      </c>
      <c r="S147" s="203" t="inlineStr">
        <is>
          <t>Own site opened 2 to 3 Oct 2026</t>
        </is>
      </c>
      <c r="T147" s="203" t="inlineStr">
        <is>
          <t>CHISON point of care ultrasound for Doctors Clinic and Surgery</t>
        </is>
      </c>
      <c r="U147" s="203" t="inlineStr">
        <is>
          <t>Dear Dr Low,
I am Casper Tan, Senior Regional Sales Manager at AstraMed Healthcare, the Singapore subsidiary of CHISON Medical Technologies. For an established Woodlands practice that prides itself on short waits, a scan in the room saves patients a second trip.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Doctors Clinic and Surgery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8" ht="48" customHeight="1" s="104">
      <c r="A148" s="203" t="n">
        <v>144</v>
      </c>
      <c r="B148" s="204" t="inlineStr">
        <is>
          <t>Dr. Chua's Family Clinic</t>
        </is>
      </c>
      <c r="C148" s="203" t="inlineStr">
        <is>
          <t>Not started</t>
        </is>
      </c>
      <c r="D148" s="203" t="inlineStr">
        <is>
          <t>GP clinic</t>
        </is>
      </c>
      <c r="E148" s="203" t="inlineStr">
        <is>
          <t>GP clinic (independent)</t>
        </is>
      </c>
      <c r="F148" s="203" t="inlineStr">
        <is>
          <t>Children's care, joint injections, acute and chronic care, screening, skin and weight management</t>
        </is>
      </c>
      <c r="G148" s="203" t="inlineStr">
        <is>
          <t>Jurong West (Pioneer Mall)</t>
        </is>
      </c>
      <c r="H148" s="205" t="inlineStr">
        <is>
          <t>https://www.drchuafc.com.sg</t>
        </is>
      </c>
      <c r="I148" s="203" t="inlineStr">
        <is>
          <t>+65 6792 8505 (fax 6794 3822)</t>
        </is>
      </c>
      <c r="J148" s="203" t="inlineStr">
        <is>
          <t>Not published on site. Call to request</t>
        </is>
      </c>
      <c r="K148" s="203" t="inlineStr">
        <is>
          <t>Blk 638 Jurong West Street 61 #02-04, Pioneer Mall, Singapore 640638</t>
        </is>
      </c>
      <c r="L148" s="203" t="inlineStr">
        <is>
          <t>Dr Chua Kok Keong (named on own site)</t>
        </is>
      </c>
      <c r="M148" s="206" t="inlineStr">
        <is>
          <t>A</t>
        </is>
      </c>
      <c r="N148" s="203" t="inlineStr">
        <is>
          <t>Not stated (joint injections offered)</t>
        </is>
      </c>
      <c r="O148" s="203" t="inlineStr">
        <is>
          <t>GP with joint and injection work: a high frequency handheld turns blind injections into guided ones. Ultrasound use: Not stated (joint injections offered). Confirm on the first call. No email published: call or WhatsApp for the right inbox, then send.</t>
        </is>
      </c>
      <c r="P148" s="203" t="inlineStr">
        <is>
          <t>SonoEye P5 (phone paired, high frequency for tendons, joints, injections) + SonoAir 70 (SonoMSK, SonoNerve, four active ports)</t>
        </is>
      </c>
      <c r="Q148" s="208" t="inlineStr">
        <is>
          <t>P2</t>
        </is>
      </c>
      <c r="R148" s="203" t="inlineStr">
        <is>
          <t>P2: no email published, call or WhatsApp first; high fit for CHISON.</t>
        </is>
      </c>
      <c r="S148" s="203" t="inlineStr">
        <is>
          <t>Own site opened 2 to 3 Oct 2026</t>
        </is>
      </c>
      <c r="T148" s="203" t="inlineStr">
        <is>
          <t>CHISON ultrasound for Dr Chua's Family Clinic: joint scans and guided injections</t>
        </is>
      </c>
      <c r="U148" s="203" t="inlineStr">
        <is>
          <t>Dear Dr Chua,
I am Casper Tan, Senior Regional Sales Manager at AstraMed Healthcare, the Singapore subsidiary of CHISON Medical Technologies. You already offer joint injections at Pioneer Mall, which are more precise and easier to document under ultrasound guidance.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these are the two I would put forward:
• SonoEye P5: a phone paired handheld with high frequency imaging for tendons, joints and needle work
• SonoAir 70: a 2.1 kg laptop with SonoMSK and SonoNerve tools and four active probe ports
For joint and muscle work, a scan before the needle shows you the target and makes each injection easier to document.
Our demonstration units arrive in Singapore in October. Could I drop by Dr Chua's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49" ht="36" customHeight="1" s="104">
      <c r="A149" s="203" t="n">
        <v>145</v>
      </c>
      <c r="B149" s="204" t="inlineStr">
        <is>
          <t>EHA Clinic Jurong</t>
        </is>
      </c>
      <c r="C149" s="203" t="inlineStr">
        <is>
          <t>Contacted</t>
        </is>
      </c>
      <c r="D149" s="203" t="inlineStr">
        <is>
          <t>GP clinic</t>
        </is>
      </c>
      <c r="E149" s="203" t="inlineStr">
        <is>
          <t>GP clinic (independent)</t>
        </is>
      </c>
      <c r="F149" s="203" t="inlineStr">
        <is>
          <t>GP with screening, work permit checks, Screen for Life, vaccinations, acute and chronic care; evening hours to 10pm</t>
        </is>
      </c>
      <c r="G149" s="203" t="inlineStr">
        <is>
          <t>Jurong West</t>
        </is>
      </c>
      <c r="H149" s="205" t="inlineStr">
        <is>
          <t>https://ehajurong.com</t>
        </is>
      </c>
      <c r="I149" s="203" t="inlineStr">
        <is>
          <t>+65 6566 0257 / WhatsApp +65 8129 0998</t>
        </is>
      </c>
      <c r="J149" s="203" t="inlineStr">
        <is>
          <t>jw@eha.com.sg</t>
        </is>
      </c>
      <c r="K149" s="203" t="inlineStr">
        <is>
          <t>Blk 492 Jurong West Street 41 #01-40, Singapore 640492</t>
        </is>
      </c>
      <c r="L149" s="203" t="inlineStr">
        <is>
          <t>Dr Elias Tam, founder (named on own site)</t>
        </is>
      </c>
      <c r="M149" s="206" t="inlineStr">
        <is>
          <t>A</t>
        </is>
      </c>
      <c r="N149" s="203" t="inlineStr">
        <is>
          <t>Not stated</t>
        </is>
      </c>
      <c r="O149" s="203" t="inlineStr">
        <is>
          <t>Independent GP: price sensitive and not yet saturated, which fits the GP and small clinic focus. Point of care answers in the room without a referral. Ultrasound use: Not stated. Confirm on the first call.</t>
        </is>
      </c>
      <c r="P149" s="203" t="inlineStr">
        <is>
          <t>SonoEye P3 (pocket handheld for the consult room) + SonoAir 70 (2.1 kg, four active ports, auto bladder volume, thyroid and breast nodule tools)</t>
        </is>
      </c>
      <c r="Q149" s="208" t="inlineStr">
        <is>
          <t>P2</t>
        </is>
      </c>
      <c r="R149" s="203" t="inlineStr">
        <is>
          <t>P2: verified email on own site; general GP fit.</t>
        </is>
      </c>
      <c r="S149" s="203" t="inlineStr">
        <is>
          <t>Own site opened 2 to 3 Oct 2026</t>
        </is>
      </c>
      <c r="T149" s="203" t="inlineStr">
        <is>
          <t>CHISON point of care ultrasound for EHA Clinic Jurong</t>
        </is>
      </c>
      <c r="U149" s="203" t="inlineStr">
        <is>
          <t>Dear Dr Tam,
I am Casper Tan, Senior Regional Sales Manager at AstraMed Healthcare, the Singapore subsidiary of CHISON Medical Technologies. Screening, work permit checks and evening hours at your Jurong West clinic are where a quick scan adds value.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EHA Clinic Jurong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0" ht="36" customHeight="1" s="104">
      <c r="A150" s="203" t="n">
        <v>146</v>
      </c>
      <c r="B150" s="204" t="inlineStr">
        <is>
          <t>Elyon Family Clinic &amp; Surgery</t>
        </is>
      </c>
      <c r="C150" s="203" t="inlineStr">
        <is>
          <t>Contacted</t>
        </is>
      </c>
      <c r="D150" s="203" t="inlineStr">
        <is>
          <t>GP clinic</t>
        </is>
      </c>
      <c r="E150" s="203" t="inlineStr">
        <is>
          <t>GP clinic (independent)</t>
        </is>
      </c>
      <c r="F150" s="203" t="inlineStr">
        <is>
          <t>Family medicine, men's and sexual health, women's health, screening, travel health, minor surgery</t>
        </is>
      </c>
      <c r="G150" s="203" t="inlineStr">
        <is>
          <t>Telok Blangah</t>
        </is>
      </c>
      <c r="H150" s="205" t="inlineStr">
        <is>
          <t>https://elyonclinic.com.sg</t>
        </is>
      </c>
      <c r="I150" s="203" t="inlineStr">
        <is>
          <t>+65 6802 7208 / WhatsApp +65 8418 7208</t>
        </is>
      </c>
      <c r="J150" s="203" t="inlineStr">
        <is>
          <t>elyonfamilyclinic@gmail.com</t>
        </is>
      </c>
      <c r="K150" s="203" t="inlineStr">
        <is>
          <t>78B Telok Blangah Street 32 #01-22, Singapore 102078</t>
        </is>
      </c>
      <c r="L150" s="203" t="inlineStr">
        <is>
          <t>Dr Vincent Chia and Dr Mark Lu (named on own site)</t>
        </is>
      </c>
      <c r="M150" s="206" t="inlineStr">
        <is>
          <t>A</t>
        </is>
      </c>
      <c r="N150" s="203" t="inlineStr">
        <is>
          <t>Not stated</t>
        </is>
      </c>
      <c r="O150" s="203" t="inlineStr">
        <is>
          <t>Independent GP: price sensitive and not yet saturated, which fits the GP and small clinic focus. Point of care answers in the room without a referral. Ultrasound use: Not stated. Confirm on the first call.</t>
        </is>
      </c>
      <c r="P150" s="203" t="inlineStr">
        <is>
          <t>SonoEye P3 (pocket handheld for the consult room) + SonoAir 70 (2.1 kg, four active ports, auto bladder volume, thyroid and breast nodule tools)</t>
        </is>
      </c>
      <c r="Q150" s="208" t="inlineStr">
        <is>
          <t>P2</t>
        </is>
      </c>
      <c r="R150" s="203" t="inlineStr">
        <is>
          <t>P2: verified email on own site; general GP fit.</t>
        </is>
      </c>
      <c r="S150" s="203" t="inlineStr">
        <is>
          <t>Own site opened 2 to 3 Oct 2026</t>
        </is>
      </c>
      <c r="T150" s="203" t="inlineStr">
        <is>
          <t>CHISON point of care ultrasound for Elyon Family Clinic</t>
        </is>
      </c>
      <c r="U150" s="203" t="inlineStr">
        <is>
          <t>Dear Dr Chia and Dr Lu,
I am Casper Tan, Senior Regional Sales Manager at AstraMed Healthcare, the Singapore subsidiary of CHISON Medical Technologies. Men's and women's health and minor surgery at your Telok Blangah clinic are where a quick scan answers the question in the room.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Elyon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1" ht="36" customHeight="1" s="104">
      <c r="A151" s="203" t="n">
        <v>147</v>
      </c>
      <c r="B151" s="204" t="inlineStr">
        <is>
          <t>Family Care Clinic (Bukit Batok)</t>
        </is>
      </c>
      <c r="C151" s="203" t="inlineStr">
        <is>
          <t>Contacted</t>
        </is>
      </c>
      <c r="D151" s="203" t="inlineStr">
        <is>
          <t>GP clinic</t>
        </is>
      </c>
      <c r="E151" s="203" t="inlineStr">
        <is>
          <t>GP clinic (independent)</t>
        </is>
      </c>
      <c r="F151" s="203" t="inlineStr">
        <is>
          <t>Family clinic with screening packages and government schemes</t>
        </is>
      </c>
      <c r="G151" s="203" t="inlineStr">
        <is>
          <t>Bukit Batok</t>
        </is>
      </c>
      <c r="H151" s="205" t="inlineStr">
        <is>
          <t>https://www.familycareclinic.sg</t>
        </is>
      </c>
      <c r="I151" s="203" t="inlineStr">
        <is>
          <t>+65 6567 1775 / WhatsApp +65 8799 4157 (appointments)</t>
        </is>
      </c>
      <c r="J151" s="203" t="inlineStr">
        <is>
          <t>frontdesk@familycareclinic.sg</t>
        </is>
      </c>
      <c r="K151" s="203" t="inlineStr">
        <is>
          <t>415 Bukit Batok West Avenue 4 #01-272, Singapore 650415</t>
        </is>
      </c>
      <c r="L151" s="203" t="inlineStr">
        <is>
          <t>Doctors not named on contact page</t>
        </is>
      </c>
      <c r="M151" s="206" t="inlineStr">
        <is>
          <t>A</t>
        </is>
      </c>
      <c r="N151" s="203" t="inlineStr">
        <is>
          <t>Not stated</t>
        </is>
      </c>
      <c r="O151" s="203" t="inlineStr">
        <is>
          <t>Independent GP: price sensitive and not yet saturated, which fits the GP and small clinic focus. Point of care answers in the room without a referral. Ultrasound use: Not stated. Confirm on the first call.</t>
        </is>
      </c>
      <c r="P151" s="203" t="inlineStr">
        <is>
          <t>SonoEye P3 (pocket handheld for the consult room) + SonoAir 70 (2.1 kg, four active ports, auto bladder volume, thyroid and breast nodule tools)</t>
        </is>
      </c>
      <c r="Q151" s="208" t="inlineStr">
        <is>
          <t>P2</t>
        </is>
      </c>
      <c r="R151" s="203" t="inlineStr">
        <is>
          <t>P2: verified email on own site; general GP fit.</t>
        </is>
      </c>
      <c r="S151" s="203" t="inlineStr">
        <is>
          <t>Own site opened 2 to 3 Oct 2026</t>
        </is>
      </c>
      <c r="T151" s="203" t="inlineStr">
        <is>
          <t>CHISON point of care ultrasound for Family Care Clinic</t>
        </is>
      </c>
      <c r="U151" s="203" t="inlineStr">
        <is>
          <t>Dear Family Care Clinic team,
I am Casper Tan, Senior Regional Sales Manager at AstraMed Healthcare, the Singapore subsidiary of CHISON Medical Technologies. Screening packages and family care at your Bukit Batok clinic are where a quick scan saves patients a separate trip.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Family Care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2" ht="36" customHeight="1" s="104">
      <c r="A152" s="203" t="n">
        <v>148</v>
      </c>
      <c r="B152" s="204" t="inlineStr">
        <is>
          <t>Heartland Family Clinic</t>
        </is>
      </c>
      <c r="C152" s="203" t="inlineStr">
        <is>
          <t>Contacted</t>
        </is>
      </c>
      <c r="D152" s="203" t="inlineStr">
        <is>
          <t>GP clinic</t>
        </is>
      </c>
      <c r="E152" s="203" t="inlineStr">
        <is>
          <t>GP clinic (independent)</t>
        </is>
      </c>
      <c r="F152" s="203" t="inlineStr">
        <is>
          <t>Vaccinations, acute and chronic care, women's health</t>
        </is>
      </c>
      <c r="G152" s="203" t="inlineStr">
        <is>
          <t>Yishun</t>
        </is>
      </c>
      <c r="H152" s="205" t="inlineStr">
        <is>
          <t>https://heartlandfamilyclinic.sg</t>
        </is>
      </c>
      <c r="I152" s="203" t="inlineStr">
        <is>
          <t>+65 6250 0655 (fax 6250 2803)</t>
        </is>
      </c>
      <c r="J152" s="203" t="inlineStr">
        <is>
          <t>enquiry@heartlandfamilyclinic.sg</t>
        </is>
      </c>
      <c r="K152" s="203" t="inlineStr">
        <is>
          <t>333C Yishun Street 31 #01-167, Singapore 763333</t>
        </is>
      </c>
      <c r="L152" s="203" t="inlineStr">
        <is>
          <t>Doctors not named on site</t>
        </is>
      </c>
      <c r="M152" s="206" t="inlineStr">
        <is>
          <t>A</t>
        </is>
      </c>
      <c r="N152" s="203" t="inlineStr">
        <is>
          <t>Not stated</t>
        </is>
      </c>
      <c r="O152" s="203" t="inlineStr">
        <is>
          <t>Independent GP: price sensitive and not yet saturated, which fits the GP and small clinic focus. Point of care answers in the room without a referral. Ultrasound use: Not stated. Confirm on the first call.</t>
        </is>
      </c>
      <c r="P152" s="203" t="inlineStr">
        <is>
          <t>SonoEye P3 (pocket handheld for the consult room) + SonoAir 70 (2.1 kg, four active ports, auto bladder volume, thyroid and breast nodule tools)</t>
        </is>
      </c>
      <c r="Q152" s="208" t="inlineStr">
        <is>
          <t>P2</t>
        </is>
      </c>
      <c r="R152" s="203" t="inlineStr">
        <is>
          <t>P2: verified email on own site; general GP fit.</t>
        </is>
      </c>
      <c r="S152" s="203" t="inlineStr">
        <is>
          <t>Own site opened 2 to 3 Oct 2026</t>
        </is>
      </c>
      <c r="T152" s="203" t="inlineStr">
        <is>
          <t>CHISON point of care ultrasound for Heartland Family Clinic</t>
        </is>
      </c>
      <c r="U152" s="203" t="inlineStr">
        <is>
          <t>Dear Heartland Family Clinic team,
I am Casper Tan, Senior Regional Sales Manager at AstraMed Healthcare, the Singapore subsidiary of CHISON Medical Technologies. For a Yishun family clinic covering acute, chronic and women's health, a quick scan in the room can save patients a trip to imaging.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Heartland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3" ht="36" customHeight="1" s="104">
      <c r="A153" s="203" t="n">
        <v>149</v>
      </c>
      <c r="B153" s="204" t="inlineStr">
        <is>
          <t>Keat Hong Family Medicine Clinic</t>
        </is>
      </c>
      <c r="C153" s="203" t="inlineStr">
        <is>
          <t>Contacted</t>
        </is>
      </c>
      <c r="D153" s="203" t="inlineStr">
        <is>
          <t>GP clinic</t>
        </is>
      </c>
      <c r="E153" s="203" t="inlineStr">
        <is>
          <t>GP clinic (independent)</t>
        </is>
      </c>
      <c r="F153" s="203" t="inlineStr">
        <is>
          <t>Common acute ailments and chronic disease management</t>
        </is>
      </c>
      <c r="G153" s="203" t="inlineStr">
        <is>
          <t>Choa Chu Kang (Keat Hong)</t>
        </is>
      </c>
      <c r="H153" s="205" t="inlineStr">
        <is>
          <t>https://www.khfmc.com.sg</t>
        </is>
      </c>
      <c r="I153" s="203" t="inlineStr">
        <is>
          <t>+65 6769 0750</t>
        </is>
      </c>
      <c r="J153" s="203" t="inlineStr">
        <is>
          <t>keathongfmc@gmail.com</t>
        </is>
      </c>
      <c r="K153" s="203" t="inlineStr">
        <is>
          <t>Keat Hong Community Club, 2 Choa Chu Kang Loop #03-02, Singapore 689687 (unit per published clinic guide; own site says Choa Chu Kang)</t>
        </is>
      </c>
      <c r="L153" s="203" t="inlineStr">
        <is>
          <t>Doctors not named on home page</t>
        </is>
      </c>
      <c r="M153" s="206" t="inlineStr">
        <is>
          <t>A</t>
        </is>
      </c>
      <c r="N153" s="203" t="inlineStr">
        <is>
          <t>Not stated</t>
        </is>
      </c>
      <c r="O153" s="203" t="inlineStr">
        <is>
          <t>Independent GP: price sensitive and not yet saturated, which fits the GP and small clinic focus. Point of care answers in the room without a referral. Ultrasound use: Not stated. Confirm on the first call.</t>
        </is>
      </c>
      <c r="P153" s="203" t="inlineStr">
        <is>
          <t>SonoEye P3 (pocket handheld for the consult room) + SonoAir 70 (2.1 kg, four active ports, auto bladder volume, thyroid and breast nodule tools)</t>
        </is>
      </c>
      <c r="Q153" s="208" t="inlineStr">
        <is>
          <t>P2</t>
        </is>
      </c>
      <c r="R153" s="203" t="inlineStr">
        <is>
          <t>P2: verified email on own site; general GP fit.</t>
        </is>
      </c>
      <c r="S153" s="203" t="inlineStr">
        <is>
          <t>Own site opened 2 to 3 Oct 2026</t>
        </is>
      </c>
      <c r="T153" s="203" t="inlineStr">
        <is>
          <t>CHISON point of care ultrasound for Keat Hong Family Medicine Clinic</t>
        </is>
      </c>
      <c r="U153" s="203" t="inlineStr">
        <is>
          <t>Dear Keat Hong Family Medicine Clinic team,
I am Casper Tan, Senior Regional Sales Manager at AstraMed Healthcare, the Singapore subsidiary of CHISON Medical Technologies. Acute and chronic care at your Choa Chu Kang clinic are where a quick scan in the room settles common questions.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Keat Hong Family Medicine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4" ht="36" customHeight="1" s="104">
      <c r="A154" s="203" t="n">
        <v>150</v>
      </c>
      <c r="B154" s="204" t="inlineStr">
        <is>
          <t>Kensington Family Clinic</t>
        </is>
      </c>
      <c r="C154" s="203" t="inlineStr">
        <is>
          <t>Contacted</t>
        </is>
      </c>
      <c r="D154" s="203" t="inlineStr">
        <is>
          <t>GP clinic</t>
        </is>
      </c>
      <c r="E154" s="203" t="inlineStr">
        <is>
          <t>GP clinic (independent)</t>
        </is>
      </c>
      <c r="F154" s="203" t="inlineStr">
        <is>
          <t>General medicine, vaccinations, screening, sexual health, men's and women's health</t>
        </is>
      </c>
      <c r="G154" s="203" t="inlineStr">
        <is>
          <t>Serangoon Gardens</t>
        </is>
      </c>
      <c r="H154" s="205" t="inlineStr">
        <is>
          <t>https://www.kensingtonfamilyclinic.com</t>
        </is>
      </c>
      <c r="I154" s="203" t="inlineStr">
        <is>
          <t>+65 6288 4882 / WhatsApp +65 9295 9585</t>
        </is>
      </c>
      <c r="J154" s="203" t="inlineStr">
        <is>
          <t>info@kensingtonfamilyclinic.com (site mailto link: enquiries@kensingtonfamilyclinic.com)</t>
        </is>
      </c>
      <c r="K154" s="203" t="inlineStr">
        <is>
          <t>14D Kensington Park Road, Serangoon Gardens, Singapore 557265</t>
        </is>
      </c>
      <c r="L154" s="203" t="inlineStr">
        <is>
          <t>Doctors not named on home page</t>
        </is>
      </c>
      <c r="M154" s="206" t="inlineStr">
        <is>
          <t>A</t>
        </is>
      </c>
      <c r="N154" s="203" t="inlineStr">
        <is>
          <t>Not stated</t>
        </is>
      </c>
      <c r="O154" s="203" t="inlineStr">
        <is>
          <t>Independent GP: price sensitive and not yet saturated, which fits the GP and small clinic focus. Point of care answers in the room without a referral. Ultrasound use: Not stated. Confirm on the first call.</t>
        </is>
      </c>
      <c r="P154" s="203" t="inlineStr">
        <is>
          <t>SonoEye P3 (pocket handheld for the consult room) + SonoAir 70 (2.1 kg, four active ports, auto bladder volume, thyroid and breast nodule tools)</t>
        </is>
      </c>
      <c r="Q154" s="208" t="inlineStr">
        <is>
          <t>P2</t>
        </is>
      </c>
      <c r="R154" s="203" t="inlineStr">
        <is>
          <t>P2: verified email on own site; general GP fit.</t>
        </is>
      </c>
      <c r="S154" s="203" t="inlineStr">
        <is>
          <t>Own site opened 2 to 3 Oct 2026</t>
        </is>
      </c>
      <c r="T154" s="203" t="inlineStr">
        <is>
          <t>CHISON point of care ultrasound for Kensington Family Clinic</t>
        </is>
      </c>
      <c r="U154" s="203" t="inlineStr">
        <is>
          <t>Dear Kensington Family Clinic team,
I am Casper Tan, Senior Regional Sales Manager at AstraMed Healthcare, the Singapore subsidiary of CHISON Medical Technologies. General medicine, men's and women's health and screening in Serangoon Gardens are where a quick scan adds value.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Kensington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5" ht="36" customHeight="1" s="104">
      <c r="A155" s="203" t="n">
        <v>151</v>
      </c>
      <c r="B155" s="204" t="inlineStr">
        <is>
          <t>Medi Healthcare Clinic (Punggol)</t>
        </is>
      </c>
      <c r="C155" s="203" t="inlineStr">
        <is>
          <t>Contacted</t>
        </is>
      </c>
      <c r="D155" s="203" t="inlineStr">
        <is>
          <t>GP clinic</t>
        </is>
      </c>
      <c r="E155" s="203" t="inlineStr">
        <is>
          <t>GP clinic (independent)</t>
        </is>
      </c>
      <c r="F155" s="203" t="inlineStr">
        <is>
          <t>Neighbourhood family clinic</t>
        </is>
      </c>
      <c r="G155" s="203" t="inlineStr">
        <is>
          <t>Punggol</t>
        </is>
      </c>
      <c r="H155" s="205" t="inlineStr">
        <is>
          <t>https://www.medihealthcareclinic.com</t>
        </is>
      </c>
      <c r="I155" s="203" t="inlineStr">
        <is>
          <t>+65 6444 8748 (fax 6444 8749)</t>
        </is>
      </c>
      <c r="J155" s="203" t="inlineStr">
        <is>
          <t>punggol@medihealthcareclinic.com</t>
        </is>
      </c>
      <c r="K155" s="203" t="inlineStr">
        <is>
          <t>Blk 218 Sumang Walk #01-02, Singapore 820218</t>
        </is>
      </c>
      <c r="L155" s="203" t="inlineStr">
        <is>
          <t>Doctors not named on contact page</t>
        </is>
      </c>
      <c r="M155" s="206" t="inlineStr">
        <is>
          <t>A</t>
        </is>
      </c>
      <c r="N155" s="203" t="inlineStr">
        <is>
          <t>Not stated</t>
        </is>
      </c>
      <c r="O155" s="203" t="inlineStr">
        <is>
          <t>Independent GP: price sensitive and not yet saturated, which fits the GP and small clinic focus. Point of care answers in the room without a referral. Ultrasound use: Not stated. Confirm on the first call.</t>
        </is>
      </c>
      <c r="P155" s="203" t="inlineStr">
        <is>
          <t>SonoEye P3 (pocket handheld for the consult room) + SonoAir 70 (2.1 kg, four active ports, auto bladder volume, thyroid and breast nodule tools)</t>
        </is>
      </c>
      <c r="Q155" s="208" t="inlineStr">
        <is>
          <t>P2</t>
        </is>
      </c>
      <c r="R155" s="203" t="inlineStr">
        <is>
          <t>P2: verified email on own site; general GP fit.</t>
        </is>
      </c>
      <c r="S155" s="203" t="inlineStr">
        <is>
          <t>Own site opened 2 to 3 Oct 2026</t>
        </is>
      </c>
      <c r="T155" s="203" t="inlineStr">
        <is>
          <t>CHISON point of care ultrasound for Medi Healthcare Clinic</t>
        </is>
      </c>
      <c r="U155" s="203" t="inlineStr">
        <is>
          <t>Dear Medi Healthcare Clinic team,
I am Casper Tan, Senior Regional Sales Manager at AstraMed Healthcare, the Singapore subsidiary of CHISON Medical Technologies. For a busy Punggol family clinic, a quick scan in the room settles common questions the same day.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Medi Healthcare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6" ht="36" customHeight="1" s="104">
      <c r="A156" s="203" t="n">
        <v>152</v>
      </c>
      <c r="B156" s="204" t="inlineStr">
        <is>
          <t>Medihealth (Kallang Bahru)</t>
        </is>
      </c>
      <c r="C156" s="203" t="inlineStr">
        <is>
          <t>Contacted</t>
        </is>
      </c>
      <c r="D156" s="203" t="inlineStr">
        <is>
          <t>GP clinic</t>
        </is>
      </c>
      <c r="E156" s="203" t="inlineStr">
        <is>
          <t>GP clinic (independent)</t>
        </is>
      </c>
      <c r="F156" s="203" t="inlineStr">
        <is>
          <t>General and chronic care, children's, men's and women's health, minor surgery, medical examinations, preventive care</t>
        </is>
      </c>
      <c r="G156" s="203" t="inlineStr">
        <is>
          <t>Kallang Bahru</t>
        </is>
      </c>
      <c r="H156" s="205" t="inlineStr">
        <is>
          <t>https://www.medihealth.sg</t>
        </is>
      </c>
      <c r="I156" s="203" t="inlineStr">
        <is>
          <t>+65 6289 7088 / WhatsApp +65 8997 7088</t>
        </is>
      </c>
      <c r="J156" s="203" t="inlineStr">
        <is>
          <t>doctors@medihealth.sg</t>
        </is>
      </c>
      <c r="K156" s="203" t="inlineStr">
        <is>
          <t>71 Kallang Bahru #01-529G, Singapore 330071</t>
        </is>
      </c>
      <c r="L156" s="203" t="inlineStr">
        <is>
          <t>Dr Lincoln Chu, Family Physician (named on own site)</t>
        </is>
      </c>
      <c r="M156" s="206" t="inlineStr">
        <is>
          <t>A</t>
        </is>
      </c>
      <c r="N156" s="203" t="inlineStr">
        <is>
          <t>Not stated</t>
        </is>
      </c>
      <c r="O156" s="203" t="inlineStr">
        <is>
          <t>Independent GP: price sensitive and not yet saturated, which fits the GP and small clinic focus. Point of care answers in the room without a referral. Ultrasound use: Not stated. Confirm on the first call.</t>
        </is>
      </c>
      <c r="P156" s="203" t="inlineStr">
        <is>
          <t>SonoEye P3 (pocket handheld for the consult room) + SonoAir 70 (2.1 kg, four active ports, auto bladder volume, thyroid and breast nodule tools)</t>
        </is>
      </c>
      <c r="Q156" s="208" t="inlineStr">
        <is>
          <t>P2</t>
        </is>
      </c>
      <c r="R156" s="203" t="inlineStr">
        <is>
          <t>P2: verified email on own site; general GP fit.</t>
        </is>
      </c>
      <c r="S156" s="203" t="inlineStr">
        <is>
          <t>Own site opened 2 to 3 Oct 2026</t>
        </is>
      </c>
      <c r="T156" s="203" t="inlineStr">
        <is>
          <t>CHISON point of care ultrasound for Medihealth</t>
        </is>
      </c>
      <c r="U156" s="203" t="inlineStr">
        <is>
          <t>Dear Dr Chu,
I am Casper Tan, Senior Regional Sales Manager at AstraMed Healthcare, the Singapore subsidiary of CHISON Medical Technologies. Minor surgery, women's health and chronic care at your Kallang Bahru clinic are where a quick scan answers the question in the room.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Medihealth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7" ht="48" customHeight="1" s="104">
      <c r="A157" s="203" t="n">
        <v>153</v>
      </c>
      <c r="B157" s="204" t="inlineStr">
        <is>
          <t>Mint Medical Centre</t>
        </is>
      </c>
      <c r="C157" s="203" t="inlineStr">
        <is>
          <t>Not started</t>
        </is>
      </c>
      <c r="D157" s="203" t="inlineStr">
        <is>
          <t>GP clinic</t>
        </is>
      </c>
      <c r="E157" s="203" t="inlineStr">
        <is>
          <t>GP clinic (independent)</t>
        </is>
      </c>
      <c r="F157" s="203" t="inlineStr">
        <is>
          <t>Appointment only GP: screening, women's, children's and men's health, allergy, gut health, hormonal and metabolic care, travel medicine</t>
        </is>
      </c>
      <c r="G157" s="203" t="inlineStr">
        <is>
          <t>HarbourFront (Keppel Bay Tower)</t>
        </is>
      </c>
      <c r="H157" s="205" t="inlineStr">
        <is>
          <t>https://mintmedicalcentre.sg</t>
        </is>
      </c>
      <c r="I157" s="203" t="inlineStr">
        <is>
          <t>+65 6272 9372 / WhatsApp +65 9643 1927</t>
        </is>
      </c>
      <c r="J157" s="203" t="inlineStr">
        <is>
          <t>Not published on contact page. WhatsApp or call</t>
        </is>
      </c>
      <c r="K157" s="203" t="inlineStr">
        <is>
          <t>1 HarbourFront Avenue #01-04, Keppel Bay Tower, Singapore 098632</t>
        </is>
      </c>
      <c r="L157" s="203" t="inlineStr">
        <is>
          <t>Doctors listed on https://mintmedicalcentre.sg/doctors/</t>
        </is>
      </c>
      <c r="M157" s="206" t="inlineStr">
        <is>
          <t>A</t>
        </is>
      </c>
      <c r="N157" s="203" t="inlineStr">
        <is>
          <t>Not stated</t>
        </is>
      </c>
      <c r="O157" s="203" t="inlineStr">
        <is>
          <t>Screening led practice where thyroid, abdominal and carotid ultrasound add value to existing packages. Ultrasound use: Not stated. Confirm on the first call. No email published: call or WhatsApp for the right inbox, then send.</t>
        </is>
      </c>
      <c r="P157" s="203" t="inlineStr">
        <is>
          <t>SonoAir 70 (auto thyroid and breast nodule tools, IMT across visits) + SonoEye P3 (pocket handheld for the consult room)</t>
        </is>
      </c>
      <c r="Q157" s="208" t="inlineStr">
        <is>
          <t>P2</t>
        </is>
      </c>
      <c r="R157" s="203" t="inlineStr">
        <is>
          <t>P2: no email published, call or WhatsApp first; high fit for CHISON.</t>
        </is>
      </c>
      <c r="S157" s="203" t="inlineStr">
        <is>
          <t>Own site opened 2 to 3 Oct 2026</t>
        </is>
      </c>
      <c r="T157" s="203" t="inlineStr">
        <is>
          <t>CHISON ultrasound for Mint Medical Centre: thyroid, abdomen and carotid in one visit</t>
        </is>
      </c>
      <c r="U157" s="203" t="inlineStr">
        <is>
          <t>Dear Mint Medical Centre team,
I am Casper Tan, Senior Regional Sales Manager at AstraMed Healthcare, the Singapore subsidiary of CHISON Medical Technologies. Your appointment only model at HarbourFront, with screening and metabolic care, suits ultrasound in the same visit.
CHISON has made diagnostic ultrasound in Wuxi since 1996 and sells in more than 100 countries. The systems below are registered with HSA, with AstraMed as the local registrant, so supply, application training and service are all handled here in Singapore.
For screening and preventive work, I would start with these two:
• SonoAir 70: a 2.1 kg laptop with automatic thyroid and breast nodule tools and intima media thickness tracked across visits
• SonoEye P3: a pocket handheld for quick bedside answers in the consult room
Adding ultrasound to the screening visit keeps the patient with you instead of sending them on to an imaging centre.
Our demonstration units arrive in Singapore in October. Could I drop by Mint Medical Centre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8" ht="36" customHeight="1" s="104">
      <c r="A158" s="203" t="n">
        <v>154</v>
      </c>
      <c r="B158" s="204" t="inlineStr">
        <is>
          <t>Oaklife Family Clinic</t>
        </is>
      </c>
      <c r="C158" s="203" t="inlineStr">
        <is>
          <t>Contacted</t>
        </is>
      </c>
      <c r="D158" s="203" t="inlineStr">
        <is>
          <t>GP clinic</t>
        </is>
      </c>
      <c r="E158" s="203" t="inlineStr">
        <is>
          <t>GP clinic (independent)</t>
        </is>
      </c>
      <c r="F158" s="203" t="inlineStr">
        <is>
          <t>Acute and chronic care, screening, vaccinations, child development, men's and women's health, minor surgery</t>
        </is>
      </c>
      <c r="G158" s="203" t="inlineStr">
        <is>
          <t>Balestier and Upper Bukit Timah</t>
        </is>
      </c>
      <c r="H158" s="205" t="inlineStr">
        <is>
          <t>https://www.oaklifefamilyclinic.com.sg</t>
        </is>
      </c>
      <c r="I158" s="203" t="inlineStr">
        <is>
          <t>+65 6980 8568 (Balestier) / +65 8096 7388 (Upper Bukit Timah)</t>
        </is>
      </c>
      <c r="J158" s="203" t="inlineStr">
        <is>
          <t>oaklife.clinic@gmail.com</t>
        </is>
      </c>
      <c r="K158" s="203" t="inlineStr">
        <is>
          <t>592G Balestier Road, Singapore 329902; 182 Jalan Jurong Kechil #01-65, Singapore 596152</t>
        </is>
      </c>
      <c r="L158" s="203" t="inlineStr">
        <is>
          <t>Dr Daniel Lim and Dr Jacquelyn Melody (named on own site)</t>
        </is>
      </c>
      <c r="M158" s="206" t="inlineStr">
        <is>
          <t>A</t>
        </is>
      </c>
      <c r="N158" s="203" t="inlineStr">
        <is>
          <t>Not stated</t>
        </is>
      </c>
      <c r="O158" s="203" t="inlineStr">
        <is>
          <t>Independent GP: price sensitive and not yet saturated, which fits the GP and small clinic focus. Point of care answers in the room without a referral. Ultrasound use: Not stated. Confirm on the first call.</t>
        </is>
      </c>
      <c r="P158" s="203" t="inlineStr">
        <is>
          <t>SonoEye P3 (pocket handheld for the consult room) + SonoAir 70 (2.1 kg, four active ports, auto bladder volume, thyroid and breast nodule tools)</t>
        </is>
      </c>
      <c r="Q158" s="208" t="inlineStr">
        <is>
          <t>P2</t>
        </is>
      </c>
      <c r="R158" s="203" t="inlineStr">
        <is>
          <t>P2: verified email on own site; general GP fit.</t>
        </is>
      </c>
      <c r="S158" s="203" t="inlineStr">
        <is>
          <t>Own site opened 2 to 3 Oct 2026</t>
        </is>
      </c>
      <c r="T158" s="203" t="inlineStr">
        <is>
          <t>CHISON point of care ultrasound for Oaklife Family Clinic</t>
        </is>
      </c>
      <c r="U158" s="203" t="inlineStr">
        <is>
          <t>Dear Oaklife Family Clinic team,
I am Casper Tan, Senior Regional Sales Manager at AstraMed Healthcare, the Singapore subsidiary of CHISON Medical Technologies. Acute and chronic care, child health and minor procedures at Balestier and Upper Bukit Timah are where a quick scan saves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Oaklife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59" ht="48" customHeight="1" s="104">
      <c r="A159" s="203" t="n">
        <v>155</v>
      </c>
      <c r="B159" s="204" t="inlineStr">
        <is>
          <t>OGL Medical</t>
        </is>
      </c>
      <c r="C159" s="203" t="inlineStr">
        <is>
          <t>Not started</t>
        </is>
      </c>
      <c r="D159" s="203" t="inlineStr">
        <is>
          <t>GP clinic</t>
        </is>
      </c>
      <c r="E159" s="203" t="inlineStr">
        <is>
          <t>GP clinic (independent)</t>
        </is>
      </c>
      <c r="F159" s="203" t="inlineStr">
        <is>
          <t>GP with screening packages, procedures, PRP therapy and hyaluronic acid injections, work permit medicals; listed as GP and imagery services in the building directory</t>
        </is>
      </c>
      <c r="G159" s="203" t="inlineStr">
        <is>
          <t>Novena (Novena Medical Center)</t>
        </is>
      </c>
      <c r="H159" s="205" t="inlineStr">
        <is>
          <t>https://www.oglmedical.com</t>
        </is>
      </c>
      <c r="I159" s="203" t="inlineStr">
        <is>
          <t>+65 6224 4366 / +65 6297 5366 / WhatsApp +65 8352 0786</t>
        </is>
      </c>
      <c r="J159" s="203" t="inlineStr">
        <is>
          <t>Not published on site. WhatsApp or call</t>
        </is>
      </c>
      <c r="K159" s="203" t="inlineStr">
        <is>
          <t>10 Sinaran Drive #09-26, Novena Medical Center, Singapore 307506</t>
        </is>
      </c>
      <c r="L159" s="203" t="inlineStr">
        <is>
          <t>Dr Tan Ming Loong Mark (named on building directory)</t>
        </is>
      </c>
      <c r="M159" s="206" t="inlineStr">
        <is>
          <t>A</t>
        </is>
      </c>
      <c r="N159" s="203" t="inlineStr">
        <is>
          <t>Directory lists imagery services; modality not stated</t>
        </is>
      </c>
      <c r="O159" s="203" t="inlineStr">
        <is>
          <t>GP with joint and injection work: a high frequency handheld turns blind injections into guided ones. Ultrasound use: Directory lists imagery services; modality not stated. Confirm on the first call. No email published: call or WhatsApp for the right inbox, then send.</t>
        </is>
      </c>
      <c r="P159" s="203" t="inlineStr">
        <is>
          <t>SonoEye P5 (phone paired, high frequency for tendons, joints, injections) + SonoAir 70 (SonoMSK, SonoNerve, four active ports)</t>
        </is>
      </c>
      <c r="Q159" s="208" t="inlineStr">
        <is>
          <t>P2</t>
        </is>
      </c>
      <c r="R159" s="203" t="inlineStr">
        <is>
          <t>P2: no email published, call or WhatsApp first; high fit for CHISON.</t>
        </is>
      </c>
      <c r="S159" s="203" t="inlineStr">
        <is>
          <t>Own site opened 2 to 3 Oct 2026</t>
        </is>
      </c>
      <c r="T159" s="203" t="inlineStr">
        <is>
          <t>CHISON ultrasound for OGL Medical: joint scans and guided injections</t>
        </is>
      </c>
      <c r="U159" s="203" t="inlineStr">
        <is>
          <t>Dear Dr Tan,
I am Casper Tan, Senior Regional Sales Manager at AstraMed Healthcare, the Singapore subsidiary of CHISON Medical Technologies. PRP and hyaluronic acid injections at your Novena clinic are more precise under ultrasound guidance.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these are the two I would put forward:
• SonoEye P5: a phone paired handheld with high frequency imaging for tendons, joints and needle work
• SonoAir 70: a 2.1 kg laptop with SonoMSK and SonoNerve tools and four active probe ports
For joint and muscle work, a scan before the needle shows you the target and makes each injection easier to document.
Our demonstration units arrive in Singapore in October. Could I drop by OGL Medical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0" ht="36" customHeight="1" s="104">
      <c r="A160" s="203" t="n">
        <v>156</v>
      </c>
      <c r="B160" s="204" t="inlineStr">
        <is>
          <t>Pano Family Clinic</t>
        </is>
      </c>
      <c r="C160" s="203" t="inlineStr">
        <is>
          <t>Contacted</t>
        </is>
      </c>
      <c r="D160" s="203" t="inlineStr">
        <is>
          <t>GP clinic</t>
        </is>
      </c>
      <c r="E160" s="203" t="inlineStr">
        <is>
          <t>GP clinic (independent)</t>
        </is>
      </c>
      <c r="F160" s="203" t="inlineStr">
        <is>
          <t>Vaccinations, child screening, health screening, Screen for Life, Healthier SG, CHAS chronic care</t>
        </is>
      </c>
      <c r="G160" s="203" t="inlineStr">
        <is>
          <t>Hougang</t>
        </is>
      </c>
      <c r="H160" s="205" t="inlineStr">
        <is>
          <t>https://panoclinic.sg</t>
        </is>
      </c>
      <c r="I160" s="203" t="inlineStr">
        <is>
          <t>+65 6016 0068 / WhatsApp +65 8322 6088</t>
        </is>
      </c>
      <c r="J160" s="203" t="inlineStr">
        <is>
          <t>hello@panoclinic.sg</t>
        </is>
      </c>
      <c r="K160" s="203" t="inlineStr">
        <is>
          <t>377 Hougang Street 32 #01-03, Hougang Rivercourt, Singapore 530377</t>
        </is>
      </c>
      <c r="L160" s="203" t="inlineStr">
        <is>
          <t>Dr Max Loh (named on own site)</t>
        </is>
      </c>
      <c r="M160" s="206" t="inlineStr">
        <is>
          <t>A</t>
        </is>
      </c>
      <c r="N160" s="203" t="inlineStr">
        <is>
          <t>Not stated</t>
        </is>
      </c>
      <c r="O160" s="203" t="inlineStr">
        <is>
          <t>Independent GP: price sensitive and not yet saturated, which fits the GP and small clinic focus. Point of care answers in the room without a referral. Ultrasound use: Not stated. Confirm on the first call.</t>
        </is>
      </c>
      <c r="P160" s="203" t="inlineStr">
        <is>
          <t>SonoEye P3 (pocket handheld for the consult room) + SonoAir 70 (2.1 kg, four active ports, auto bladder volume, thyroid and breast nodule tools)</t>
        </is>
      </c>
      <c r="Q160" s="208" t="inlineStr">
        <is>
          <t>P2</t>
        </is>
      </c>
      <c r="R160" s="203" t="inlineStr">
        <is>
          <t>P2: verified email on own site; general GP fit.</t>
        </is>
      </c>
      <c r="S160" s="203" t="inlineStr">
        <is>
          <t>Own site opened 2 to 3 Oct 2026</t>
        </is>
      </c>
      <c r="T160" s="203" t="inlineStr">
        <is>
          <t>CHISON point of care ultrasound for Pano Family Clinic</t>
        </is>
      </c>
      <c r="U160" s="203" t="inlineStr">
        <is>
          <t>Dear Dr Loh,
I am Casper Tan, Senior Regional Sales Manager at AstraMed Healthcare, the Singapore subsidiary of CHISON Medical Technologies. Healthier SG and chronic disease care at your Hougang clinic are where a scan in the room shortens the path to an answer.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Pano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1" ht="36" customHeight="1" s="104">
      <c r="A161" s="203" t="n">
        <v>157</v>
      </c>
      <c r="B161" s="204" t="inlineStr">
        <is>
          <t>Pillay Family Clinic</t>
        </is>
      </c>
      <c r="C161" s="203" t="inlineStr">
        <is>
          <t>Contacted</t>
        </is>
      </c>
      <c r="D161" s="203" t="inlineStr">
        <is>
          <t>GP clinic</t>
        </is>
      </c>
      <c r="E161" s="203" t="inlineStr">
        <is>
          <t>GP clinic (independent)</t>
        </is>
      </c>
      <c r="F161" s="203" t="inlineStr">
        <is>
          <t>Family physician: acute and chronic care, screening, eldercare, home care, women's and men's health, minor procedures</t>
        </is>
      </c>
      <c r="G161" s="203" t="inlineStr">
        <is>
          <t>Serangoon Gardens</t>
        </is>
      </c>
      <c r="H161" s="205" t="inlineStr">
        <is>
          <t>https://pillayfamilyclinic.com.sg</t>
        </is>
      </c>
      <c r="I161" s="203" t="inlineStr">
        <is>
          <t>+65 6592 0601 / WhatsApp +65 8810 1593</t>
        </is>
      </c>
      <c r="J161" s="203" t="inlineStr">
        <is>
          <t>contact@pillayfamilyclinic.com.sg</t>
        </is>
      </c>
      <c r="K161" s="203" t="inlineStr">
        <is>
          <t>28 Maju Avenue, Singapore 556698</t>
        </is>
      </c>
      <c r="L161" s="203" t="inlineStr">
        <is>
          <t>Dr Vidhya Pillay, Family Physician (named on own site)</t>
        </is>
      </c>
      <c r="M161" s="206" t="inlineStr">
        <is>
          <t>A</t>
        </is>
      </c>
      <c r="N161" s="203" t="inlineStr">
        <is>
          <t>Not stated</t>
        </is>
      </c>
      <c r="O161" s="203" t="inlineStr">
        <is>
          <t>Independent GP: price sensitive and not yet saturated, which fits the GP and small clinic focus. Point of care answers in the room without a referral. Ultrasound use: Not stated. Confirm on the first call.</t>
        </is>
      </c>
      <c r="P161" s="203" t="inlineStr">
        <is>
          <t>SonoEye P3 (pocket handheld for the house call bag) + SonoAir 70 (2.1 kg, four active ports, auto bladder volume, thyroid and breast nodule tools)</t>
        </is>
      </c>
      <c r="Q161" s="208" t="inlineStr">
        <is>
          <t>P2</t>
        </is>
      </c>
      <c r="R161" s="203" t="inlineStr">
        <is>
          <t>P2: verified email on own site; general GP fit.</t>
        </is>
      </c>
      <c r="S161" s="203" t="inlineStr">
        <is>
          <t>Own site opened 2 to 3 Oct 2026</t>
        </is>
      </c>
      <c r="T161" s="203" t="inlineStr">
        <is>
          <t>CHISON point of care ultrasound for Pillay Family Clinic</t>
        </is>
      </c>
      <c r="U161" s="203" t="inlineStr">
        <is>
          <t>Dear Dr Pillay,
I am Casper Tan, Senior Regional Sales Manager at AstraMed Healthcare, the Singapore subsidiary of CHISON Medical Technologies. Your practice covers eldercare and home care as well as clinic work, which is where a pocket scan helps most.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that fits in the house call bag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Pillay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2" ht="36" customHeight="1" s="104">
      <c r="A162" s="203" t="n">
        <v>158</v>
      </c>
      <c r="B162" s="204" t="inlineStr">
        <is>
          <t>Procare GP Clinic</t>
        </is>
      </c>
      <c r="C162" s="203" t="inlineStr">
        <is>
          <t>Contacted</t>
        </is>
      </c>
      <c r="D162" s="203" t="inlineStr">
        <is>
          <t>GP clinic</t>
        </is>
      </c>
      <c r="E162" s="203" t="inlineStr">
        <is>
          <t>GP clinic (independent)</t>
        </is>
      </c>
      <c r="F162" s="203" t="inlineStr">
        <is>
          <t>Acute care, chronic disease, screening, vaccinations, children's health, minor surgery, dermatology</t>
        </is>
      </c>
      <c r="G162" s="203" t="inlineStr">
        <is>
          <t>Ang Mo Kio</t>
        </is>
      </c>
      <c r="H162" s="205" t="inlineStr">
        <is>
          <t>https://www.procaregp.com.sg</t>
        </is>
      </c>
      <c r="I162" s="203" t="inlineStr">
        <is>
          <t>+65 6513 9668 / WhatsApp +65 8799 4737</t>
        </is>
      </c>
      <c r="J162" s="203" t="inlineStr">
        <is>
          <t>mayflower@procaregp.sg</t>
        </is>
      </c>
      <c r="K162" s="203" t="inlineStr">
        <is>
          <t>Blk 163 Ang Mo Kio Ave 4 #01-436, Singapore 560163</t>
        </is>
      </c>
      <c r="L162" s="203" t="inlineStr">
        <is>
          <t>Doctors not named on home page</t>
        </is>
      </c>
      <c r="M162" s="206" t="inlineStr">
        <is>
          <t>A</t>
        </is>
      </c>
      <c r="N162" s="203" t="inlineStr">
        <is>
          <t>Not stated</t>
        </is>
      </c>
      <c r="O162" s="203" t="inlineStr">
        <is>
          <t>Independent GP: price sensitive and not yet saturated, which fits the GP and small clinic focus. Point of care answers in the room without a referral. Ultrasound use: Not stated. Confirm on the first call.</t>
        </is>
      </c>
      <c r="P162" s="203" t="inlineStr">
        <is>
          <t>SonoEye P3 (pocket handheld for the consult room) + SonoAir 70 (2.1 kg, four active ports, auto bladder volume, thyroid and breast nodule tools)</t>
        </is>
      </c>
      <c r="Q162" s="208" t="inlineStr">
        <is>
          <t>P2</t>
        </is>
      </c>
      <c r="R162" s="203" t="inlineStr">
        <is>
          <t>P2: verified email on own site; general GP fit.</t>
        </is>
      </c>
      <c r="S162" s="203" t="inlineStr">
        <is>
          <t>Own site opened 2 to 3 Oct 2026</t>
        </is>
      </c>
      <c r="T162" s="203" t="inlineStr">
        <is>
          <t>CHISON point of care ultrasound for Procare GP Clinic</t>
        </is>
      </c>
      <c r="U162" s="203" t="inlineStr">
        <is>
          <t>Dear Procare GP Clinic team,
I am Casper Tan, Senior Regional Sales Manager at AstraMed Healthcare, the Singapore subsidiary of CHISON Medical Technologies. Acute care, screening and minor surgery at your Ang Mo Kio clinic are where a quick scan in the room saves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Procare GP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3" ht="36" customHeight="1" s="104">
      <c r="A163" s="203" t="n">
        <v>159</v>
      </c>
      <c r="B163" s="204" t="inlineStr">
        <is>
          <t>RiverSage Family Clinic</t>
        </is>
      </c>
      <c r="C163" s="203" t="inlineStr">
        <is>
          <t>Contacted</t>
        </is>
      </c>
      <c r="D163" s="203" t="inlineStr">
        <is>
          <t>GP clinic</t>
        </is>
      </c>
      <c r="E163" s="203" t="inlineStr">
        <is>
          <t>GP clinic (independent)</t>
        </is>
      </c>
      <c r="F163" s="203" t="inlineStr">
        <is>
          <t>Family practice</t>
        </is>
      </c>
      <c r="G163" s="203" t="inlineStr">
        <is>
          <t>Hougang (Upper Serangoon View)</t>
        </is>
      </c>
      <c r="H163" s="205" t="inlineStr">
        <is>
          <t>https://www.riversagefamilyclinic.com</t>
        </is>
      </c>
      <c r="I163" s="203" t="inlineStr">
        <is>
          <t>+65 6568 8661 / +65 8757 5947 (WhatsApp)</t>
        </is>
      </c>
      <c r="J163" s="203" t="inlineStr">
        <is>
          <t>askRSFC@gmail.com</t>
        </is>
      </c>
      <c r="K163" s="203" t="inlineStr">
        <is>
          <t>476 Upper Serangoon View #02-08, Singapore 530476</t>
        </is>
      </c>
      <c r="L163" s="203" t="inlineStr">
        <is>
          <t>Dr Yuen Zhao Yi (named on own site)</t>
        </is>
      </c>
      <c r="M163" s="206" t="inlineStr">
        <is>
          <t>A</t>
        </is>
      </c>
      <c r="N163" s="203" t="inlineStr">
        <is>
          <t>Not stated</t>
        </is>
      </c>
      <c r="O163" s="203" t="inlineStr">
        <is>
          <t>Independent GP: price sensitive and not yet saturated, which fits the GP and small clinic focus. Point of care answers in the room without a referral. Ultrasound use: Not stated. Confirm on the first call.</t>
        </is>
      </c>
      <c r="P163" s="203" t="inlineStr">
        <is>
          <t>SonoEye P3 (pocket handheld for the consult room) + SonoAir 70 (2.1 kg, four active ports, auto bladder volume, thyroid and breast nodule tools)</t>
        </is>
      </c>
      <c r="Q163" s="208" t="inlineStr">
        <is>
          <t>P2</t>
        </is>
      </c>
      <c r="R163" s="203" t="inlineStr">
        <is>
          <t>P2: verified email on own site; general GP fit.</t>
        </is>
      </c>
      <c r="S163" s="203" t="inlineStr">
        <is>
          <t>Own site opened 2 to 3 Oct 2026</t>
        </is>
      </c>
      <c r="T163" s="203" t="inlineStr">
        <is>
          <t>CHISON point of care ultrasound for RiverSage Family Clinic</t>
        </is>
      </c>
      <c r="U163" s="203" t="inlineStr">
        <is>
          <t>Dear Dr Yuen,
I am Casper Tan, Senior Regional Sales Manager at AstraMed Healthcare, the Singapore subsidiary of CHISON Medical Technologies. For a neighbourhood family clinic in Upper Serangoon, a scan in the room lets you settle common questions the same day.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RiverSage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4" ht="36" customHeight="1" s="104">
      <c r="A164" s="203" t="n">
        <v>160</v>
      </c>
      <c r="B164" s="204" t="inlineStr">
        <is>
          <t>Straits Clinic (Anchorpoint)</t>
        </is>
      </c>
      <c r="C164" s="203" t="inlineStr">
        <is>
          <t>Contacted</t>
        </is>
      </c>
      <c r="D164" s="203" t="inlineStr">
        <is>
          <t>GP clinic</t>
        </is>
      </c>
      <c r="E164" s="203" t="inlineStr">
        <is>
          <t>GP clinic (independent)</t>
        </is>
      </c>
      <c r="F164" s="203" t="inlineStr">
        <is>
          <t>Family clinic with health screening; linked to Finest Health Medical Center (shared inbox)</t>
        </is>
      </c>
      <c r="G164" s="203" t="inlineStr">
        <is>
          <t>Queenstown / Alexandra</t>
        </is>
      </c>
      <c r="H164" s="205" t="inlineStr">
        <is>
          <t>https://straitsclinic.sg</t>
        </is>
      </c>
      <c r="I164" s="203" t="inlineStr">
        <is>
          <t>+65 6990 1819 / WhatsApp +65 8800 6188</t>
        </is>
      </c>
      <c r="J164" s="203" t="inlineStr">
        <is>
          <t>anchorpoint@straitsclinic.sg (also straits@finesthealth.com.sg)</t>
        </is>
      </c>
      <c r="K164" s="203" t="inlineStr">
        <is>
          <t>370 Alexandra Road #B1-41, Anchorpoint Shopping Centre, Singapore 159953</t>
        </is>
      </c>
      <c r="L164" s="203" t="inlineStr">
        <is>
          <t>Doctors not named on contact page</t>
        </is>
      </c>
      <c r="M164" s="206" t="inlineStr">
        <is>
          <t>A</t>
        </is>
      </c>
      <c r="N164" s="203" t="inlineStr">
        <is>
          <t>Not stated</t>
        </is>
      </c>
      <c r="O164" s="203" t="inlineStr">
        <is>
          <t>Independent GP: price sensitive and not yet saturated, which fits the GP and small clinic focus. Point of care answers in the room without a referral. Ultrasound use: Not stated. Confirm on the first call.</t>
        </is>
      </c>
      <c r="P164" s="203" t="inlineStr">
        <is>
          <t>SonoEye P3 (pocket handheld for the consult room) + SonoAir 70 (2.1 kg, four active ports, auto bladder volume, thyroid and breast nodule tools)</t>
        </is>
      </c>
      <c r="Q164" s="208" t="inlineStr">
        <is>
          <t>P2</t>
        </is>
      </c>
      <c r="R164" s="203" t="inlineStr">
        <is>
          <t>P2: verified email on own site; general GP fit.</t>
        </is>
      </c>
      <c r="S164" s="203" t="inlineStr">
        <is>
          <t>Own site opened 2 to 3 Oct 2026</t>
        </is>
      </c>
      <c r="T164" s="203" t="inlineStr">
        <is>
          <t>CHISON point of care ultrasound for Straits Clinic</t>
        </is>
      </c>
      <c r="U164" s="203" t="inlineStr">
        <is>
          <t>Dear Straits Clinic team,
I am Casper Tan, Senior Regional Sales Manager at AstraMed Healthcare, the Singapore subsidiary of CHISON Medical Technologies. Health screening and family care at Anchorpoint are where a quick scan in the room saves patients a separate imaging trip.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Straits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5" ht="36" customHeight="1" s="104">
      <c r="A165" s="203" t="n">
        <v>161</v>
      </c>
      <c r="B165" s="204" t="inlineStr">
        <is>
          <t>The Family Doctor</t>
        </is>
      </c>
      <c r="C165" s="203" t="inlineStr">
        <is>
          <t>Contacted</t>
        </is>
      </c>
      <c r="D165" s="203" t="inlineStr">
        <is>
          <t>GP clinic</t>
        </is>
      </c>
      <c r="E165" s="203" t="inlineStr">
        <is>
          <t>GP clinic (independent)</t>
        </is>
      </c>
      <c r="F165" s="203" t="inlineStr">
        <is>
          <t>Family practice</t>
        </is>
      </c>
      <c r="G165" s="203" t="inlineStr">
        <is>
          <t>Upper Thomson</t>
        </is>
      </c>
      <c r="H165" s="205" t="inlineStr">
        <is>
          <t>https://familydoctor.sg</t>
        </is>
      </c>
      <c r="I165" s="203" t="inlineStr">
        <is>
          <t>+65 6453 4855</t>
        </is>
      </c>
      <c r="J165" s="203" t="inlineStr">
        <is>
          <t>doctor@familydoctor.sg</t>
        </is>
      </c>
      <c r="K165" s="203" t="inlineStr">
        <is>
          <t>215-D Upper Thomson Road, Singapore 574349</t>
        </is>
      </c>
      <c r="L165" s="203" t="inlineStr">
        <is>
          <t>Doctors not named on location page</t>
        </is>
      </c>
      <c r="M165" s="206" t="inlineStr">
        <is>
          <t>A</t>
        </is>
      </c>
      <c r="N165" s="203" t="inlineStr">
        <is>
          <t>Not stated</t>
        </is>
      </c>
      <c r="O165" s="203" t="inlineStr">
        <is>
          <t>Independent GP: price sensitive and not yet saturated, which fits the GP and small clinic focus. Point of care answers in the room without a referral. Ultrasound use: Not stated. Confirm on the first call.</t>
        </is>
      </c>
      <c r="P165" s="203" t="inlineStr">
        <is>
          <t>SonoEye P3 (pocket handheld for the consult room) + SonoAir 70 (2.1 kg, four active ports, auto bladder volume, thyroid and breast nodule tools)</t>
        </is>
      </c>
      <c r="Q165" s="208" t="inlineStr">
        <is>
          <t>P2</t>
        </is>
      </c>
      <c r="R165" s="203" t="inlineStr">
        <is>
          <t>P2: verified email on own site; general GP fit.</t>
        </is>
      </c>
      <c r="S165" s="203" t="inlineStr">
        <is>
          <t>Own site opened 2 to 3 Oct 2026; email decoded from the site's spam protected link</t>
        </is>
      </c>
      <c r="T165" s="203" t="inlineStr">
        <is>
          <t>CHISON point of care ultrasound for The Family Doctor</t>
        </is>
      </c>
      <c r="U165" s="203" t="inlineStr">
        <is>
          <t>Dear The Family Doctor team,
I am Casper Tan, Senior Regional Sales Manager at AstraMed Healthcare, the Singapore subsidiary of CHISON Medical Technologies. For an established Upper Thomson family practice, a scan in the consult room lets you answer common questions the same day.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The Family Doctor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6" ht="36" customHeight="1" s="104">
      <c r="A166" s="203" t="n">
        <v>162</v>
      </c>
      <c r="B166" s="204" t="inlineStr">
        <is>
          <t>The Family Wellness Clinic</t>
        </is>
      </c>
      <c r="C166" s="203" t="inlineStr">
        <is>
          <t>Contacted</t>
        </is>
      </c>
      <c r="D166" s="203" t="inlineStr">
        <is>
          <t>GP clinic</t>
        </is>
      </c>
      <c r="E166" s="203" t="inlineStr">
        <is>
          <t>GP clinic (independent)</t>
        </is>
      </c>
      <c r="F166" s="203" t="inlineStr">
        <is>
          <t>Screening, vaccinations, minor surgery, statutory medicals</t>
        </is>
      </c>
      <c r="G166" s="203" t="inlineStr">
        <is>
          <t>Jurong West</t>
        </is>
      </c>
      <c r="H166" s="205" t="inlineStr">
        <is>
          <t>https://www.thefamilywellnessclinic-sg.com</t>
        </is>
      </c>
      <c r="I166" s="203" t="inlineStr">
        <is>
          <t>+65 6980 8698</t>
        </is>
      </c>
      <c r="J166" s="203" t="inlineStr">
        <is>
          <t>familywellness.jurong@gmail.com</t>
        </is>
      </c>
      <c r="K166" s="203" t="inlineStr">
        <is>
          <t>498 Jurong West Street 41 #01-482, Singapore 640498</t>
        </is>
      </c>
      <c r="L166" s="203" t="inlineStr">
        <is>
          <t>Not named on contact page</t>
        </is>
      </c>
      <c r="M166" s="206" t="inlineStr">
        <is>
          <t>A</t>
        </is>
      </c>
      <c r="N166" s="203" t="inlineStr">
        <is>
          <t>Not stated</t>
        </is>
      </c>
      <c r="O166" s="203" t="inlineStr">
        <is>
          <t>Independent GP: price sensitive and not yet saturated, which fits the GP and small clinic focus. Point of care answers in the room without a referral. Ultrasound use: Not stated. Confirm on the first call.</t>
        </is>
      </c>
      <c r="P166" s="203" t="inlineStr">
        <is>
          <t>SonoEye P3 (pocket handheld for the consult room) + SonoAir 70 (2.1 kg, four active ports, auto bladder volume, thyroid and breast nodule tools)</t>
        </is>
      </c>
      <c r="Q166" s="208" t="inlineStr">
        <is>
          <t>P2</t>
        </is>
      </c>
      <c r="R166" s="203" t="inlineStr">
        <is>
          <t>P2: verified email on own site; general GP fit.</t>
        </is>
      </c>
      <c r="S166" s="203" t="inlineStr">
        <is>
          <t>Own site opened 2 to 3 Oct 2026</t>
        </is>
      </c>
      <c r="T166" s="203" t="inlineStr">
        <is>
          <t>CHISON point of care ultrasound for The Family Wellness Clinic</t>
        </is>
      </c>
      <c r="U166" s="203" t="inlineStr">
        <is>
          <t>Dear The Family Wellness Clinic team,
I am Casper Tan, Senior Regional Sales Manager at AstraMed Healthcare, the Singapore subsidiary of CHISON Medical Technologies. Screening, minor surgery and statutory medicals at your Jurong West clinic are where a scan in the room saves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The Family Wellness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7" ht="36" customHeight="1" s="104">
      <c r="A167" s="203" t="n">
        <v>163</v>
      </c>
      <c r="B167" s="204" t="inlineStr">
        <is>
          <t>Yarra Medical Clinic</t>
        </is>
      </c>
      <c r="C167" s="203" t="inlineStr">
        <is>
          <t>Contacted</t>
        </is>
      </c>
      <c r="D167" s="203" t="inlineStr">
        <is>
          <t>GP clinic</t>
        </is>
      </c>
      <c r="E167" s="203" t="inlineStr">
        <is>
          <t>GP clinic (independent)</t>
        </is>
      </c>
      <c r="F167" s="203" t="inlineStr">
        <is>
          <t>Family clinic</t>
        </is>
      </c>
      <c r="G167" s="203" t="inlineStr">
        <is>
          <t>West Coast (NEWest)</t>
        </is>
      </c>
      <c r="H167" s="205" t="inlineStr">
        <is>
          <t>https://www.yarramedical.com.sg</t>
        </is>
      </c>
      <c r="I167" s="203" t="inlineStr">
        <is>
          <t>+65 6264 3703 / WhatsApp +65 9788 2315 (message only)</t>
        </is>
      </c>
      <c r="J167" s="203" t="inlineStr">
        <is>
          <t>medical.yarra@gmail.com</t>
        </is>
      </c>
      <c r="K167" s="203" t="inlineStr">
        <is>
          <t>1 West Coast Drive #01-11, NEWest, Singapore 128020</t>
        </is>
      </c>
      <c r="L167" s="203" t="inlineStr">
        <is>
          <t>Doctors not named on contact page</t>
        </is>
      </c>
      <c r="M167" s="206" t="inlineStr">
        <is>
          <t>A</t>
        </is>
      </c>
      <c r="N167" s="203" t="inlineStr">
        <is>
          <t>Not stated</t>
        </is>
      </c>
      <c r="O167" s="203" t="inlineStr">
        <is>
          <t>Independent GP: price sensitive and not yet saturated, which fits the GP and small clinic focus. Point of care answers in the room without a referral. Ultrasound use: Not stated. Confirm on the first call.</t>
        </is>
      </c>
      <c r="P167" s="203" t="inlineStr">
        <is>
          <t>SonoEye P3 (pocket handheld for the consult room) + SonoAir 70 (2.1 kg, four active ports, auto bladder volume, thyroid and breast nodule tools)</t>
        </is>
      </c>
      <c r="Q167" s="208" t="inlineStr">
        <is>
          <t>P2</t>
        </is>
      </c>
      <c r="R167" s="203" t="inlineStr">
        <is>
          <t>P2: verified email on own site; general GP fit.</t>
        </is>
      </c>
      <c r="S167" s="203" t="inlineStr">
        <is>
          <t>Own site opened 2 to 3 Oct 2026</t>
        </is>
      </c>
      <c r="T167" s="203" t="inlineStr">
        <is>
          <t>CHISON point of care ultrasound for Yarra Medical Clinic</t>
        </is>
      </c>
      <c r="U167" s="203" t="inlineStr">
        <is>
          <t>Dear Yarra Medical Clinic team,
I am Casper Tan, Senior Regional Sales Manager at AstraMed Healthcare, the Singapore subsidiary of CHISON Medical Technologies. For a family clinic in West Coast, a scan in the consult room lets you settle common questions the same day.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Yarra Medical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8" ht="36" customHeight="1" s="104">
      <c r="A168" s="203" t="n">
        <v>164</v>
      </c>
      <c r="B168" s="204" t="inlineStr">
        <is>
          <t>Zenith Medical Clinic</t>
        </is>
      </c>
      <c r="C168" s="203" t="inlineStr">
        <is>
          <t>Contacted</t>
        </is>
      </c>
      <c r="D168" s="203" t="inlineStr">
        <is>
          <t>GP clinic</t>
        </is>
      </c>
      <c r="E168" s="203" t="inlineStr">
        <is>
          <t>GP clinic (independent)</t>
        </is>
      </c>
      <c r="F168" s="203" t="inlineStr">
        <is>
          <t>GP with in house psychology team, ENT procedures incl. microsuction, minor surgery, paediatrics, STD screening</t>
        </is>
      </c>
      <c r="G168" s="203" t="inlineStr">
        <is>
          <t>Punggol</t>
        </is>
      </c>
      <c r="H168" s="205" t="inlineStr">
        <is>
          <t>https://punggolgp.com</t>
        </is>
      </c>
      <c r="I168" s="203" t="inlineStr">
        <is>
          <t>+65 6443 3678 / WhatsApp +65 8839 4766</t>
        </is>
      </c>
      <c r="J168" s="203" t="inlineStr">
        <is>
          <t>admin@punggolgp.com</t>
        </is>
      </c>
      <c r="K168" s="203" t="inlineStr">
        <is>
          <t>266C Punggol Way #01-374, Singapore 823266</t>
        </is>
      </c>
      <c r="L168" s="203" t="inlineStr">
        <is>
          <t>Doctors listed on https://punggolgp.com/doctors/</t>
        </is>
      </c>
      <c r="M168" s="206" t="inlineStr">
        <is>
          <t>A</t>
        </is>
      </c>
      <c r="N168" s="203" t="inlineStr">
        <is>
          <t>Not stated</t>
        </is>
      </c>
      <c r="O168" s="203" t="inlineStr">
        <is>
          <t>Independent GP: price sensitive and not yet saturated, which fits the GP and small clinic focus. Point of care answers in the room without a referral. Ultrasound use: Not stated. Confirm on the first call.</t>
        </is>
      </c>
      <c r="P168" s="203" t="inlineStr">
        <is>
          <t>SonoEye P3 (pocket handheld for the consult room) + SonoAir 70 (2.1 kg, four active ports, auto bladder volume, thyroid and breast nodule tools)</t>
        </is>
      </c>
      <c r="Q168" s="208" t="inlineStr">
        <is>
          <t>P2</t>
        </is>
      </c>
      <c r="R168" s="203" t="inlineStr">
        <is>
          <t>P2: verified email on own site; general GP fit.</t>
        </is>
      </c>
      <c r="S168" s="203" t="inlineStr">
        <is>
          <t>Own site opened 2 to 3 Oct 2026</t>
        </is>
      </c>
      <c r="T168" s="203" t="inlineStr">
        <is>
          <t>CHISON point of care ultrasound for Zenith Medical Clinic</t>
        </is>
      </c>
      <c r="U168" s="203" t="inlineStr">
        <is>
          <t>Dear Zenith Medical Clinic team,
I am Casper Tan, Senior Regional Sales Manager at AstraMed Healthcare, the Singapore subsidiary of CHISON Medical Technologies. Minor surgery, ENT procedures and paediatrics at your Punggol clinic are where a quick scan answers the question in the room.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Zenith Medical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69" ht="36" customHeight="1" s="104">
      <c r="A169" s="203" t="n">
        <v>165</v>
      </c>
      <c r="B169" s="204" t="inlineStr">
        <is>
          <t>AcuMed Medical</t>
        </is>
      </c>
      <c r="C169" s="203" t="inlineStr">
        <is>
          <t>Contacted</t>
        </is>
      </c>
      <c r="D169" s="203" t="inlineStr">
        <is>
          <t>GP clinic</t>
        </is>
      </c>
      <c r="E169" s="203" t="inlineStr">
        <is>
          <t>GP group (small)</t>
        </is>
      </c>
      <c r="F169" s="203" t="inlineStr">
        <is>
          <t>GP, corporate and workplace medicine, screening, travel health, work pass medicals</t>
        </is>
      </c>
      <c r="G169" s="203" t="inlineStr">
        <is>
          <t>Bedok, Woodlands and other sites</t>
        </is>
      </c>
      <c r="H169" s="205" t="inlineStr">
        <is>
          <t>https://www.acumed.com.sg</t>
        </is>
      </c>
      <c r="I169" s="203" t="inlineStr">
        <is>
          <t>+65 6566 3311 (HQ) / WhatsApp +65 9678 2383 / +65 6443 8077 (Bedok clinic)</t>
        </is>
      </c>
      <c r="J169" s="203" t="inlineStr">
        <is>
          <t>enquiry@acumed.com.sg</t>
        </is>
      </c>
      <c r="K169" s="203" t="inlineStr">
        <is>
          <t>HQ: No. 2 Jurong East Street 21 #04-70, Singapore 609601 (Bedok clinic: Blk 214 Bedok North Street 1 #01-165)</t>
        </is>
      </c>
      <c r="L169" s="203" t="inlineStr">
        <is>
          <t>Dr Lee Kah Moon; Dr Natalie Lee, Designated Workplace Doctor (named on own site)</t>
        </is>
      </c>
      <c r="M169" s="206" t="inlineStr">
        <is>
          <t>A</t>
        </is>
      </c>
      <c r="N169" s="203" t="inlineStr">
        <is>
          <t>Not stated</t>
        </is>
      </c>
      <c r="O169" s="203" t="inlineStr">
        <is>
          <t>Small GP group: one platform rolled across sites, and handhelds can move between clinics. Ultrasound use: Not stated. Confirm on the first call.</t>
        </is>
      </c>
      <c r="P169" s="203" t="inlineStr">
        <is>
          <t>SonoEye P3 (pocket handheld for the consult room) + SonoAir 70 (2.1 kg, four active ports, auto bladder volume, thyroid and breast nodule tools)</t>
        </is>
      </c>
      <c r="Q169" s="208" t="inlineStr">
        <is>
          <t>P2</t>
        </is>
      </c>
      <c r="R169" s="203" t="inlineStr">
        <is>
          <t>P2: verified email on own site; general GP fit.</t>
        </is>
      </c>
      <c r="S169" s="203" t="inlineStr">
        <is>
          <t>Own site opened 2 to 3 Oct 2026; email decoded from the site's spam protected link</t>
        </is>
      </c>
      <c r="T169" s="203" t="inlineStr">
        <is>
          <t>CHISON point of care ultrasound across AcuMed Medical clinics</t>
        </is>
      </c>
      <c r="U169" s="203" t="inlineStr">
        <is>
          <t>Dear AcuMed Medical team,
I am Casper Tan, Senior Regional Sales Manager at AstraMed Healthcare, the Singapore subsidiary of CHISON Medical Technologies. Your clinics handle workplace medicine, screening and acute care across the island, where a pocket scan speeds up triage.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put forward: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AcuMed Medical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0" ht="36" customHeight="1" s="104">
      <c r="A170" s="203" t="n">
        <v>166</v>
      </c>
      <c r="B170" s="204" t="inlineStr">
        <is>
          <t>District Family Clinics</t>
        </is>
      </c>
      <c r="C170" s="203" t="inlineStr">
        <is>
          <t>Contacted</t>
        </is>
      </c>
      <c r="D170" s="203" t="inlineStr">
        <is>
          <t>GP clinic</t>
        </is>
      </c>
      <c r="E170" s="203" t="inlineStr">
        <is>
          <t>GP group (small)</t>
        </is>
      </c>
      <c r="F170" s="203" t="inlineStr">
        <is>
          <t>Six neighbourhood clinics (Tampines West, Normanton, Bukit Merah, Petir, Sims, Telok Blangah) with teleconsult, e-pharmacy, home nursing</t>
        </is>
      </c>
      <c r="G170" s="203" t="inlineStr">
        <is>
          <t>Tampines, Bukit Merah, Bukit Panjang, Sims, Telok Blangah</t>
        </is>
      </c>
      <c r="H170" s="205" t="inlineStr">
        <is>
          <t>https://www.districtfamilyclinics.com</t>
        </is>
      </c>
      <c r="I170" s="203" t="inlineStr">
        <is>
          <t>+65 8911 7822 (Tampines West, also WhatsApp)</t>
        </is>
      </c>
      <c r="J170" s="203" t="inlineStr">
        <is>
          <t>contact-tw@districtfamilyclinic.com</t>
        </is>
      </c>
      <c r="K170" s="203" t="inlineStr">
        <is>
          <t>117 Tampines Street 86 #01-50, Singapore 528538 (plus 5 clinics)</t>
        </is>
      </c>
      <c r="L170" s="203" t="inlineStr">
        <is>
          <t>Doctors not named on page</t>
        </is>
      </c>
      <c r="M170" s="206" t="inlineStr">
        <is>
          <t>A</t>
        </is>
      </c>
      <c r="N170" s="203" t="inlineStr">
        <is>
          <t>Not stated</t>
        </is>
      </c>
      <c r="O170" s="203" t="inlineStr">
        <is>
          <t>Small GP group: one platform rolled across sites, and handhelds can move between clinics. Ultrasound use: Not stated. Confirm on the first call.</t>
        </is>
      </c>
      <c r="P170" s="203" t="inlineStr">
        <is>
          <t>SonoEye P3 (pocket handheld for the consult room) + SonoAir 70 (2.1 kg, four active ports, auto bladder volume, thyroid and breast nodule tools)</t>
        </is>
      </c>
      <c r="Q170" s="208" t="inlineStr">
        <is>
          <t>P2</t>
        </is>
      </c>
      <c r="R170" s="203" t="inlineStr">
        <is>
          <t>P2: verified email on own site; general GP fit.</t>
        </is>
      </c>
      <c r="S170" s="203" t="inlineStr">
        <is>
          <t>Own site opened 2 to 3 Oct 2026</t>
        </is>
      </c>
      <c r="T170" s="203" t="inlineStr">
        <is>
          <t>CHISON point of care ultrasound across District Family Clinics clinics</t>
        </is>
      </c>
      <c r="U170" s="203" t="inlineStr">
        <is>
          <t>Dear District Family Clinics team,
I am Casper Tan, Senior Regional Sales Manager at AstraMed Healthcare, the Singapore subsidiary of CHISON Medical Technologies. Your neighbourhood clinics plus home nursing give District Family Clinics daily uses for a portable scanner.
CHISON has made diagnostic ultrasound in Wuxi since 1996 and sells in more than 100 countries. The systems below are registered with HSA, with AstraMed as the local registrant, so supply, application training and service are all handled here in Singapore.
For a GP group, I would start with these two: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District Family Clinics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1" ht="48" customHeight="1" s="104">
      <c r="A171" s="203" t="n">
        <v>167</v>
      </c>
      <c r="B171" s="204" t="inlineStr">
        <is>
          <t>Faircare Family Clinic</t>
        </is>
      </c>
      <c r="C171" s="203" t="inlineStr">
        <is>
          <t>Contacted</t>
        </is>
      </c>
      <c r="D171" s="203" t="inlineStr">
        <is>
          <t>GP clinic</t>
        </is>
      </c>
      <c r="E171" s="203" t="inlineStr">
        <is>
          <t>GP group (small)</t>
        </is>
      </c>
      <c r="F171" s="203" t="inlineStr">
        <is>
          <t>Three clinics: general practice, screening, vaccination, chronic care</t>
        </is>
      </c>
      <c r="G171" s="203" t="inlineStr">
        <is>
          <t>Clementi, Yishun, Macpherson</t>
        </is>
      </c>
      <c r="H171" s="205" t="inlineStr">
        <is>
          <t>https://www.faircaremedical.com</t>
        </is>
      </c>
      <c r="I171" s="203" t="inlineStr">
        <is>
          <t>+65 6250 3198 (Clementi) / WhatsApp +65 8950 4526</t>
        </is>
      </c>
      <c r="J171" s="203" t="inlineStr">
        <is>
          <t>faircare.clementi@gmail.com (Macpherson: faircare.macpherson@gmail.com)</t>
        </is>
      </c>
      <c r="K171" s="203" t="inlineStr">
        <is>
          <t>345 Clementi Avenue 5 #01-94, Singapore 120345 (plus 103 Yishun Ring Road #01-73 and 76 Circuit Road #01-03)</t>
        </is>
      </c>
      <c r="L171" s="203" t="inlineStr">
        <is>
          <t>Dr Zhao Tian, Dr Li Chao, Dr Fang Xiaocong, Dr Men Xi (named on own site)</t>
        </is>
      </c>
      <c r="M171" s="206" t="inlineStr">
        <is>
          <t>A</t>
        </is>
      </c>
      <c r="N171" s="203" t="inlineStr">
        <is>
          <t>Not stated</t>
        </is>
      </c>
      <c r="O171" s="203" t="inlineStr">
        <is>
          <t>Small GP group: one platform rolled across sites, and handhelds can move between clinics. Ultrasound use: Not stated. Confirm on the first call. Group link: Mayfair Medical lists the same Yishun address and phone; confirm whether the groups are related.</t>
        </is>
      </c>
      <c r="P171" s="203" t="inlineStr">
        <is>
          <t>SonoEye P3 (pocket handheld for the consult room) + SonoAir 70 (2.1 kg, four active ports, auto bladder volume, thyroid and breast nodule tools)</t>
        </is>
      </c>
      <c r="Q171" s="208" t="inlineStr">
        <is>
          <t>P2</t>
        </is>
      </c>
      <c r="R171" s="203" t="inlineStr">
        <is>
          <t>P2: verified email on own site; general GP fit; group link: Mayfair Medical lists the same Yishun address and phone; confirm whether the groups are related.</t>
        </is>
      </c>
      <c r="S171" s="203" t="inlineStr">
        <is>
          <t>Own site opened 2 to 3 Oct 2026; email decoded from the site's spam protected link</t>
        </is>
      </c>
      <c r="T171" s="203" t="inlineStr">
        <is>
          <t>CHISON point of care ultrasound across Faircare Family Clinic clinics</t>
        </is>
      </c>
      <c r="U171" s="203" t="inlineStr">
        <is>
          <t>Dear Faircare Family Clinic team,
I am Casper Tan, Senior Regional Sales Manager at AstraMed Healthcare, the Singapore subsidiary of CHISON Medical Technologies. With family clinics in Clementi, Yishun and Macpherson, you can choose between sharing one scanner across sites or equipping each.
CHISON has made diagnostic ultrasound in Wuxi since 1996 and sells in more than 100 countries. The systems below are registered with HSA, with AstraMed as the local registrant, so supply, application training and service are all handled here in Singapore.
For a GP group, I would start with these two: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Faircare Family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2" ht="36" customHeight="1" s="104">
      <c r="A172" s="203" t="n">
        <v>168</v>
      </c>
      <c r="B172" s="204" t="inlineStr">
        <is>
          <t>Healthwerkz Medical Group</t>
        </is>
      </c>
      <c r="C172" s="203" t="inlineStr">
        <is>
          <t>Contacted</t>
        </is>
      </c>
      <c r="D172" s="203" t="inlineStr">
        <is>
          <t>GP clinic</t>
        </is>
      </c>
      <c r="E172" s="203" t="inlineStr">
        <is>
          <t>GP group (small)</t>
        </is>
      </c>
      <c r="F172" s="203" t="inlineStr">
        <is>
          <t>Healthwerkz Medical Centre @ Orchard and KCS Medical Centre: medical services, child health, aesthetics; six named doctors</t>
        </is>
      </c>
      <c r="G172" s="203" t="inlineStr">
        <is>
          <t>Orchard and east (KCS Medical Centre)</t>
        </is>
      </c>
      <c r="H172" s="205" t="inlineStr">
        <is>
          <t>https://healthwerkz.com</t>
        </is>
      </c>
      <c r="I172" s="203" t="inlineStr">
        <is>
          <t>+65 6734 5987 (Orchard) / +65 6443 8322 (KCS Medical Centre)</t>
        </is>
      </c>
      <c r="J172" s="203" t="inlineStr">
        <is>
          <t>smc@healthwerkz.com (admin: admin@healthwerkz.com; KCS: kcsmed@singnet.com.sg)</t>
        </is>
      </c>
      <c r="K172" s="203" t="inlineStr">
        <is>
          <t>Healthwerkz Medical Centre @ Orchard (address on contact page)</t>
        </is>
      </c>
      <c r="L172" s="203" t="inlineStr">
        <is>
          <t>Dr Erwin Kay, Dr Liau Kah Han and four others (named on own site)</t>
        </is>
      </c>
      <c r="M172" s="206" t="inlineStr">
        <is>
          <t>A</t>
        </is>
      </c>
      <c r="N172" s="203" t="inlineStr">
        <is>
          <t>Not stated</t>
        </is>
      </c>
      <c r="O172" s="203" t="inlineStr">
        <is>
          <t>Small GP group: one platform rolled across sites, and handhelds can move between clinics. Ultrasound use: Not stated. Confirm on the first call.</t>
        </is>
      </c>
      <c r="P172" s="203" t="inlineStr">
        <is>
          <t>SonoEye P3 (pocket handheld for the consult room) + SonoAir 70 (2.1 kg, four active ports, auto bladder volume, thyroid and breast nodule tools)</t>
        </is>
      </c>
      <c r="Q172" s="208" t="inlineStr">
        <is>
          <t>P2</t>
        </is>
      </c>
      <c r="R172" s="203" t="inlineStr">
        <is>
          <t>P2: verified email on own site; general GP fit.</t>
        </is>
      </c>
      <c r="S172" s="203" t="inlineStr">
        <is>
          <t>Own site opened 2 to 3 Oct 2026</t>
        </is>
      </c>
      <c r="T172" s="203" t="inlineStr">
        <is>
          <t>CHISON point of care ultrasound across Healthwerkz Medical Group clinics</t>
        </is>
      </c>
      <c r="U172" s="203" t="inlineStr">
        <is>
          <t>Dear Healthwerkz Medical Group team,
I am Casper Tan, Senior Regional Sales Manager at AstraMed Healthcare, the Singapore subsidiary of CHISON Medical Technologies. Family medicine and child health at Orchard and KCS Medical Centre are where a quick scan saves a referral.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put forward: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Healthwerkz Medical Group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3" ht="36" customHeight="1" s="104">
      <c r="A173" s="203" t="n">
        <v>169</v>
      </c>
      <c r="B173" s="204" t="inlineStr">
        <is>
          <t>Island Family Clinic</t>
        </is>
      </c>
      <c r="C173" s="203" t="inlineStr">
        <is>
          <t>Contacted</t>
        </is>
      </c>
      <c r="D173" s="203" t="inlineStr">
        <is>
          <t>GP clinic</t>
        </is>
      </c>
      <c r="E173" s="203" t="inlineStr">
        <is>
          <t>GP group (small)</t>
        </is>
      </c>
      <c r="F173" s="203" t="inlineStr">
        <is>
          <t>Seven family clinics with twelve doctors: family medicine, eye services, weight management, screening, vaccinations</t>
        </is>
      </c>
      <c r="G173" s="203" t="inlineStr">
        <is>
          <t>Sengkang, Seletar, Fernvale, Anchorvale, Keat Hong, Bukit Batok, Bedok</t>
        </is>
      </c>
      <c r="H173" s="205" t="inlineStr">
        <is>
          <t>https://islandfamilyclinic.com</t>
        </is>
      </c>
      <c r="I173" s="203" t="inlineStr">
        <is>
          <t>+65 6384 2759 (Sengkang)</t>
        </is>
      </c>
      <c r="J173" s="203" t="inlineStr">
        <is>
          <t>info@islandfamilyclinic.com</t>
        </is>
      </c>
      <c r="K173" s="203" t="inlineStr">
        <is>
          <t>279 Sengkang East Ave #01-05, Singapore 540279 (plus 6 clinics)</t>
        </is>
      </c>
      <c r="L173" s="203" t="inlineStr">
        <is>
          <t>Dr Mark Sim, Dr Tan Wee Chuan and ten others (named on own site)</t>
        </is>
      </c>
      <c r="M173" s="206" t="inlineStr">
        <is>
          <t>A</t>
        </is>
      </c>
      <c r="N173" s="203" t="inlineStr">
        <is>
          <t>Not stated</t>
        </is>
      </c>
      <c r="O173" s="203" t="inlineStr">
        <is>
          <t>Small GP group: one platform rolled across sites, and handhelds can move between clinics. Ultrasound use: Not stated. Confirm on the first call.</t>
        </is>
      </c>
      <c r="P173" s="203" t="inlineStr">
        <is>
          <t>SonoEye P3 (pocket handheld for the consult room) + SonoAir 70 (2.1 kg, four active ports, auto bladder volume, thyroid and breast nodule tools)</t>
        </is>
      </c>
      <c r="Q173" s="208" t="inlineStr">
        <is>
          <t>P2</t>
        </is>
      </c>
      <c r="R173" s="203" t="inlineStr">
        <is>
          <t>P2: verified email on own site; general GP fit.</t>
        </is>
      </c>
      <c r="S173" s="203" t="inlineStr">
        <is>
          <t>Own site opened 2 to 3 Oct 2026; email decoded from the site's spam protected link</t>
        </is>
      </c>
      <c r="T173" s="203" t="inlineStr">
        <is>
          <t>CHISON point of care ultrasound across Island Family Clinic clinics</t>
        </is>
      </c>
      <c r="U173" s="203" t="inlineStr">
        <is>
          <t>Dear Island Family Clinic team,
I am Casper Tan, Senior Regional Sales Manager at AstraMed Healthcare, the Singapore subsidiary of CHISON Medical Technologies. Seven family clinics with twelve doctors give Island Family Clinic the scale to standardise point of care ultrasound.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suggest: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Island Family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4" ht="36" customHeight="1" s="104">
      <c r="A174" s="203" t="n">
        <v>170</v>
      </c>
      <c r="B174" s="204" t="inlineStr">
        <is>
          <t>Keystone Clinic &amp; Surgery</t>
        </is>
      </c>
      <c r="C174" s="203" t="inlineStr">
        <is>
          <t>Contacted</t>
        </is>
      </c>
      <c r="D174" s="203" t="inlineStr">
        <is>
          <t>GP clinic</t>
        </is>
      </c>
      <c r="E174" s="203" t="inlineStr">
        <is>
          <t>GP group (small)</t>
        </is>
      </c>
      <c r="F174" s="203" t="inlineStr">
        <is>
          <t>Five clinics: acute and chronic care, minor surgery (lumps, I&amp;D, nail), screening, telemedicine</t>
        </is>
      </c>
      <c r="G174" s="203" t="inlineStr">
        <is>
          <t>Ang Mo Kio, Tanah Merah, Serangoon, Ghim Moh, Upper Boon Keng</t>
        </is>
      </c>
      <c r="H174" s="205" t="inlineStr">
        <is>
          <t>https://keystonemedical.com.sg</t>
        </is>
      </c>
      <c r="I174" s="203" t="inlineStr">
        <is>
          <t>+65 6904 6976 (AMK) / corporate WhatsApp +65 8339 3400</t>
        </is>
      </c>
      <c r="J174" s="203" t="inlineStr">
        <is>
          <t>corporate@keystonemedical.com.sg</t>
        </is>
      </c>
      <c r="K174" s="203" t="inlineStr">
        <is>
          <t>Blk 632 Ang Mo Kio Avenue 4 #01-966, Singapore 560632 (plus 4 clinics)</t>
        </is>
      </c>
      <c r="L174" s="203" t="inlineStr">
        <is>
          <t>Doctors not named on site</t>
        </is>
      </c>
      <c r="M174" s="206" t="inlineStr">
        <is>
          <t>A</t>
        </is>
      </c>
      <c r="N174" s="203" t="inlineStr">
        <is>
          <t>Not stated</t>
        </is>
      </c>
      <c r="O174" s="203" t="inlineStr">
        <is>
          <t>Small GP group: one platform rolled across sites, and handhelds can move between clinics. Ultrasound use: Not stated. Confirm on the first call.</t>
        </is>
      </c>
      <c r="P174" s="203" t="inlineStr">
        <is>
          <t>SonoEye P3 (pocket handheld for the consult room) + SonoAir 70 (2.1 kg, four active ports, auto bladder volume, thyroid and breast nodule tools)</t>
        </is>
      </c>
      <c r="Q174" s="208" t="inlineStr">
        <is>
          <t>P2</t>
        </is>
      </c>
      <c r="R174" s="203" t="inlineStr">
        <is>
          <t>P2: verified email on own site; general GP fit.</t>
        </is>
      </c>
      <c r="S174" s="203" t="inlineStr">
        <is>
          <t>Own site opened 2 to 3 Oct 2026</t>
        </is>
      </c>
      <c r="T174" s="203" t="inlineStr">
        <is>
          <t>CHISON point of care ultrasound across Keystone Clinic &amp; Surgery clinics</t>
        </is>
      </c>
      <c r="U174" s="203" t="inlineStr">
        <is>
          <t>Dear Keystone Clinic &amp; Surgery team,
I am Casper Tan, Senior Regional Sales Manager at AstraMed Healthcare, the Singapore subsidiary of CHISON Medical Technologies. Your clinics doing lump removal, incision and drainage and wound care see daily cases where ultrasound shows what lies under the skin.
CHISON has made diagnostic ultrasound in Wuxi since 1996 and sells in more than 100 countries. The systems below are registered with HSA, with AstraMed as the local registrant, so supply, application training and service are all handled here in Singapore.
For a GP group, I would start with these two: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Keystone Clinic &amp; Surgery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5" ht="36" customHeight="1" s="104">
      <c r="A175" s="203" t="n">
        <v>171</v>
      </c>
      <c r="B175" s="204" t="inlineStr">
        <is>
          <t>Kindred Family Clinic</t>
        </is>
      </c>
      <c r="C175" s="203" t="inlineStr">
        <is>
          <t>Contacted</t>
        </is>
      </c>
      <c r="D175" s="203" t="inlineStr">
        <is>
          <t>GP clinic</t>
        </is>
      </c>
      <c r="E175" s="203" t="inlineStr">
        <is>
          <t>GP group (small)</t>
        </is>
      </c>
      <c r="F175" s="203" t="inlineStr">
        <is>
          <t>Six family clinics: internal medicine, minor surgery, aesthetics, screening, telemedicine</t>
        </is>
      </c>
      <c r="G175" s="203" t="inlineStr">
        <is>
          <t>Tampines, Kallang Bahru, Yishun, Hougang, Kovan, Macpherson</t>
        </is>
      </c>
      <c r="H175" s="205" t="inlineStr">
        <is>
          <t>https://www.kindredfamilyclinic.com.sg</t>
        </is>
      </c>
      <c r="I175" s="203" t="inlineStr">
        <is>
          <t>+65 6232 7893 (Tampines, also WhatsApp)</t>
        </is>
      </c>
      <c r="J175" s="203" t="inlineStr">
        <is>
          <t>contactus@kindredclinic.com (each branch also has its own Gmail inbox on the site)</t>
        </is>
      </c>
      <c r="K175" s="203" t="inlineStr">
        <is>
          <t>494 Tampines Street 45 #01-02, Singapore 523494 (plus 5 clinics)</t>
        </is>
      </c>
      <c r="L175" s="203" t="inlineStr">
        <is>
          <t>Doctors not named on home page</t>
        </is>
      </c>
      <c r="M175" s="206" t="inlineStr">
        <is>
          <t>A</t>
        </is>
      </c>
      <c r="N175" s="203" t="inlineStr">
        <is>
          <t>Not stated</t>
        </is>
      </c>
      <c r="O175" s="203" t="inlineStr">
        <is>
          <t>Small GP group: one platform rolled across sites, and handhelds can move between clinics. Ultrasound use: Not stated. Confirm on the first call.</t>
        </is>
      </c>
      <c r="P175" s="203" t="inlineStr">
        <is>
          <t>SonoEye P3 (pocket handheld for the consult room) + SonoAir 70 (2.1 kg, four active ports, auto bladder volume, thyroid and breast nodule tools)</t>
        </is>
      </c>
      <c r="Q175" s="208" t="inlineStr">
        <is>
          <t>P2</t>
        </is>
      </c>
      <c r="R175" s="203" t="inlineStr">
        <is>
          <t>P2: verified email on own site; general GP fit.</t>
        </is>
      </c>
      <c r="S175" s="203" t="inlineStr">
        <is>
          <t>Own site opened 2 to 3 Oct 2026</t>
        </is>
      </c>
      <c r="T175" s="203" t="inlineStr">
        <is>
          <t>CHISON point of care ultrasound across Kindred Family Clinic clinics</t>
        </is>
      </c>
      <c r="U175" s="203" t="inlineStr">
        <is>
          <t>Dear Kindred Family Clinic team,
I am Casper Tan, Senior Regional Sales Manager at AstraMed Healthcare, the Singapore subsidiary of CHISON Medical Technologies. Your family clinics from Tampines to Macpherson see enough acute and chronic cases to keep point of care ultrasound busy.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put forward: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Kindred Family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6" ht="36" customHeight="1" s="104">
      <c r="A176" s="203" t="n">
        <v>172</v>
      </c>
      <c r="B176" s="204" t="inlineStr">
        <is>
          <t>MD Family Clinic</t>
        </is>
      </c>
      <c r="C176" s="203" t="inlineStr">
        <is>
          <t>Contacted</t>
        </is>
      </c>
      <c r="D176" s="203" t="inlineStr">
        <is>
          <t>GP clinic</t>
        </is>
      </c>
      <c r="E176" s="203" t="inlineStr">
        <is>
          <t>GP group (small)</t>
        </is>
      </c>
      <c r="F176" s="203" t="inlineStr">
        <is>
          <t>Five clinics: acute care, children's health, chronic disease, psychological wellness, screening, teleconsult, house calls</t>
        </is>
      </c>
      <c r="G176" s="203" t="inlineStr">
        <is>
          <t>Marsiling, Yishun, Bukit Batok East and West, Tampines</t>
        </is>
      </c>
      <c r="H176" s="205" t="inlineStr">
        <is>
          <t>https://www.mdfamilyclinic.sg</t>
        </is>
      </c>
      <c r="I176" s="203" t="inlineStr">
        <is>
          <t>+65 6592 4762</t>
        </is>
      </c>
      <c r="J176" s="203" t="inlineStr">
        <is>
          <t>marsiling@mdfamilyclinic.sg</t>
        </is>
      </c>
      <c r="K176" s="203" t="inlineStr">
        <is>
          <t>Blk 187C Marsiling Road #01-02, Singapore 733187 (plus 4 clinics)</t>
        </is>
      </c>
      <c r="L176" s="203" t="inlineStr">
        <is>
          <t>Seven doctors named by first name on own site</t>
        </is>
      </c>
      <c r="M176" s="206" t="inlineStr">
        <is>
          <t>A</t>
        </is>
      </c>
      <c r="N176" s="203" t="inlineStr">
        <is>
          <t>Not stated</t>
        </is>
      </c>
      <c r="O176" s="203" t="inlineStr">
        <is>
          <t>Small GP group: one platform rolled across sites, and handhelds can move between clinics. Ultrasound use: Not stated. Confirm on the first call.</t>
        </is>
      </c>
      <c r="P176" s="203" t="inlineStr">
        <is>
          <t>SonoEye P3 (pocket handheld for the consult room) + SonoAir 70 (2.1 kg, four active ports, auto bladder volume, thyroid and breast nodule tools)</t>
        </is>
      </c>
      <c r="Q176" s="208" t="inlineStr">
        <is>
          <t>P2</t>
        </is>
      </c>
      <c r="R176" s="203" t="inlineStr">
        <is>
          <t>P2: verified email on own site; general GP fit.</t>
        </is>
      </c>
      <c r="S176" s="203" t="inlineStr">
        <is>
          <t>Own site opened 2 to 3 Oct 2026</t>
        </is>
      </c>
      <c r="T176" s="203" t="inlineStr">
        <is>
          <t>CHISON point of care ultrasound across MD Family Clinic clinics</t>
        </is>
      </c>
      <c r="U176" s="203" t="inlineStr">
        <is>
          <t>Dear MD Family Clinic team,
I am Casper Tan, Senior Regional Sales Manager at AstraMed Healthcare, the Singapore subsidiary of CHISON Medical Technologies. Your clinics, with house calls and teleconsults, give MD Family Clinic daily uses for a portable scanner.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suggest: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MD Family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7" ht="36" customHeight="1" s="104">
      <c r="A177" s="203" t="n">
        <v>173</v>
      </c>
      <c r="B177" s="204" t="inlineStr">
        <is>
          <t>MyDoctor Group</t>
        </is>
      </c>
      <c r="C177" s="203" t="inlineStr">
        <is>
          <t>Contacted</t>
        </is>
      </c>
      <c r="D177" s="203" t="inlineStr">
        <is>
          <t>GP clinic</t>
        </is>
      </c>
      <c r="E177" s="203" t="inlineStr">
        <is>
          <t>GP group (small)</t>
        </is>
      </c>
      <c r="F177" s="203" t="inlineStr">
        <is>
          <t>Five family clinics: consultations, chronic disease, screening, vaccinations, Healthier SG</t>
        </is>
      </c>
      <c r="G177" s="203" t="inlineStr">
        <is>
          <t>Boon Lay, Admiralty, Balestier, Canberra, Choa Chu Kang</t>
        </is>
      </c>
      <c r="H177" s="205" t="inlineStr">
        <is>
          <t>https://mydoctorsg.com</t>
        </is>
      </c>
      <c r="I177" s="203" t="inlineStr">
        <is>
          <t>+65 6265 7270 (Lakeside, also WhatsApp)</t>
        </is>
      </c>
      <c r="J177" s="203" t="inlineStr">
        <is>
          <t>contact.us@mydoctorsg.com</t>
        </is>
      </c>
      <c r="K177" s="203" t="inlineStr">
        <is>
          <t>201 Boon Lay Way #01-05, Singapore 649845 (plus 4 clinics)</t>
        </is>
      </c>
      <c r="L177" s="203" t="inlineStr">
        <is>
          <t>Dr Chong (named on own site)</t>
        </is>
      </c>
      <c r="M177" s="206" t="inlineStr">
        <is>
          <t>A</t>
        </is>
      </c>
      <c r="N177" s="203" t="inlineStr">
        <is>
          <t>Not stated</t>
        </is>
      </c>
      <c r="O177" s="203" t="inlineStr">
        <is>
          <t>Small GP group: one platform rolled across sites, and handhelds can move between clinics. Ultrasound use: Not stated. Confirm on the first call.</t>
        </is>
      </c>
      <c r="P177" s="203" t="inlineStr">
        <is>
          <t>SonoEye P3 (pocket handheld for the consult room) + SonoAir 70 (2.1 kg, four active ports, auto bladder volume, thyroid and breast nodule tools)</t>
        </is>
      </c>
      <c r="Q177" s="208" t="inlineStr">
        <is>
          <t>P2</t>
        </is>
      </c>
      <c r="R177" s="203" t="inlineStr">
        <is>
          <t>P2: verified email on own site; general GP fit.</t>
        </is>
      </c>
      <c r="S177" s="203" t="inlineStr">
        <is>
          <t>Own site opened 2 to 3 Oct 2026</t>
        </is>
      </c>
      <c r="T177" s="203" t="inlineStr">
        <is>
          <t>CHISON point of care ultrasound across MyDoctor Group clinics</t>
        </is>
      </c>
      <c r="U177" s="203" t="inlineStr">
        <is>
          <t>Dear MyDoctor Group team,
I am Casper Tan, Senior Regional Sales Manager at AstraMed Healthcare, the Singapore subsidiary of CHISON Medical Technologies. Family clinics from Boon Lay to Canberra give MyDoctor the scale to put point of care ultrasound in front of many patients.
CHISON has made diagnostic ultrasound in Wuxi since 1996 and sells in more than 100 countries. The systems below are registered with HSA, with AstraMed as the local registrant, so supply, application training and service are all handled here in Singapore.
For a GP group, I would start with these two: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MyDoctor Group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8" ht="72" customHeight="1" s="104">
      <c r="A178" s="203" t="n">
        <v>174</v>
      </c>
      <c r="B178" s="204" t="inlineStr">
        <is>
          <t>Our Family Clinic group (Y Medical Wellness)</t>
        </is>
      </c>
      <c r="C178" s="203" t="inlineStr">
        <is>
          <t>Not started</t>
        </is>
      </c>
      <c r="D178" s="203" t="inlineStr">
        <is>
          <t>GP clinic</t>
        </is>
      </c>
      <c r="E178" s="203" t="inlineStr">
        <is>
          <t>GP group (small)</t>
        </is>
      </c>
      <c r="F178" s="203" t="inlineStr">
        <is>
          <t>Eight family clinics incl. Our Tampines FC, Our Yishun FC and The Bidadari Clinic: consultations, screening, chronic care, minor surgery, joint injections, house calls, O&amp;G services</t>
        </is>
      </c>
      <c r="G178" s="203" t="inlineStr">
        <is>
          <t>Bukit Timah, Fernvale, Jurong West, Tampines, West Coast, Woodleigh, Yishun, Bidadari</t>
        </is>
      </c>
      <c r="H178" s="205" t="inlineStr">
        <is>
          <t>https://www.ymedicalwellness.com</t>
        </is>
      </c>
      <c r="I178" s="203" t="inlineStr">
        <is>
          <t>+65 6322 3948 (Yishun) / +65 6908 5418 (Tampines)</t>
        </is>
      </c>
      <c r="J178" s="203" t="inlineStr">
        <is>
          <t>Not published on group site or clinic sites. Call or WhatsApp</t>
        </is>
      </c>
      <c r="K178" s="203" t="inlineStr">
        <is>
          <t>471B Yishun Street 42 #01-09, Forest Spring @ Yishun, Singapore 762471 (plus 7 clinics incl. 622A Tampines Ave 12 #01-08)</t>
        </is>
      </c>
      <c r="L178" s="203" t="inlineStr">
        <is>
          <t>Dr Tan Yan Yuan, Dr Jerer Lim and seven others (named on own site)</t>
        </is>
      </c>
      <c r="M178" s="206" t="inlineStr">
        <is>
          <t>A</t>
        </is>
      </c>
      <c r="N178" s="203" t="inlineStr">
        <is>
          <t>Not stated (joint injections and house calls offered)</t>
        </is>
      </c>
      <c r="O178" s="203" t="inlineStr">
        <is>
          <t>GP with joint and injection work: a high frequency handheld turns blind injections into guided ones. Ultrasound use: Not stated (joint injections and house calls offered). Confirm on the first call. Our Tampines Family Clinic and Our Yishun Family Clinic share this group's addresses, phones and doctors, so they are one account. No email published: call or WhatsApp for the right inbox, then send.</t>
        </is>
      </c>
      <c r="P178" s="203" t="inlineStr">
        <is>
          <t>SonoEye P5 (phone paired, high frequency for tendons, joints, injections) + SonoAir 70 (SonoMSK, SonoNerve, four active ports)</t>
        </is>
      </c>
      <c r="Q178" s="208" t="inlineStr">
        <is>
          <t>P2</t>
        </is>
      </c>
      <c r="R178" s="203" t="inlineStr">
        <is>
          <t>P2: no email published, call or WhatsApp first; high fit for CHISON.</t>
        </is>
      </c>
      <c r="S178" s="203" t="inlineStr">
        <is>
          <t>Own site opened 2 to 3 Oct 2026</t>
        </is>
      </c>
      <c r="T178" s="203" t="inlineStr">
        <is>
          <t>CHISON ultrasound for Our Family Clinic: joint scans and guided injections</t>
        </is>
      </c>
      <c r="U178" s="203" t="inlineStr">
        <is>
          <t>Dear Our Family Clinic team,
I am Casper Tan, Senior Regional Sales Manager at AstraMed Healthcare, the Singapore subsidiary of CHISON Medical Technologies. Your clinics doing joint injections, house calls and O&amp;G services give the group daily uses for point of care ultrasound.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these are the two I would suggest:
• SonoEye P5: a phone paired handheld with high frequency imaging for tendons, joints and needle work
• SonoAir 70: a 2.1 kg laptop with SonoMSK and SonoNerve tools and four active probe ports
Across several clinics, one platform means one training programme and one service contact, and the handhelds can move between sites as demand shifts.
Would a short call with whoever looks after equipment across Our Family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79" ht="36" customHeight="1" s="104">
      <c r="A179" s="203" t="n">
        <v>175</v>
      </c>
      <c r="B179" s="204" t="inlineStr">
        <is>
          <t>Peak Medical Clinic &amp; Surgery</t>
        </is>
      </c>
      <c r="C179" s="203" t="inlineStr">
        <is>
          <t>Contacted</t>
        </is>
      </c>
      <c r="D179" s="203" t="inlineStr">
        <is>
          <t>GP clinic</t>
        </is>
      </c>
      <c r="E179" s="203" t="inlineStr">
        <is>
          <t>GP group (small)</t>
        </is>
      </c>
      <c r="F179" s="203" t="inlineStr">
        <is>
          <t>Three clinics: screening, vaccinations, testing, LPA certification</t>
        </is>
      </c>
      <c r="G179" s="203" t="inlineStr">
        <is>
          <t>Tampines, Bukit Batok, Novena</t>
        </is>
      </c>
      <c r="H179" s="205" t="inlineStr">
        <is>
          <t>https://peakmedicalsg.com</t>
        </is>
      </c>
      <c r="I179" s="203" t="inlineStr">
        <is>
          <t>+65 6513 6326 (Tampines) / +65 6255 0900 (Novena)</t>
        </is>
      </c>
      <c r="J179" s="203" t="inlineStr">
        <is>
          <t>grstaff@peakmedicalsg.com (Novena: rhstaff@peakmedicalsg.com)</t>
        </is>
      </c>
      <c r="K179" s="203" t="inlineStr">
        <is>
          <t>601B Tampines Ave 9 #01-05, Tampines Greenridges (plus 467 Bukit Batok West Ave 9 #01-04 and 55 Newton Road #02-07 Revenue House)</t>
        </is>
      </c>
      <c r="L179" s="203" t="inlineStr">
        <is>
          <t>Dr Tommie Choo, Founder; Dr Darren Koh, Co-founder (named on own site)</t>
        </is>
      </c>
      <c r="M179" s="206" t="inlineStr">
        <is>
          <t>A</t>
        </is>
      </c>
      <c r="N179" s="203" t="inlineStr">
        <is>
          <t>Not stated</t>
        </is>
      </c>
      <c r="O179" s="203" t="inlineStr">
        <is>
          <t>Small GP group: one platform rolled across sites, and handhelds can move between clinics. Ultrasound use: Not stated. Confirm on the first call.</t>
        </is>
      </c>
      <c r="P179" s="203" t="inlineStr">
        <is>
          <t>SonoEye P3 (pocket handheld for the consult room) + SonoAir 70 (2.1 kg, four active ports, auto bladder volume, thyroid and breast nodule tools)</t>
        </is>
      </c>
      <c r="Q179" s="208" t="inlineStr">
        <is>
          <t>P2</t>
        </is>
      </c>
      <c r="R179" s="203" t="inlineStr">
        <is>
          <t>P2: verified email on own site; general GP fit.</t>
        </is>
      </c>
      <c r="S179" s="203" t="inlineStr">
        <is>
          <t>Own site opened 2 to 3 Oct 2026</t>
        </is>
      </c>
      <c r="T179" s="203" t="inlineStr">
        <is>
          <t>CHISON point of care ultrasound across Peak Medical Clinic &amp; Surgery clinics</t>
        </is>
      </c>
      <c r="U179" s="203" t="inlineStr">
        <is>
          <t>Dear Dr Choo and Dr Koh,
I am Casper Tan, Senior Regional Sales Manager at AstraMed Healthcare, the Singapore subsidiary of CHISON Medical Technologies. Your clinics with screening and procedures across Tampines, Bukit Batok and Novena can share one scanner model.
CHISON has made diagnostic ultrasound in Wuxi since 1996 and sells in more than 100 countries. The systems below are registered with HSA, with AstraMed as the local registrant, so supply, application training and service are all handled here in Singapore.
For a GP group, I would start with these two: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Peak Medical Clinic &amp; Surgery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80" ht="36" customHeight="1" s="104">
      <c r="A180" s="203" t="n">
        <v>176</v>
      </c>
      <c r="B180" s="204" t="inlineStr">
        <is>
          <t>Trucare Medical and Surgery</t>
        </is>
      </c>
      <c r="C180" s="203" t="inlineStr">
        <is>
          <t>Contacted</t>
        </is>
      </c>
      <c r="D180" s="203" t="inlineStr">
        <is>
          <t>GP clinic</t>
        </is>
      </c>
      <c r="E180" s="203" t="inlineStr">
        <is>
          <t>GP group (small)</t>
        </is>
      </c>
      <c r="F180" s="203" t="inlineStr">
        <is>
          <t>Three clinics: general medical services, screening, surgical services</t>
        </is>
      </c>
      <c r="G180" s="203" t="inlineStr">
        <is>
          <t>Hougang (The Midtown), Ang Mo Kio, Havelock</t>
        </is>
      </c>
      <c r="H180" s="205" t="inlineStr">
        <is>
          <t>https://trucaremedical.com.sg</t>
        </is>
      </c>
      <c r="I180" s="203" t="inlineStr">
        <is>
          <t>+65 6385 3525 (Hougang, fax 6385 3273) / +65 6255 8849 (AMK)</t>
        </is>
      </c>
      <c r="J180" s="203" t="inlineStr">
        <is>
          <t>trucarem@gmail.com</t>
        </is>
      </c>
      <c r="K180" s="203" t="inlineStr">
        <is>
          <t>1187 Upper Serangoon Road #01-53, The Midtown, Singapore 533971 (plus 226A Ang Mo Kio Ave 1 #01-631 and 51 Havelock Road #01-04)</t>
        </is>
      </c>
      <c r="L180" s="203" t="inlineStr">
        <is>
          <t>Doctors not named on contact page</t>
        </is>
      </c>
      <c r="M180" s="206" t="inlineStr">
        <is>
          <t>A</t>
        </is>
      </c>
      <c r="N180" s="203" t="inlineStr">
        <is>
          <t>Not stated</t>
        </is>
      </c>
      <c r="O180" s="203" t="inlineStr">
        <is>
          <t>Small GP group: one platform rolled across sites, and handhelds can move between clinics. Ultrasound use: Not stated. Confirm on the first call.</t>
        </is>
      </c>
      <c r="P180" s="203" t="inlineStr">
        <is>
          <t>SonoEye P3 (pocket handheld for the consult room) + SonoAir 70 (2.1 kg, four active ports, auto bladder volume, thyroid and breast nodule tools)</t>
        </is>
      </c>
      <c r="Q180" s="208" t="inlineStr">
        <is>
          <t>P2</t>
        </is>
      </c>
      <c r="R180" s="203" t="inlineStr">
        <is>
          <t>P2: verified email on own site; general GP fit.</t>
        </is>
      </c>
      <c r="S180" s="203" t="inlineStr">
        <is>
          <t>Own site opened 2 to 3 Oct 2026</t>
        </is>
      </c>
      <c r="T180" s="203" t="inlineStr">
        <is>
          <t>CHISON point of care ultrasound across Trucare Medical clinics</t>
        </is>
      </c>
      <c r="U180" s="203" t="inlineStr">
        <is>
          <t>Dear Trucare Medical team,
I am Casper Tan, Senior Regional Sales Manager at AstraMed Healthcare, the Singapore subsidiary of CHISON Medical Technologies. Your clinics with surgical services in Hougang, Ang Mo Kio and Havelock see lumps, abscesses and injuries where ultrasound helps.
CHISON has made diagnostic ultrasound in Wuxi since 1996 and sells in more than 100 countries. The systems below are registered with HSA, with AstraMed as the local registrant, so supply, application training and service are all handled here in Singapore.
For a GP group, I would start with these two: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Trucare Medical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81" ht="36" customHeight="1" s="104">
      <c r="A181" s="203" t="n">
        <v>177</v>
      </c>
      <c r="B181" s="204" t="inlineStr">
        <is>
          <t>TrueCare Clinic</t>
        </is>
      </c>
      <c r="C181" s="203" t="inlineStr">
        <is>
          <t>Contacted</t>
        </is>
      </c>
      <c r="D181" s="203" t="inlineStr">
        <is>
          <t>GP clinic</t>
        </is>
      </c>
      <c r="E181" s="203" t="inlineStr">
        <is>
          <t>GP group (small)</t>
        </is>
      </c>
      <c r="F181" s="203" t="inlineStr">
        <is>
          <t>Five clinics: primary care, men's, women's and paediatric health, rehab, screening incl. cancer and allergy, statutory medicals</t>
        </is>
      </c>
      <c r="G181" s="203" t="inlineStr">
        <is>
          <t>Little India, Simei, Eunos, Rivervale, Marine Parade</t>
        </is>
      </c>
      <c r="H181" s="205" t="inlineStr">
        <is>
          <t>https://truecareclinic.sg</t>
        </is>
      </c>
      <c r="I181" s="203" t="inlineStr">
        <is>
          <t>+65 6299 8880 (main) / WhatsApp +65 8300 0101</t>
        </is>
      </c>
      <c r="J181" s="203" t="inlineStr">
        <is>
          <t>Info@truecareclinic.sg</t>
        </is>
      </c>
      <c r="K181" s="203" t="inlineStr">
        <is>
          <t>258 Serangoon Road, Singapore 218095 (plus East Point Mall, Eunos Crescent, Rivervale Mall, i12 Marine Parade)</t>
        </is>
      </c>
      <c r="L181" s="203" t="inlineStr">
        <is>
          <t>Doctors not named on home page</t>
        </is>
      </c>
      <c r="M181" s="206" t="inlineStr">
        <is>
          <t>A</t>
        </is>
      </c>
      <c r="N181" s="203" t="inlineStr">
        <is>
          <t>Not stated</t>
        </is>
      </c>
      <c r="O181" s="203" t="inlineStr">
        <is>
          <t>Small GP group: one platform rolled across sites, and handhelds can move between clinics. Ultrasound use: Not stated. Confirm on the first call.</t>
        </is>
      </c>
      <c r="P181" s="203" t="inlineStr">
        <is>
          <t>SonoEye P3 (pocket handheld for the consult room) + SonoAir 70 (2.1 kg, four active ports, auto bladder volume, thyroid and breast nodule tools)</t>
        </is>
      </c>
      <c r="Q181" s="208" t="inlineStr">
        <is>
          <t>P2</t>
        </is>
      </c>
      <c r="R181" s="203" t="inlineStr">
        <is>
          <t>P2: verified email on own site; general GP fit.</t>
        </is>
      </c>
      <c r="S181" s="203" t="inlineStr">
        <is>
          <t>Own site opened 2 to 3 Oct 2026</t>
        </is>
      </c>
      <c r="T181" s="203" t="inlineStr">
        <is>
          <t>CHISON point of care ultrasound across TrueCare Clinic clinics</t>
        </is>
      </c>
      <c r="U181" s="203" t="inlineStr">
        <is>
          <t>Dear TrueCare Clinic team,
I am Casper Tan, Senior Regional Sales Manager at AstraMed Healthcare, the Singapore subsidiary of CHISON Medical Technologies. Your clinics with rehab, screening and paediatric care give TrueCare the scale to standardise point of care ultrasound.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put forward: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TrueCare Clinic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82" ht="36" customHeight="1" s="104">
      <c r="A182" s="203" t="n">
        <v>178</v>
      </c>
      <c r="B182" s="204" t="inlineStr">
        <is>
          <t>Ultimed Healthcare</t>
        </is>
      </c>
      <c r="C182" s="203" t="inlineStr">
        <is>
          <t>Contacted</t>
        </is>
      </c>
      <c r="D182" s="203" t="inlineStr">
        <is>
          <t>GP clinic</t>
        </is>
      </c>
      <c r="E182" s="203" t="inlineStr">
        <is>
          <t>GP group (small)</t>
        </is>
      </c>
      <c r="F182" s="203" t="inlineStr">
        <is>
          <t>Family clinics: acute and chronic care, family planning, screening, telemedicine, MOM, ICA and driver medicals</t>
        </is>
      </c>
      <c r="G182" s="203" t="inlineStr">
        <is>
          <t>Jurong East, Tampines (incl. Our Tampines Hub), Ang Mo Kio</t>
        </is>
      </c>
      <c r="H182" s="205" t="inlineStr">
        <is>
          <t>https://www.ultimed.com.sg</t>
        </is>
      </c>
      <c r="I182" s="203" t="inlineStr">
        <is>
          <t>See clinic pages on own site</t>
        </is>
      </c>
      <c r="J182" s="203" t="inlineStr">
        <is>
          <t>hello@ultimed.com.sg</t>
        </is>
      </c>
      <c r="K182" s="203" t="inlineStr">
        <is>
          <t>Blk 318 Jurong East Street 31 #01-46, Singapore 600318 (plus Tampines and Ang Mo Kio clinics, per directory)</t>
        </is>
      </c>
      <c r="L182" s="203" t="inlineStr">
        <is>
          <t>Dr Ethan Lim, Chief Executive Officer (named on own site)</t>
        </is>
      </c>
      <c r="M182" s="206" t="inlineStr">
        <is>
          <t>A</t>
        </is>
      </c>
      <c r="N182" s="203" t="inlineStr">
        <is>
          <t>Not stated</t>
        </is>
      </c>
      <c r="O182" s="203" t="inlineStr">
        <is>
          <t>Small GP group: one platform rolled across sites, and handhelds can move between clinics. Ultrasound use: Not stated. Confirm on the first call.</t>
        </is>
      </c>
      <c r="P182" s="203" t="inlineStr">
        <is>
          <t>SonoEye P3 (pocket handheld for the consult room) + SonoAir 70 (2.1 kg, four active ports, auto bladder volume, thyroid and breast nodule tools)</t>
        </is>
      </c>
      <c r="Q182" s="208" t="inlineStr">
        <is>
          <t>P2</t>
        </is>
      </c>
      <c r="R182" s="203" t="inlineStr">
        <is>
          <t>P2: verified email on own site; general GP fit.</t>
        </is>
      </c>
      <c r="S182" s="203" t="inlineStr">
        <is>
          <t>Own site opened 2 to 3 Oct 2026</t>
        </is>
      </c>
      <c r="T182" s="203" t="inlineStr">
        <is>
          <t>CHISON point of care ultrasound across Ultimed Healthcare clinics</t>
        </is>
      </c>
      <c r="U182" s="203" t="inlineStr">
        <is>
          <t>Dear Ultimed Healthcare team,
I am Casper Tan, Senior Regional Sales Manager at AstraMed Healthcare, the Singapore subsidiary of CHISON Medical Technologies. Your clinics handle screening and statutory medicals alongside acute care, where a quick scan saves a referral.
CHISON has made diagnostic ultrasound in Wuxi since 1996 and sells in more than 100 countries. The systems below are registered with HSA, with AstraMed as the local registrant, so supply, application training and service are all handled here in Singapore.
For a GP group, I would start with these two: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Ultimed Healthcare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83" ht="36" customHeight="1" s="104">
      <c r="A183" s="203" t="n">
        <v>179</v>
      </c>
      <c r="B183" s="204" t="inlineStr">
        <is>
          <t>VitaCare Medical Group</t>
        </is>
      </c>
      <c r="C183" s="203" t="inlineStr">
        <is>
          <t>Contacted</t>
        </is>
      </c>
      <c r="D183" s="203" t="inlineStr">
        <is>
          <t>GP clinic</t>
        </is>
      </c>
      <c r="E183" s="203" t="inlineStr">
        <is>
          <t>GP group (small)</t>
        </is>
      </c>
      <c r="F183" s="203" t="inlineStr">
        <is>
          <t>Three family clinics since 2013: preventive and general care</t>
        </is>
      </c>
      <c r="G183" s="203" t="inlineStr">
        <is>
          <t>Punggol Central, Seletar, Kovan</t>
        </is>
      </c>
      <c r="H183" s="205" t="inlineStr">
        <is>
          <t>https://www.vitacaremedical.sg</t>
        </is>
      </c>
      <c r="I183" s="203" t="inlineStr">
        <is>
          <t>WhatsApp +65 8931 3559</t>
        </is>
      </c>
      <c r="J183" s="203" t="inlineStr">
        <is>
          <t>contact.vitacare@gmail.com</t>
        </is>
      </c>
      <c r="K183" s="203" t="inlineStr">
        <is>
          <t>205 Hougang Street 21 #02-43/44, Singapore 530205 (Kovan, per directory) plus Punggol Central and Seletar</t>
        </is>
      </c>
      <c r="L183" s="203" t="inlineStr">
        <is>
          <t>Doctors not named on home page</t>
        </is>
      </c>
      <c r="M183" s="206" t="inlineStr">
        <is>
          <t>A</t>
        </is>
      </c>
      <c r="N183" s="203" t="inlineStr">
        <is>
          <t>Not stated</t>
        </is>
      </c>
      <c r="O183" s="203" t="inlineStr">
        <is>
          <t>Small GP group: one platform rolled across sites, and handhelds can move between clinics. Ultrasound use: Not stated. Confirm on the first call.</t>
        </is>
      </c>
      <c r="P183" s="203" t="inlineStr">
        <is>
          <t>SonoEye P3 (pocket handheld for the consult room) + SonoAir 70 (2.1 kg, four active ports, auto bladder volume, thyroid and breast nodule tools)</t>
        </is>
      </c>
      <c r="Q183" s="208" t="inlineStr">
        <is>
          <t>P2</t>
        </is>
      </c>
      <c r="R183" s="203" t="inlineStr">
        <is>
          <t>P2: verified email on own site; general GP fit.</t>
        </is>
      </c>
      <c r="S183" s="203" t="inlineStr">
        <is>
          <t>Own site opened 2 to 3 Oct 2026</t>
        </is>
      </c>
      <c r="T183" s="203" t="inlineStr">
        <is>
          <t>CHISON point of care ultrasound across VitaCare Medical Group clinics</t>
        </is>
      </c>
      <c r="U183" s="203" t="inlineStr">
        <is>
          <t>Dear VitaCare Medical Group team,
I am Casper Tan, Senior Regional Sales Manager at AstraMed Healthcare, the Singapore subsidiary of CHISON Medical Technologies. With family clinics across Punggol, Seletar and Kovan, you can pilot point of care ultrasound in one and roll it out.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suggest: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VitaCare Medical Group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84" ht="36" customHeight="1" s="104">
      <c r="A184" s="203" t="n">
        <v>180</v>
      </c>
      <c r="B184" s="204" t="inlineStr">
        <is>
          <t>International Medical Clinic (IMC)</t>
        </is>
      </c>
      <c r="C184" s="203" t="inlineStr">
        <is>
          <t>Contacted</t>
        </is>
      </c>
      <c r="D184" s="203" t="inlineStr">
        <is>
          <t>GP clinic</t>
        </is>
      </c>
      <c r="E184" s="203" t="inlineStr">
        <is>
          <t>GP group (expat family practice)</t>
        </is>
      </c>
      <c r="F184" s="203" t="inlineStr">
        <is>
          <t>Family practice and paediatrics for expatriate families: screening, women's and men's health, travel medicine, procedures. Four clinics plus children's clinic</t>
        </is>
      </c>
      <c r="G184" s="203" t="inlineStr">
        <is>
          <t>Holland Village, Camden, Katong, Serangoon Gardens</t>
        </is>
      </c>
      <c r="H184" s="205" t="inlineStr">
        <is>
          <t>https://www.imc-healthcare.com</t>
        </is>
      </c>
      <c r="I184" s="203" t="inlineStr">
        <is>
          <t>+65 6733 4440 (Holland Village)</t>
        </is>
      </c>
      <c r="J184" s="203" t="inlineStr">
        <is>
          <t>hollandvillage@imc-healthcare.com</t>
        </is>
      </c>
      <c r="K184" s="203" t="inlineStr">
        <is>
          <t>3 Lorong Liput #01-04/05/06, Holland Piazza, Singapore 277725 (plus 3 clinics)</t>
        </is>
      </c>
      <c r="L184" s="203" t="inlineStr">
        <is>
          <t>Dr Angel Jung, Dr Catherine Phan, Dr Judy Goh and others (named on own site)</t>
        </is>
      </c>
      <c r="M184" s="206" t="inlineStr">
        <is>
          <t>A</t>
        </is>
      </c>
      <c r="N184" s="203" t="inlineStr">
        <is>
          <t>Not stated</t>
        </is>
      </c>
      <c r="O184" s="203" t="inlineStr">
        <is>
          <t>Small GP group: one platform rolled across sites, and handhelds can move between clinics. Ultrasound use: Not stated. Confirm on the first call.</t>
        </is>
      </c>
      <c r="P184" s="203" t="inlineStr">
        <is>
          <t>SonoEye P3 (pocket handheld for the consult room) + SonoAir 70 (2.1 kg, four active ports, auto bladder volume, thyroid and breast nodule tools)</t>
        </is>
      </c>
      <c r="Q184" s="208" t="inlineStr">
        <is>
          <t>P2</t>
        </is>
      </c>
      <c r="R184" s="203" t="inlineStr">
        <is>
          <t>P2: verified email on own site; general GP fit.</t>
        </is>
      </c>
      <c r="S184" s="203" t="inlineStr">
        <is>
          <t>Own site opened 2 to 3 Oct 2026; email decoded from the site's spam protected link</t>
        </is>
      </c>
      <c r="T184" s="203" t="inlineStr">
        <is>
          <t>CHISON point of care ultrasound across IMC clinics</t>
        </is>
      </c>
      <c r="U184" s="203" t="inlineStr">
        <is>
          <t>Dear IMC team,
I am Casper Tan, Senior Regional Sales Manager at AstraMed Healthcare, the Singapore subsidiary of CHISON Medical Technologies. Your family and paediatric clinics serve expatriate families who expect answers in one visit, which is what point of care ultrasound delivers.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put forward: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IMC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85" ht="36" customHeight="1" s="104">
      <c r="A185" s="203" t="n">
        <v>181</v>
      </c>
      <c r="B185" s="204" t="inlineStr">
        <is>
          <t>Northeast Medical Group</t>
        </is>
      </c>
      <c r="C185" s="203" t="inlineStr">
        <is>
          <t>Contacted</t>
        </is>
      </c>
      <c r="D185" s="203" t="inlineStr">
        <is>
          <t>GP clinic</t>
        </is>
      </c>
      <c r="E185" s="203" t="inlineStr">
        <is>
          <t>GP group (mid size)</t>
        </is>
      </c>
      <c r="F185" s="203" t="inlineStr">
        <is>
          <t>Family clinic group across the north east and east (Simei, Tampines, Sengkang and others); Sheares Healthcare portfolio company</t>
        </is>
      </c>
      <c r="G185" s="203" t="inlineStr">
        <is>
          <t>North east and east Singapore</t>
        </is>
      </c>
      <c r="H185" s="205" t="inlineStr">
        <is>
          <t>https://www.nemg.com.sg</t>
        </is>
      </c>
      <c r="I185" s="203" t="inlineStr">
        <is>
          <t>See clinic locator on own site</t>
        </is>
      </c>
      <c r="J185" s="203" t="inlineStr">
        <is>
          <t>info@nemg.com.sg</t>
        </is>
      </c>
      <c r="K185" s="203" t="inlineStr">
        <is>
          <t>HQ: 80 Bendemeer Road #03-01B, Singapore 339949</t>
        </is>
      </c>
      <c r="L185" s="203" t="inlineStr">
        <is>
          <t>Not named on contact page</t>
        </is>
      </c>
      <c r="M185" s="206" t="inlineStr">
        <is>
          <t>A</t>
        </is>
      </c>
      <c r="N185" s="203" t="inlineStr">
        <is>
          <t>Not stated</t>
        </is>
      </c>
      <c r="O185" s="203" t="inlineStr">
        <is>
          <t>Small GP group: one platform rolled across sites, and handhelds can move between clinics. Ultrasound use: Not stated. Confirm on the first call. Group link: Sheares Healthcare Group.</t>
        </is>
      </c>
      <c r="P185" s="203" t="inlineStr">
        <is>
          <t>SonoEye P3 (pocket handheld for the consult room) + SonoAir 70 (2.1 kg, four active ports, auto bladder volume, thyroid and breast nodule tools)</t>
        </is>
      </c>
      <c r="Q185" s="208" t="inlineStr">
        <is>
          <t>P2</t>
        </is>
      </c>
      <c r="R185" s="203" t="inlineStr">
        <is>
          <t>P2: verified email on own site; general GP fit; group link: Sheares Healthcare Group.</t>
        </is>
      </c>
      <c r="S185" s="203" t="inlineStr">
        <is>
          <t>Own site opened 2 to 3 Oct 2026</t>
        </is>
      </c>
      <c r="T185" s="203" t="inlineStr">
        <is>
          <t>CHISON point of care ultrasound across Northeast Medical Group clinics</t>
        </is>
      </c>
      <c r="U185" s="203" t="inlineStr">
        <is>
          <t>Dear Northeast Medical Group team,
I am Casper Tan, Senior Regional Sales Manager at AstraMed Healthcare, the Singapore subsidiary of CHISON Medical Technologies. Your network of family clinics across the north east gives you the scale to standardise point of care ultrasound.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put forward: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Northeast Medical Group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86" ht="48" customHeight="1" s="104">
      <c r="A186" s="203" t="n">
        <v>182</v>
      </c>
      <c r="B186" s="204" t="inlineStr">
        <is>
          <t>SATA CommHealth</t>
        </is>
      </c>
      <c r="C186" s="203" t="inlineStr">
        <is>
          <t>Contacted</t>
        </is>
      </c>
      <c r="D186" s="203" t="inlineStr">
        <is>
          <t>GP clinic</t>
        </is>
      </c>
      <c r="E186" s="203" t="inlineStr">
        <is>
          <t>Community medical centres (not for profit) with X-ray</t>
        </is>
      </c>
      <c r="F186" s="203" t="inlineStr">
        <is>
          <t>Nine community medical centres and a dialysis centre: GP care, health screening, X-ray at most centres, statutory medicals</t>
        </is>
      </c>
      <c r="G186" s="203" t="inlineStr">
        <is>
          <t>Ang Mo Kio, Bedok, Geylang East, Jurong, Tampines, Woodlands, Sengkang, Beach Road</t>
        </is>
      </c>
      <c r="H186" s="205" t="inlineStr">
        <is>
          <t>https://www.sata.com.sg</t>
        </is>
      </c>
      <c r="I186" s="203" t="inlineStr">
        <is>
          <t>+65 6244 6688</t>
        </is>
      </c>
      <c r="J186" s="203" t="inlineStr">
        <is>
          <t>enquiries@sata.com.sg</t>
        </is>
      </c>
      <c r="K186" s="203" t="inlineStr">
        <is>
          <t>351 Chai Chee Street, SATA CommHealth Building, Singapore 468982 (plus 8 centres)</t>
        </is>
      </c>
      <c r="L186" s="203" t="inlineStr">
        <is>
          <t>Not named on locator page</t>
        </is>
      </c>
      <c r="M186" s="206" t="inlineStr">
        <is>
          <t>A</t>
        </is>
      </c>
      <c r="N186" s="203" t="inlineStr">
        <is>
          <t>Screening imaging in house (X-ray confirmed; ultrasound listed in a 2026 clinic guide)</t>
        </is>
      </c>
      <c r="O186" s="203" t="inlineStr">
        <is>
          <t>Already scans in house, so the conversation is added capacity and cost per scan, not whether to scan. Ultrasound use: Screening imaging in house (X-ray confirmed; ultrasound listed in a 2026 clinic guide). Confirm on the first call.</t>
        </is>
      </c>
      <c r="P186" s="203" t="inlineStr">
        <is>
          <t>SonoPort 8 (mid tier cart, 23.8 in + 15.6 in touch, about 3 h battery) + SonoAir 70 (2.1 kg, four active ports, auto bladder volume, thyroid and breast nodule tools)</t>
        </is>
      </c>
      <c r="Q186" s="208" t="inlineStr">
        <is>
          <t>P2</t>
        </is>
      </c>
      <c r="R186" s="203" t="inlineStr">
        <is>
          <t>P2: verified email; not for profit community centres where the purchase likely runs through a formal process.</t>
        </is>
      </c>
      <c r="S186" s="203" t="inlineStr">
        <is>
          <t>Own site opened 2 to 3 Oct 2026</t>
        </is>
      </c>
      <c r="T186" s="203" t="inlineStr">
        <is>
          <t>CHISON ultrasound for SATA CommHealth: more scanning capacity per dollar</t>
        </is>
      </c>
      <c r="U186" s="203" t="inlineStr">
        <is>
          <t>Dear SATA CommHealth team,
I am Casper Tan, Senior Regional Sales Manager at AstraMed Healthcare, the Singapore subsidiary of CHISON Medical Technologies. Your community medical centres run screening with in house imaging for a very large patient base, where cost per scan matters.
CHISON has made diagnostic ultrasound in Wuxi since 1996 and sells in more than 100 countries. The systems below are registered with HSA, with AstraMed as the local registrant, so supply, application training and service are all handled here in Singapore.
For a clinic that already scans, these are the two I would suggest:
• SonoPort 8: a mid tier cart with a 23.8 inch monitor and 15.6 inch touch screen, and up to about three hours on battery so it can move between rooms or go to onsite screenings
• SonoAir 70: a 2.1 kg laptop with four active probe ports, automatic bladder volume and thyroid and breast nodule tools
Since you already scan, the question is cost per scan and how many rooms can scan at once, and that is where CHISON is positioned.
Would a short call with whoever looks after equipment across SATA CommHealth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87" ht="48" customHeight="1" s="104">
      <c r="A187" s="203" t="n">
        <v>183</v>
      </c>
      <c r="B187" s="204" t="inlineStr">
        <is>
          <t>Kenneth Tan Medical Clinic (KTMC)</t>
        </is>
      </c>
      <c r="C187" s="203" t="inlineStr">
        <is>
          <t>Not started</t>
        </is>
      </c>
      <c r="D187" s="203" t="inlineStr">
        <is>
          <t>GP clinic</t>
        </is>
      </c>
      <c r="E187" s="203" t="inlineStr">
        <is>
          <t>GP clinic with sports medicine</t>
        </is>
      </c>
      <c r="F187" s="203" t="inlineStr">
        <is>
          <t>Family physician led sports and exercise medicine: MSK assessment, exercise prescription, rehab; imaging referred out</t>
        </is>
      </c>
      <c r="G187" s="203" t="inlineStr">
        <is>
          <t>Joo Chiat and Punggol</t>
        </is>
      </c>
      <c r="H187" s="205" t="inlineStr">
        <is>
          <t>https://ktmc.sg</t>
        </is>
      </c>
      <c r="I187" s="203" t="inlineStr">
        <is>
          <t>+65 6920 1952 (Joo Chiat) / +65 6312 4589 (Punggol)</t>
        </is>
      </c>
      <c r="J187" s="203" t="inlineStr">
        <is>
          <t>Not published on page. Call to request</t>
        </is>
      </c>
      <c r="K187" s="203" t="inlineStr">
        <is>
          <t>172 Joo Chiat Road #01-01, Singapore 427443; 658 Punggol East #01-04, Singapore 820658</t>
        </is>
      </c>
      <c r="L187" s="203" t="inlineStr">
        <is>
          <t>Dr Kenneth Tan, Family Physician with sports medicine diploma (named on own site)</t>
        </is>
      </c>
      <c r="M187" s="206" t="inlineStr">
        <is>
          <t>A</t>
        </is>
      </c>
      <c r="N187" s="203" t="inlineStr">
        <is>
          <t>Referred out (X-ray, ultrasound, MRI referrals listed)</t>
        </is>
      </c>
      <c r="O187" s="203" t="inlineStr">
        <is>
          <t>GP with joint and injection work: a high frequency handheld turns blind injections into guided ones. Refers imaging out today, the clearest case for an in clinic system. No email published: call or WhatsApp for the right inbox, then send.</t>
        </is>
      </c>
      <c r="P187" s="203" t="inlineStr">
        <is>
          <t>SonoEye P5 (phone paired, high frequency for tendons, joints, injections) + SonoAir 70 (SonoMSK, SonoNerve, four active ports)</t>
        </is>
      </c>
      <c r="Q187" s="208" t="inlineStr">
        <is>
          <t>P2</t>
        </is>
      </c>
      <c r="R187" s="203" t="inlineStr">
        <is>
          <t>P2: no email published, call or WhatsApp first; high fit for CHISON.</t>
        </is>
      </c>
      <c r="S187" s="203" t="inlineStr">
        <is>
          <t>Own site opened 2 to 3 Oct 2026</t>
        </is>
      </c>
      <c r="T187" s="203" t="inlineStr">
        <is>
          <t>CHISON ultrasound for KTMC: joint scans and guided injections</t>
        </is>
      </c>
      <c r="U187" s="203" t="inlineStr">
        <is>
          <t>Dear Dr Tan,
I am Casper Tan, Senior Regional Sales Manager at AstraMed Healthcare, the Singapore subsidiary of CHISON Medical Technologies. Your family physician led sports medicine service currently refers ultrasound out, which is the gap a pocket high frequency scanner closes.
CHISON has made diagnostic ultrasound in Wuxi since 1996 and sells in more than 100 countries. The systems below are registered with HSA, with AstraMed as the local registrant, so supply, application training and service are all handled here in Singapore.
For joint and muscle work in a GP setting, I would start with these two:
• SonoEye P5: a phone paired handheld with high frequency imaging for tendons, joints and needle work
• SonoAir 70: a 2.1 kg laptop with SonoMSK and SonoNerve tools and four active probe ports
For joint and muscle work, a scan before the needle shows you the target and makes each injection easier to document.
Our demonstration units arrive in Singapore in October. Could I drop by KTMC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88" ht="48" customHeight="1" s="104">
      <c r="A188" s="203" t="n">
        <v>184</v>
      </c>
      <c r="B188" s="204" t="inlineStr">
        <is>
          <t>Lion Health Clinic</t>
        </is>
      </c>
      <c r="C188" s="203" t="inlineStr">
        <is>
          <t>Not started</t>
        </is>
      </c>
      <c r="D188" s="203" t="inlineStr">
        <is>
          <t>GP clinic</t>
        </is>
      </c>
      <c r="E188" s="203" t="inlineStr">
        <is>
          <t>GP clinic (extended hours)</t>
        </is>
      </c>
      <c r="F188" s="203" t="inlineStr">
        <is>
          <t>Two clinics open daily to 11pm incl. public holidays: acute and chronic care, paediatrics, minor surgery, ECG, IV drips, house calls, telemedicine</t>
        </is>
      </c>
      <c r="G188" s="203" t="inlineStr">
        <is>
          <t>Boon Keng and Yishun</t>
        </is>
      </c>
      <c r="H188" s="205" t="inlineStr">
        <is>
          <t>https://www.lionhealth.com.sg</t>
        </is>
      </c>
      <c r="I188" s="203" t="inlineStr">
        <is>
          <t>+65 6298 3212 (Boon Keng) / WhatsApp +65 9782 1719</t>
        </is>
      </c>
      <c r="J188" s="203" t="inlineStr">
        <is>
          <t>Not published on site. WhatsApp or call</t>
        </is>
      </c>
      <c r="K188" s="203" t="inlineStr">
        <is>
          <t>101 Towner Road #01-218, Singapore 322101; 931 Yishun Central 1 #01-107, Singapore 760931</t>
        </is>
      </c>
      <c r="L188" s="203" t="inlineStr">
        <is>
          <t>Doctors not named on home page</t>
        </is>
      </c>
      <c r="M188" s="206" t="inlineStr">
        <is>
          <t>A</t>
        </is>
      </c>
      <c r="N188" s="203" t="inlineStr">
        <is>
          <t>Not stated (late hours and house calls suit pocket POCUS)</t>
        </is>
      </c>
      <c r="O188" s="203" t="inlineStr">
        <is>
          <t>Night urgent care when imaging is closed is the strongest POCUS case among GPs. Ultrasound use: Not stated (late hours and house calls suit pocket POCUS). Confirm on the first call. No email published: call or WhatsApp for the right inbox, then send.</t>
        </is>
      </c>
      <c r="P188" s="203" t="inlineStr">
        <is>
          <t>SonoEye P3 (pocket handheld for acute bedside scans) + SonoAir 70 (auto diaphragm excursion, bladder volume, cardiac view recognition)</t>
        </is>
      </c>
      <c r="Q188" s="208" t="inlineStr">
        <is>
          <t>P2</t>
        </is>
      </c>
      <c r="R188" s="203" t="inlineStr">
        <is>
          <t>P2: no email published, call or WhatsApp first; high fit for CHISON.</t>
        </is>
      </c>
      <c r="S188" s="203" t="inlineStr">
        <is>
          <t>Own site opened 2 to 3 Oct 2026</t>
        </is>
      </c>
      <c r="T188" s="203" t="inlineStr">
        <is>
          <t>CHISON point of care ultrasound for Lion Health Clinic: answers at night</t>
        </is>
      </c>
      <c r="U188" s="203" t="inlineStr">
        <is>
          <t>Dear Lion Health Clinic team,
I am Casper Tan, Senior Regional Sales Manager at AstraMed Healthcare, the Singapore subsidiary of CHISON Medical Technologies. With late opening hours, house calls and IV drips, your clinics see acute cases when imaging is closed.
CHISON has made diagnostic ultrasound in Wuxi since 1996 and sells in more than 100 countries. The systems below are registered with HSA, with AstraMed as the local registrant, so supply, application training and service are all handled here in Singapore.
For night and weekend urgent care, these are the two I would suggest:
• SonoEye P3: a pocket handheld that goes to the bedside for a first look in acute cases
• SonoAir 70: a 2.1 kg laptop with automatic diaphragm excursion, bladder volume and cardiac view recognition with a quality rating
The aim is not radiology but a quick answer in the room, such as urinary retention, gallstones, a joint effusion or an early pregnancy.
Our demonstration units arrive in Singapore in October. Could I drop by Lion Health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89" ht="48" customHeight="1" s="104">
      <c r="A189" s="203" t="n">
        <v>185</v>
      </c>
      <c r="B189" s="204" t="inlineStr">
        <is>
          <t>NTUC Health Family Medicine Clinic</t>
        </is>
      </c>
      <c r="C189" s="203" t="inlineStr">
        <is>
          <t>Contacted</t>
        </is>
      </c>
      <c r="D189" s="203" t="inlineStr">
        <is>
          <t>GP clinic</t>
        </is>
      </c>
      <c r="E189" s="203" t="inlineStr">
        <is>
          <t>GP clinic (social enterprise)</t>
        </is>
      </c>
      <c r="F189" s="203" t="inlineStr">
        <is>
          <t>Co-operative run family medicine clinic with six doctors</t>
        </is>
      </c>
      <c r="G189" s="203" t="inlineStr">
        <is>
          <t>Serangoon Central</t>
        </is>
      </c>
      <c r="H189" s="205" t="inlineStr">
        <is>
          <t>https://ntuchealth.sg/family-medicine-clinic</t>
        </is>
      </c>
      <c r="I189" s="203" t="inlineStr">
        <is>
          <t>+65 6281 2638</t>
        </is>
      </c>
      <c r="J189" s="203" t="inlineStr">
        <is>
          <t>fmc@ntuchealth.sg</t>
        </is>
      </c>
      <c r="K189" s="203" t="inlineStr">
        <is>
          <t>Blk 264 Serangoon Central #01-205, Singapore 550264</t>
        </is>
      </c>
      <c r="L189" s="203" t="inlineStr">
        <is>
          <t>Dr Cedric Si, Dr Chan Shijie, Dr Darren Chen and three others (named on own site)</t>
        </is>
      </c>
      <c r="M189" s="206" t="inlineStr">
        <is>
          <t>A</t>
        </is>
      </c>
      <c r="N189" s="203" t="inlineStr">
        <is>
          <t>Not stated</t>
        </is>
      </c>
      <c r="O189" s="203" t="inlineStr">
        <is>
          <t>Independent GP: price sensitive and not yet saturated, which fits the GP and small clinic focus. Point of care answers in the room without a referral. Ultrasound use: Not stated. Confirm on the first call. Group link: NTUC Health Co-operative (also runs home medical services).</t>
        </is>
      </c>
      <c r="P189" s="203" t="inlineStr">
        <is>
          <t>SonoEye P3 (pocket handheld for the consult room) + SonoAir 70 (2.1 kg, four active ports, auto bladder volume, thyroid and breast nodule tools)</t>
        </is>
      </c>
      <c r="Q189" s="208" t="inlineStr">
        <is>
          <t>P2</t>
        </is>
      </c>
      <c r="R189" s="203" t="inlineStr">
        <is>
          <t>P2: verified email; social enterprise clinic where the purchase is likely decided at NTUC Health level.</t>
        </is>
      </c>
      <c r="S189" s="203" t="inlineStr">
        <is>
          <t>Own site opened 2 to 3 Oct 2026</t>
        </is>
      </c>
      <c r="T189" s="203" t="inlineStr">
        <is>
          <t>CHISON point of care ultrasound for NTUC Health FMC</t>
        </is>
      </c>
      <c r="U189" s="203" t="inlineStr">
        <is>
          <t>Dear NTUC Health FMC team,
I am Casper Tan, Senior Regional Sales Manager at AstraMed Healthcare, the Singapore subsidiary of CHISON Medical Technologies. Chronic care for a large Serangoon patient base is where point of care ultrasound helps catch problems early.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NTUC Health FMC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90" ht="48" customHeight="1" s="104">
      <c r="A190" s="203" t="n">
        <v>186</v>
      </c>
      <c r="B190" s="204" t="inlineStr">
        <is>
          <t>I-CARE PCN</t>
        </is>
      </c>
      <c r="C190" s="203" t="inlineStr">
        <is>
          <t>Not started</t>
        </is>
      </c>
      <c r="D190" s="203" t="inlineStr">
        <is>
          <t>GP clinic</t>
        </is>
      </c>
      <c r="E190" s="203" t="inlineStr">
        <is>
          <t>GP network (Primary Care Network)</t>
        </is>
      </c>
      <c r="F190" s="203" t="inlineStr">
        <is>
          <t>Primary Care Network of east and central GP clinics incl. Low Medical Clinic, Sims Drive Medical Clinic, Wong Clinic, Advance Clinic &amp; Surgery, Alliance Clinic &amp; Partners; a single route to several independent GPs</t>
        </is>
      </c>
      <c r="G190" s="203" t="inlineStr">
        <is>
          <t>Kallang, Sims, Bedok, Ubi, Jalan Tenaga, Jurong</t>
        </is>
      </c>
      <c r="H190" s="205" t="inlineStr">
        <is>
          <t>https://www.icarepcn.com</t>
        </is>
      </c>
      <c r="I190" s="203" t="inlineStr">
        <is>
          <t>WhatsApp +65 8802 8283 (HQ Sims and CareHub) / +65 6741 1607 (Sims Drive Medical Clinic)</t>
        </is>
      </c>
      <c r="J190" s="203" t="inlineStr">
        <is>
          <t>Not published on site. WhatsApp HQ</t>
        </is>
      </c>
      <c r="K190" s="203" t="inlineStr">
        <is>
          <t>HQ at Sims Drive Medical Clinic, Blk 53 Sims Place #01-174, Singapore 380053</t>
        </is>
      </c>
      <c r="L190" s="203" t="inlineStr">
        <is>
          <t>Not named on page</t>
        </is>
      </c>
      <c r="M190" s="206" t="inlineStr">
        <is>
          <t>A</t>
        </is>
      </c>
      <c r="N190" s="203" t="inlineStr">
        <is>
          <t>Not applicable (network)</t>
        </is>
      </c>
      <c r="O190" s="203" t="inlineStr">
        <is>
          <t>Network route: one conversation reaches many independent GPs. Offer a hands on POCUS evening. No email published: call or WhatsApp for the right inbox, then send.</t>
        </is>
      </c>
      <c r="P190" s="203" t="inlineStr">
        <is>
          <t>SonoEye P3 (pocket handheld for the consult room) + SonoAir 70 (2.1 kg, four active ports, auto bladder volume, thyroid and breast nodule tools)</t>
        </is>
      </c>
      <c r="Q190" s="208" t="inlineStr">
        <is>
          <t>P2</t>
        </is>
      </c>
      <c r="R190" s="203" t="inlineStr">
        <is>
          <t>P2: no email published, WhatsApp HQ; network of east and central GP clinics (four members are listed on this tab).</t>
        </is>
      </c>
      <c r="S190" s="203" t="inlineStr">
        <is>
          <t>Own site opened 2 to 3 Oct 2026</t>
        </is>
      </c>
      <c r="T190" s="203" t="inlineStr">
        <is>
          <t>CHISON and I-CARE PCN: a hands on POCUS evening for your member GPs</t>
        </is>
      </c>
      <c r="U190" s="203" t="inlineStr">
        <is>
          <t>Dear I-CARE PCN team,
I am Casper Tan, Senior Regional Sales Manager at AstraMed Healthcare, the Singapore subsidiary of CHISON Medical Technologies. Your network links several independent GP clinics in the east and centre, so one conversation reaches many family doctors.
CHISON has made diagnostic ultrasound in Wuxi since 1996 and sells in more than 100 countries. The systems below are registered with HSA, with AstraMed as the local registrant, so supply, application training and service are all handled here in Singapore.
For member GPs, these are the two I would put forward:
• SonoEye P3: a pocket handheld for quick bedside answers in the consult room
• SonoAir 70: a 2.1 kg laptop with four active probe ports, automatic bladder volume and thyroid and breast nodule tools
A network level session lets each member GP try the systems without committing their own clinic first.
Would I-CARE PCN be open to a hands on POCUS evening for member GPs in the second half of October? AstraMed would bring the systems and run the stations.
Best regards,
Casper Tan
Senior Regional Sales Manager
AstraMed Healthcare Pte Ltd, a subsidiary of CHISON Medical Technologies
casper@astramed.sg | +65 8719 0121</t>
        </is>
      </c>
    </row>
    <row r="191" ht="72" customHeight="1" s="104">
      <c r="A191" s="203" t="n">
        <v>187</v>
      </c>
      <c r="B191" s="204" t="inlineStr">
        <is>
          <t>Canary Medical Clinic &amp; Canary Dermacare</t>
        </is>
      </c>
      <c r="C191" s="203" t="inlineStr">
        <is>
          <t>Not started</t>
        </is>
      </c>
      <c r="D191" s="203" t="inlineStr">
        <is>
          <t>GP clinic</t>
        </is>
      </c>
      <c r="E191" s="203" t="inlineStr">
        <is>
          <t>GP clinic (independent)</t>
        </is>
      </c>
      <c r="F191" s="203" t="inlineStr">
        <is>
          <t>GP, screening, physiotherapy, minor surgery, medi-skincare, worker medicals</t>
        </is>
      </c>
      <c r="G191" s="203" t="inlineStr">
        <is>
          <t>Woodlands (Marsiling)</t>
        </is>
      </c>
      <c r="H191" s="205" t="inlineStr">
        <is>
          <t>https://www.canarymedicalsg.com</t>
        </is>
      </c>
      <c r="I191" s="203" t="inlineStr">
        <is>
          <t>+65 6235 2880 / WhatsApp +65 8025 2035</t>
        </is>
      </c>
      <c r="J191" s="203" t="inlineStr">
        <is>
          <t>Not published on site. WhatsApp or call</t>
        </is>
      </c>
      <c r="K191" s="203" t="inlineStr">
        <is>
          <t>182 Woodlands Street 13 #01-04, Marsiling Greenview, Singapore 730182</t>
        </is>
      </c>
      <c r="L191" s="203" t="inlineStr">
        <is>
          <t>Dr Lee Guo Rui, Dr Tan May Ling, Dr Dominic Sim (named on own site)</t>
        </is>
      </c>
      <c r="M191" s="206" t="inlineStr">
        <is>
          <t>A</t>
        </is>
      </c>
      <c r="N191" s="203" t="inlineStr">
        <is>
          <t>Not stated</t>
        </is>
      </c>
      <c r="O191" s="203" t="inlineStr">
        <is>
          <t>Independent GP: price sensitive and not yet saturated, which fits the GP and small clinic focus. Point of care answers in the room without a referral. Ultrasound use: Not stated. Confirm on the first call. Group link: Mayfair Medical lists the same Marsiling address and phone, so this may be one of its clinics; confirm before approaching both. No email published: call or WhatsApp for the right inbox, then send.</t>
        </is>
      </c>
      <c r="P191" s="203" t="inlineStr">
        <is>
          <t>SonoEye P3 (pocket handheld for the consult room) + SonoAir 70 (2.1 kg, four active ports, auto bladder volume, thyroid and breast nodule tools)</t>
        </is>
      </c>
      <c r="Q191" s="209" t="inlineStr">
        <is>
          <t>P3</t>
        </is>
      </c>
      <c r="R191" s="203" t="inlineStr">
        <is>
          <t>P3: no email published, call or WhatsApp first; general GP fit; group link: Mayfair Medical lists the same Marsiling address and phone, so this may be one of its clinics; confirm before approaching both.</t>
        </is>
      </c>
      <c r="S191" s="203" t="inlineStr">
        <is>
          <t>Own site opened 2 to 3 Oct 2026</t>
        </is>
      </c>
      <c r="T191" s="203" t="inlineStr">
        <is>
          <t>CHISON point of care ultrasound for Canary Medical Clinic</t>
        </is>
      </c>
      <c r="U191" s="203" t="inlineStr">
        <is>
          <t>Dear Canary Medical Clinic team,
I am Casper Tan, Senior Regional Sales Manager at AstraMed Healthcare, the Singapore subsidiary of CHISON Medical Technologies. Physiotherapy, minor surgery and screening at your Marsiling clinic are where a quick scan adds value.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Canary Medical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92" ht="48" customHeight="1" s="104">
      <c r="A192" s="203" t="n">
        <v>188</v>
      </c>
      <c r="B192" s="204" t="inlineStr">
        <is>
          <t>Dr Joyce &amp; Partners Family Clinic</t>
        </is>
      </c>
      <c r="C192" s="203" t="inlineStr">
        <is>
          <t>Not started</t>
        </is>
      </c>
      <c r="D192" s="203" t="inlineStr">
        <is>
          <t>GP clinic</t>
        </is>
      </c>
      <c r="E192" s="203" t="inlineStr">
        <is>
          <t>GP clinic (independent)</t>
        </is>
      </c>
      <c r="F192" s="203" t="inlineStr">
        <is>
          <t>Family medicine, vaccinations, pap smears, ECG, screening, minor surgery, sexual health</t>
        </is>
      </c>
      <c r="G192" s="203" t="inlineStr">
        <is>
          <t>Punggol and Toa Payoh</t>
        </is>
      </c>
      <c r="H192" s="205" t="inlineStr">
        <is>
          <t>https://drjoycepartners.com</t>
        </is>
      </c>
      <c r="I192" s="203" t="inlineStr">
        <is>
          <t>+65 6926 7607 (Punggol) / +65 6802 3507 (Toa Payoh)</t>
        </is>
      </c>
      <c r="J192" s="203" t="inlineStr">
        <is>
          <t>Not published on site. Call to request</t>
        </is>
      </c>
      <c r="K192" s="203" t="inlineStr">
        <is>
          <t>Blk 224A Sumang Lane #01-01, Singapore 821224; Blk 178 Toa Payoh Central #01-224, Singapore 310178</t>
        </is>
      </c>
      <c r="L192" s="203" t="inlineStr">
        <is>
          <t>Dr Joyce Seng Sheh Ling, Family Physician (named on own site)</t>
        </is>
      </c>
      <c r="M192" s="206" t="inlineStr">
        <is>
          <t>A</t>
        </is>
      </c>
      <c r="N192" s="203" t="inlineStr">
        <is>
          <t>Not stated</t>
        </is>
      </c>
      <c r="O192" s="203" t="inlineStr">
        <is>
          <t>Independent GP: price sensitive and not yet saturated, which fits the GP and small clinic focus. Point of care answers in the room without a referral. Ultrasound use: Not stated. Confirm on the first call. No email published: call or WhatsApp for the right inbox, then send.</t>
        </is>
      </c>
      <c r="P192" s="203" t="inlineStr">
        <is>
          <t>SonoEye P3 (pocket handheld for the consult room) + SonoAir 70 (2.1 kg, four active ports, auto bladder volume, thyroid and breast nodule tools)</t>
        </is>
      </c>
      <c r="Q192" s="209" t="inlineStr">
        <is>
          <t>P3</t>
        </is>
      </c>
      <c r="R192" s="203" t="inlineStr">
        <is>
          <t>P3: no email published, call or WhatsApp first; general GP fit.</t>
        </is>
      </c>
      <c r="S192" s="203" t="inlineStr">
        <is>
          <t>Own site opened 2 to 3 Oct 2026</t>
        </is>
      </c>
      <c r="T192" s="203" t="inlineStr">
        <is>
          <t>CHISON point of care ultrasound for Dr Joyce &amp; Partners Family Clinic</t>
        </is>
      </c>
      <c r="U192" s="203" t="inlineStr">
        <is>
          <t>Dear Dr Seng,
I am Casper Tan, Senior Regional Sales Manager at AstraMed Healthcare, the Singapore subsidiary of CHISON Medical Technologies. Health screening, ECG and minor surgery at Punggol and Toa Payoh are where a quick scan adds value without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Dr Joyce &amp; Partners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93" ht="48" customHeight="1" s="104">
      <c r="A193" s="203" t="n">
        <v>189</v>
      </c>
      <c r="B193" s="204" t="inlineStr">
        <is>
          <t>Healthcare United Toa Payoh Clinic</t>
        </is>
      </c>
      <c r="C193" s="203" t="inlineStr">
        <is>
          <t>Not started</t>
        </is>
      </c>
      <c r="D193" s="203" t="inlineStr">
        <is>
          <t>GP clinic</t>
        </is>
      </c>
      <c r="E193" s="203" t="inlineStr">
        <is>
          <t>GP clinic (independent)</t>
        </is>
      </c>
      <c r="F193" s="203" t="inlineStr">
        <is>
          <t>GP and family medicine, screening, chronic care, work permit and employment pass medicals</t>
        </is>
      </c>
      <c r="G193" s="203" t="inlineStr">
        <is>
          <t>Toa Payoh</t>
        </is>
      </c>
      <c r="H193" s="205" t="inlineStr">
        <is>
          <t>https://healthcareunited-clinic.com</t>
        </is>
      </c>
      <c r="I193" s="203" t="inlineStr">
        <is>
          <t>+65 9151 5377</t>
        </is>
      </c>
      <c r="J193" s="203" t="inlineStr">
        <is>
          <t>Not published on site. Call to request</t>
        </is>
      </c>
      <c r="K193" s="203" t="inlineStr">
        <is>
          <t>70 Lorong 4 Toa Payoh #01-335, Singapore 310070</t>
        </is>
      </c>
      <c r="L193" s="203" t="inlineStr">
        <is>
          <t>Doctors not named on site</t>
        </is>
      </c>
      <c r="M193" s="206" t="inlineStr">
        <is>
          <t>A</t>
        </is>
      </c>
      <c r="N193" s="203" t="inlineStr">
        <is>
          <t>Not stated</t>
        </is>
      </c>
      <c r="O193" s="203" t="inlineStr">
        <is>
          <t>Independent GP: price sensitive and not yet saturated, which fits the GP and small clinic focus. Point of care answers in the room without a referral. Ultrasound use: Not stated. Confirm on the first call. No email published: call or WhatsApp for the right inbox, then send.</t>
        </is>
      </c>
      <c r="P193" s="203" t="inlineStr">
        <is>
          <t>SonoEye P3 (pocket handheld for the consult room) + SonoAir 70 (2.1 kg, four active ports, auto bladder volume, thyroid and breast nodule tools)</t>
        </is>
      </c>
      <c r="Q193" s="209" t="inlineStr">
        <is>
          <t>P3</t>
        </is>
      </c>
      <c r="R193" s="203" t="inlineStr">
        <is>
          <t>P3: no email published, call or WhatsApp first; general GP fit.</t>
        </is>
      </c>
      <c r="S193" s="203" t="inlineStr">
        <is>
          <t>Own site opened 2 to 3 Oct 2026</t>
        </is>
      </c>
      <c r="T193" s="203" t="inlineStr">
        <is>
          <t>CHISON point of care ultrasound for Healthcare United Toa Payoh Clinic</t>
        </is>
      </c>
      <c r="U193" s="203" t="inlineStr">
        <is>
          <t>Dear Healthcare United Toa Payoh Clinic team,
I am Casper Tan, Senior Regional Sales Manager at AstraMed Healthcare, the Singapore subsidiary of CHISON Medical Technologies. Screening, chronic care and statutory medicals at your Toa Payoh clinic are where a quick scan adds value.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Healthcare United Toa Payoh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94" ht="48" customHeight="1" s="104">
      <c r="A194" s="203" t="n">
        <v>190</v>
      </c>
      <c r="B194" s="204" t="inlineStr">
        <is>
          <t>Nee Soon Clinic</t>
        </is>
      </c>
      <c r="C194" s="203" t="inlineStr">
        <is>
          <t>Not started</t>
        </is>
      </c>
      <c r="D194" s="203" t="inlineStr">
        <is>
          <t>GP clinic</t>
        </is>
      </c>
      <c r="E194" s="203" t="inlineStr">
        <is>
          <t>GP clinic (independent)</t>
        </is>
      </c>
      <c r="F194" s="203" t="inlineStr">
        <is>
          <t>GP chronic disease management, screening, vaccinations, office procedures, STD testing, medical aesthetics</t>
        </is>
      </c>
      <c r="G194" s="203" t="inlineStr">
        <is>
          <t>Yishun</t>
        </is>
      </c>
      <c r="H194" s="205" t="inlineStr">
        <is>
          <t>https://www.neesoonclinic.sg</t>
        </is>
      </c>
      <c r="I194" s="203" t="inlineStr">
        <is>
          <t>+65 6721 9796 / WhatsApp +65 8234 4234</t>
        </is>
      </c>
      <c r="J194" s="203" t="inlineStr">
        <is>
          <t>Not published on site. WhatsApp or call</t>
        </is>
      </c>
      <c r="K194" s="203" t="inlineStr">
        <is>
          <t>779 Yishun Ave 2 #01-1547, Singapore 760779</t>
        </is>
      </c>
      <c r="L194" s="203" t="inlineStr">
        <is>
          <t>Doctors not named on home page</t>
        </is>
      </c>
      <c r="M194" s="206" t="inlineStr">
        <is>
          <t>A</t>
        </is>
      </c>
      <c r="N194" s="203" t="inlineStr">
        <is>
          <t>Not stated</t>
        </is>
      </c>
      <c r="O194" s="203" t="inlineStr">
        <is>
          <t>Independent GP: price sensitive and not yet saturated, which fits the GP and small clinic focus. Point of care answers in the room without a referral. Ultrasound use: Not stated. Confirm on the first call. No email published: call or WhatsApp for the right inbox, then send.</t>
        </is>
      </c>
      <c r="P194" s="203" t="inlineStr">
        <is>
          <t>SonoEye P3 (pocket handheld for the consult room) + SonoAir 70 (2.1 kg, four active ports, auto bladder volume, thyroid and breast nodule tools)</t>
        </is>
      </c>
      <c r="Q194" s="209" t="inlineStr">
        <is>
          <t>P3</t>
        </is>
      </c>
      <c r="R194" s="203" t="inlineStr">
        <is>
          <t>P3: no email published, call or WhatsApp first; general GP fit.</t>
        </is>
      </c>
      <c r="S194" s="203" t="inlineStr">
        <is>
          <t>Own site opened 2 to 3 Oct 2026</t>
        </is>
      </c>
      <c r="T194" s="203" t="inlineStr">
        <is>
          <t>CHISON point of care ultrasound for Nee Soon Clinic</t>
        </is>
      </c>
      <c r="U194" s="203" t="inlineStr">
        <is>
          <t>Dear Nee Soon Clinic team,
I am Casper Tan, Senior Regional Sales Manager at AstraMed Healthcare, the Singapore subsidiary of CHISON Medical Technologies. Office procedures, screening and chronic care at your Yishun clinic are where a quick scan adds value.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Nee Soon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95" ht="48" customHeight="1" s="104">
      <c r="A195" s="203" t="n">
        <v>191</v>
      </c>
      <c r="B195" s="204" t="inlineStr">
        <is>
          <t>Panhealth Family Clinic</t>
        </is>
      </c>
      <c r="C195" s="203" t="inlineStr">
        <is>
          <t>Not started</t>
        </is>
      </c>
      <c r="D195" s="203" t="inlineStr">
        <is>
          <t>GP clinic</t>
        </is>
      </c>
      <c r="E195" s="203" t="inlineStr">
        <is>
          <t>GP clinic (independent)</t>
        </is>
      </c>
      <c r="F195" s="203" t="inlineStr">
        <is>
          <t>Family medicine and screening packages</t>
        </is>
      </c>
      <c r="G195" s="203" t="inlineStr">
        <is>
          <t>Punggol and Hougang</t>
        </is>
      </c>
      <c r="H195" s="205" t="inlineStr">
        <is>
          <t>https://www.panhealth.com.sg</t>
        </is>
      </c>
      <c r="I195" s="203" t="inlineStr">
        <is>
          <t>+65 6966 0595 (Punggol) / +65 6610 1496 (Hougang)</t>
        </is>
      </c>
      <c r="J195" s="203" t="inlineStr">
        <is>
          <t>Not published on site. Call to request</t>
        </is>
      </c>
      <c r="K195" s="203" t="inlineStr">
        <is>
          <t>312B Sumang Link #01-03, Singapore 822312; 932B Hougang Ave 9 #01-02, Singapore 532932</t>
        </is>
      </c>
      <c r="L195" s="203" t="inlineStr">
        <is>
          <t>Dr Stephen Tan, Dr Derek Quah, Dr Loh Wei Jie, Dr Laurel Yip (named on own site)</t>
        </is>
      </c>
      <c r="M195" s="206" t="inlineStr">
        <is>
          <t>A</t>
        </is>
      </c>
      <c r="N195" s="203" t="inlineStr">
        <is>
          <t>Not stated</t>
        </is>
      </c>
      <c r="O195" s="203" t="inlineStr">
        <is>
          <t>Independent GP: price sensitive and not yet saturated, which fits the GP and small clinic focus. Point of care answers in the room without a referral. Ultrasound use: Not stated. Confirm on the first call. No email published: call or WhatsApp for the right inbox, then send.</t>
        </is>
      </c>
      <c r="P195" s="203" t="inlineStr">
        <is>
          <t>SonoEye P3 (pocket handheld for the consult room) + SonoAir 70 (2.1 kg, four active ports, auto bladder volume, thyroid and breast nodule tools)</t>
        </is>
      </c>
      <c r="Q195" s="209" t="inlineStr">
        <is>
          <t>P3</t>
        </is>
      </c>
      <c r="R195" s="203" t="inlineStr">
        <is>
          <t>P3: no email published, call or WhatsApp first; general GP fit.</t>
        </is>
      </c>
      <c r="S195" s="203" t="inlineStr">
        <is>
          <t>Own site opened 2 to 3 Oct 2026</t>
        </is>
      </c>
      <c r="T195" s="203" t="inlineStr">
        <is>
          <t>CHISON point of care ultrasound for Panhealth Family Clinic</t>
        </is>
      </c>
      <c r="U195" s="203" t="inlineStr">
        <is>
          <t>Dear Panhealth Family Clinic team,
I am Casper Tan, Senior Regional Sales Manager at AstraMed Healthcare, the Singapore subsidiary of CHISON Medical Technologies. Your screening packages in Punggol and Hougang could add ultrasound top ups without sending patients elsewhere.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Panhealth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96" ht="48" customHeight="1" s="104">
      <c r="A196" s="203" t="n">
        <v>192</v>
      </c>
      <c r="B196" s="204" t="inlineStr">
        <is>
          <t>Tanglin Medical Clinic</t>
        </is>
      </c>
      <c r="C196" s="203" t="inlineStr">
        <is>
          <t>Not started</t>
        </is>
      </c>
      <c r="D196" s="203" t="inlineStr">
        <is>
          <t>GP clinic</t>
        </is>
      </c>
      <c r="E196" s="203" t="inlineStr">
        <is>
          <t>GP clinic (independent)</t>
        </is>
      </c>
      <c r="F196" s="203" t="inlineStr">
        <is>
          <t>Full spectrum family practice in the Orchard embassy belt</t>
        </is>
      </c>
      <c r="G196" s="203" t="inlineStr">
        <is>
          <t>Orchard (International Building)</t>
        </is>
      </c>
      <c r="H196" s="205" t="inlineStr">
        <is>
          <t>http://tanglinmedicalclinic.com</t>
        </is>
      </c>
      <c r="I196" s="203" t="inlineStr">
        <is>
          <t>+65 6734 3831 (fax 6734 3860)</t>
        </is>
      </c>
      <c r="J196" s="203" t="inlineStr">
        <is>
          <t>Not published on site. Call to request</t>
        </is>
      </c>
      <c r="K196" s="203" t="inlineStr">
        <is>
          <t>360 Orchard Road #07-04, International Building, Singapore 238869</t>
        </is>
      </c>
      <c r="L196" s="203" t="inlineStr">
        <is>
          <t>Dr Vincent Tan (named on own site)</t>
        </is>
      </c>
      <c r="M196" s="206" t="inlineStr">
        <is>
          <t>A</t>
        </is>
      </c>
      <c r="N196" s="203" t="inlineStr">
        <is>
          <t>Not stated</t>
        </is>
      </c>
      <c r="O196" s="203" t="inlineStr">
        <is>
          <t>Independent GP: price sensitive and not yet saturated, which fits the GP and small clinic focus. Point of care answers in the room without a referral. Ultrasound use: Not stated. Confirm on the first call. No email published: call or WhatsApp for the right inbox, then send.</t>
        </is>
      </c>
      <c r="P196" s="203" t="inlineStr">
        <is>
          <t>SonoEye P3 (pocket handheld for the consult room) + SonoAir 70 (2.1 kg, four active ports, auto bladder volume, thyroid and breast nodule tools)</t>
        </is>
      </c>
      <c r="Q196" s="209" t="inlineStr">
        <is>
          <t>P3</t>
        </is>
      </c>
      <c r="R196" s="203" t="inlineStr">
        <is>
          <t>P3: no email published, call or WhatsApp first; general GP fit.</t>
        </is>
      </c>
      <c r="S196" s="203" t="inlineStr">
        <is>
          <t>Own site opened 2 to 3 Oct 2026</t>
        </is>
      </c>
      <c r="T196" s="203" t="inlineStr">
        <is>
          <t>CHISON point of care ultrasound for Tanglin Medical Clinic</t>
        </is>
      </c>
      <c r="U196" s="203" t="inlineStr">
        <is>
          <t>Dear Dr Tan,
I am Casper Tan, Senior Regional Sales Manager at AstraMed Healthcare, the Singapore subsidiary of CHISON Medical Technologies. A full spectrum family practice in the Orchard embassy belt serves patients who expect answers in one visit.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Tanglin Medical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97" ht="48" customHeight="1" s="104">
      <c r="A197" s="203" t="n">
        <v>193</v>
      </c>
      <c r="B197" s="204" t="inlineStr">
        <is>
          <t>The Chong Family Clinic</t>
        </is>
      </c>
      <c r="C197" s="203" t="inlineStr">
        <is>
          <t>Not started</t>
        </is>
      </c>
      <c r="D197" s="203" t="inlineStr">
        <is>
          <t>GP clinic</t>
        </is>
      </c>
      <c r="E197" s="203" t="inlineStr">
        <is>
          <t>GP clinic (independent)</t>
        </is>
      </c>
      <c r="F197" s="203" t="inlineStr">
        <is>
          <t>Children and family doctor: screening, vaccinations, chronic disease, paediatric care, men's and women's health</t>
        </is>
      </c>
      <c r="G197" s="203" t="inlineStr">
        <is>
          <t>Clementi</t>
        </is>
      </c>
      <c r="H197" s="205" t="inlineStr">
        <is>
          <t>https://www.chongfamilyclinic.com</t>
        </is>
      </c>
      <c r="I197" s="203" t="inlineStr">
        <is>
          <t>+65 6266 1998</t>
        </is>
      </c>
      <c r="J197" s="203" t="inlineStr">
        <is>
          <t>Not published on site. Call to request</t>
        </is>
      </c>
      <c r="K197" s="203" t="inlineStr">
        <is>
          <t>Blk 442 Clementi Avenue 3 #01-113, Singapore 120442</t>
        </is>
      </c>
      <c r="L197" s="203" t="inlineStr">
        <is>
          <t>Dr Chong Wai Mun, Family Physician (named on own site)</t>
        </is>
      </c>
      <c r="M197" s="206" t="inlineStr">
        <is>
          <t>A</t>
        </is>
      </c>
      <c r="N197" s="203" t="inlineStr">
        <is>
          <t>Not stated</t>
        </is>
      </c>
      <c r="O197" s="203" t="inlineStr">
        <is>
          <t>Independent GP: price sensitive and not yet saturated, which fits the GP and small clinic focus. Point of care answers in the room without a referral. Ultrasound use: Not stated. Confirm on the first call. No email published: call or WhatsApp for the right inbox, then send.</t>
        </is>
      </c>
      <c r="P197" s="203" t="inlineStr">
        <is>
          <t>SonoEye P3 (pocket handheld for the consult room) + SonoAir 70 (2.1 kg, four active ports, auto bladder volume, thyroid and breast nodule tools)</t>
        </is>
      </c>
      <c r="Q197" s="209" t="inlineStr">
        <is>
          <t>P3</t>
        </is>
      </c>
      <c r="R197" s="203" t="inlineStr">
        <is>
          <t>P3: no email published, call or WhatsApp first; general GP fit.</t>
        </is>
      </c>
      <c r="S197" s="203" t="inlineStr">
        <is>
          <t>Own site opened 2 to 3 Oct 2026</t>
        </is>
      </c>
      <c r="T197" s="203" t="inlineStr">
        <is>
          <t>CHISON point of care ultrasound for The Chong Family Clinic</t>
        </is>
      </c>
      <c r="U197" s="203" t="inlineStr">
        <is>
          <t>Dear Dr Chong,
I am Casper Tan, Senior Regional Sales Manager at AstraMed Healthcare, the Singapore subsidiary of CHISON Medical Technologies. Children's and family care at your Clementi clinic are where a gentle bedside scan saves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The Chong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198" ht="36" customHeight="1" s="104">
      <c r="A198" s="203" t="n">
        <v>194</v>
      </c>
      <c r="B198" s="204" t="inlineStr">
        <is>
          <t>EH Medical</t>
        </is>
      </c>
      <c r="C198" s="203" t="inlineStr">
        <is>
          <t>Not started</t>
        </is>
      </c>
      <c r="D198" s="203" t="inlineStr">
        <is>
          <t>GP clinic</t>
        </is>
      </c>
      <c r="E198" s="203" t="inlineStr">
        <is>
          <t>GP group (small)</t>
        </is>
      </c>
      <c r="F198" s="203" t="inlineStr">
        <is>
          <t>Four clinics: screening, vaccinations, chronic disease, child health, minor procedures, statutory medicals</t>
        </is>
      </c>
      <c r="G198" s="203" t="inlineStr">
        <is>
          <t>Bedok South, Bukit Batok, Hougang, Woodlands</t>
        </is>
      </c>
      <c r="H198" s="205" t="inlineStr">
        <is>
          <t>https://www.ehmedical.com.sg</t>
        </is>
      </c>
      <c r="I198" s="203" t="inlineStr">
        <is>
          <t>+65 6322 4226 (Bedok South) / +65 6255 1368 (Bukit Batok)</t>
        </is>
      </c>
      <c r="J198" s="203" t="inlineStr">
        <is>
          <t>Not published. The contact page email link decodes to a placeholder address, not a real inbox, so call to request</t>
        </is>
      </c>
      <c r="K198" s="203" t="inlineStr">
        <is>
          <t>152A Bedok South Road #01-05, Singapore 461152 (plus 3 clinics)</t>
        </is>
      </c>
      <c r="L198" s="203" t="inlineStr">
        <is>
          <t>Doctors not named on contact page</t>
        </is>
      </c>
      <c r="M198" s="206" t="inlineStr">
        <is>
          <t>A</t>
        </is>
      </c>
      <c r="N198" s="203" t="inlineStr">
        <is>
          <t>Not stated</t>
        </is>
      </c>
      <c r="O198" s="203" t="inlineStr">
        <is>
          <t>Small GP group: one platform rolled across sites, and handhelds can move between clinics. Ultrasound use: Not stated. Confirm on the first call. No email published: call or WhatsApp for the right inbox, then send.</t>
        </is>
      </c>
      <c r="P198" s="203" t="inlineStr">
        <is>
          <t>SonoEye P3 (pocket handheld for the consult room) + SonoAir 70 (2.1 kg, four active ports, auto bladder volume, thyroid and breast nodule tools)</t>
        </is>
      </c>
      <c r="Q198" s="209" t="inlineStr">
        <is>
          <t>P3</t>
        </is>
      </c>
      <c r="R198" s="203" t="inlineStr">
        <is>
          <t>P3: no email published, call or WhatsApp first; general GP fit.</t>
        </is>
      </c>
      <c r="S198" s="203" t="inlineStr">
        <is>
          <t>Own site opened 2 to 3 Oct 2026</t>
        </is>
      </c>
      <c r="T198" s="203" t="inlineStr">
        <is>
          <t>CHISON point of care ultrasound across EH Medical clinics</t>
        </is>
      </c>
      <c r="U198" s="203" t="inlineStr">
        <is>
          <t>Dear EH Medical team,
I am Casper Tan, Senior Regional Sales Manager at AstraMed Healthcare, the Singapore subsidiary of CHISON Medical Technologies. Your family clinics doing screening and minor procedures across Bedok, Bukit Batok, Hougang and Woodlands can standardise on one scanner type.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put forward: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EH Medical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199" ht="36" customHeight="1" s="104">
      <c r="A199" s="203" t="n">
        <v>195</v>
      </c>
      <c r="B199" s="204" t="inlineStr">
        <is>
          <t>Etern Medical</t>
        </is>
      </c>
      <c r="C199" s="203" t="inlineStr">
        <is>
          <t>Not started</t>
        </is>
      </c>
      <c r="D199" s="203" t="inlineStr">
        <is>
          <t>GP clinic</t>
        </is>
      </c>
      <c r="E199" s="203" t="inlineStr">
        <is>
          <t>GP group (small)</t>
        </is>
      </c>
      <c r="F199" s="203" t="inlineStr">
        <is>
          <t>Four clinics: GP care, wound care, screening, lung function, minor surgery, paediatrics</t>
        </is>
      </c>
      <c r="G199" s="203" t="inlineStr">
        <is>
          <t>Sengkang and Punggol</t>
        </is>
      </c>
      <c r="H199" s="205" t="inlineStr">
        <is>
          <t>https://www.eternmedical.com</t>
        </is>
      </c>
      <c r="I199" s="203" t="inlineStr">
        <is>
          <t>+65 6425 7255 (Seletar Mall)</t>
        </is>
      </c>
      <c r="J199" s="203" t="inlineStr">
        <is>
          <t>Not published on site. Call to request</t>
        </is>
      </c>
      <c r="K199" s="203" t="inlineStr">
        <is>
          <t>33 Sengkang West Ave #03-33 The Seletar Mall, Singapore 797653 (plus 3 clinics)</t>
        </is>
      </c>
      <c r="L199" s="203" t="inlineStr">
        <is>
          <t>Doctors not named on site</t>
        </is>
      </c>
      <c r="M199" s="206" t="inlineStr">
        <is>
          <t>A</t>
        </is>
      </c>
      <c r="N199" s="203" t="inlineStr">
        <is>
          <t>Not stated</t>
        </is>
      </c>
      <c r="O199" s="203" t="inlineStr">
        <is>
          <t>Small GP group: one platform rolled across sites, and handhelds can move between clinics. Ultrasound use: Not stated. Confirm on the first call. No email published: call or WhatsApp for the right inbox, then send.</t>
        </is>
      </c>
      <c r="P199" s="203" t="inlineStr">
        <is>
          <t>SonoEye P3 (pocket handheld for the consult room) + SonoAir 70 (2.1 kg, four active ports, auto bladder volume, thyroid and breast nodule tools)</t>
        </is>
      </c>
      <c r="Q199" s="209" t="inlineStr">
        <is>
          <t>P3</t>
        </is>
      </c>
      <c r="R199" s="203" t="inlineStr">
        <is>
          <t>P3: no email published, call or WhatsApp first; general GP fit.</t>
        </is>
      </c>
      <c r="S199" s="203" t="inlineStr">
        <is>
          <t>Own site opened 2 to 3 Oct 2026</t>
        </is>
      </c>
      <c r="T199" s="203" t="inlineStr">
        <is>
          <t>CHISON point of care ultrasound across Etern Medical clinics</t>
        </is>
      </c>
      <c r="U199" s="203" t="inlineStr">
        <is>
          <t>Dear Etern Medical team,
I am Casper Tan, Senior Regional Sales Manager at AstraMed Healthcare, the Singapore subsidiary of CHISON Medical Technologies. Your family clinics in Sengkang and Punggol, with wound care and minor surgery, see daily cases where a quick scan helps.
CHISON has made diagnostic ultrasound in Wuxi since 1996 and sells in more than 100 countries. The systems below are registered with HSA, with AstraMed as the local registrant, so supply, application training and service are all handled here in Singapore.
For a GP group, I would start with these two: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Etern Medical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200" ht="36" customHeight="1" s="104">
      <c r="A200" s="203" t="n">
        <v>196</v>
      </c>
      <c r="B200" s="204" t="inlineStr">
        <is>
          <t>Healthmark Family Clinics (United Vision Holdings)</t>
        </is>
      </c>
      <c r="C200" s="203" t="inlineStr">
        <is>
          <t>Not started</t>
        </is>
      </c>
      <c r="D200" s="203" t="inlineStr">
        <is>
          <t>GP clinic</t>
        </is>
      </c>
      <c r="E200" s="203" t="inlineStr">
        <is>
          <t>GP group (small)</t>
        </is>
      </c>
      <c r="F200" s="203" t="inlineStr">
        <is>
          <t>Six family clinics with ten named doctors</t>
        </is>
      </c>
      <c r="G200" s="203" t="inlineStr">
        <is>
          <t>Punggol, Pioneer, Compassvale, Bukit Panjang, Pasir Ris, Sims</t>
        </is>
      </c>
      <c r="H200" s="205" t="inlineStr">
        <is>
          <t>https://www.healthmark.com.sg</t>
        </is>
      </c>
      <c r="I200" s="203" t="inlineStr">
        <is>
          <t>+65 6636 7030 (corporate office, fax 6636 7031)</t>
        </is>
      </c>
      <c r="J200" s="203" t="inlineStr">
        <is>
          <t>Not published on contact page. Call corporate office</t>
        </is>
      </c>
      <c r="K200" s="203" t="inlineStr">
        <is>
          <t>Corporate office: 8 Burn Road #08-14, Trivex, Singapore 369977</t>
        </is>
      </c>
      <c r="L200" s="203" t="inlineStr">
        <is>
          <t>Dr Chng Woei and nine other doctors (named on own site)</t>
        </is>
      </c>
      <c r="M200" s="206" t="inlineStr">
        <is>
          <t>A</t>
        </is>
      </c>
      <c r="N200" s="203" t="inlineStr">
        <is>
          <t>Not stated</t>
        </is>
      </c>
      <c r="O200" s="203" t="inlineStr">
        <is>
          <t>Small GP group: one platform rolled across sites, and handhelds can move between clinics. Ultrasound use: Not stated. Confirm on the first call. No email published: call or WhatsApp for the right inbox, then send.</t>
        </is>
      </c>
      <c r="P200" s="203" t="inlineStr">
        <is>
          <t>SonoEye P3 (pocket handheld for the consult room) + SonoAir 70 (2.1 kg, four active ports, auto bladder volume, thyroid and breast nodule tools)</t>
        </is>
      </c>
      <c r="Q200" s="209" t="inlineStr">
        <is>
          <t>P3</t>
        </is>
      </c>
      <c r="R200" s="203" t="inlineStr">
        <is>
          <t>P3: no email published, call or WhatsApp first; general GP fit.</t>
        </is>
      </c>
      <c r="S200" s="203" t="inlineStr">
        <is>
          <t>Own site opened 2 to 3 Oct 2026</t>
        </is>
      </c>
      <c r="T200" s="203" t="inlineStr">
        <is>
          <t>CHISON point of care ultrasound across Healthmark clinics</t>
        </is>
      </c>
      <c r="U200" s="203" t="inlineStr">
        <is>
          <t>Dear Healthmark team,
I am Casper Tan, Senior Regional Sales Manager at AstraMed Healthcare, the Singapore subsidiary of CHISON Medical Technologies. Your family clinics across Punggol, Pioneer, Compassvale and Bukit Panjang give Healthmark the scale to share point of care ultrasound across sites.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suggest: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Healthmark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201" ht="48" customHeight="1" s="104">
      <c r="A201" s="203" t="n">
        <v>197</v>
      </c>
      <c r="B201" s="204" t="inlineStr">
        <is>
          <t>ProHealth Medical Group</t>
        </is>
      </c>
      <c r="C201" s="203" t="inlineStr">
        <is>
          <t>Not started</t>
        </is>
      </c>
      <c r="D201" s="203" t="inlineStr">
        <is>
          <t>GP clinic</t>
        </is>
      </c>
      <c r="E201" s="203" t="inlineStr">
        <is>
          <t>GP group (mid size)</t>
        </is>
      </c>
      <c r="F201" s="203" t="inlineStr">
        <is>
          <t>Ten family clinics incl. Kao and Tan Family Medical Centre and Pacific Family Clinic: vaccinations, screening, minor surgery, aesthetics, travel medicine</t>
        </is>
      </c>
      <c r="G201" s="203" t="inlineStr">
        <is>
          <t>Buangkok, Bukit Batok, Fernvale, Punggol, Taman Jurong, Tampines, Jalan Membina, Redhill</t>
        </is>
      </c>
      <c r="H201" s="205" t="inlineStr">
        <is>
          <t>https://www.prohealth.sg</t>
        </is>
      </c>
      <c r="I201" s="203" t="inlineStr">
        <is>
          <t>+65 6481 8066 (Buangkok) / +65 6268 2628 (Taman Jurong)</t>
        </is>
      </c>
      <c r="J201" s="203" t="inlineStr">
        <is>
          <t>Not published on clinics page. Call to request</t>
        </is>
      </c>
      <c r="K201" s="203" t="inlineStr">
        <is>
          <t>275D Compassvale Link #01-01, Singapore 544275 (plus 9 clinics)</t>
        </is>
      </c>
      <c r="L201" s="203" t="inlineStr">
        <is>
          <t>Doctors not named on clinics page</t>
        </is>
      </c>
      <c r="M201" s="206" t="inlineStr">
        <is>
          <t>A</t>
        </is>
      </c>
      <c r="N201" s="203" t="inlineStr">
        <is>
          <t>Not stated</t>
        </is>
      </c>
      <c r="O201" s="203" t="inlineStr">
        <is>
          <t>Small GP group: one platform rolled across sites, and handhelds can move between clinics. Ultrasound use: Not stated. Confirm on the first call. No email published: call or WhatsApp for the right inbox, then send.</t>
        </is>
      </c>
      <c r="P201" s="203" t="inlineStr">
        <is>
          <t>SonoEye P3 (pocket handheld for the consult room) + SonoAir 70 (2.1 kg, four active ports, auto bladder volume, thyroid and breast nodule tools)</t>
        </is>
      </c>
      <c r="Q201" s="209" t="inlineStr">
        <is>
          <t>P3</t>
        </is>
      </c>
      <c r="R201" s="203" t="inlineStr">
        <is>
          <t>P3: no email published, call or WhatsApp first; general GP fit.</t>
        </is>
      </c>
      <c r="S201" s="203" t="inlineStr">
        <is>
          <t>Own site opened 2 to 3 Oct 2026</t>
        </is>
      </c>
      <c r="T201" s="203" t="inlineStr">
        <is>
          <t>CHISON point of care ultrasound across ProHealth Medical Group clinics</t>
        </is>
      </c>
      <c r="U201" s="203" t="inlineStr">
        <is>
          <t>Dear ProHealth Medical Group team,
I am Casper Tan, Senior Regional Sales Manager at AstraMed Healthcare, the Singapore subsidiary of CHISON Medical Technologies. Family clinics across the north east and west give ProHealth the scale to standardise point of care ultrasound.
CHISON has made diagnostic ultrasound in Wuxi since 1996 and sells in more than 100 countries. The systems below are registered with HSA, with AstraMed as the local registrant, so supply, application training and service are all handled here in Singapore.
For a GP group, these are the two I would put forward:
• SonoEye P3: a pocket handheld for quick bedside answers in the consult room
• SonoAir 70: a 2.1 kg laptop with four active probe ports, automatic bladder volume and thyroid and breast nodule tools
Across several clinics, one platform means one training programme and one service contact, and the handhelds can move between sites as demand shifts.
Would a short call with whoever looks after equipment across ProHealth Medical Group be useful? After that I would bring both systems to one of your clinics for a hands on session once our demonstration units arrive in October.
Best regards,
Casper Tan
Senior Regional Sales Manager
AstraMed Healthcare Pte Ltd, a subsidiary of CHISON Medical Technologies
casper@astramed.sg | +65 8719 0121</t>
        </is>
      </c>
    </row>
    <row r="202" ht="60" customHeight="1" s="104">
      <c r="A202" s="203" t="n">
        <v>198</v>
      </c>
      <c r="B202" s="204" t="inlineStr">
        <is>
          <t>Advance Clinic &amp; Surgery</t>
        </is>
      </c>
      <c r="C202" s="203" t="inlineStr">
        <is>
          <t>Not started</t>
        </is>
      </c>
      <c r="D202" s="203" t="inlineStr">
        <is>
          <t>GP clinic</t>
        </is>
      </c>
      <c r="E202" s="203" t="inlineStr">
        <is>
          <t>GP clinic (independent)</t>
        </is>
      </c>
      <c r="F202" s="203" t="inlineStr">
        <is>
          <t>Neighbourhood GP clinic and surgery; member of I-CARE PCN</t>
        </is>
      </c>
      <c r="G202" s="203" t="inlineStr">
        <is>
          <t>Ubi</t>
        </is>
      </c>
      <c r="H202" s="205" t="inlineStr">
        <is>
          <t>https://www.icarepcn.com/east</t>
        </is>
      </c>
      <c r="I202" s="203" t="inlineStr">
        <is>
          <t>+65 6742 1156</t>
        </is>
      </c>
      <c r="J202" s="203" t="inlineStr">
        <is>
          <t>Not published. Call to request</t>
        </is>
      </c>
      <c r="K202" s="203" t="inlineStr">
        <is>
          <t>301 Ubi Avenue 1 #01-269, Singapore 400301</t>
        </is>
      </c>
      <c r="L202" s="203" t="inlineStr">
        <is>
          <t>Not named</t>
        </is>
      </c>
      <c r="M202" s="208" t="inlineStr">
        <is>
          <t>C</t>
        </is>
      </c>
      <c r="N202" s="203" t="inlineStr">
        <is>
          <t>Not stated</t>
        </is>
      </c>
      <c r="O202" s="203" t="inlineStr">
        <is>
          <t>Independent GP: price sensitive and not yet saturated, which fits the GP and small clinic focus. Point of care answers in the room without a referral. Ultrasound use: Not stated. Confirm on the first call. Group link: I-CARE PCN (on this tab). Contact details come from a directory or network page, so confirm them before sending.</t>
        </is>
      </c>
      <c r="P202" s="203" t="inlineStr">
        <is>
          <t>SonoEye P3 (pocket handheld for the consult room) + SonoAir 70 (2.1 kg, four active ports, auto bladder volume, thyroid and breast nodule tools)</t>
        </is>
      </c>
      <c r="Q202" s="210" t="inlineStr">
        <is>
          <t>VERIFY FIRST</t>
        </is>
      </c>
      <c r="R202" s="203" t="inlineStr">
        <is>
          <t>VERIFY FIRST. Listed on the I-CARE PCN member page (no own website found). Confirm the phone and email by calling before sending.</t>
        </is>
      </c>
      <c r="S202" s="203" t="inlineStr">
        <is>
          <t>Listed on the I-CARE PCN member page (no own website found)</t>
        </is>
      </c>
      <c r="T202" s="203" t="inlineStr">
        <is>
          <t>CHISON point of care ultrasound for Advance Clinic &amp; Surgery</t>
        </is>
      </c>
      <c r="U202" s="203" t="inlineStr">
        <is>
          <t>Dear Doctor,
I am Casper Tan, Senior Regional Sales Manager at AstraMed Healthcare, the Singapore subsidiary of CHISON Medical Technologies. As one of the I-CARE PCN clinics in Ubi, you can save patients a separate imaging trip with a quick scan in the consult room.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Advance Clinic &amp; Surgery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03" ht="72" customHeight="1" s="104">
      <c r="A203" s="203" t="n">
        <v>199</v>
      </c>
      <c r="B203" s="204" t="inlineStr">
        <is>
          <t>Alliance Clinic &amp; Partners</t>
        </is>
      </c>
      <c r="C203" s="203" t="inlineStr">
        <is>
          <t>Not started</t>
        </is>
      </c>
      <c r="D203" s="203" t="inlineStr">
        <is>
          <t>GP clinic</t>
        </is>
      </c>
      <c r="E203" s="203" t="inlineStr">
        <is>
          <t>GP clinic (independent)</t>
        </is>
      </c>
      <c r="F203" s="203" t="inlineStr">
        <is>
          <t>Neighbourhood GP clinic; member of I-CARE PCN</t>
        </is>
      </c>
      <c r="G203" s="203" t="inlineStr">
        <is>
          <t>Bedok Reservoir (Jalan Tenaga)</t>
        </is>
      </c>
      <c r="H203" s="205" t="inlineStr">
        <is>
          <t>https://www.icarepcn.com/east</t>
        </is>
      </c>
      <c r="I203" s="203" t="inlineStr">
        <is>
          <t>+65 6846 9585</t>
        </is>
      </c>
      <c r="J203" s="203" t="inlineStr">
        <is>
          <t>Not published. Call to request</t>
        </is>
      </c>
      <c r="K203" s="203" t="inlineStr">
        <is>
          <t>652 Jalan Tenaga #01-50, Singapore 410652</t>
        </is>
      </c>
      <c r="L203" s="203" t="inlineStr">
        <is>
          <t>Not named</t>
        </is>
      </c>
      <c r="M203" s="208" t="inlineStr">
        <is>
          <t>C</t>
        </is>
      </c>
      <c r="N203" s="203" t="inlineStr">
        <is>
          <t>Not stated</t>
        </is>
      </c>
      <c r="O203" s="203" t="inlineStr">
        <is>
          <t>Independent GP: price sensitive and not yet saturated, which fits the GP and small clinic focus. Point of care answers in the room without a referral. Ultrasound use: Not stated. Confirm on the first call. Group link: I-CARE PCN (on this tab). Not known to be part of Alliance Healthcare (Singapore End-Users tab); confirm on the call. Contact details come from a directory or network page, so confirm them before sending.</t>
        </is>
      </c>
      <c r="P203" s="203" t="inlineStr">
        <is>
          <t>SonoEye P3 (pocket handheld for the consult room) + SonoAir 70 (2.1 kg, four active ports, auto bladder volume, thyroid and breast nodule tools)</t>
        </is>
      </c>
      <c r="Q203" s="210" t="inlineStr">
        <is>
          <t>VERIFY FIRST</t>
        </is>
      </c>
      <c r="R203" s="203" t="inlineStr">
        <is>
          <t>VERIFY FIRST. Listed on the I-CARE PCN member page (no own website found). Confirm the phone and email by calling before sending.</t>
        </is>
      </c>
      <c r="S203" s="203" t="inlineStr">
        <is>
          <t>Listed on the I-CARE PCN member page (no own website found)</t>
        </is>
      </c>
      <c r="T203" s="203" t="inlineStr">
        <is>
          <t>CHISON point of care ultrasound for Alliance Clinic &amp; Partners</t>
        </is>
      </c>
      <c r="U203" s="203" t="inlineStr">
        <is>
          <t>Dear Doctor,
I am Casper Tan, Senior Regional Sales Manager at AstraMed Healthcare, the Singapore subsidiary of CHISON Medical Technologies. As one of the I-CARE PCN clinics in Bedok Reservoir, you can save patients a separate imaging trip with a quick scan in the consult room.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Alliance Clinic &amp; Partners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04" ht="84" customHeight="1" s="104">
      <c r="A204" s="203" t="n">
        <v>200</v>
      </c>
      <c r="B204" s="204" t="inlineStr">
        <is>
          <t>Care Family Clinic (Buffalo Road)</t>
        </is>
      </c>
      <c r="C204" s="203" t="inlineStr">
        <is>
          <t>Not started</t>
        </is>
      </c>
      <c r="D204" s="203" t="inlineStr">
        <is>
          <t>GP clinic</t>
        </is>
      </c>
      <c r="E204" s="203" t="inlineStr">
        <is>
          <t>GP clinic (independent)</t>
        </is>
      </c>
      <c r="F204" s="203" t="inlineStr">
        <is>
          <t>Neighbourhood GP clinic; GP+ Co-operative member</t>
        </is>
      </c>
      <c r="G204" s="203" t="inlineStr">
        <is>
          <t>Little India (Buffalo Road)</t>
        </is>
      </c>
      <c r="H204" s="205" t="inlineStr">
        <is>
          <t>https://www.gpplus.coop/gp-plus-service-network-public</t>
        </is>
      </c>
      <c r="I204" s="203" t="inlineStr">
        <is>
          <t>+65 6299 5868</t>
        </is>
      </c>
      <c r="J204" s="203" t="inlineStr">
        <is>
          <t>Not published. Call to request</t>
        </is>
      </c>
      <c r="K204" s="203" t="inlineStr">
        <is>
          <t>Buffalo Road #01-12, Singapore 210663 (as listed by GP+)</t>
        </is>
      </c>
      <c r="L204" s="203" t="inlineStr">
        <is>
          <t>Not named</t>
        </is>
      </c>
      <c r="M204" s="208" t="inlineStr">
        <is>
          <t>C</t>
        </is>
      </c>
      <c r="N204" s="203" t="inlineStr">
        <is>
          <t>Not stated</t>
        </is>
      </c>
      <c r="O204"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04" s="203" t="inlineStr">
        <is>
          <t>SonoEye P3 (pocket handheld for the consult room) + SonoAir 70 (2.1 kg, four active ports, auto bladder volume, thyroid and breast nodule tools)</t>
        </is>
      </c>
      <c r="Q204" s="210" t="inlineStr">
        <is>
          <t>VERIFY FIRST</t>
        </is>
      </c>
      <c r="R204" s="203" t="inlineStr">
        <is>
          <t>VERIFY FIRST. Listed on the GP+ Co-operative service network page (no own website found). Confirm the phone and email by calling before sending.</t>
        </is>
      </c>
      <c r="S204" s="203" t="inlineStr">
        <is>
          <t>Listed on the GP+ Co-operative service network page (no own website found)</t>
        </is>
      </c>
      <c r="T204" s="203" t="inlineStr">
        <is>
          <t>CHISON point of care ultrasound for Care Family Clinic</t>
        </is>
      </c>
      <c r="U204" s="203" t="inlineStr">
        <is>
          <t>Dear Doctor,
I am Casper Tan, Senior Regional Sales Manager at AstraMed Healthcare, the Singapore subsidiary of CHISON Medical Technologies. Many of the questions a family doctor in Little India sees every day, from a painful joint to an uncomfortable abdomen, can be settled with a quick scan in the room.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Care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05" ht="84" customHeight="1" s="104">
      <c r="A205" s="203" t="n">
        <v>201</v>
      </c>
      <c r="B205" s="204" t="inlineStr">
        <is>
          <t>Chin Choo Clinic</t>
        </is>
      </c>
      <c r="C205" s="203" t="inlineStr">
        <is>
          <t>Not started</t>
        </is>
      </c>
      <c r="D205" s="203" t="inlineStr">
        <is>
          <t>GP clinic</t>
        </is>
      </c>
      <c r="E205" s="203" t="inlineStr">
        <is>
          <t>GP clinic (independent)</t>
        </is>
      </c>
      <c r="F205" s="203" t="inlineStr">
        <is>
          <t>Neighbourhood GP clinic; GP+ Co-operative member</t>
        </is>
      </c>
      <c r="G205" s="203" t="inlineStr">
        <is>
          <t>Macpherson (Circuit Road)</t>
        </is>
      </c>
      <c r="H205" s="205" t="inlineStr">
        <is>
          <t>https://www.gpplus.coop/gp-plus-service-network-public</t>
        </is>
      </c>
      <c r="I205" s="203" t="inlineStr">
        <is>
          <t>+65 6745 2815</t>
        </is>
      </c>
      <c r="J205" s="203" t="inlineStr">
        <is>
          <t>Not published. Call to request</t>
        </is>
      </c>
      <c r="K205" s="203" t="inlineStr">
        <is>
          <t>Blk 35 Circuit Road #01-430, Singapore 370035</t>
        </is>
      </c>
      <c r="L205" s="203" t="inlineStr">
        <is>
          <t>Not named</t>
        </is>
      </c>
      <c r="M205" s="208" t="inlineStr">
        <is>
          <t>C</t>
        </is>
      </c>
      <c r="N205" s="203" t="inlineStr">
        <is>
          <t>Not stated</t>
        </is>
      </c>
      <c r="O205"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05" s="203" t="inlineStr">
        <is>
          <t>SonoEye P3 (pocket handheld for the consult room) + SonoAir 70 (2.1 kg, four active ports, auto bladder volume, thyroid and breast nodule tools)</t>
        </is>
      </c>
      <c r="Q205" s="210" t="inlineStr">
        <is>
          <t>VERIFY FIRST</t>
        </is>
      </c>
      <c r="R205" s="203" t="inlineStr">
        <is>
          <t>VERIFY FIRST. Listed on the GP+ Co-operative service network page (no own website found). Confirm the phone and email by calling before sending.</t>
        </is>
      </c>
      <c r="S205" s="203" t="inlineStr">
        <is>
          <t>Listed on the GP+ Co-operative service network page (no own website found)</t>
        </is>
      </c>
      <c r="T205" s="203" t="inlineStr">
        <is>
          <t>CHISON point of care ultrasound for Chin Choo Clinic</t>
        </is>
      </c>
      <c r="U205" s="203" t="inlineStr">
        <is>
          <t>Dear Doctor,
I am Casper Tan, Senior Regional Sales Manager at AstraMed Healthcare, the Singapore subsidiary of CHISON Medical Technologies. For a family practice in Macpherson, a scan in the room settles common questions the same day instead of after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Chin Choo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06" ht="84" customHeight="1" s="104">
      <c r="A206" s="203" t="n">
        <v>202</v>
      </c>
      <c r="B206" s="204" t="inlineStr">
        <is>
          <t>Garden Clinic (Serangoon)</t>
        </is>
      </c>
      <c r="C206" s="203" t="inlineStr">
        <is>
          <t>Not started</t>
        </is>
      </c>
      <c r="D206" s="203" t="inlineStr">
        <is>
          <t>GP clinic</t>
        </is>
      </c>
      <c r="E206" s="203" t="inlineStr">
        <is>
          <t>GP clinic (independent)</t>
        </is>
      </c>
      <c r="F206" s="203" t="inlineStr">
        <is>
          <t>Neighbourhood GP clinic; GP+ Co-operative member</t>
        </is>
      </c>
      <c r="G206" s="203" t="inlineStr">
        <is>
          <t>Serangoon</t>
        </is>
      </c>
      <c r="H206" s="205" t="inlineStr">
        <is>
          <t>https://www.gpplus.coop/gp-plus-service-network-public</t>
        </is>
      </c>
      <c r="I206" s="203" t="inlineStr">
        <is>
          <t>+65 9769 2679 (as listed by GP+)</t>
        </is>
      </c>
      <c r="J206" s="203" t="inlineStr">
        <is>
          <t>Not published. Call to request</t>
        </is>
      </c>
      <c r="K206" s="203" t="inlineStr">
        <is>
          <t>Blk 304 Serangoon Avenue 2 #01-04, Singapore 550304</t>
        </is>
      </c>
      <c r="L206" s="203" t="inlineStr">
        <is>
          <t>Not named</t>
        </is>
      </c>
      <c r="M206" s="208" t="inlineStr">
        <is>
          <t>C</t>
        </is>
      </c>
      <c r="N206" s="203" t="inlineStr">
        <is>
          <t>Not stated</t>
        </is>
      </c>
      <c r="O206"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06" s="203" t="inlineStr">
        <is>
          <t>SonoEye P3 (pocket handheld for the consult room) + SonoAir 70 (2.1 kg, four active ports, auto bladder volume, thyroid and breast nodule tools)</t>
        </is>
      </c>
      <c r="Q206" s="210" t="inlineStr">
        <is>
          <t>VERIFY FIRST</t>
        </is>
      </c>
      <c r="R206" s="203" t="inlineStr">
        <is>
          <t>VERIFY FIRST. Listed on the GP+ Co-operative service network page (no own website found). Confirm the phone and email by calling before sending.</t>
        </is>
      </c>
      <c r="S206" s="203" t="inlineStr">
        <is>
          <t>Listed on the GP+ Co-operative service network page (no own website found)</t>
        </is>
      </c>
      <c r="T206" s="203" t="inlineStr">
        <is>
          <t>CHISON point of care ultrasound for Garden Clinic</t>
        </is>
      </c>
      <c r="U206" s="203" t="inlineStr">
        <is>
          <t>Dear Doctor,
I am Casper Tan, Senior Regional Sales Manager at AstraMed Healthcare, the Singapore subsidiary of CHISON Medical Technologies. Many of the questions a family doctor in Serangoon sees every day, from a painful joint to an uncomfortable abdomen, can be settled with a quick scan in the room.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Garden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07" ht="84" customHeight="1" s="104">
      <c r="A207" s="203" t="n">
        <v>203</v>
      </c>
      <c r="B207" s="204" t="inlineStr">
        <is>
          <t>HealthLight Family Medicine Clinic</t>
        </is>
      </c>
      <c r="C207" s="203" t="inlineStr">
        <is>
          <t>Not started</t>
        </is>
      </c>
      <c r="D207" s="203" t="inlineStr">
        <is>
          <t>GP clinic</t>
        </is>
      </c>
      <c r="E207" s="203" t="inlineStr">
        <is>
          <t>GP clinic (independent)</t>
        </is>
      </c>
      <c r="F207" s="203" t="inlineStr">
        <is>
          <t>Family medicine clinic; GP+ Co-operative member</t>
        </is>
      </c>
      <c r="G207" s="203" t="inlineStr">
        <is>
          <t>Choa Chu Kang</t>
        </is>
      </c>
      <c r="H207" s="205" t="inlineStr">
        <is>
          <t>https://www.gpplus.coop/gp-plus-service-network-public</t>
        </is>
      </c>
      <c r="I207" s="203" t="inlineStr">
        <is>
          <t>+65 6767 2281</t>
        </is>
      </c>
      <c r="J207" s="203" t="inlineStr">
        <is>
          <t>Not published. Call to request</t>
        </is>
      </c>
      <c r="K207" s="203" t="inlineStr">
        <is>
          <t>Blk 601 Choa Chu Kang Street 62 #01-09, Singapore 680601</t>
        </is>
      </c>
      <c r="L207" s="203" t="inlineStr">
        <is>
          <t>Not named</t>
        </is>
      </c>
      <c r="M207" s="208" t="inlineStr">
        <is>
          <t>C</t>
        </is>
      </c>
      <c r="N207" s="203" t="inlineStr">
        <is>
          <t>Not stated</t>
        </is>
      </c>
      <c r="O207"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07" s="203" t="inlineStr">
        <is>
          <t>SonoEye P3 (pocket handheld for the consult room) + SonoAir 70 (2.1 kg, four active ports, auto bladder volume, thyroid and breast nodule tools)</t>
        </is>
      </c>
      <c r="Q207" s="210" t="inlineStr">
        <is>
          <t>VERIFY FIRST</t>
        </is>
      </c>
      <c r="R207" s="203" t="inlineStr">
        <is>
          <t>VERIFY FIRST. Listed on the GP+ Co-operative service network page (no own website found). Confirm the phone and email by calling before sending.</t>
        </is>
      </c>
      <c r="S207" s="203" t="inlineStr">
        <is>
          <t>Listed on the GP+ Co-operative service network page (no own website found)</t>
        </is>
      </c>
      <c r="T207" s="203" t="inlineStr">
        <is>
          <t>CHISON point of care ultrasound for HealthLight Family Medicine Clinic</t>
        </is>
      </c>
      <c r="U207" s="203" t="inlineStr">
        <is>
          <t>Dear Doctor,
I am Casper Tan, Senior Regional Sales Manager at AstraMed Healthcare, the Singapore subsidiary of CHISON Medical Technologies. For a family practice in Choa Chu Kang, a scan in the room settles common questions the same day instead of after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HealthLight Family Medicine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08" ht="84" customHeight="1" s="104">
      <c r="A208" s="203" t="n">
        <v>204</v>
      </c>
      <c r="B208" s="204" t="inlineStr">
        <is>
          <t>Healthlink Medical Clinic &amp; Surgery</t>
        </is>
      </c>
      <c r="C208" s="203" t="inlineStr">
        <is>
          <t>Not started</t>
        </is>
      </c>
      <c r="D208" s="203" t="inlineStr">
        <is>
          <t>GP clinic</t>
        </is>
      </c>
      <c r="E208" s="203" t="inlineStr">
        <is>
          <t>GP clinic (independent)</t>
        </is>
      </c>
      <c r="F208" s="203" t="inlineStr">
        <is>
          <t>Clinic and surgery; GP+ Co-operative member</t>
        </is>
      </c>
      <c r="G208" s="203" t="inlineStr">
        <is>
          <t>Upper Aljunied</t>
        </is>
      </c>
      <c r="H208" s="205" t="inlineStr">
        <is>
          <t>https://www.gpplus.coop/gp-plus-service-network-public</t>
        </is>
      </c>
      <c r="I208" s="203" t="inlineStr">
        <is>
          <t>+65 6289 0885</t>
        </is>
      </c>
      <c r="J208" s="203" t="inlineStr">
        <is>
          <t>Not published. Call to request</t>
        </is>
      </c>
      <c r="K208" s="203" t="inlineStr">
        <is>
          <t>Blk 5 Upper Aljunied Lane #01-46, Singapore 360005</t>
        </is>
      </c>
      <c r="L208" s="203" t="inlineStr">
        <is>
          <t>Not named</t>
        </is>
      </c>
      <c r="M208" s="208" t="inlineStr">
        <is>
          <t>C</t>
        </is>
      </c>
      <c r="N208" s="203" t="inlineStr">
        <is>
          <t>Not stated</t>
        </is>
      </c>
      <c r="O208"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08" s="203" t="inlineStr">
        <is>
          <t>SonoEye P3 (pocket handheld for the consult room) + SonoAir 70 (2.1 kg, four active ports, auto bladder volume, thyroid and breast nodule tools)</t>
        </is>
      </c>
      <c r="Q208" s="210" t="inlineStr">
        <is>
          <t>VERIFY FIRST</t>
        </is>
      </c>
      <c r="R208" s="203" t="inlineStr">
        <is>
          <t>VERIFY FIRST. Listed on the GP+ Co-operative service network page (no own website found). Confirm the phone and email by calling before sending.</t>
        </is>
      </c>
      <c r="S208" s="203" t="inlineStr">
        <is>
          <t>Listed on the GP+ Co-operative service network page (no own website found)</t>
        </is>
      </c>
      <c r="T208" s="203" t="inlineStr">
        <is>
          <t>CHISON point of care ultrasound for Healthlink Medical Clinic</t>
        </is>
      </c>
      <c r="U208" s="203" t="inlineStr">
        <is>
          <t>Dear Doctor,
I am Casper Tan, Senior Regional Sales Manager at AstraMed Healthcare, the Singapore subsidiary of CHISON Medical Technologies. For a family practice in Upper Aljunied, a scan in the room settles common questions the same day instead of after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Healthlink Medical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09" ht="84" customHeight="1" s="104">
      <c r="A209" s="203" t="n">
        <v>205</v>
      </c>
      <c r="B209" s="204" t="inlineStr">
        <is>
          <t>HL Clinic</t>
        </is>
      </c>
      <c r="C209" s="203" t="inlineStr">
        <is>
          <t>Not started</t>
        </is>
      </c>
      <c r="D209" s="203" t="inlineStr">
        <is>
          <t>GP clinic</t>
        </is>
      </c>
      <c r="E209" s="203" t="inlineStr">
        <is>
          <t>GP clinic (independent)</t>
        </is>
      </c>
      <c r="F209" s="203" t="inlineStr">
        <is>
          <t>Neighbourhood GP clinic; GP+ Co-operative member</t>
        </is>
      </c>
      <c r="G209" s="203" t="inlineStr">
        <is>
          <t>Telok Blangah</t>
        </is>
      </c>
      <c r="H209" s="205" t="inlineStr">
        <is>
          <t>https://www.gpplus.coop/gp-plus-service-network-public</t>
        </is>
      </c>
      <c r="I209" s="203" t="inlineStr">
        <is>
          <t>+65 6272 1986</t>
        </is>
      </c>
      <c r="J209" s="203" t="inlineStr">
        <is>
          <t>Not published. Call to request</t>
        </is>
      </c>
      <c r="K209" s="203" t="inlineStr">
        <is>
          <t>Blk 9 Telok Blangah Crescent #01-135, Singapore 090009</t>
        </is>
      </c>
      <c r="L209" s="203" t="inlineStr">
        <is>
          <t>Not named</t>
        </is>
      </c>
      <c r="M209" s="208" t="inlineStr">
        <is>
          <t>C</t>
        </is>
      </c>
      <c r="N209" s="203" t="inlineStr">
        <is>
          <t>Not stated</t>
        </is>
      </c>
      <c r="O209"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09" s="203" t="inlineStr">
        <is>
          <t>SonoEye P3 (pocket handheld for the consult room) + SonoAir 70 (2.1 kg, four active ports, auto bladder volume, thyroid and breast nodule tools)</t>
        </is>
      </c>
      <c r="Q209" s="210" t="inlineStr">
        <is>
          <t>VERIFY FIRST</t>
        </is>
      </c>
      <c r="R209" s="203" t="inlineStr">
        <is>
          <t>VERIFY FIRST. Listed on the GP+ Co-operative service network page (no own website found). Confirm the phone and email by calling before sending.</t>
        </is>
      </c>
      <c r="S209" s="203" t="inlineStr">
        <is>
          <t>Listed on the GP+ Co-operative service network page (no own website found)</t>
        </is>
      </c>
      <c r="T209" s="203" t="inlineStr">
        <is>
          <t>CHISON point of care ultrasound for HL Clinic</t>
        </is>
      </c>
      <c r="U209" s="203" t="inlineStr">
        <is>
          <t>Dear Doctor,
I am Casper Tan, Senior Regional Sales Manager at AstraMed Healthcare, the Singapore subsidiary of CHISON Medical Technologies. For a neighbourhood GP in Telok Blangah, a quick scan in the consult room can save your patients a separate imaging trip.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HL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10" ht="84" customHeight="1" s="104">
      <c r="A210" s="203" t="n">
        <v>206</v>
      </c>
      <c r="B210" s="204" t="inlineStr">
        <is>
          <t>Hwang &amp; Liang Family Clinic &amp; Surgery</t>
        </is>
      </c>
      <c r="C210" s="203" t="inlineStr">
        <is>
          <t>Not started</t>
        </is>
      </c>
      <c r="D210" s="203" t="inlineStr">
        <is>
          <t>GP clinic</t>
        </is>
      </c>
      <c r="E210" s="203" t="inlineStr">
        <is>
          <t>GP clinic (independent)</t>
        </is>
      </c>
      <c r="F210" s="203" t="inlineStr">
        <is>
          <t>Family clinic and surgery; GP+ Co-operative member</t>
        </is>
      </c>
      <c r="G210" s="203" t="inlineStr">
        <is>
          <t>Tampines</t>
        </is>
      </c>
      <c r="H210" s="205" t="inlineStr">
        <is>
          <t>https://www.gpplus.coop/gp-plus-service-network-public</t>
        </is>
      </c>
      <c r="I210" s="203" t="inlineStr">
        <is>
          <t>+65 6788 8888</t>
        </is>
      </c>
      <c r="J210" s="203" t="inlineStr">
        <is>
          <t>Not published. Call to request</t>
        </is>
      </c>
      <c r="K210" s="203" t="inlineStr">
        <is>
          <t>Blk 476 Tampines Street 44 #01-173, Singapore 520476</t>
        </is>
      </c>
      <c r="L210" s="203" t="inlineStr">
        <is>
          <t>Not named</t>
        </is>
      </c>
      <c r="M210" s="208" t="inlineStr">
        <is>
          <t>C</t>
        </is>
      </c>
      <c r="N210" s="203" t="inlineStr">
        <is>
          <t>Not stated</t>
        </is>
      </c>
      <c r="O210"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10" s="203" t="inlineStr">
        <is>
          <t>SonoEye P3 (pocket handheld for the consult room) + SonoAir 70 (2.1 kg, four active ports, auto bladder volume, thyroid and breast nodule tools)</t>
        </is>
      </c>
      <c r="Q210" s="210" t="inlineStr">
        <is>
          <t>VERIFY FIRST</t>
        </is>
      </c>
      <c r="R210" s="203" t="inlineStr">
        <is>
          <t>VERIFY FIRST. Listed on the GP+ Co-operative service network page (no own website found). Confirm the phone and email by calling before sending.</t>
        </is>
      </c>
      <c r="S210" s="203" t="inlineStr">
        <is>
          <t>Listed on the GP+ Co-operative service network page (no own website found)</t>
        </is>
      </c>
      <c r="T210" s="203" t="inlineStr">
        <is>
          <t>CHISON point of care ultrasound for Hwang &amp; Liang Family Clinic</t>
        </is>
      </c>
      <c r="U210" s="203" t="inlineStr">
        <is>
          <t>Dear Doctor,
I am Casper Tan, Senior Regional Sales Manager at AstraMed Healthcare, the Singapore subsidiary of CHISON Medical Technologies. For a family practice in Tampines, a scan in the room settles common questions the same day instead of after a referral.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put forward: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Hwang &amp; Liang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11" ht="84" customHeight="1" s="104">
      <c r="A211" s="203" t="n">
        <v>207</v>
      </c>
      <c r="B211" s="204" t="inlineStr">
        <is>
          <t>Lee &amp; Tan Family Clinic and Surgery</t>
        </is>
      </c>
      <c r="C211" s="203" t="inlineStr">
        <is>
          <t>Not started</t>
        </is>
      </c>
      <c r="D211" s="203" t="inlineStr">
        <is>
          <t>GP clinic</t>
        </is>
      </c>
      <c r="E211" s="203" t="inlineStr">
        <is>
          <t>GP clinic (independent)</t>
        </is>
      </c>
      <c r="F211" s="203" t="inlineStr">
        <is>
          <t>Family clinic and surgery; GP+ Co-operative member</t>
        </is>
      </c>
      <c r="G211" s="203" t="inlineStr">
        <is>
          <t>Macpherson (Circuit Road)</t>
        </is>
      </c>
      <c r="H211" s="205" t="inlineStr">
        <is>
          <t>https://www.gpplus.coop/gp-plus-service-network-public</t>
        </is>
      </c>
      <c r="I211" s="203" t="inlineStr">
        <is>
          <t>+65 6745 6877</t>
        </is>
      </c>
      <c r="J211" s="203" t="inlineStr">
        <is>
          <t>Not published. Call to request</t>
        </is>
      </c>
      <c r="K211" s="203" t="inlineStr">
        <is>
          <t>Blk 72 Circuit Road #01-03, Singapore 370072</t>
        </is>
      </c>
      <c r="L211" s="203" t="inlineStr">
        <is>
          <t>Not named</t>
        </is>
      </c>
      <c r="M211" s="208" t="inlineStr">
        <is>
          <t>C</t>
        </is>
      </c>
      <c r="N211" s="203" t="inlineStr">
        <is>
          <t>Not stated</t>
        </is>
      </c>
      <c r="O211"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11" s="203" t="inlineStr">
        <is>
          <t>SonoEye P3 (pocket handheld for the consult room) + SonoAir 70 (2.1 kg, four active ports, auto bladder volume, thyroid and breast nodule tools)</t>
        </is>
      </c>
      <c r="Q211" s="210" t="inlineStr">
        <is>
          <t>VERIFY FIRST</t>
        </is>
      </c>
      <c r="R211" s="203" t="inlineStr">
        <is>
          <t>VERIFY FIRST. Listed on the GP+ Co-operative service network page (no own website found). Confirm the phone and email by calling before sending.</t>
        </is>
      </c>
      <c r="S211" s="203" t="inlineStr">
        <is>
          <t>Listed on the GP+ Co-operative service network page (no own website found)</t>
        </is>
      </c>
      <c r="T211" s="203" t="inlineStr">
        <is>
          <t>CHISON point of care ultrasound for Lee &amp; Tan Family Clinic</t>
        </is>
      </c>
      <c r="U211" s="203" t="inlineStr">
        <is>
          <t>Dear Doctor,
I am Casper Tan, Senior Regional Sales Manager at AstraMed Healthcare, the Singapore subsidiary of CHISON Medical Technologies. For a neighbourhood GP in Macpherson, a quick scan in the consult room can save your patients a separate imaging trip.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Lee &amp; Tan Family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12" ht="60" customHeight="1" s="104">
      <c r="A212" s="203" t="n">
        <v>208</v>
      </c>
      <c r="B212" s="204" t="inlineStr">
        <is>
          <t>Low Medical Clinic</t>
        </is>
      </c>
      <c r="C212" s="203" t="inlineStr">
        <is>
          <t>Not started</t>
        </is>
      </c>
      <c r="D212" s="203" t="inlineStr">
        <is>
          <t>GP clinic</t>
        </is>
      </c>
      <c r="E212" s="203" t="inlineStr">
        <is>
          <t>GP clinic (independent)</t>
        </is>
      </c>
      <c r="F212" s="203" t="inlineStr">
        <is>
          <t>Neighbourhood GP clinic; member of I-CARE PCN</t>
        </is>
      </c>
      <c r="G212" s="203" t="inlineStr">
        <is>
          <t>Kallang Bahru</t>
        </is>
      </c>
      <c r="H212" s="205" t="inlineStr">
        <is>
          <t>https://www.icarepcn.com/east</t>
        </is>
      </c>
      <c r="I212" s="203" t="inlineStr">
        <is>
          <t>+65 6295 0805</t>
        </is>
      </c>
      <c r="J212" s="203" t="inlineStr">
        <is>
          <t>Not published. Call to request</t>
        </is>
      </c>
      <c r="K212" s="203" t="inlineStr">
        <is>
          <t>Blk 67 Kallang Bahru #01-447, Singapore 330067</t>
        </is>
      </c>
      <c r="L212" s="203" t="inlineStr">
        <is>
          <t>Not named</t>
        </is>
      </c>
      <c r="M212" s="208" t="inlineStr">
        <is>
          <t>C</t>
        </is>
      </c>
      <c r="N212" s="203" t="inlineStr">
        <is>
          <t>Not stated</t>
        </is>
      </c>
      <c r="O212" s="203" t="inlineStr">
        <is>
          <t>Independent GP: price sensitive and not yet saturated, which fits the GP and small clinic focus. Point of care answers in the room without a referral. Ultrasound use: Not stated. Confirm on the first call. Group link: I-CARE PCN (on this tab). Contact details come from a directory or network page, so confirm them before sending.</t>
        </is>
      </c>
      <c r="P212" s="203" t="inlineStr">
        <is>
          <t>SonoEye P3 (pocket handheld for the consult room) + SonoAir 70 (2.1 kg, four active ports, auto bladder volume, thyroid and breast nodule tools)</t>
        </is>
      </c>
      <c r="Q212" s="210" t="inlineStr">
        <is>
          <t>VERIFY FIRST</t>
        </is>
      </c>
      <c r="R212" s="203" t="inlineStr">
        <is>
          <t>VERIFY FIRST. Listed on the I-CARE PCN member page (no own website found). Confirm the phone and email by calling before sending.</t>
        </is>
      </c>
      <c r="S212" s="203" t="inlineStr">
        <is>
          <t>Listed on the I-CARE PCN member page (no own website found)</t>
        </is>
      </c>
      <c r="T212" s="203" t="inlineStr">
        <is>
          <t>CHISON point of care ultrasound for Low Medical Clinic</t>
        </is>
      </c>
      <c r="U212" s="203" t="inlineStr">
        <is>
          <t>Dear Doctor,
I am Casper Tan, Senior Regional Sales Manager at AstraMed Healthcare, the Singapore subsidiary of CHISON Medical Technologies. As one of the I-CARE PCN clinics in Kallang Bahru, you can save patients a separate imaging trip with a quick scan in the consult room.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Low Medical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13" ht="84" customHeight="1" s="104">
      <c r="A213" s="203" t="n">
        <v>209</v>
      </c>
      <c r="B213" s="204" t="inlineStr">
        <is>
          <t>Our Family Physician Clinic &amp; Surgery</t>
        </is>
      </c>
      <c r="C213" s="203" t="inlineStr">
        <is>
          <t>Not started</t>
        </is>
      </c>
      <c r="D213" s="203" t="inlineStr">
        <is>
          <t>GP clinic</t>
        </is>
      </c>
      <c r="E213" s="203" t="inlineStr">
        <is>
          <t>GP clinic (independent)</t>
        </is>
      </c>
      <c r="F213" s="203" t="inlineStr">
        <is>
          <t>Family physician clinic and surgery; GP+ Co-operative member</t>
        </is>
      </c>
      <c r="G213" s="203" t="inlineStr">
        <is>
          <t>Tampines</t>
        </is>
      </c>
      <c r="H213" s="205" t="inlineStr">
        <is>
          <t>https://www.gpplus.coop/gp-plus-service-network-public</t>
        </is>
      </c>
      <c r="I213" s="203" t="inlineStr">
        <is>
          <t>+65 6785 0147</t>
        </is>
      </c>
      <c r="J213" s="203" t="inlineStr">
        <is>
          <t>Not published. Call to request</t>
        </is>
      </c>
      <c r="K213" s="203" t="inlineStr">
        <is>
          <t>Blk 829 Tampines Street 81 #01-292, Singapore 520829</t>
        </is>
      </c>
      <c r="L213" s="203" t="inlineStr">
        <is>
          <t>Not named</t>
        </is>
      </c>
      <c r="M213" s="208" t="inlineStr">
        <is>
          <t>C</t>
        </is>
      </c>
      <c r="N213" s="203" t="inlineStr">
        <is>
          <t>Not stated</t>
        </is>
      </c>
      <c r="O213"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13" s="203" t="inlineStr">
        <is>
          <t>SonoEye P3 (pocket handheld for the consult room) + SonoAir 70 (2.1 kg, four active ports, auto bladder volume, thyroid and breast nodule tools)</t>
        </is>
      </c>
      <c r="Q213" s="210" t="inlineStr">
        <is>
          <t>VERIFY FIRST</t>
        </is>
      </c>
      <c r="R213" s="203" t="inlineStr">
        <is>
          <t>VERIFY FIRST. Listed on the GP+ Co-operative service network page (no own website found). Confirm the phone and email by calling before sending.</t>
        </is>
      </c>
      <c r="S213" s="203" t="inlineStr">
        <is>
          <t>Listed on the GP+ Co-operative service network page (no own website found)</t>
        </is>
      </c>
      <c r="T213" s="203" t="inlineStr">
        <is>
          <t>CHISON point of care ultrasound for Our Family Physician Clinic</t>
        </is>
      </c>
      <c r="U213" s="203" t="inlineStr">
        <is>
          <t>Dear Doctor,
I am Casper Tan, Senior Regional Sales Manager at AstraMed Healthcare, the Singapore subsidiary of CHISON Medical Technologies. For a neighbourhood GP in Tampines, a quick scan in the consult room can save your patients a separate imaging trip.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Our Family Physician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14" ht="84" customHeight="1" s="104">
      <c r="A214" s="203" t="n">
        <v>210</v>
      </c>
      <c r="B214" s="204" t="inlineStr">
        <is>
          <t>Shifa Clinic &amp; Surgery</t>
        </is>
      </c>
      <c r="C214" s="203" t="inlineStr">
        <is>
          <t>Not started</t>
        </is>
      </c>
      <c r="D214" s="203" t="inlineStr">
        <is>
          <t>GP clinic</t>
        </is>
      </c>
      <c r="E214" s="203" t="inlineStr">
        <is>
          <t>GP clinic (independent)</t>
        </is>
      </c>
      <c r="F214" s="203" t="inlineStr">
        <is>
          <t>Clinic and surgery; GP+ Co-operative member</t>
        </is>
      </c>
      <c r="G214" s="203" t="inlineStr">
        <is>
          <t>Little India (Chander Road)</t>
        </is>
      </c>
      <c r="H214" s="205" t="inlineStr">
        <is>
          <t>https://www.gpplus.coop/gp-plus-service-network-public</t>
        </is>
      </c>
      <c r="I214" s="203" t="inlineStr">
        <is>
          <t>+65 6295 7667</t>
        </is>
      </c>
      <c r="J214" s="203" t="inlineStr">
        <is>
          <t>Not published. Call to request</t>
        </is>
      </c>
      <c r="K214" s="203" t="inlineStr">
        <is>
          <t>668 Chander Road #01-20, Singapore 210668</t>
        </is>
      </c>
      <c r="L214" s="203" t="inlineStr">
        <is>
          <t>Not named</t>
        </is>
      </c>
      <c r="M214" s="208" t="inlineStr">
        <is>
          <t>C</t>
        </is>
      </c>
      <c r="N214" s="203" t="inlineStr">
        <is>
          <t>Not stated</t>
        </is>
      </c>
      <c r="O214"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14" s="203" t="inlineStr">
        <is>
          <t>SonoEye P3 (pocket handheld for the consult room) + SonoAir 70 (2.1 kg, four active ports, auto bladder volume, thyroid and breast nodule tools)</t>
        </is>
      </c>
      <c r="Q214" s="210" t="inlineStr">
        <is>
          <t>VERIFY FIRST</t>
        </is>
      </c>
      <c r="R214" s="203" t="inlineStr">
        <is>
          <t>VERIFY FIRST. Listed on the GP+ Co-operative service network page (no own website found). Confirm the phone and email by calling before sending.</t>
        </is>
      </c>
      <c r="S214" s="203" t="inlineStr">
        <is>
          <t>Listed on the GP+ Co-operative service network page (no own website found)</t>
        </is>
      </c>
      <c r="T214" s="203" t="inlineStr">
        <is>
          <t>CHISON point of care ultrasound for Shifa Clinic &amp; Surgery</t>
        </is>
      </c>
      <c r="U214" s="203" t="inlineStr">
        <is>
          <t>Dear Doctor,
I am Casper Tan, Senior Regional Sales Manager at AstraMed Healthcare, the Singapore subsidiary of CHISON Medical Technologies. Many of the questions a family doctor in Little India sees every day, from a painful joint to an uncomfortable abdomen, can be settled with a quick scan in the room.
CHISON has made diagnostic ultrasound in Wuxi since 1996 and sells in more than 100 countries. The systems below are registered with HSA, with AstraMed as the local registrant, so supply, application training and service are all handled here in Singapore.
For a family clinic, I would start with these two: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Shifa Clinic &amp; Surgery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15" ht="84" customHeight="1" s="104">
      <c r="A215" s="203" t="n">
        <v>211</v>
      </c>
      <c r="B215" s="204" t="inlineStr">
        <is>
          <t>Trinity Medical &amp; Aesthetic Clinic</t>
        </is>
      </c>
      <c r="C215" s="203" t="inlineStr">
        <is>
          <t>Not started</t>
        </is>
      </c>
      <c r="D215" s="203" t="inlineStr">
        <is>
          <t>GP clinic</t>
        </is>
      </c>
      <c r="E215" s="203" t="inlineStr">
        <is>
          <t>GP clinic (independent)</t>
        </is>
      </c>
      <c r="F215" s="203" t="inlineStr">
        <is>
          <t>GP and aesthetic clinic; GP+ Co-operative member</t>
        </is>
      </c>
      <c r="G215" s="203" t="inlineStr">
        <is>
          <t>Simei</t>
        </is>
      </c>
      <c r="H215" s="205" t="inlineStr">
        <is>
          <t>https://www.gpplus.coop/gp-plus-service-network-public</t>
        </is>
      </c>
      <c r="I215" s="203" t="inlineStr">
        <is>
          <t>+65 9223 9780 (as listed by GP+)</t>
        </is>
      </c>
      <c r="J215" s="203" t="inlineStr">
        <is>
          <t>Not published. Call to request</t>
        </is>
      </c>
      <c r="K215" s="203" t="inlineStr">
        <is>
          <t>Blk 151 Simei Street 1 #01-33, Singapore 520151</t>
        </is>
      </c>
      <c r="L215" s="203" t="inlineStr">
        <is>
          <t>Not named</t>
        </is>
      </c>
      <c r="M215" s="208" t="inlineStr">
        <is>
          <t>C</t>
        </is>
      </c>
      <c r="N215" s="203" t="inlineStr">
        <is>
          <t>Not stated</t>
        </is>
      </c>
      <c r="O215" s="203" t="inlineStr">
        <is>
          <t>Independent GP: price sensitive and not yet saturated, which fits the GP and small clinic focus. Point of care answers in the room without a referral.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15" s="203" t="inlineStr">
        <is>
          <t>SonoEye P3 (pocket handheld for the consult room) + SonoAir 70 (2.1 kg, four active ports, auto bladder volume, thyroid and breast nodule tools)</t>
        </is>
      </c>
      <c r="Q215" s="210" t="inlineStr">
        <is>
          <t>VERIFY FIRST</t>
        </is>
      </c>
      <c r="R215" s="203" t="inlineStr">
        <is>
          <t>VERIFY FIRST. Listed on the GP+ Co-operative service network page (no own website found). Confirm the phone and email by calling before sending.</t>
        </is>
      </c>
      <c r="S215" s="203" t="inlineStr">
        <is>
          <t>Listed on the GP+ Co-operative service network page (no own website found)</t>
        </is>
      </c>
      <c r="T215" s="203" t="inlineStr">
        <is>
          <t>CHISON point of care ultrasound for Trinity Medical &amp; Aesthetic Clinic</t>
        </is>
      </c>
      <c r="U215" s="203" t="inlineStr">
        <is>
          <t>Dear Doctor,
I am Casper Tan, Senior Regional Sales Manager at AstraMed Healthcare, the Singapore subsidiary of CHISON Medical Technologies. For a neighbourhood GP in Simei, a quick scan in the consult room can save your patients a separate imaging trip.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Trinity Medical &amp; Aesthetic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16" ht="60" customHeight="1" s="104">
      <c r="A216" s="203" t="n">
        <v>212</v>
      </c>
      <c r="B216" s="204" t="inlineStr">
        <is>
          <t>Wong Clinic (Bedok North)</t>
        </is>
      </c>
      <c r="C216" s="203" t="inlineStr">
        <is>
          <t>Not started</t>
        </is>
      </c>
      <c r="D216" s="203" t="inlineStr">
        <is>
          <t>GP clinic</t>
        </is>
      </c>
      <c r="E216" s="203" t="inlineStr">
        <is>
          <t>GP clinic (independent)</t>
        </is>
      </c>
      <c r="F216" s="203" t="inlineStr">
        <is>
          <t>Neighbourhood GP clinic; member of I-CARE PCN</t>
        </is>
      </c>
      <c r="G216" s="203" t="inlineStr">
        <is>
          <t>Bedok North</t>
        </is>
      </c>
      <c r="H216" s="205" t="inlineStr">
        <is>
          <t>https://www.icarepcn.com/east</t>
        </is>
      </c>
      <c r="I216" s="203" t="inlineStr">
        <is>
          <t>+65 6241 2267</t>
        </is>
      </c>
      <c r="J216" s="203" t="inlineStr">
        <is>
          <t>Not published. Call to request</t>
        </is>
      </c>
      <c r="K216" s="203" t="inlineStr">
        <is>
          <t>539 Bedok North Street 3 #01-603, Singapore 460539</t>
        </is>
      </c>
      <c r="L216" s="203" t="inlineStr">
        <is>
          <t>Not named</t>
        </is>
      </c>
      <c r="M216" s="208" t="inlineStr">
        <is>
          <t>C</t>
        </is>
      </c>
      <c r="N216" s="203" t="inlineStr">
        <is>
          <t>Not stated</t>
        </is>
      </c>
      <c r="O216" s="203" t="inlineStr">
        <is>
          <t>Independent GP: price sensitive and not yet saturated, which fits the GP and small clinic focus. Point of care answers in the room without a referral. Ultrasound use: Not stated. Confirm on the first call. Group link: I-CARE PCN (on this tab). Contact details come from a directory or network page, so confirm them before sending.</t>
        </is>
      </c>
      <c r="P216" s="203" t="inlineStr">
        <is>
          <t>SonoEye P3 (pocket handheld for the consult room) + SonoAir 70 (2.1 kg, four active ports, auto bladder volume, thyroid and breast nodule tools)</t>
        </is>
      </c>
      <c r="Q216" s="210" t="inlineStr">
        <is>
          <t>VERIFY FIRST</t>
        </is>
      </c>
      <c r="R216" s="203" t="inlineStr">
        <is>
          <t>VERIFY FIRST. Listed on the I-CARE PCN member page (no own website found). Confirm the phone and email by calling before sending.</t>
        </is>
      </c>
      <c r="S216" s="203" t="inlineStr">
        <is>
          <t>Listed on the I-CARE PCN member page (no own website found)</t>
        </is>
      </c>
      <c r="T216" s="203" t="inlineStr">
        <is>
          <t>CHISON point of care ultrasound for Wong Clinic</t>
        </is>
      </c>
      <c r="U216" s="203" t="inlineStr">
        <is>
          <t>Dear Doctor,
I am Casper Tan, Senior Regional Sales Manager at AstraMed Healthcare, the Singapore subsidiary of CHISON Medical Technologies. As one of the I-CARE PCN clinics in Bedok North, you can save patients a separate imaging trip with a quick scan in the consult room.
CHISON has made diagnostic ultrasound in Wuxi since 1996 and sells in more than 100 countries. The systems below are registered with HSA, with AstraMed as the local registrant, so supply, application training and service are all handled here in Singapore.
For a family clinic, these are the two I would suggest:
• SonoEye P3: a pocket handheld for quick bedside answers in the consult room
• SonoAir 70: a 2.1 kg laptop with four active probe ports, automatic bladder volume and thyroid and breast nodule tools
The aim is not radiology but a quick answer in the room, such as urinary retention, gallstones, a joint effusion or an early pregnancy.
Our demonstration units arrive in Singapore in October. Could I drop by Wong Clinic for 20 minutes at a quiet hour in the second half of the month, so you can try both and see how quickly they give an answer?
Best regards,
Casper Tan
Senior Regional Sales Manager
AstraMed Healthcare Pte Ltd, a subsidiary of CHISON Medical Technologies
casper@astramed.sg | +65 8719 0121</t>
        </is>
      </c>
    </row>
    <row r="217" ht="84" customHeight="1" s="104">
      <c r="A217" s="203" t="n">
        <v>213</v>
      </c>
      <c r="B217" s="204" t="inlineStr">
        <is>
          <t>Mission Medical Clinics (Mission PCN)</t>
        </is>
      </c>
      <c r="C217" s="203" t="inlineStr">
        <is>
          <t>Not started</t>
        </is>
      </c>
      <c r="D217" s="203" t="inlineStr">
        <is>
          <t>GP clinic</t>
        </is>
      </c>
      <c r="E217" s="203" t="inlineStr">
        <is>
          <t>GP group (small)</t>
        </is>
      </c>
      <c r="F217" s="203" t="inlineStr">
        <is>
          <t>Mission Medical Clinic LLP leads an MOH Primary Care Network; GP+ lists Mission (Hougang) Medical Clinic, Mission Cross Family Clinic (Yishun) and Mission Bukit Batok Medical Clinic</t>
        </is>
      </c>
      <c r="G217" s="203" t="inlineStr">
        <is>
          <t>Hougang, Yishun, Bukit Batok</t>
        </is>
      </c>
      <c r="H217" s="205" t="inlineStr">
        <is>
          <t>https://mmc.sg</t>
        </is>
      </c>
      <c r="I217" s="203" t="inlineStr">
        <is>
          <t>+65 6635 8579 (Mission Cross, Yishun) / +65 6515 0760 (Bukit Batok) / +65 9387 0987 (Hougang, as listed by GP+)</t>
        </is>
      </c>
      <c r="J217" s="203" t="inlineStr">
        <is>
          <t>Not published on own site. Call to request</t>
        </is>
      </c>
      <c r="K217" s="203" t="inlineStr">
        <is>
          <t>356 Hougang Avenue 7 #01-799, Singapore 530356 (plus Blk 348 Yishun Ave 11 #01-03 and 395A Bukit Batok West Ave 5 #03-02)</t>
        </is>
      </c>
      <c r="L217" s="203" t="inlineStr">
        <is>
          <t>Not named</t>
        </is>
      </c>
      <c r="M217" s="208" t="inlineStr">
        <is>
          <t>C</t>
        </is>
      </c>
      <c r="N217" s="203" t="inlineStr">
        <is>
          <t>Not stated</t>
        </is>
      </c>
      <c r="O217" s="203" t="inlineStr">
        <is>
          <t>Network route: one conversation reaches many independent GPs. Offer a hands on POCUS evening. Ultrasound use: Not stated. Confirm on the first call. Listed in the GP+ Co-operative service network; GP+ Co-operative itself is on the Singapore End-Users tab as a group purchasing route, so a co-op level offer could reach these clinics together. Contact details come from a directory or network page, so confirm them before sending.</t>
        </is>
      </c>
      <c r="P217" s="203" t="inlineStr">
        <is>
          <t>SonoEye P3 (pocket handheld for the consult room) + SonoAir 70 (2.1 kg, four active ports, auto bladder volume, thyroid and breast nodule tools)</t>
        </is>
      </c>
      <c r="Q217" s="210" t="inlineStr">
        <is>
          <t>VERIFY FIRST</t>
        </is>
      </c>
      <c r="R217" s="203" t="inlineStr">
        <is>
          <t>VERIFY FIRST. Clinic list from the GP+ Co-operative service network page; MOH PCN page names Mission Medical Clinic LLP as a PCN; own site shows no contact block. Confirm the phone and email by calling before sending.</t>
        </is>
      </c>
      <c r="S217" s="203" t="inlineStr">
        <is>
          <t>Clinic list from the GP+ Co-operative service network page; MOH PCN page names Mission Medical Clinic LLP as a PCN; own site shows no contact block</t>
        </is>
      </c>
      <c r="T217" s="203" t="inlineStr">
        <is>
          <t>CHISON and Mission Medical Clinics: a hands on POCUS evening for your GPs</t>
        </is>
      </c>
      <c r="U217" s="203" t="inlineStr">
        <is>
          <t>Dear Mission Medical Clinics team,
I am Casper Tan, Senior Regional Sales Manager at AstraMed Healthcare, the Singapore subsidiary of CHISON Medical Technologies. Mission Medical Clinic leads a Primary Care Network and runs clinics in Hougang, Yishun and Bukit Batok, so one conversation could reach several family doctors.
CHISON has made diagnostic ultrasound in Wuxi since 1996 and sells in more than 100 countries. The systems below are registered with HSA, with AstraMed as the local registrant, so supply, application training and service are all handled here in Singapore.
For member GPs, I would start with these two:
• SonoEye P3: a pocket handheld for quick bedside answers in the consult room
• SonoAir 70: a 2.1 kg laptop with four active probe ports, automatic bladder volume and thyroid and breast nodule tools
A network level session lets each member GP try the systems without committing their own clinic first.
Would Mission Medical Clinics be open to a hands on POCUS evening for member GPs in the second half of October? AstraMed would bring the systems and run the stations.
Best regards,
Casper Tan
Senior Regional Sales Manager
AstraMed Healthcare Pte Ltd, a subsidiary of CHISON Medical Technologies
casper@astramed.sg | +65 8719 0121</t>
        </is>
      </c>
    </row>
    <row r="219" ht="14.25" customHeight="1" s="104">
      <c r="B219" s="176" t="inlineStr">
        <is>
          <t>COUNTS</t>
        </is>
      </c>
      <c r="E219" s="176" t="inlineStr">
        <is>
          <t>CONTACT CONFIDENCE</t>
        </is>
      </c>
      <c r="H219" s="176" t="inlineStr">
        <is>
          <t>SEGMENT AND EMAIL</t>
        </is>
      </c>
    </row>
    <row r="220" ht="14.25" customHeight="1" s="104">
      <c r="B220" s="178" t="inlineStr">
        <is>
          <t>P1 (send first)</t>
        </is>
      </c>
      <c r="C220" s="177">
        <f>COUNTIF(Q5:Q217,"P1")</f>
        <v/>
      </c>
      <c r="E220" s="179" t="inlineStr">
        <is>
          <t>A  verified direct (phone/email off their own page)</t>
        </is>
      </c>
      <c r="F220" s="177">
        <f>COUNTIF(M5:M217,"A")</f>
        <v/>
      </c>
      <c r="H220" s="178" t="inlineStr">
        <is>
          <t>Specialist centre</t>
        </is>
      </c>
      <c r="I220" s="177">
        <f>COUNTIF(D5:D217,"Specialist centre")</f>
        <v/>
      </c>
    </row>
    <row r="221" ht="14.25" customHeight="1" s="104">
      <c r="B221" s="178" t="inlineStr">
        <is>
          <t>P2 (second wave)</t>
        </is>
      </c>
      <c r="C221" s="177">
        <f>COUNTIF(Q5:Q217,"P2")</f>
        <v/>
      </c>
      <c r="E221" s="211" t="inlineStr">
        <is>
          <t>B  verified partial (site live, form only)</t>
        </is>
      </c>
      <c r="F221" s="177">
        <f>COUNTIF(M5:M217,"B")</f>
        <v/>
      </c>
      <c r="H221" s="178" t="inlineStr">
        <is>
          <t>GP clinic</t>
        </is>
      </c>
      <c r="I221" s="177">
        <f>COUNTIF(D5:D217,"GP clinic")</f>
        <v/>
      </c>
    </row>
    <row r="222" ht="14.25" customHeight="1" s="104">
      <c r="B222" s="178" t="inlineStr">
        <is>
          <t>P3 (long tail)</t>
        </is>
      </c>
      <c r="C222" s="177">
        <f>COUNTIF(Q5:Q217,"P3")</f>
        <v/>
      </c>
      <c r="E222" s="212" t="inlineStr">
        <is>
          <t>C  directory or network page, own site not found</t>
        </is>
      </c>
      <c r="F222" s="177">
        <f>COUNTIF(M5:M217,"C")</f>
        <v/>
      </c>
      <c r="H222" s="178" t="inlineStr">
        <is>
          <t>Rows with a published email</t>
        </is>
      </c>
      <c r="I222" s="177">
        <f>COUNTIF(J5:J217,"*@*")</f>
        <v/>
      </c>
    </row>
    <row r="223" ht="14.25" customHeight="1" s="104">
      <c r="B223" s="178" t="inlineStr">
        <is>
          <t>VERIFY FIRST (confirm details by phone)</t>
        </is>
      </c>
      <c r="C223" s="177">
        <f>COUNTIF(Q5:Q217,"VERIFY FIRST")</f>
        <v/>
      </c>
      <c r="E223" s="213" t="inlineStr">
        <is>
          <t>D  not verified, confirm the clinic trades first</t>
        </is>
      </c>
      <c r="F223" s="177">
        <f>COUNTIF(M5:M217,"D")</f>
        <v/>
      </c>
      <c r="H223" s="178" t="inlineStr">
        <is>
          <t>Rows without one (call or WhatsApp)</t>
        </is>
      </c>
      <c r="I223" s="177">
        <f>C224-I222</f>
        <v/>
      </c>
    </row>
    <row r="224" ht="14.25" customHeight="1" s="104">
      <c r="B224" s="178" t="inlineStr">
        <is>
          <t>TOTAL ROWS</t>
        </is>
      </c>
      <c r="C224" s="177">
        <f>COUNTA(B5:B217)</f>
        <v/>
      </c>
    </row>
  </sheetData>
  <autoFilter ref="A4:U217"/>
  <conditionalFormatting sqref="C5:C217">
    <cfRule type="cellIs" rank="0" priority="2" equalAverage="0" operator="equal" aboveAverage="0" dxfId="22" text="" percent="0" bottom="0">
      <formula>"Not started"</formula>
    </cfRule>
    <cfRule type="cellIs" rank="0" priority="3" equalAverage="0" operator="equal" aboveAverage="0" dxfId="23" text="" percent="0" bottom="0">
      <formula>"Contacted"</formula>
    </cfRule>
    <cfRule type="cellIs" rank="0" priority="4" equalAverage="0" operator="equal" aboveAverage="0" dxfId="24" text="" percent="0" bottom="0">
      <formula>"Meeting booked"</formula>
    </cfRule>
    <cfRule type="cellIs" rank="0" priority="5" equalAverage="0" operator="equal" aboveAverage="0" dxfId="25" text="" percent="0" bottom="0">
      <formula>"Meeting held"</formula>
    </cfRule>
    <cfRule type="cellIs" rank="0" priority="6" equalAverage="0" operator="equal" aboveAverage="0" dxfId="26" text="" percent="0" bottom="0">
      <formula>"Evaluation placed"</formula>
    </cfRule>
    <cfRule type="cellIs" rank="0" priority="7" equalAverage="0" operator="equal" aboveAverage="0" dxfId="27" text="" percent="0" bottom="0">
      <formula>"Quoted"</formula>
    </cfRule>
    <cfRule type="cellIs" rank="0" priority="8" equalAverage="0" operator="equal" aboveAverage="0" dxfId="28" text="" percent="0" bottom="0">
      <formula>"Won"</formula>
    </cfRule>
    <cfRule type="cellIs" rank="0" priority="9" equalAverage="0" operator="equal" aboveAverage="0" dxfId="29" text="" percent="0" bottom="0">
      <formula>"Declined"</formula>
    </cfRule>
    <cfRule type="cellIs" rank="0" priority="10" equalAverage="0" operator="equal" aboveAverage="0" dxfId="30" text="" percent="0" bottom="0">
      <formula>"Parked"</formula>
    </cfRule>
  </conditionalFormatting>
  <dataValidations count="1">
    <dataValidation sqref="C5:C217" showDropDown="0" showInputMessage="0" showErrorMessage="0" allowBlank="1" type="list" errorStyle="stop" operator="between">
      <formula1>"Not started,Contacted,Meeting booked,Meeting held,Evaluation placed,Quoted,Won,Declined,Parked"</formula1>
      <formula2>0</formula2>
    </dataValidation>
  </dataValidations>
  <hyperlinks>
    <hyperlink xmlns:r="http://schemas.openxmlformats.org/officeDocument/2006/relationships" ref="H5" display="https://www.luma.sg" r:id="rId1"/>
    <hyperlink xmlns:r="http://schemas.openxmlformats.org/officeDocument/2006/relationships" ref="H6" display="https://andrewleebreastclinic.sg" r:id="rId2"/>
    <hyperlink xmlns:r="http://schemas.openxmlformats.org/officeDocument/2006/relationships" ref="H7" display="https://www.berthawoonsurgery.com.sg" r:id="rId3"/>
    <hyperlink xmlns:r="http://schemas.openxmlformats.org/officeDocument/2006/relationships" ref="H8" display="http://www.hoeahleong.sg" r:id="rId4"/>
    <hyperlink xmlns:r="http://schemas.openxmlformats.org/officeDocument/2006/relationships" ref="H9" display="https://thebreastclinic.sg" r:id="rId5"/>
    <hyperlink xmlns:r="http://schemas.openxmlformats.org/officeDocument/2006/relationships" ref="H10" display="https://cctansurgery.com.sg" r:id="rId6"/>
    <hyperlink xmlns:r="http://schemas.openxmlformats.org/officeDocument/2006/relationships" ref="H11" display="https://www.drjjcheegynae.com" r:id="rId7"/>
    <hyperlink xmlns:r="http://schemas.openxmlformats.org/officeDocument/2006/relationships" ref="H12" display="https://www.fredakhooclinic.com" r:id="rId8"/>
    <hyperlink xmlns:r="http://schemas.openxmlformats.org/officeDocument/2006/relationships" ref="H13" display="https://www.gynaemd.com.sg" r:id="rId9"/>
    <hyperlink xmlns:r="http://schemas.openxmlformats.org/officeDocument/2006/relationships" ref="H14" display="https://www.gynaemdclementi.com.sg" r:id="rId10"/>
    <hyperlink xmlns:r="http://schemas.openxmlformats.org/officeDocument/2006/relationships" ref="H15" display="https://www.ireneandjonclinic.com" r:id="rId11"/>
    <hyperlink xmlns:r="http://schemas.openxmlformats.org/officeDocument/2006/relationships" ref="H16" display="https://www.drdharsh.com" r:id="rId12"/>
    <hyperlink xmlns:r="http://schemas.openxmlformats.org/officeDocument/2006/relationships" ref="H17" display="https://www.slgohclinic.com" r:id="rId13"/>
    <hyperlink xmlns:r="http://schemas.openxmlformats.org/officeDocument/2006/relationships" ref="H18" display="https://www.thegynaelink.com" r:id="rId14"/>
    <hyperlink xmlns:r="http://schemas.openxmlformats.org/officeDocument/2006/relationships" ref="H19" display="https://www.obgyncentre.sg" r:id="rId15"/>
    <hyperlink xmlns:r="http://schemas.openxmlformats.org/officeDocument/2006/relationships" ref="H20" display="https://weiweiclinic.com" r:id="rId16"/>
    <hyperlink xmlns:r="http://schemas.openxmlformats.org/officeDocument/2006/relationships" ref="H21" display="https://www.swcmedicalgroup.com" r:id="rId17"/>
    <hyperlink xmlns:r="http://schemas.openxmlformats.org/officeDocument/2006/relationships" ref="H22" display="https://ogclinic.com.sg" r:id="rId18"/>
    <hyperlink xmlns:r="http://schemas.openxmlformats.org/officeDocument/2006/relationships" ref="H23" display="https://www.alphaspecialists.com.sg" r:id="rId19"/>
    <hyperlink xmlns:r="http://schemas.openxmlformats.org/officeDocument/2006/relationships" ref="H24" display="https://www.healthfertility.com.sg" r:id="rId20"/>
    <hyperlink xmlns:r="http://schemas.openxmlformats.org/officeDocument/2006/relationships" ref="H25" display="https://www.asiamedic.com.sg" r:id="rId21"/>
    <hyperlink xmlns:r="http://schemas.openxmlformats.org/officeDocument/2006/relationships" ref="H26" display="https://atamed.sg" r:id="rId22"/>
    <hyperlink xmlns:r="http://schemas.openxmlformats.org/officeDocument/2006/relationships" ref="H27" display="https://mediwaymedical.com" r:id="rId23"/>
    <hyperlink xmlns:r="http://schemas.openxmlformats.org/officeDocument/2006/relationships" ref="H28" display="https://www.singaporesports.sg" r:id="rId24"/>
    <hyperlink xmlns:r="http://schemas.openxmlformats.org/officeDocument/2006/relationships" ref="H29" display="https://www.triaxisclinic.com" r:id="rId25"/>
    <hyperlink xmlns:r="http://schemas.openxmlformats.org/officeDocument/2006/relationships" ref="H30" display="https://ortho-intl.com" r:id="rId26"/>
    <hyperlink xmlns:r="http://schemas.openxmlformats.org/officeDocument/2006/relationships" ref="H31" display="https://sportsin.com" r:id="rId27"/>
    <hyperlink xmlns:r="http://schemas.openxmlformats.org/officeDocument/2006/relationships" ref="H32" display="https://specialistortho.com.sg" r:id="rId28"/>
    <hyperlink xmlns:r="http://schemas.openxmlformats.org/officeDocument/2006/relationships" ref="H33" display="https://spireortho.com.sg" r:id="rId29"/>
    <hyperlink xmlns:r="http://schemas.openxmlformats.org/officeDocument/2006/relationships" ref="H34" display="https://drdennisng.asianhealthcare.com.sg" r:id="rId30"/>
    <hyperlink xmlns:r="http://schemas.openxmlformats.org/officeDocument/2006/relationships" ref="H35" display="https://totalorthopaedic.com.sg" r:id="rId31"/>
    <hyperlink xmlns:r="http://schemas.openxmlformats.org/officeDocument/2006/relationships" ref="H36" display="https://www.drchristopherliu.com" r:id="rId32"/>
    <hyperlink xmlns:r="http://schemas.openxmlformats.org/officeDocument/2006/relationships" ref="H37" display="https://apicarepain.com" r:id="rId33"/>
    <hyperlink xmlns:r="http://schemas.openxmlformats.org/officeDocument/2006/relationships" ref="H38" display="https://sgpaincare.com" r:id="rId34"/>
    <hyperlink xmlns:r="http://schemas.openxmlformats.org/officeDocument/2006/relationships" ref="H39" display="https://www.drdesmondooi.com.sg" r:id="rId35"/>
    <hyperlink xmlns:r="http://schemas.openxmlformats.org/officeDocument/2006/relationships" ref="H40" display="https://www.drandrewchoong.com" r:id="rId36"/>
    <hyperlink xmlns:r="http://schemas.openxmlformats.org/officeDocument/2006/relationships" ref="H41" display="https://drdarryllim.com" r:id="rId37"/>
    <hyperlink xmlns:r="http://schemas.openxmlformats.org/officeDocument/2006/relationships" ref="H42" display="https://spectrum-surgery.com" r:id="rId38"/>
    <hyperlink xmlns:r="http://schemas.openxmlformats.org/officeDocument/2006/relationships" ref="H43" display="https://www.vascularclinic.sg" r:id="rId39"/>
    <hyperlink xmlns:r="http://schemas.openxmlformats.org/officeDocument/2006/relationships" ref="H44" display="https://www.tvgsc.sg" r:id="rId40"/>
    <hyperlink xmlns:r="http://schemas.openxmlformats.org/officeDocument/2006/relationships" ref="H45" display="https://www.sgvascularctr.com" r:id="rId41"/>
    <hyperlink xmlns:r="http://schemas.openxmlformats.org/officeDocument/2006/relationships" ref="H46" display="https://supremevascular.com" r:id="rId42"/>
    <hyperlink xmlns:r="http://schemas.openxmlformats.org/officeDocument/2006/relationships" ref="H47" display="https://urology.com.sg" r:id="rId43"/>
    <hyperlink xmlns:r="http://schemas.openxmlformats.org/officeDocument/2006/relationships" ref="H48" display="https://urologycentre.com.sg" r:id="rId44"/>
    <hyperlink xmlns:r="http://schemas.openxmlformats.org/officeDocument/2006/relationships" ref="H49" display="https://ttwurology.com.sg" r:id="rId45"/>
    <hyperlink xmlns:r="http://schemas.openxmlformats.org/officeDocument/2006/relationships" ref="H50" display="https://urodoc.sg" r:id="rId46"/>
    <hyperlink xmlns:r="http://schemas.openxmlformats.org/officeDocument/2006/relationships" ref="H51" display="https://urologysingapore.com" r:id="rId47"/>
    <hyperlink xmlns:r="http://schemas.openxmlformats.org/officeDocument/2006/relationships" ref="H52" display="https://www.ahg.com.sg" r:id="rId48"/>
    <hyperlink xmlns:r="http://schemas.openxmlformats.org/officeDocument/2006/relationships" ref="H53" display="https://dcmed.org" r:id="rId49"/>
    <hyperlink xmlns:r="http://schemas.openxmlformats.org/officeDocument/2006/relationships" ref="H54" display="https://urgentcareathome.sg" r:id="rId50"/>
    <hyperlink xmlns:r="http://schemas.openxmlformats.org/officeDocument/2006/relationships" ref="H55" display="https://www.radocimaging.com.sg" r:id="rId51"/>
    <hyperlink xmlns:r="http://schemas.openxmlformats.org/officeDocument/2006/relationships" ref="H56" display="https://www.arden.com.sg" r:id="rId52"/>
    <hyperlink xmlns:r="http://schemas.openxmlformats.org/officeDocument/2006/relationships" ref="H57" display="https://endocrinologist.com.sg" r:id="rId53"/>
    <hyperlink xmlns:r="http://schemas.openxmlformats.org/officeDocument/2006/relationships" ref="H58" display="https://www.endocrineharmony.sg" r:id="rId54"/>
    <hyperlink xmlns:r="http://schemas.openxmlformats.org/officeDocument/2006/relationships" ref="H59" display="https://www.advancedortho.com.sg" r:id="rId55"/>
    <hyperlink xmlns:r="http://schemas.openxmlformats.org/officeDocument/2006/relationships" ref="H60" display="https://www.drandrewdutton.com" r:id="rId56"/>
    <hyperlink xmlns:r="http://schemas.openxmlformats.org/officeDocument/2006/relationships" ref="H61" display="https://www.quantumortho.com.sg" r:id="rId57"/>
    <hyperlink xmlns:r="http://schemas.openxmlformats.org/officeDocument/2006/relationships" ref="H62" display="https://www.femsurgery.com" r:id="rId58"/>
    <hyperlink xmlns:r="http://schemas.openxmlformats.org/officeDocument/2006/relationships" ref="H63" display="https://www.vascularcentre.com.sg" r:id="rId59"/>
    <hyperlink xmlns:r="http://schemas.openxmlformats.org/officeDocument/2006/relationships" ref="H64" display="https://charmssingapore.com" r:id="rId60"/>
    <hyperlink xmlns:r="http://schemas.openxmlformats.org/officeDocument/2006/relationships" ref="H65" display="https://www.handsurgerysingapore.com" r:id="rId61"/>
    <hyperlink xmlns:r="http://schemas.openxmlformats.org/officeDocument/2006/relationships" ref="H66" display="https://www.dennislim.com.sg" r:id="rId62"/>
    <hyperlink xmlns:r="http://schemas.openxmlformats.org/officeDocument/2006/relationships" ref="H67" display="https://www.dximaging.com.sg" r:id="rId63"/>
    <hyperlink xmlns:r="http://schemas.openxmlformats.org/officeDocument/2006/relationships" ref="H68" display="https://www.aiu.sg" r:id="rId64"/>
    <hyperlink xmlns:r="http://schemas.openxmlformats.org/officeDocument/2006/relationships" ref="H69" display="https://www.theprenatalconsultants.com.sg" r:id="rId65"/>
    <hyperlink xmlns:r="http://schemas.openxmlformats.org/officeDocument/2006/relationships" ref="H70" display="https://www.drtonytan.com" r:id="rId66"/>
    <hyperlink xmlns:r="http://schemas.openxmlformats.org/officeDocument/2006/relationships" ref="H71" display="https://www.acufem.com" r:id="rId67"/>
    <hyperlink xmlns:r="http://schemas.openxmlformats.org/officeDocument/2006/relationships" ref="H72" display="https://www.healthcareforwomen.com.sg" r:id="rId68"/>
    <hyperlink xmlns:r="http://schemas.openxmlformats.org/officeDocument/2006/relationships" ref="H73" display="https://www.gynaeclinic-surgery.com" r:id="rId69"/>
    <hyperlink xmlns:r="http://schemas.openxmlformats.org/officeDocument/2006/relationships" ref="H74" display="https://www.ogwomensspecialist.sg" r:id="rId70"/>
    <hyperlink xmlns:r="http://schemas.openxmlformats.org/officeDocument/2006/relationships" ref="H75" display="https://www.swjen.com.sg" r:id="rId71"/>
    <hyperlink xmlns:r="http://schemas.openxmlformats.org/officeDocument/2006/relationships" ref="H76" display="https://www.wendywomensclinic.com.sg" r:id="rId72"/>
    <hyperlink xmlns:r="http://schemas.openxmlformats.org/officeDocument/2006/relationships" ref="H77" display="https://coc.sg" r:id="rId73"/>
    <hyperlink xmlns:r="http://schemas.openxmlformats.org/officeDocument/2006/relationships" ref="H78" display="https://orthokau.com" r:id="rId74"/>
    <hyperlink xmlns:r="http://schemas.openxmlformats.org/officeDocument/2006/relationships" ref="H79" display="https://painrelief.com.sg" r:id="rId75"/>
    <hyperlink xmlns:r="http://schemas.openxmlformats.org/officeDocument/2006/relationships" ref="H80" display="https://www.apexheartclinic.sg" r:id="rId76"/>
    <hyperlink xmlns:r="http://schemas.openxmlformats.org/officeDocument/2006/relationships" ref="H81" display="https://www.ahvc.com.sg" r:id="rId77"/>
    <hyperlink xmlns:r="http://schemas.openxmlformats.org/officeDocument/2006/relationships" ref="H82" display="https://drgerardleongcardiology.com" r:id="rId78"/>
    <hyperlink xmlns:r="http://schemas.openxmlformats.org/officeDocument/2006/relationships" ref="H83" display="https://heartmatters.com.sg" r:id="rId79"/>
    <hyperlink xmlns:r="http://schemas.openxmlformats.org/officeDocument/2006/relationships" ref="H84" display="https://www.novenaheartcentre.com.sg" r:id="rId80"/>
    <hyperlink xmlns:r="http://schemas.openxmlformats.org/officeDocument/2006/relationships" ref="H85" display="https://cardiology.com.sg" r:id="rId81"/>
    <hyperlink xmlns:r="http://schemas.openxmlformats.org/officeDocument/2006/relationships" ref="H86" display="https://www.harleystreet.sg" r:id="rId82"/>
    <hyperlink xmlns:r="http://schemas.openxmlformats.org/officeDocument/2006/relationships" ref="H87" display="https://heartpractice.sg" r:id="rId83"/>
    <hyperlink xmlns:r="http://schemas.openxmlformats.org/officeDocument/2006/relationships" ref="H88" display="https://aarc.sg" r:id="rId84"/>
    <hyperlink xmlns:r="http://schemas.openxmlformats.org/officeDocument/2006/relationships" ref="H89" display="https://elimrheumaticcentre.com" r:id="rId85"/>
    <hyperlink xmlns:r="http://schemas.openxmlformats.org/officeDocument/2006/relationships" ref="H90" display="https://www.leongkenghong.com" r:id="rId86"/>
    <hyperlink xmlns:r="http://schemas.openxmlformats.org/officeDocument/2006/relationships" ref="H91" display="https://www.pngurology.com.sg" r:id="rId87"/>
    <hyperlink xmlns:r="http://schemas.openxmlformats.org/officeDocument/2006/relationships" ref="H92" display="https://alphagastro.sg" r:id="rId88"/>
    <hyperlink xmlns:r="http://schemas.openxmlformats.org/officeDocument/2006/relationships" ref="H93" display="https://www.juandaleogastroliver.sg" r:id="rId89"/>
    <hyperlink xmlns:r="http://schemas.openxmlformats.org/officeDocument/2006/relationships" ref="H94" display="https://www.kieronlimgastro.com.sg" r:id="rId90"/>
    <hyperlink xmlns:r="http://schemas.openxmlformats.org/officeDocument/2006/relationships" ref="H95" display="https://jaga-me.com" r:id="rId91"/>
    <hyperlink xmlns:r="http://schemas.openxmlformats.org/officeDocument/2006/relationships" ref="H96" display="https://hop.sg" r:id="rId92"/>
    <hyperlink xmlns:r="http://schemas.openxmlformats.org/officeDocument/2006/relationships" ref="H97" display="https://www.orthopaedics.com.sg" r:id="rId93"/>
    <hyperlink xmlns:r="http://schemas.openxmlformats.org/officeDocument/2006/relationships" ref="H98" display="https://www.farrerpark.com/Services/our-facilities/detail.html?id=12" r:id="rId94"/>
    <hyperlink xmlns:r="http://schemas.openxmlformats.org/officeDocument/2006/relationships" ref="H99" display="https://www.gleneagles.com.sg/24hr-urgent-care-centre/overview" r:id="rId95"/>
    <hyperlink xmlns:r="http://schemas.openxmlformats.org/officeDocument/2006/relationships" ref="H100" display="https://mtalvernia.sg/clinical_services/24hr-urgent-care-centre/" r:id="rId96"/>
    <hyperlink xmlns:r="http://schemas.openxmlformats.org/officeDocument/2006/relationships" ref="H101" display="https://www.mountelizabeth.com.sg/24hr-urgent-care-centre/overview" r:id="rId97"/>
    <hyperlink xmlns:r="http://schemas.openxmlformats.org/officeDocument/2006/relationships" ref="H102" display="https://www.parkwayeast.com.sg/24hr-urgent-care-centre/overview" r:id="rId98"/>
    <hyperlink xmlns:r="http://schemas.openxmlformats.org/officeDocument/2006/relationships" ref="H103" display="https://www.thomsonmedical.com/centres/urgent-care-centre" r:id="rId99"/>
    <hyperlink xmlns:r="http://schemas.openxmlformats.org/officeDocument/2006/relationships" ref="H104" display="https://firstlinedialysis.sg" r:id="rId100"/>
    <hyperlink xmlns:r="http://schemas.openxmlformats.org/officeDocument/2006/relationships" ref="H105" display="https://renaldc.com" r:id="rId101"/>
    <hyperlink xmlns:r="http://schemas.openxmlformats.org/officeDocument/2006/relationships" ref="H106" display="https://sicm.org.sg" r:id="rId102"/>
    <hyperlink xmlns:r="http://schemas.openxmlformats.org/officeDocument/2006/relationships" ref="H107" display="https://royal-healthcare.com" r:id="rId103"/>
    <hyperlink xmlns:r="http://schemas.openxmlformats.org/officeDocument/2006/relationships" ref="H108" display="https://www.leslietayheart.com.sg" r:id="rId104"/>
    <hyperlink xmlns:r="http://schemas.openxmlformats.org/officeDocument/2006/relationships" ref="H109" display="https://www.theheartspecialistclinic.com" r:id="rId105"/>
    <hyperlink xmlns:r="http://schemas.openxmlformats.org/officeDocument/2006/relationships" ref="H110" display="https://aliveomedical.com" r:id="rId106"/>
    <hyperlink xmlns:r="http://schemas.openxmlformats.org/officeDocument/2006/relationships" ref="H111" display="https://www.tsbclinic.com" r:id="rId107"/>
    <hyperlink xmlns:r="http://schemas.openxmlformats.org/officeDocument/2006/relationships" ref="H112" display="https://novenamedicalcenter.com/our-clinics/rosalind-chong-clinsurg-for-women/" r:id="rId108"/>
    <hyperlink xmlns:r="http://schemas.openxmlformats.org/officeDocument/2006/relationships" ref="H113" display="https://novenamedicalcenter.com/our-clinics/united-specialist-centre/" r:id="rId109"/>
    <hyperlink xmlns:r="http://schemas.openxmlformats.org/officeDocument/2006/relationships" ref="H114" display="https://www.memc.com.sg/clinic/the-tanglin-clinic-pte-ltd/" r:id="rId110"/>
    <hyperlink xmlns:r="http://schemas.openxmlformats.org/officeDocument/2006/relationships" ref="H115" display="https://novenamedicalcenter.com/our-clinics/thomson-diagnostic-ultrasound-centre/" r:id="rId111"/>
    <hyperlink xmlns:r="http://schemas.openxmlformats.org/officeDocument/2006/relationships" ref="H116" display="https://www.centralclinic.com.sg" r:id="rId112"/>
    <hyperlink xmlns:r="http://schemas.openxmlformats.org/officeDocument/2006/relationships" ref="H117" display="https://www.unihealthclinic.sg" r:id="rId113"/>
    <hyperlink xmlns:r="http://schemas.openxmlformats.org/officeDocument/2006/relationships" ref="H118" display="https://beaconmedical.com.sg" r:id="rId114"/>
    <hyperlink xmlns:r="http://schemas.openxmlformats.org/officeDocument/2006/relationships" ref="H119" display="https://bethesdamedical.com.sg" r:id="rId115"/>
    <hyperlink xmlns:r="http://schemas.openxmlformats.org/officeDocument/2006/relationships" ref="H120" display="https://phoenixmedical.sg" r:id="rId116"/>
    <hyperlink xmlns:r="http://schemas.openxmlformats.org/officeDocument/2006/relationships" ref="H121" display="https://www.healthscreeningcentre.sg" r:id="rId117"/>
    <hyperlink xmlns:r="http://schemas.openxmlformats.org/officeDocument/2006/relationships" ref="H122" display="https://anmedical.com.sg" r:id="rId118"/>
    <hyperlink xmlns:r="http://schemas.openxmlformats.org/officeDocument/2006/relationships" ref="H123" display="https://www.everhealth.com.sg" r:id="rId119"/>
    <hyperlink xmlns:r="http://schemas.openxmlformats.org/officeDocument/2006/relationships" ref="H124" display="https://greenhealthmedical.sg" r:id="rId120"/>
    <hyperlink xmlns:r="http://schemas.openxmlformats.org/officeDocument/2006/relationships" ref="H125" display="https://www.nuffieldmedical.com.sg" r:id="rId121"/>
    <hyperlink xmlns:r="http://schemas.openxmlformats.org/officeDocument/2006/relationships" ref="H126" display="https://regismedical.com" r:id="rId122"/>
    <hyperlink xmlns:r="http://schemas.openxmlformats.org/officeDocument/2006/relationships" ref="H127" display="https://www.thedownstairsclinic.com" r:id="rId123"/>
    <hyperlink xmlns:r="http://schemas.openxmlformats.org/officeDocument/2006/relationships" ref="H128" display="https://www.1doc.sg" r:id="rId124"/>
    <hyperlink xmlns:r="http://schemas.openxmlformats.org/officeDocument/2006/relationships" ref="H129" display="https://www.onedoctors.com.sg" r:id="rId125"/>
    <hyperlink xmlns:r="http://schemas.openxmlformats.org/officeDocument/2006/relationships" ref="H130" display="https://pinnaclefamilyclinic.com.sg" r:id="rId126"/>
    <hyperlink xmlns:r="http://schemas.openxmlformats.org/officeDocument/2006/relationships" ref="H131" display="https://drplus.com.sg" r:id="rId127"/>
    <hyperlink xmlns:r="http://schemas.openxmlformats.org/officeDocument/2006/relationships" ref="H132" display="https://www.japan-green.com.sg" r:id="rId128"/>
    <hyperlink xmlns:r="http://schemas.openxmlformats.org/officeDocument/2006/relationships" ref="H133" display="https://kidsclinic.sg" r:id="rId129"/>
    <hyperlink xmlns:r="http://schemas.openxmlformats.org/officeDocument/2006/relationships" ref="H134" display="https://novi-health.com" r:id="rId130"/>
    <hyperlink xmlns:r="http://schemas.openxmlformats.org/officeDocument/2006/relationships" ref="H135" display="https://www.inflexionhealth.com.sg" r:id="rId131"/>
    <hyperlink xmlns:r="http://schemas.openxmlformats.org/officeDocument/2006/relationships" ref="H136" display="https://babystepsmedical.sg" r:id="rId132"/>
    <hyperlink xmlns:r="http://schemas.openxmlformats.org/officeDocument/2006/relationships" ref="H137" display="https://classpcn.sg" r:id="rId133"/>
    <hyperlink xmlns:r="http://schemas.openxmlformats.org/officeDocument/2006/relationships" ref="H138" display="https://www.advantagemedical.sg" r:id="rId134"/>
    <hyperlink xmlns:r="http://schemas.openxmlformats.org/officeDocument/2006/relationships" ref="H139" display="https://alliancemedicalcentre.com.sg" r:id="rId135"/>
    <hyperlink xmlns:r="http://schemas.openxmlformats.org/officeDocument/2006/relationships" ref="H140" display="https://www.alexandrafamilyclinic.com" r:id="rId136"/>
    <hyperlink xmlns:r="http://schemas.openxmlformats.org/officeDocument/2006/relationships" ref="H141" display="https://atlasclinic.com.sg" r:id="rId137"/>
    <hyperlink xmlns:r="http://schemas.openxmlformats.org/officeDocument/2006/relationships" ref="H142" display="https://belfieldmedical.sg" r:id="rId138"/>
    <hyperlink xmlns:r="http://schemas.openxmlformats.org/officeDocument/2006/relationships" ref="H143" display="https://belief.sg" r:id="rId139"/>
    <hyperlink xmlns:r="http://schemas.openxmlformats.org/officeDocument/2006/relationships" ref="H144" display="https://www.boeyhollandv.com" r:id="rId140"/>
    <hyperlink xmlns:r="http://schemas.openxmlformats.org/officeDocument/2006/relationships" ref="H145" display="https://www.changclinicandsurgery.com" r:id="rId141"/>
    <hyperlink xmlns:r="http://schemas.openxmlformats.org/officeDocument/2006/relationships" ref="H146" display="https://crossroadsfamilyclinic.com.sg" r:id="rId142"/>
    <hyperlink xmlns:r="http://schemas.openxmlformats.org/officeDocument/2006/relationships" ref="H147" display="https://www.doctorsclinicandsurgery.com" r:id="rId143"/>
    <hyperlink xmlns:r="http://schemas.openxmlformats.org/officeDocument/2006/relationships" ref="H148" display="https://www.drchuafc.com.sg" r:id="rId144"/>
    <hyperlink xmlns:r="http://schemas.openxmlformats.org/officeDocument/2006/relationships" ref="H149" display="https://ehajurong.com" r:id="rId145"/>
    <hyperlink xmlns:r="http://schemas.openxmlformats.org/officeDocument/2006/relationships" ref="H150" display="https://elyonclinic.com.sg" r:id="rId146"/>
    <hyperlink xmlns:r="http://schemas.openxmlformats.org/officeDocument/2006/relationships" ref="H151" display="https://www.familycareclinic.sg" r:id="rId147"/>
    <hyperlink xmlns:r="http://schemas.openxmlformats.org/officeDocument/2006/relationships" ref="H152" display="https://heartlandfamilyclinic.sg" r:id="rId148"/>
    <hyperlink xmlns:r="http://schemas.openxmlformats.org/officeDocument/2006/relationships" ref="H153" display="https://www.khfmc.com.sg" r:id="rId149"/>
    <hyperlink xmlns:r="http://schemas.openxmlformats.org/officeDocument/2006/relationships" ref="H154" display="https://www.kensingtonfamilyclinic.com" r:id="rId150"/>
    <hyperlink xmlns:r="http://schemas.openxmlformats.org/officeDocument/2006/relationships" ref="H155" display="https://www.medihealthcareclinic.com" r:id="rId151"/>
    <hyperlink xmlns:r="http://schemas.openxmlformats.org/officeDocument/2006/relationships" ref="H156" display="https://www.medihealth.sg" r:id="rId152"/>
    <hyperlink xmlns:r="http://schemas.openxmlformats.org/officeDocument/2006/relationships" ref="H157" display="https://mintmedicalcentre.sg" r:id="rId153"/>
    <hyperlink xmlns:r="http://schemas.openxmlformats.org/officeDocument/2006/relationships" ref="H158" display="https://www.oaklifefamilyclinic.com.sg" r:id="rId154"/>
    <hyperlink xmlns:r="http://schemas.openxmlformats.org/officeDocument/2006/relationships" ref="H159" display="https://www.oglmedical.com" r:id="rId155"/>
    <hyperlink xmlns:r="http://schemas.openxmlformats.org/officeDocument/2006/relationships" ref="H160" display="https://panoclinic.sg" r:id="rId156"/>
    <hyperlink xmlns:r="http://schemas.openxmlformats.org/officeDocument/2006/relationships" ref="H161" display="https://pillayfamilyclinic.com.sg" r:id="rId157"/>
    <hyperlink xmlns:r="http://schemas.openxmlformats.org/officeDocument/2006/relationships" ref="H162" display="https://www.procaregp.com.sg" r:id="rId158"/>
    <hyperlink xmlns:r="http://schemas.openxmlformats.org/officeDocument/2006/relationships" ref="H163" display="https://www.riversagefamilyclinic.com" r:id="rId159"/>
    <hyperlink xmlns:r="http://schemas.openxmlformats.org/officeDocument/2006/relationships" ref="H164" display="https://straitsclinic.sg" r:id="rId160"/>
    <hyperlink xmlns:r="http://schemas.openxmlformats.org/officeDocument/2006/relationships" ref="H165" display="https://familydoctor.sg" r:id="rId161"/>
    <hyperlink xmlns:r="http://schemas.openxmlformats.org/officeDocument/2006/relationships" ref="H166" display="https://www.thefamilywellnessclinic-sg.com" r:id="rId162"/>
    <hyperlink xmlns:r="http://schemas.openxmlformats.org/officeDocument/2006/relationships" ref="H167" display="https://www.yarramedical.com.sg" r:id="rId163"/>
    <hyperlink xmlns:r="http://schemas.openxmlformats.org/officeDocument/2006/relationships" ref="H168" display="https://punggolgp.com" r:id="rId164"/>
    <hyperlink xmlns:r="http://schemas.openxmlformats.org/officeDocument/2006/relationships" ref="H169" display="https://www.acumed.com.sg" r:id="rId165"/>
    <hyperlink xmlns:r="http://schemas.openxmlformats.org/officeDocument/2006/relationships" ref="H170" display="https://www.districtfamilyclinics.com" r:id="rId166"/>
    <hyperlink xmlns:r="http://schemas.openxmlformats.org/officeDocument/2006/relationships" ref="H171" display="https://www.faircaremedical.com" r:id="rId167"/>
    <hyperlink xmlns:r="http://schemas.openxmlformats.org/officeDocument/2006/relationships" ref="H172" display="https://healthwerkz.com" r:id="rId168"/>
    <hyperlink xmlns:r="http://schemas.openxmlformats.org/officeDocument/2006/relationships" ref="H173" display="https://islandfamilyclinic.com" r:id="rId169"/>
    <hyperlink xmlns:r="http://schemas.openxmlformats.org/officeDocument/2006/relationships" ref="H174" display="https://keystonemedical.com.sg" r:id="rId170"/>
    <hyperlink xmlns:r="http://schemas.openxmlformats.org/officeDocument/2006/relationships" ref="H175" display="https://www.kindredfamilyclinic.com.sg" r:id="rId171"/>
    <hyperlink xmlns:r="http://schemas.openxmlformats.org/officeDocument/2006/relationships" ref="H176" display="https://www.mdfamilyclinic.sg" r:id="rId172"/>
    <hyperlink xmlns:r="http://schemas.openxmlformats.org/officeDocument/2006/relationships" ref="H177" display="https://mydoctorsg.com" r:id="rId173"/>
    <hyperlink xmlns:r="http://schemas.openxmlformats.org/officeDocument/2006/relationships" ref="H178" display="https://www.ymedicalwellness.com" r:id="rId174"/>
    <hyperlink xmlns:r="http://schemas.openxmlformats.org/officeDocument/2006/relationships" ref="H179" display="https://peakmedicalsg.com" r:id="rId175"/>
    <hyperlink xmlns:r="http://schemas.openxmlformats.org/officeDocument/2006/relationships" ref="H180" display="https://trucaremedical.com.sg" r:id="rId176"/>
    <hyperlink xmlns:r="http://schemas.openxmlformats.org/officeDocument/2006/relationships" ref="H181" display="https://truecareclinic.sg" r:id="rId177"/>
    <hyperlink xmlns:r="http://schemas.openxmlformats.org/officeDocument/2006/relationships" ref="H182" display="https://www.ultimed.com.sg" r:id="rId178"/>
    <hyperlink xmlns:r="http://schemas.openxmlformats.org/officeDocument/2006/relationships" ref="H183" display="https://www.vitacaremedical.sg" r:id="rId179"/>
    <hyperlink xmlns:r="http://schemas.openxmlformats.org/officeDocument/2006/relationships" ref="H184" display="https://www.imc-healthcare.com" r:id="rId180"/>
    <hyperlink xmlns:r="http://schemas.openxmlformats.org/officeDocument/2006/relationships" ref="H185" display="https://www.nemg.com.sg" r:id="rId181"/>
    <hyperlink xmlns:r="http://schemas.openxmlformats.org/officeDocument/2006/relationships" ref="H186" display="https://www.sata.com.sg" r:id="rId182"/>
    <hyperlink xmlns:r="http://schemas.openxmlformats.org/officeDocument/2006/relationships" ref="H187" display="https://ktmc.sg" r:id="rId183"/>
    <hyperlink xmlns:r="http://schemas.openxmlformats.org/officeDocument/2006/relationships" ref="H188" display="https://www.lionhealth.com.sg" r:id="rId184"/>
    <hyperlink xmlns:r="http://schemas.openxmlformats.org/officeDocument/2006/relationships" ref="H189" display="https://ntuchealth.sg/family-medicine-clinic" r:id="rId185"/>
    <hyperlink xmlns:r="http://schemas.openxmlformats.org/officeDocument/2006/relationships" ref="H190" display="https://www.icarepcn.com" r:id="rId186"/>
    <hyperlink xmlns:r="http://schemas.openxmlformats.org/officeDocument/2006/relationships" ref="H191" display="https://www.canarymedicalsg.com" r:id="rId187"/>
    <hyperlink xmlns:r="http://schemas.openxmlformats.org/officeDocument/2006/relationships" ref="H192" display="https://drjoycepartners.com" r:id="rId188"/>
    <hyperlink xmlns:r="http://schemas.openxmlformats.org/officeDocument/2006/relationships" ref="H193" display="https://healthcareunited-clinic.com" r:id="rId189"/>
    <hyperlink xmlns:r="http://schemas.openxmlformats.org/officeDocument/2006/relationships" ref="H194" display="https://www.neesoonclinic.sg" r:id="rId190"/>
    <hyperlink xmlns:r="http://schemas.openxmlformats.org/officeDocument/2006/relationships" ref="H195" display="https://www.panhealth.com.sg" r:id="rId191"/>
    <hyperlink xmlns:r="http://schemas.openxmlformats.org/officeDocument/2006/relationships" ref="H196" display="http://tanglinmedicalclinic.com" r:id="rId192"/>
    <hyperlink xmlns:r="http://schemas.openxmlformats.org/officeDocument/2006/relationships" ref="H197" display="https://www.chongfamilyclinic.com" r:id="rId193"/>
    <hyperlink xmlns:r="http://schemas.openxmlformats.org/officeDocument/2006/relationships" ref="H198" display="https://www.ehmedical.com.sg" r:id="rId194"/>
    <hyperlink xmlns:r="http://schemas.openxmlformats.org/officeDocument/2006/relationships" ref="H199" display="https://www.eternmedical.com" r:id="rId195"/>
    <hyperlink xmlns:r="http://schemas.openxmlformats.org/officeDocument/2006/relationships" ref="H200" display="https://www.healthmark.com.sg" r:id="rId196"/>
    <hyperlink xmlns:r="http://schemas.openxmlformats.org/officeDocument/2006/relationships" ref="H201" display="https://www.prohealth.sg" r:id="rId197"/>
    <hyperlink xmlns:r="http://schemas.openxmlformats.org/officeDocument/2006/relationships" ref="H202" display="https://www.icarepcn.com/east" r:id="rId198"/>
    <hyperlink xmlns:r="http://schemas.openxmlformats.org/officeDocument/2006/relationships" ref="H203" display="https://www.icarepcn.com/east" r:id="rId199"/>
    <hyperlink xmlns:r="http://schemas.openxmlformats.org/officeDocument/2006/relationships" ref="H204" display="https://www.gpplus.coop/gp-plus-service-network-public" r:id="rId200"/>
    <hyperlink xmlns:r="http://schemas.openxmlformats.org/officeDocument/2006/relationships" ref="H205" display="https://www.gpplus.coop/gp-plus-service-network-public" r:id="rId201"/>
    <hyperlink xmlns:r="http://schemas.openxmlformats.org/officeDocument/2006/relationships" ref="H206" display="https://www.gpplus.coop/gp-plus-service-network-public" r:id="rId202"/>
    <hyperlink xmlns:r="http://schemas.openxmlformats.org/officeDocument/2006/relationships" ref="H207" display="https://www.gpplus.coop/gp-plus-service-network-public" r:id="rId203"/>
    <hyperlink xmlns:r="http://schemas.openxmlformats.org/officeDocument/2006/relationships" ref="H208" display="https://www.gpplus.coop/gp-plus-service-network-public" r:id="rId204"/>
    <hyperlink xmlns:r="http://schemas.openxmlformats.org/officeDocument/2006/relationships" ref="H209" display="https://www.gpplus.coop/gp-plus-service-network-public" r:id="rId205"/>
    <hyperlink xmlns:r="http://schemas.openxmlformats.org/officeDocument/2006/relationships" ref="H210" display="https://www.gpplus.coop/gp-plus-service-network-public" r:id="rId206"/>
    <hyperlink xmlns:r="http://schemas.openxmlformats.org/officeDocument/2006/relationships" ref="H211" display="https://www.gpplus.coop/gp-plus-service-network-public" r:id="rId207"/>
    <hyperlink xmlns:r="http://schemas.openxmlformats.org/officeDocument/2006/relationships" ref="H212" display="https://www.icarepcn.com/east" r:id="rId208"/>
    <hyperlink xmlns:r="http://schemas.openxmlformats.org/officeDocument/2006/relationships" ref="H213" display="https://www.gpplus.coop/gp-plus-service-network-public" r:id="rId209"/>
    <hyperlink xmlns:r="http://schemas.openxmlformats.org/officeDocument/2006/relationships" ref="H214" display="https://www.gpplus.coop/gp-plus-service-network-public" r:id="rId210"/>
    <hyperlink xmlns:r="http://schemas.openxmlformats.org/officeDocument/2006/relationships" ref="H215" display="https://www.gpplus.coop/gp-plus-service-network-public" r:id="rId211"/>
    <hyperlink xmlns:r="http://schemas.openxmlformats.org/officeDocument/2006/relationships" ref="H216" display="https://www.icarepcn.com/east" r:id="rId212"/>
    <hyperlink xmlns:r="http://schemas.openxmlformats.org/officeDocument/2006/relationships" ref="H217" display="https://mmc.sg" r:id="rId21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A6A6A6"/>
    <outlinePr summaryBelow="1" summaryRight="1"/>
    <pageSetUpPr fitToPage="0"/>
  </sheetPr>
  <dimension ref="A1:F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12" customWidth="1" style="103" min="1" max="1"/>
    <col width="34" customWidth="1" style="103" min="2" max="2"/>
    <col width="30" customWidth="1" style="103" min="3" max="3"/>
    <col width="44" customWidth="1" style="103" min="4" max="4"/>
    <col width="62" customWidth="1" style="103" min="5" max="5"/>
    <col width="52" customWidth="1" style="103" min="6" max="6"/>
  </cols>
  <sheetData>
    <row r="1" ht="17.25" customHeight="1" s="104">
      <c r="A1" s="117" t="inlineStr">
        <is>
          <t>Verification log, Korea and Singapore, v5</t>
        </is>
      </c>
    </row>
    <row r="2" ht="15" customHeight="1" s="104">
      <c r="A2" s="118" t="inlineStr">
        <is>
          <t>Every place where checking the source changed what v4 said. Recorded here rather than quietly overwritten, so the next revision does not repeat the error. All checks dated 15 September 2026.</t>
        </is>
      </c>
    </row>
    <row r="4" ht="27.75" customHeight="1" s="104">
      <c r="A4" s="160" t="inlineStr">
        <is>
          <t>Market</t>
        </is>
      </c>
      <c r="B4" s="160" t="inlineStr">
        <is>
          <t>Company or item</t>
        </is>
      </c>
      <c r="C4" s="160" t="inlineStr">
        <is>
          <t>Decision in v5</t>
        </is>
      </c>
      <c r="D4" s="160" t="inlineStr">
        <is>
          <t>What v4 said</t>
        </is>
      </c>
      <c r="E4" s="160" t="inlineStr">
        <is>
          <t>What verification found</t>
        </is>
      </c>
      <c r="F4" s="160" t="inlineStr">
        <is>
          <t>What to do about it</t>
        </is>
      </c>
    </row>
    <row r="5" ht="34.5" customHeight="1" s="104">
      <c r="A5" s="161" t="inlineStr">
        <is>
          <t>KOREA</t>
        </is>
      </c>
      <c r="B5" s="162" t="inlineStr">
        <is>
          <t>Changwoo Trading 창우 (창우통상)</t>
        </is>
      </c>
      <c r="C5" s="214" t="inlineStr">
        <is>
          <t>REMOVED from the dealer list</t>
        </is>
      </c>
      <c r="D5" s="161" t="inlineStr">
        <is>
          <t>v4 row 57 described it as 'Medical device import &amp; distribution', Tier 3, phone +82-2-782-9056.</t>
        </is>
      </c>
      <c r="E5" s="161" t="inlineStr">
        <is>
          <t>Opened changwooinc.com on 15 Sep 2026. (주)창우통상 is an RF, microwave, mmWave and THz solutions provider founded 1989, serving aerospace, defence, semiconductor, 5G and quantum computing. It is not a medical device company and never was.</t>
        </is>
      </c>
      <c r="F5" s="161" t="inlineStr">
        <is>
          <t>Deleted from the Korea tab. Do not reinstate.</t>
        </is>
      </c>
    </row>
    <row r="6" ht="21.75" customHeight="1" s="104">
      <c r="A6" s="161" t="inlineStr">
        <is>
          <t>KOREA</t>
        </is>
      </c>
      <c r="B6" s="162" t="inlineStr">
        <is>
          <t>Asian Medical Systems 아시안메디칼시스템</t>
        </is>
      </c>
      <c r="C6" s="215" t="inlineStr">
        <is>
          <t>Kept at Tier 3, new warning added</t>
        </is>
      </c>
      <c r="D6" s="161" t="inlineStr">
        <is>
          <t>v4 recorded a verified site at welcomeams.com and phone +82-2-325-6080.</t>
        </is>
      </c>
      <c r="E6" s="161" t="inlineStr">
        <is>
          <t>On 15 Sep 2026 welcomeams.com resolved but redirected to a bare IP address (188.253.121.66) with no company content.</t>
        </is>
      </c>
      <c r="F6" s="161" t="inlineStr">
        <is>
          <t>Confidence set to D. Confirm the company still trades before contacting.</t>
        </is>
      </c>
    </row>
    <row r="7" ht="34.5" customHeight="1" s="104">
      <c r="A7" s="161" t="inlineStr">
        <is>
          <t>KOREA</t>
        </is>
      </c>
      <c r="B7" s="162" t="inlineStr">
        <is>
          <t>Bumyang Medical 범양메디칼</t>
        </is>
      </c>
      <c r="C7" s="216" t="inlineStr">
        <is>
          <t>Substance corrected, stays Tier 3</t>
        </is>
      </c>
      <c r="D7" s="161" t="inlineStr">
        <is>
          <t>v4 recorded 'Medical system distribution', ultrasound status Unknown.</t>
        </is>
      </c>
      <c r="E7" s="161" t="inlineStr">
        <is>
          <t>Own site opened. They supply radiation protection devices and accessories: X-ray protection, MRI room products, phantoms, patient movers. Representative 신광수, registration 108-81-45159.</t>
        </is>
      </c>
      <c r="F7" s="161" t="inlineStr">
        <is>
          <t>Useful as a shielding contact on installed imaging rooms, not as a dealer.</t>
        </is>
      </c>
    </row>
    <row r="8" ht="21.75" customHeight="1" s="104">
      <c r="A8" s="161" t="inlineStr">
        <is>
          <t>KOREA</t>
        </is>
      </c>
      <c r="B8" s="162" t="inlineStr">
        <is>
          <t>Daeyang Medical 대양의료기</t>
        </is>
      </c>
      <c r="C8" s="216" t="inlineStr">
        <is>
          <t>Substance corrected, stays Tier 3</t>
        </is>
      </c>
      <c r="D8" s="161" t="inlineStr">
        <is>
          <t>v4 recorded 'Maker/distributor in Wonju medtech cluster', ultrasound status Unknown.</t>
        </is>
      </c>
      <c r="E8" s="161" t="inlineStr">
        <is>
          <t>Own site opened. Manufacturer of physiotherapy and aesthetic devices since 1970: hyperthermia, pain relief, rehabilitation, body contouring, skin lifting.</t>
        </is>
      </c>
      <c r="F8" s="161" t="inlineStr">
        <is>
          <t>Wrong buyer for diagnostic imaging.</t>
        </is>
      </c>
    </row>
    <row r="9" ht="21.75" customHeight="1" s="104">
      <c r="A9" s="161" t="inlineStr">
        <is>
          <t>KOREA</t>
        </is>
      </c>
      <c r="B9" s="162" t="inlineStr">
        <is>
          <t>Dow Biomedica 다우바이오메디카</t>
        </is>
      </c>
      <c r="C9" s="216" t="inlineStr">
        <is>
          <t>Substance corrected, stays Tier 3</t>
        </is>
      </c>
      <c r="D9" s="161" t="inlineStr">
        <is>
          <t>v4 recorded 'Biomedical equipment distribution', ultrasound status Unknown.</t>
        </is>
      </c>
      <c r="E9" s="161" t="inlineStr">
        <is>
          <t>Own site opened. In vitro diagnostics commercialisation platform focused on liquid biopsy and minimal residual disease monitoring in oncology.</t>
        </is>
      </c>
      <c r="F9" s="161" t="inlineStr">
        <is>
          <t>Different buyer and different budget from imaging.</t>
        </is>
      </c>
    </row>
    <row r="10" ht="21.75" customHeight="1" s="104">
      <c r="A10" s="161" t="inlineStr">
        <is>
          <t>KOREA</t>
        </is>
      </c>
      <c r="B10" s="162" t="inlineStr">
        <is>
          <t>Doowon Meditec 두원메디텍</t>
        </is>
      </c>
      <c r="C10" s="216" t="inlineStr">
        <is>
          <t>Substance corrected, stays Tier 3</t>
        </is>
      </c>
      <c r="D10" s="161" t="inlineStr">
        <is>
          <t>v4 recorded 'Medical equipment &amp; devices', ultrasound status Unknown.</t>
        </is>
      </c>
      <c r="E10" s="161" t="inlineStr">
        <is>
          <t>Own site opened. Manufacturer of non PVC polyolefin infusion sets and related disposables.</t>
        </is>
      </c>
      <c r="F10" s="161" t="inlineStr">
        <is>
          <t>Not an equipment channel.</t>
        </is>
      </c>
    </row>
    <row r="11" ht="21.75" customHeight="1" s="104">
      <c r="A11" s="161" t="inlineStr">
        <is>
          <t>KOREA</t>
        </is>
      </c>
      <c r="B11" s="162" t="inlineStr">
        <is>
          <t>Synex 사이넥스</t>
        </is>
      </c>
      <c r="C11" s="214" t="inlineStr">
        <is>
          <t>RE-TIERED DOWN, Tier 1 to Tier 2</t>
        </is>
      </c>
      <c r="D11" s="161" t="inlineStr">
        <is>
          <t>v4 carried Synex as a Tier 1 dealer target.</t>
        </is>
      </c>
      <c r="E11" s="161" t="inlineStr">
        <is>
          <t>Own site opened. Synex Consulting provides clinical trials, product approval, quality systems, insurance registration and market research. It is a consultancy, not a distributor.</t>
        </is>
      </c>
      <c r="F11" s="161" t="inlineStr">
        <is>
          <t>Still valuable, but for the MFDS pathway and HIRA reimbursement work, not as a channel. Email inquiry@synex.co.kr recorded.</t>
        </is>
      </c>
    </row>
    <row r="12" ht="21.75" customHeight="1" s="104">
      <c r="A12" s="161" t="inlineStr">
        <is>
          <t>KOREA</t>
        </is>
      </c>
      <c r="B12" s="162" t="inlineStr">
        <is>
          <t>UBcare 유비케어 / GC MediAI 지씨메디아이</t>
        </is>
      </c>
      <c r="C12" s="214" t="inlineStr">
        <is>
          <t>RE-TIERED DOWN, Tier 1 to Tier 2</t>
        </is>
      </c>
      <c r="D12" s="161" t="inlineStr">
        <is>
          <t>v4 carried UBcare as Tier 1: 'Largest clinic EMR network plus device distribution'.</t>
        </is>
      </c>
      <c r="E12" s="161" t="inlineStr">
        <is>
          <t>ubcare.co.kr now redirects to gcmediai.com, a medical artificial intelligence company. The device distribution activity v4 assumed could not be confirmed anywhere.</t>
        </is>
      </c>
      <c r="F12" s="161" t="inlineStr">
        <is>
          <t>Establish which legal entity in the group owns device distribution, if any, before investing time.</t>
        </is>
      </c>
    </row>
    <row r="13" ht="21.75" customHeight="1" s="104">
      <c r="A13" s="161" t="inlineStr">
        <is>
          <t>KOREA</t>
        </is>
      </c>
      <c r="B13" s="162" t="inlineStr">
        <is>
          <t>DRGEM 디알젬</t>
        </is>
      </c>
      <c r="C13" s="215" t="inlineStr">
        <is>
          <t>NEW row, entered at Tier 2 not Tier 1</t>
        </is>
      </c>
      <c r="D13" s="161" t="inlineStr">
        <is>
          <t>Not present in v4. The working assumption was that Korean X-ray makers have no ultrasound.</t>
        </is>
      </c>
      <c r="E13" s="161" t="inlineStr">
        <is>
          <t>Own site opened. DRGEM manufactures its own ultrasound systems, DS20 and DS30, alongside its X-ray range. Its named domestic dealer is Medigem.</t>
        </is>
      </c>
      <c r="F13" s="161" t="inlineStr">
        <is>
          <t>Treated as a complementary range or original equipment conversation, not a distribution appointment. Medigem added separately at Tier 1.</t>
        </is>
      </c>
    </row>
    <row r="14" ht="24" customHeight="1" s="104">
      <c r="A14" s="161" t="inlineStr">
        <is>
          <t>KOREA</t>
        </is>
      </c>
      <c r="B14" s="162" t="inlineStr">
        <is>
          <t>JW Medical JW메디칼</t>
        </is>
      </c>
      <c r="C14" s="216" t="inlineStr">
        <is>
          <t>Tier 1 upheld, approach changed to conflict aware</t>
        </is>
      </c>
      <c r="D14" s="161" t="inlineStr">
        <is>
          <t>v4 recorded 'Yes, imported US' without naming the line.</t>
        </is>
      </c>
      <c r="E14" s="161" t="inlineStr">
        <is>
          <t>Own product page opened and confirms 초음파진단기 in the imported portfolio. Korean trade press confirms Fujifilm Sonosite point of care systems.</t>
        </is>
      </c>
      <c r="F14" s="161" t="inlineStr">
        <is>
          <t>Lead with the cart tier only. Do not pitch SonoEye against their Sonosite line.</t>
        </is>
      </c>
    </row>
    <row r="15" ht="32.25" customHeight="1" s="104">
      <c r="A15" s="161" t="inlineStr">
        <is>
          <t>KOREA</t>
        </is>
      </c>
      <c r="B15" s="162" t="inlineStr">
        <is>
          <t>DAIWHA 대화기기</t>
        </is>
      </c>
      <c r="C15" s="217" t="inlineStr">
        <is>
          <t>UPGRADED Tier 3 to Tier 1, with a correction</t>
        </is>
      </c>
      <c r="D15" s="161" t="inlineStr">
        <is>
          <t>v4 recorded 'No known US line', Tier 3.</t>
        </is>
      </c>
      <c r="E15" s="161" t="inlineStr">
        <is>
          <t>Own site opened. They do carry ultrasonic SURGICAL generators (DUB-100, DU-1S), which is therapy energy, not diagnostic imaging. Full HQ and factory addresses, phones, faxes, CEO and registration number captured.</t>
        </is>
      </c>
      <c r="F15" s="161" t="inlineStr">
        <is>
          <t>State the diagnostic versus surgical distinction in the first sentence or they will assume you compete with their own line.</t>
        </is>
      </c>
    </row>
    <row r="16" ht="21.75" customHeight="1" s="104">
      <c r="A16" s="161" t="inlineStr">
        <is>
          <t>KOREA</t>
        </is>
      </c>
      <c r="B16" s="162" t="inlineStr">
        <is>
          <t>DK Medical Systems DK메디칼시스템</t>
        </is>
      </c>
      <c r="C16" s="214" t="inlineStr">
        <is>
          <t>Tier 1 upheld, confidence downgraded to C</t>
        </is>
      </c>
      <c r="D16" s="161" t="inlineStr">
        <is>
          <t>v4 recorded the contact as 'via website'.</t>
        </is>
      </c>
      <c r="E16" s="161" t="inlineStr">
        <is>
          <t>Site opened 15 Sep 2026. It is live but the landing page renders only a language selector and publishes no contact block.</t>
        </is>
      </c>
      <c r="F16" s="161" t="inlineStr">
        <is>
          <t>'Via website' overstated what is actually there. A phone number has to be found before this row is actionable.</t>
        </is>
      </c>
    </row>
    <row r="17" ht="32.25" customHeight="1" s="104">
      <c r="A17" s="161" t="inlineStr">
        <is>
          <t>KOREA</t>
        </is>
      </c>
      <c r="B17" s="162" t="inlineStr">
        <is>
          <t>Soelim 소림</t>
        </is>
      </c>
      <c r="C17" s="217" t="inlineStr">
        <is>
          <t>UPGRADED Tier 2 to Tier 1</t>
        </is>
      </c>
      <c r="D17" s="161" t="inlineStr">
        <is>
          <t>v4 recorded 'Surgical, orthopedic &amp; hospital equipment distributor', Tier 2.</t>
        </is>
      </c>
      <c r="E17" s="161" t="inlineStr">
        <is>
          <t>Own site opened. Founded 1981. Their own page states they provide registration, reimbursement, sales and marketing and distribution as a full service, which is Korea Licence Holder capability. Address, email and phone read directly.</t>
        </is>
      </c>
      <c r="F17" s="161" t="inlineStr">
        <is>
          <t>Now the strongest single Korean target in the workbook. Contact first.</t>
        </is>
      </c>
    </row>
    <row r="18" ht="24" customHeight="1" s="104">
      <c r="A18" s="161" t="inlineStr">
        <is>
          <t>KOREA</t>
        </is>
      </c>
      <c r="B18" s="162" t="inlineStr">
        <is>
          <t>JPI Healthcare 제이피아이헬스케어</t>
        </is>
      </c>
      <c r="C18" s="217" t="inlineStr">
        <is>
          <t>UPGRADED Tier 2 to Tier 1</t>
        </is>
      </c>
      <c r="D18" s="161" t="inlineStr">
        <is>
          <t>v4 recorded 'Korean X-ray/DR maker with imaging dealer channel', Tier 2.</t>
        </is>
      </c>
      <c r="E18" s="161" t="inlineStr">
        <is>
          <t>Own site opened. They run a declared 트레이딩 (trading) division that distributes partner products, separate from manufacturing. Address and phone read directly.</t>
        </is>
      </c>
      <c r="F18" s="161" t="inlineStr">
        <is>
          <t>Approach the trading division, not the manufacturing side.</t>
        </is>
      </c>
    </row>
    <row r="19" ht="36.75" customHeight="1" s="104">
      <c r="A19" s="161" t="inlineStr">
        <is>
          <t>KOREA</t>
        </is>
      </c>
      <c r="B19" s="162" t="inlineStr">
        <is>
          <t>Herges Healthcare 허지스헬스케어</t>
        </is>
      </c>
      <c r="C19" s="215" t="inlineStr">
        <is>
          <t>NEW row at Tier 2</t>
        </is>
      </c>
      <c r="D19" s="161" t="inlineStr">
        <is>
          <t>Not present in v4.</t>
        </is>
      </c>
      <c r="E19" s="161" t="inlineStr">
        <is>
          <t>Own site opened. Mindray ultrasound 총판 for Korea, runs a clinical ultrasound academy, and holds a group purchase agreement with 대한의원협회 (Korean Association of Clinics). Address, phone, fax and email read directly.</t>
        </is>
      </c>
      <c r="F19" s="161" t="inlineStr">
        <is>
          <t>Direct Mindray conflict, so Tier 2, but the clinic association group purchase channel is the most valuable channel asset found in this research.</t>
        </is>
      </c>
    </row>
    <row r="20" ht="42.75" customHeight="1" s="104">
      <c r="A20" s="161" t="inlineStr">
        <is>
          <t>KOREA</t>
        </is>
      </c>
      <c r="B20" s="162" t="inlineStr">
        <is>
          <t>KMDDA 한국의료기기유통협회</t>
        </is>
      </c>
      <c r="C20" s="215" t="inlineStr">
        <is>
          <t>NEW resource row</t>
        </is>
      </c>
      <c r="D20" s="161" t="inlineStr">
        <is>
          <t>Not present in v4.</t>
        </is>
      </c>
      <c r="E20" s="161" t="inlineStr">
        <is>
          <t>Executive roster page opened 15 Sep 2026. Roughly 80 named executives with their companies, including regional branch chairs for Seoul, Gyeonggi and Incheon, Busan, Ulsan and Gyeongnam, Gwangju and Jeonnam, Daejeon and Chungnam, Chungbuk, Daegu and Gyeongbuk, Jeonbuk, and Gangwon and Jeju.</t>
        </is>
      </c>
      <c r="F20" s="161" t="inlineStr">
        <is>
          <t>Two Tier 1 rows (OS Medical, Gaha Medical) came straight off this roster. Use it to build the regional dealer map.</t>
        </is>
      </c>
    </row>
    <row r="21" ht="45" customHeight="1" s="104">
      <c r="A21" s="161" t="inlineStr">
        <is>
          <t>KOREA</t>
        </is>
      </c>
      <c r="B21" s="174" t="inlineStr">
        <is>
          <t>한의원 (Korean medicine clinic) ultrasound opening</t>
        </is>
      </c>
      <c r="C21" s="215" t="inlineStr">
        <is>
          <t>NEW market finding</t>
        </is>
      </c>
      <c r="D21" s="161" t="inlineStr">
        <is>
          <t>Not present in v4.</t>
        </is>
      </c>
      <c r="E21" s="161" t="inlineStr">
        <is>
          <t>A December 2022 Supreme Court ruling made ultrasound lawful for Korean medicine practitioners. Korean trade press reports roughly 17,700 한의원 clinics now addressable, with entry tier systems selling at around 8 to 9 million won and general radiology systems at 30 to 50 million won.</t>
        </is>
      </c>
      <c r="F21" s="161" t="inlineStr">
        <is>
          <t>That entry band is CHISON's exact price position. Medistream added at Tier 1 as the channel into it.</t>
        </is>
      </c>
    </row>
    <row r="22" ht="32.25" customHeight="1" s="104">
      <c r="A22" s="161" t="inlineStr">
        <is>
          <t>KOREA</t>
        </is>
      </c>
      <c r="B22" s="162" t="inlineStr">
        <is>
          <t>Tier 1 population</t>
        </is>
      </c>
      <c r="C22" s="216" t="inlineStr">
        <is>
          <t>4 rows in v4, 22 rows in v5</t>
        </is>
      </c>
      <c r="D22" s="161" t="inlineStr">
        <is>
          <t>v4 Tier 1 was JW Medical, Synex, DK Medical Systems and UBcare. Two of those four did not survive verification.</t>
        </is>
      </c>
      <c r="E22" s="161" t="inlineStr">
        <is>
          <t>Tier 1 rebuilt: 10 rows contact verified directly off the company's own page, 3 verified partially, 6 with a live site but no published contact block, and 3 MFDS registry importers held at Tier 1 on licence capability alone.</t>
        </is>
      </c>
      <c r="F22" s="161" t="inlineStr">
        <is>
          <t>The confidence column tells you which is which. Work the A rows first.</t>
        </is>
      </c>
    </row>
    <row r="23" ht="21.75" customHeight="1" s="104">
      <c r="A23" s="161" t="inlineStr">
        <is>
          <t>SINGAPORE</t>
        </is>
      </c>
      <c r="B23" s="162" t="inlineStr">
        <is>
          <t>Channel model</t>
        </is>
      </c>
      <c r="C23" s="216" t="inlineStr">
        <is>
          <t>Direct model replaced by dealer model</t>
        </is>
      </c>
      <c r="D23" s="161" t="inlineStr">
        <is>
          <t>v4 treated Singapore as direct: AstraMed holds the HSA licence and invoices the account.</t>
        </is>
      </c>
      <c r="E23" s="161" t="inlineStr">
        <is>
          <t>Per your instruction of 15 Sep 2026, Singapore now goes to market through appointed dealers.</t>
        </is>
      </c>
      <c r="F23" s="161" t="inlineStr">
        <is>
          <t>New Singapore Dealers tab added, 40 rows, 12 at Tier 1. AstraMed keeps the registrant role and the device listing.</t>
        </is>
      </c>
    </row>
    <row r="24" ht="21.75" customHeight="1" s="104">
      <c r="A24" s="161" t="inlineStr">
        <is>
          <t>SINGAPORE</t>
        </is>
      </c>
      <c r="B24" s="162" t="inlineStr">
        <is>
          <t>Singapore End-Users tab</t>
        </is>
      </c>
      <c r="C24" s="216" t="inlineStr">
        <is>
          <t>Purpose changed, content untouched</t>
        </is>
      </c>
      <c r="D24" s="161" t="inlineStr">
        <is>
          <t>61 accounts built as the direct sale target list.</t>
        </is>
      </c>
      <c r="E24" s="161" t="inlineStr">
        <is>
          <t>The model change does not invalidate the account map.</t>
        </is>
      </c>
      <c r="F24" s="161" t="inlineStr">
        <is>
          <t>It is now the pull through list. Use it to show a candidate dealer which named accounts the appointment is worth.</t>
        </is>
      </c>
    </row>
    <row r="25" ht="32.25" customHeight="1" s="104">
      <c r="A25" s="161" t="inlineStr">
        <is>
          <t>SINGAPORE</t>
        </is>
      </c>
      <c r="B25" s="162" t="inlineStr">
        <is>
          <t>Scanmed Technology (S)</t>
        </is>
      </c>
      <c r="C25" s="216" t="inlineStr">
        <is>
          <t>Entered at Tier 2, not Tier 1</t>
        </is>
      </c>
      <c r="D25" s="161" t="inlineStr">
        <is>
          <t>New row.</t>
        </is>
      </c>
      <c r="E25" s="161" t="inlineStr">
        <is>
          <t>Own site opened. They distribute diagnostic ultrasound across general imaging, women's health, cardiovascular, veterinary and point of care, and Samsung appears in their principal list.</t>
        </is>
      </c>
      <c r="F25" s="161" t="inlineStr">
        <is>
          <t>Best imaging channel in Singapore but a direct Samsung Medison conflict. Ask whether the agreement is exclusive before pitching anything.</t>
        </is>
      </c>
    </row>
    <row r="26" ht="32.25" customHeight="1" s="104">
      <c r="A26" s="161" t="inlineStr">
        <is>
          <t>SINGAPORE</t>
        </is>
      </c>
      <c r="B26" s="162" t="inlineStr">
        <is>
          <t>Asiateck</t>
        </is>
      </c>
      <c r="C26" s="216" t="inlineStr">
        <is>
          <t>Legal entity name conflict flagged</t>
        </is>
      </c>
      <c r="D26" s="161" t="inlineStr">
        <is>
          <t>New row.</t>
        </is>
      </c>
      <c r="E26" s="161" t="inlineStr">
        <is>
          <t>The Singapore MedTech directory lists the phone +65 6841 5683 and asiateck.com.sg under Asiateck Medicare Pte Ltd. A separate supplier directory lists the same phone and website under Asiateck Ind Supplier Pte Ltd.</t>
        </is>
      </c>
      <c r="F26" s="161" t="inlineStr">
        <is>
          <t>Both names recorded rather than one guessed. Confirm the correct legal entity before contracting.</t>
        </is>
      </c>
    </row>
    <row r="27" ht="21.75" customHeight="1" s="104">
      <c r="A27" s="161" t="inlineStr">
        <is>
          <t>SINGAPORE</t>
        </is>
      </c>
      <c r="B27" s="162" t="inlineStr">
        <is>
          <t>Alliance BioMed and AMT Pte Ltd</t>
        </is>
      </c>
      <c r="C27" s="216" t="inlineStr">
        <is>
          <t>Group overlap flagged</t>
        </is>
      </c>
      <c r="D27" s="161" t="inlineStr">
        <is>
          <t>New rows.</t>
        </is>
      </c>
      <c r="E27" s="161" t="inlineStr">
        <is>
          <t>Both are listed in the Singapore MedTech directory against the same phone number, +65 6865 5700. Alliance BioMed is stated to be wholly owned by Advanced MedTech Holdings.</t>
        </is>
      </c>
      <c r="F27" s="161" t="inlineStr">
        <is>
          <t>Ask which entity should own the conversation rather than approaching both blind.</t>
        </is>
      </c>
    </row>
    <row r="28" ht="21.75" customHeight="1" s="104">
      <c r="A28" s="161" t="inlineStr">
        <is>
          <t>SINGAPORE</t>
        </is>
      </c>
      <c r="B28" s="162" t="inlineStr">
        <is>
          <t>SPD Scientific Pte Ltd</t>
        </is>
      </c>
      <c r="C28" s="216" t="inlineStr">
        <is>
          <t>Relationship disclosure recorded</t>
        </is>
      </c>
      <c r="D28" s="161" t="inlineStr">
        <is>
          <t>New row.</t>
        </is>
      </c>
      <c r="E28" s="161" t="inlineStr">
        <is>
          <t>The Singapore MedTech directory lists SPD Scientific under the biomediaholdings.com website. Biomedia Holdings is Casper's former employer group.</t>
        </is>
      </c>
      <c r="F28" s="161" t="inlineStr">
        <is>
          <t>Raise the relationship with CHISON management before approaching, not after. No outreach email written for this row.</t>
        </is>
      </c>
    </row>
    <row r="29" ht="21.75" customHeight="1" s="104">
      <c r="A29" s="161" t="inlineStr">
        <is>
          <t>SINGAPORE</t>
        </is>
      </c>
      <c r="B29" s="162" t="inlineStr">
        <is>
          <t>Sage Healthcare Pte Ltd</t>
        </is>
      </c>
      <c r="C29" s="216" t="inlineStr">
        <is>
          <t>Veterinary cross reference flagged</t>
        </is>
      </c>
      <c r="D29" s="161" t="inlineStr">
        <is>
          <t>New row.</t>
        </is>
      </c>
      <c r="E29" s="161" t="inlineStr">
        <is>
          <t>Own site opened. The centre of gravity is veterinary (Zoetis, iM3, Heska, Alvedia) plus laboratory and clinical supply.</t>
        </is>
      </c>
      <c r="F29" s="161" t="inlineStr">
        <is>
          <t>The larger conversation belongs in the CHISON veterinary target list, not here. Kept at Tier 2 on the human clinical side only.</t>
        </is>
      </c>
    </row>
    <row r="30" ht="42.75" customHeight="1" s="104">
      <c r="A30" s="161" t="inlineStr">
        <is>
          <t>BOTH</t>
        </is>
      </c>
      <c r="B30" s="162" t="inlineStr">
        <is>
          <t>Named individuals</t>
        </is>
      </c>
      <c r="C30" s="216" t="inlineStr">
        <is>
          <t>None verified at any target company</t>
        </is>
      </c>
      <c r="D30" s="161" t="inlineStr">
        <is>
          <t>v4 carried some personal names as leads.</t>
        </is>
      </c>
      <c r="E30" s="161" t="inlineStr">
        <is>
          <t>No individual decision maker has been verified at any company in the Korea or Singapore tabs.</t>
        </is>
      </c>
      <c r="F30" s="161" t="inlineStr">
        <is>
          <t>The only named people in this workbook are association officers read off the public KMDDA roster and chief executives published on company sites. Use the LinkedIn outreach workflow to find real people before you write to a name.</t>
        </is>
      </c>
    </row>
    <row r="31" ht="21.75" customHeight="1" s="104">
      <c r="A31" s="161" t="inlineStr">
        <is>
          <t>BOTH</t>
        </is>
      </c>
      <c r="B31" s="162" t="inlineStr">
        <is>
          <t>'Carries ultrasound: not identified'</t>
        </is>
      </c>
      <c r="C31" s="216" t="inlineStr">
        <is>
          <t>Means not found, not absent</t>
        </is>
      </c>
      <c r="D31" s="161" t="inlineStr">
        <is>
          <t>Standing honesty rule.</t>
        </is>
      </c>
      <c r="E31" s="161" t="inlineStr">
        <is>
          <t>Every ultrasound answer in these tabs comes from a published catalogue or principal list. Where a company does not publish its full line card, the cell says so.</t>
        </is>
      </c>
      <c r="F31" s="161" t="inlineStr">
        <is>
          <t>Ask the question on the first call. Do not assume a gap that has not been confirmed.</t>
        </is>
      </c>
    </row>
    <row r="32" ht="32.25" customHeight="1" s="104">
      <c r="A32" s="161" t="inlineStr">
        <is>
          <t>BOTH</t>
        </is>
      </c>
      <c r="B32" s="162" t="inlineStr">
        <is>
          <t>Korea KFDA legacy clearance claim</t>
        </is>
      </c>
      <c r="C32" s="214" t="inlineStr">
        <is>
          <t>Removed from the outreach copy</t>
        </is>
      </c>
      <c r="D32" s="161" t="inlineStr">
        <is>
          <t>The v4 Korean emails stated that Korean KFDA clearance was already in place.</t>
        </is>
      </c>
      <c r="E32" s="161" t="inlineStr">
        <is>
          <t>That claim is still open with CHISON: the legacy KFDA certification status and its current validity are on the list to confirm with Gina.</t>
        </is>
      </c>
      <c r="F32" s="161" t="inlineStr">
        <is>
          <t>The v5 Korean emails say instead that we are putting the importer and licence holder structure in place and will carry the MFDS work. Restore the stronger claim only once Gina confirms it in writing.</t>
        </is>
      </c>
    </row>
    <row r="34" ht="14.25" customHeight="1" s="104">
      <c r="A34" s="112" t="inlineStr">
        <is>
          <t>TAIWAN CHECKS, 6 OCT 2026</t>
        </is>
      </c>
    </row>
    <row r="35" ht="15" customHeight="1" s="104">
      <c r="A35" s="218" t="inlineStr">
        <is>
          <t>TW</t>
        </is>
      </c>
      <c r="B35" s="219" t="inlineStr">
        <is>
          <t>總騰儀器 SOAR</t>
        </is>
      </c>
      <c r="C35" s="218" t="inlineStr">
        <is>
          <t>V12 Tier 1, GE line noted</t>
        </is>
      </c>
      <c r="D35" s="218" t="inlineStr">
        <is>
          <t>uni-soar.com lists GE ultrasound series alongside Fukuda, Dräger, X ray</t>
        </is>
      </c>
      <c r="E35" s="218" t="inlineStr">
        <is>
          <t>Kept Tier 1 for clinic opening channel; email opens with exclusivity question</t>
        </is>
      </c>
    </row>
    <row r="36" ht="15" customHeight="1" s="104">
      <c r="A36" s="218" t="inlineStr">
        <is>
          <t>TW</t>
        </is>
      </c>
      <c r="B36" s="219" t="inlineStr">
        <is>
          <t>派瑞勒生醫 Petrichor</t>
        </is>
      </c>
      <c r="C36" s="218" t="inlineStr">
        <is>
          <t>Website ptpetrichor.com.tw</t>
        </is>
      </c>
      <c r="D36" s="218" t="inlineStr">
        <is>
          <t>Domain redirects to 倍可有限公司 Bei Ke Medcare (beikemd.com.tw)</t>
        </is>
      </c>
      <c r="E36" s="218" t="inlineStr">
        <is>
          <t>Not emailed; confirm which company trades</t>
        </is>
      </c>
    </row>
    <row r="37" ht="14.25" customHeight="1" s="104">
      <c r="A37" s="218" t="inlineStr">
        <is>
          <t>TW</t>
        </is>
      </c>
      <c r="B37" s="218" t="inlineStr">
        <is>
          <t>JML International</t>
        </is>
      </c>
      <c r="C37" s="218" t="inlineStr">
        <is>
          <t>Website jml.com.tw</t>
        </is>
      </c>
      <c r="D37" s="218" t="inlineStr">
        <is>
          <t>Domain does not resolve (DNS error)</t>
        </is>
      </c>
      <c r="E37" s="218" t="inlineStr">
        <is>
          <t>Not emailed</t>
        </is>
      </c>
    </row>
    <row r="38" ht="15" customHeight="1" s="104">
      <c r="A38" s="218" t="inlineStr">
        <is>
          <t>TW</t>
        </is>
      </c>
      <c r="B38" s="219" t="inlineStr">
        <is>
          <t>元利儀器 Yuan Li</t>
        </is>
      </c>
      <c r="C38" s="218" t="inlineStr">
        <is>
          <t>Medical device dealer</t>
        </is>
      </c>
      <c r="D38" s="218" t="inlineStr">
        <is>
          <t>yuanli.com.tw is a microscopy and industrial instrument supplier</t>
        </is>
      </c>
      <c r="E38" s="218" t="inlineStr">
        <is>
          <t>Not emailed; low human ultrasound fit</t>
        </is>
      </c>
    </row>
    <row r="39" ht="15" customHeight="1" s="104">
      <c r="A39" s="218" t="inlineStr">
        <is>
          <t>TW</t>
        </is>
      </c>
      <c r="B39" s="219" t="inlineStr">
        <is>
          <t>愛樺企業 Best Digital</t>
        </is>
      </c>
      <c r="C39" s="218" t="inlineStr">
        <is>
          <t>Website bestdigital.com.tw</t>
        </is>
      </c>
      <c r="D39" s="218" t="inlineStr">
        <is>
          <t>TCMICA directory lists bestimage.com.tw, X ray equipment, amy@bestimage.com.tw</t>
        </is>
      </c>
      <c r="E39" s="218" t="inlineStr">
        <is>
          <t>Emailed at directory address</t>
        </is>
      </c>
    </row>
    <row r="40" ht="15" customHeight="1" s="104">
      <c r="A40" s="218" t="inlineStr">
        <is>
          <t>TW</t>
        </is>
      </c>
      <c r="B40" s="219" t="inlineStr">
        <is>
          <t>上鉅實業 Sumtage</t>
        </is>
      </c>
      <c r="C40" s="218" t="inlineStr">
        <is>
          <t>SuperSonic Imagine distributor</t>
        </is>
      </c>
      <c r="D40" s="218" t="inlineStr">
        <is>
          <t>Site also lists Hologic mammography and Horizon DXA; tphq@sumtage.com.tw</t>
        </is>
      </c>
      <c r="E40" s="218" t="inlineStr">
        <is>
          <t>Emailed with portable complement pitch</t>
        </is>
      </c>
    </row>
    <row r="41" ht="14.25" customHeight="1" s="104">
      <c r="A41" s="218" t="inlineStr">
        <is>
          <t>TW</t>
        </is>
      </c>
      <c r="B41" s="218" t="inlineStr">
        <is>
          <t>BioCare Corporation</t>
        </is>
      </c>
      <c r="C41" s="218" t="inlineStr">
        <is>
          <t>Dealer, Tier 3</t>
        </is>
      </c>
      <c r="D41" s="218" t="inlineStr">
        <is>
          <t>biocare.com.tw is a medical device manufacturing facility</t>
        </is>
      </c>
      <c r="E41" s="218" t="inlineStr">
        <is>
          <t>Treat as MFR, not emailed</t>
        </is>
      </c>
    </row>
    <row r="42" ht="14.25" customHeight="1" s="104">
      <c r="A42" s="218" t="inlineStr">
        <is>
          <t>SINGAPORE</t>
        </is>
      </c>
      <c r="B42" s="218" t="inlineStr">
        <is>
          <t>APP Systems Services</t>
        </is>
      </c>
      <c r="C42" s="218" t="inlineStr">
        <is>
          <t>EXCLUDED in v16</t>
        </is>
      </c>
      <c r="D42" s="218" t="inlineStr">
        <is>
          <t>v15 row 12: healthcare IT and clinical systems integrator, Tier 1</t>
        </is>
      </c>
      <c r="E42" s="218" t="inlineStr">
        <is>
          <t>Own site opened 7 Oct 2026: semiconductor, vacuum, optics, industrial and CBRNe equipment since 1982. No healthcare line.</t>
        </is>
      </c>
      <c r="F42" s="103" t="inlineStr">
        <is>
          <t>Do not email. Row kept as EXCLUDED.</t>
        </is>
      </c>
    </row>
    <row r="43" ht="14.25" customHeight="1" s="104">
      <c r="A43" s="218" t="inlineStr">
        <is>
          <t>SINGAPORE</t>
        </is>
      </c>
      <c r="B43" s="218" t="inlineStr">
        <is>
          <t>Asiateck Medicare / Asiateck Ind Supplier</t>
        </is>
      </c>
      <c r="C43" s="218" t="inlineStr">
        <is>
          <t>EXCLUDED in v16</t>
        </is>
      </c>
      <c r="D43" s="218" t="inlineStr">
        <is>
          <t>v15 row 6: hospital equipment and supplies distributor, Tier 1</t>
        </is>
      </c>
      <c r="E43" s="218" t="inlineStr">
        <is>
          <t>Own site: passenger and goods lifts, stairlifts, Kardex storage, plus patient hoists. Address now 201 Henderson Road.</t>
        </is>
      </c>
      <c r="F43" s="103" t="inlineStr">
        <is>
          <t>Do not email.</t>
        </is>
      </c>
    </row>
    <row r="44" ht="14.25" customHeight="1" s="104">
      <c r="A44" s="218" t="inlineStr">
        <is>
          <t>SINGAPORE</t>
        </is>
      </c>
      <c r="B44" s="218" t="inlineStr">
        <is>
          <t>Advance Triton</t>
        </is>
      </c>
      <c r="C44" s="218" t="inlineStr">
        <is>
          <t>EXCLUDED in v16</t>
        </is>
      </c>
      <c r="D44" s="218" t="inlineStr">
        <is>
          <t>v15 row 22: medical and industrial equipment supplier, Tier 2</t>
        </is>
      </c>
      <c r="E44" s="218" t="inlineStr">
        <is>
          <t>Own site: disposable chef hats, gloves, gowns and bags.</t>
        </is>
      </c>
      <c r="F44" s="103" t="inlineStr">
        <is>
          <t>Do not email.</t>
        </is>
      </c>
    </row>
    <row r="45" ht="14.25" customHeight="1" s="104">
      <c r="A45" s="218" t="inlineStr">
        <is>
          <t>SINGAPORE</t>
        </is>
      </c>
      <c r="B45" s="218" t="inlineStr">
        <is>
          <t>Alliance BioMed</t>
        </is>
      </c>
      <c r="C45" s="218" t="inlineStr">
        <is>
          <t>EXCLUDED in v16</t>
        </is>
      </c>
      <c r="D45" s="218" t="inlineStr">
        <is>
          <t>v15 row 8: diagnostic equipment and supplies, Tier 1</t>
        </is>
      </c>
      <c r="E45" s="218" t="inlineStr">
        <is>
          <t>Own site: COVID test kits, saliva kits, lab automation and contract manufacturing (AMT subsidiary).</t>
        </is>
      </c>
      <c r="F45" s="103" t="inlineStr">
        <is>
          <t>Do not email.</t>
        </is>
      </c>
    </row>
    <row r="46" ht="14.25" customHeight="1" s="104">
      <c r="A46" s="218" t="inlineStr">
        <is>
          <t>SINGAPORE</t>
        </is>
      </c>
      <c r="B46" s="218" t="inlineStr">
        <is>
          <t>Lozon (S)</t>
        </is>
      </c>
      <c r="C46" s="218" t="inlineStr">
        <is>
          <t>Re-tiered 1 to 2</t>
        </is>
      </c>
      <c r="D46" s="218" t="inlineStr">
        <is>
          <t>v15: hospital and clinic supply house, Tier 1</t>
        </is>
      </c>
      <c r="E46" s="218" t="inlineStr">
        <is>
          <t>Own site: consumables and small devices only (intubation, suction, sphygmomanometers, dental). No capital equipment.</t>
        </is>
      </c>
      <c r="F46" s="103" t="inlineStr">
        <is>
          <t>Email at Tier 2.</t>
        </is>
      </c>
    </row>
    <row r="47" ht="14.25" customHeight="1" s="104">
      <c r="A47" s="218" t="inlineStr">
        <is>
          <t>SINGAPORE</t>
        </is>
      </c>
      <c r="B47" s="218" t="inlineStr">
        <is>
          <t>Umedic, Aeras Medical, Absolute MS, Biomed Diagnostics</t>
        </is>
      </c>
      <c r="C47" s="218" t="inlineStr">
        <is>
          <t>Re-tiered 1 to 3</t>
        </is>
      </c>
      <c r="D47" s="218" t="inlineStr">
        <is>
          <t>v15: all four at Tier 1 from the SGMT directory</t>
        </is>
      </c>
      <c r="E47" s="218" t="inlineStr">
        <is>
          <t>Own sites: skincare and supplements (Umedic), diabetes and consumer monitoring (Aeras), aesthetic lasers and HIFU (Absolute MS), allergy and autoimmune IVD with a Malaysian head office (Biomed).</t>
        </is>
      </c>
      <c r="F47" s="103" t="inlineStr">
        <is>
          <t>Email at Tier 3 only.</t>
        </is>
      </c>
    </row>
    <row r="48" ht="14.25" customHeight="1" s="104">
      <c r="A48" s="218" t="inlineStr">
        <is>
          <t>SINGAPORE</t>
        </is>
      </c>
      <c r="B48" s="218" t="inlineStr">
        <is>
          <t>Advanced Medical Systems</t>
        </is>
      </c>
      <c r="C48" s="218" t="inlineStr">
        <is>
          <t>Confirmed Tier 1, segment corrected</t>
        </is>
      </c>
      <c r="D48" s="218" t="inlineStr">
        <is>
          <t>v15: general medical equipment supplier, confidence C</t>
        </is>
      </c>
      <c r="E48" s="218" t="inlineStr">
        <is>
          <t>Own site: radiotherapy (ZAP X, GammaPod), SPECT sentinel node, specimen radiography, Ziostation, robotic surgery. info@amssg.com.</t>
        </is>
      </c>
      <c r="F48" s="103" t="inlineStr">
        <is>
          <t>Lead with SonoMax 9 into their radiology and breast accounts.</t>
        </is>
      </c>
    </row>
    <row r="49" ht="14.25" customHeight="1" s="104">
      <c r="A49" s="218" t="inlineStr">
        <is>
          <t>SINGAPORE</t>
        </is>
      </c>
      <c r="B49" s="218" t="inlineStr">
        <is>
          <t>AsiaMed Healthcare Systems</t>
        </is>
      </c>
      <c r="C49" s="218" t="inlineStr">
        <is>
          <t>Confirmed Tier 1, confidence C to A</t>
        </is>
      </c>
      <c r="D49" s="218" t="inlineStr">
        <is>
          <t>v15: healthcare systems supplier, address 118 Joo Chiat Road</t>
        </is>
      </c>
      <c r="E49" s="218" t="inlineStr">
        <is>
          <t>Own site: interventional radiology and oncology biopsy needles and drainage (AprioMed, INRAD). Address now 16 Kallang Place #07-31.</t>
        </is>
      </c>
      <c r="F49" s="103" t="inlineStr">
        <is>
          <t>Email first wave.</t>
        </is>
      </c>
    </row>
    <row r="50" ht="14.25" customHeight="1" s="104">
      <c r="A50" s="218" t="inlineStr">
        <is>
          <t>SINGAPORE</t>
        </is>
      </c>
      <c r="B50" s="218" t="inlineStr">
        <is>
          <t>AJJ Healthcare Management (AJJ Medtech)</t>
        </is>
      </c>
      <c r="C50" s="218" t="inlineStr">
        <is>
          <t>NEW, VERIFY FIRST</t>
        </is>
      </c>
      <c r="D50" s="218" t="inlineStr">
        <is>
          <t>Not in v15</t>
        </is>
      </c>
      <c r="E50" s="218" t="inlineStr">
        <is>
          <t>HSA register view lists CHISON among its principals; SGX release 14 Aug 2023: owns 70% of Quest Asia Technologies, sole HSA registered Samsung Medison distributor since 2019.</t>
        </is>
      </c>
      <c r="F50" s="103" t="inlineStr">
        <is>
          <t>Ask Judy for the CHISON Singapore history before any contact.</t>
        </is>
      </c>
    </row>
    <row r="51" ht="14.25" customHeight="1" s="104">
      <c r="A51" s="218" t="inlineStr">
        <is>
          <t>SINGAPORE</t>
        </is>
      </c>
      <c r="B51" s="218" t="inlineStr">
        <is>
          <t>Scanmed Technology</t>
        </is>
      </c>
      <c r="C51" s="218" t="inlineStr">
        <is>
          <t>Kept Tier 2, contradiction noted</t>
        </is>
      </c>
      <c r="D51" s="218" t="inlineStr">
        <is>
          <t>v15: carries Samsung ultrasound</t>
        </is>
      </c>
      <c r="E51" s="218" t="inlineStr">
        <is>
          <t>QAT claims sole HSA registered Samsung Medison distribution since 2019.</t>
        </is>
      </c>
      <c r="F51" s="103" t="inlineStr">
        <is>
          <t>Ask Scanmed which Samsung products it still sells.</t>
        </is>
      </c>
    </row>
    <row r="52" ht="14.25" customHeight="1" s="104">
      <c r="A52" s="161" t="inlineStr">
        <is>
          <t>KOREA</t>
        </is>
      </c>
      <c r="B52" s="162" t="inlineStr">
        <is>
          <t>Lee Jung Trading 이정무역</t>
        </is>
      </c>
      <c r="C52" s="214" t="inlineStr">
        <is>
          <t>Upgraded, URL and email added</t>
        </is>
      </c>
      <c r="D52" s="161" t="inlineStr">
        <is>
          <t>v17 row 44: NOT CONFIRMED, no company URL located</t>
        </is>
      </c>
      <c r="E52" s="161" t="inlineStr">
        <is>
          <t>ljtrade.kr is live and prints leejungtrade@naver.com</t>
        </is>
      </c>
      <c r="F52" s="161" t="inlineStr">
        <is>
          <t>Email in the first wave.</t>
        </is>
      </c>
    </row>
    <row r="53" ht="32.8" customHeight="1" s="104">
      <c r="A53" s="161" t="inlineStr">
        <is>
          <t>KOREA</t>
        </is>
      </c>
      <c r="B53" s="162" t="inlineStr">
        <is>
          <t>Pentas Korea, GC Korea, Dongbang Healthdyne, Join Medical, Sogu (Sogoo)</t>
        </is>
      </c>
      <c r="C53" s="214" t="inlineStr">
        <is>
          <t>Upgraded from eMEDI only to a company site</t>
        </is>
      </c>
      <c r="D53" s="161" t="inlineStr">
        <is>
          <t>v17: located only through the MFDS eMEDI importer register, confidence D</t>
        </is>
      </c>
      <c r="E53" s="161" t="inlineStr">
        <is>
          <t>Company sites found (pentaskorea.com, gckorea.co.kr, healthdyne.co.kr, joinmedical.kr, sogoo.co.kr) with emails; Join Medical and Sogoo matched by name, so confirm on the first call</t>
        </is>
      </c>
      <c r="F53" s="161" t="inlineStr">
        <is>
          <t>Email; Pentas, GC Korea and Healthdyne addresses came from search results or third party pages, check before sending.</t>
        </is>
      </c>
    </row>
    <row r="54" ht="32.8" customHeight="1" s="104">
      <c r="A54" s="161" t="inlineStr">
        <is>
          <t>KOREA</t>
        </is>
      </c>
      <c r="B54" s="162" t="inlineStr">
        <is>
          <t>Genoray, DAIWHA, JW Medical, DK Medical Systems, Listem, Mediana, Medistream</t>
        </is>
      </c>
      <c r="C54" s="214" t="inlineStr">
        <is>
          <t>Email added, graded C or D</t>
        </is>
      </c>
      <c r="D54" s="161" t="inlineStr">
        <is>
          <t>v17: Not published, enquiry form only</t>
        </is>
      </c>
      <c r="E54" s="161" t="inlineStr">
        <is>
          <t>Addresses found in search results of the company pages (C) or on third party pages such as trade press and expo listings (D); JW Medical and Medistream addresses are named staff</t>
        </is>
      </c>
      <c r="F54" s="161" t="inlineStr">
        <is>
          <t>Use the enquiry form as well as the email for these.</t>
        </is>
      </c>
    </row>
    <row r="55" ht="22.35" customHeight="1" s="104">
      <c r="A55" s="161" t="inlineStr">
        <is>
          <t>KOREA</t>
        </is>
      </c>
      <c r="B55" s="162" t="inlineStr">
        <is>
          <t>Dasan Medical (Dr.MRO), Gaha Medical, Technomart, Howell, Sewoon, JPI Healthcare</t>
        </is>
      </c>
      <c r="C55" s="214" t="inlineStr">
        <is>
          <t>Email added, confidence A</t>
        </is>
      </c>
      <c r="D55" s="161" t="inlineStr">
        <is>
          <t>v17: Not published</t>
        </is>
      </c>
      <c r="E55" s="161" t="inlineStr">
        <is>
          <t>Address read on the company site on 7 Oct 2026</t>
        </is>
      </c>
      <c r="F55" s="161" t="inlineStr">
        <is>
          <t>Email in the first wave.</t>
        </is>
      </c>
    </row>
    <row r="56" ht="22.35" customHeight="1" s="104">
      <c r="A56" s="161" t="inlineStr">
        <is>
          <t>KOREA</t>
        </is>
      </c>
      <c r="B56" s="162" t="inlineStr">
        <is>
          <t>spherecorp.kr</t>
        </is>
      </c>
      <c r="C56" s="214" t="inlineStr">
        <is>
          <t>Not added</t>
        </is>
      </c>
      <c r="D56" s="161" t="inlineStr">
        <is>
          <t>v17 work notes listed spherecorp.kr as the Clarius distributor</t>
        </is>
      </c>
      <c r="E56" s="161" t="inlineStr">
        <is>
          <t>The site at spherecorp.kr sells aerospace alloys, so the Clarius distributor's real domain is still unknown</t>
        </is>
      </c>
      <c r="F56" s="161" t="inlineStr">
        <is>
          <t>Do not email spherecorp.kr.</t>
        </is>
      </c>
    </row>
    <row r="57" ht="14.25" customHeight="1" s="104">
      <c r="A57" s="161" t="inlineStr">
        <is>
          <t>KOREA</t>
        </is>
      </c>
      <c r="B57" s="162" t="inlineStr">
        <is>
          <t>Pervice Korea, HK T, Tobi Tech</t>
        </is>
      </c>
      <c r="C57" s="214" t="inlineStr">
        <is>
          <t>Not added</t>
        </is>
      </c>
      <c r="D57" s="161" t="inlineStr">
        <is>
          <t>Candidate list</t>
        </is>
      </c>
      <c r="E57" s="161" t="inlineStr">
        <is>
          <t>The only addresses found belonged to news outlets, not the companies</t>
        </is>
      </c>
      <c r="F57" s="161" t="inlineStr">
        <is>
          <t>Leave out unless a company address turns up.</t>
        </is>
      </c>
    </row>
    <row r="58" ht="22.35" customHeight="1" s="104">
      <c r="A58" s="161" t="inlineStr">
        <is>
          <t>KOREA</t>
        </is>
      </c>
      <c r="B58" s="162" t="inlineStr">
        <is>
          <t>RN Healthcare, Withus Care, Yeil Care, Mediplay, Songlim Medical</t>
        </is>
      </c>
      <c r="C58" s="214" t="inlineStr">
        <is>
          <t>Tier 2, competing brand noted</t>
        </is>
      </c>
      <c r="D58" s="161" t="inlineStr">
        <is>
          <t>New</t>
        </is>
      </c>
      <c r="E58" s="161" t="inlineStr">
        <is>
          <t>Their own sites show Mindray, Samsung Medison, Philips, Alpinion and SonoScape lines</t>
        </is>
      </c>
      <c r="F58" s="161" t="inlineStr">
        <is>
          <t>Qualify first; pitch handheld, wireless and vet formats the current brand does not cover.</t>
        </is>
      </c>
    </row>
    <row r="59" ht="14.25" customHeight="1" s="104">
      <c r="A59" s="161" t="inlineStr">
        <is>
          <t>KOREA</t>
        </is>
      </c>
      <c r="B59" s="162" t="inlineStr">
        <is>
          <t>Medisale and INOT</t>
        </is>
      </c>
      <c r="C59" s="214" t="inlineStr">
        <is>
          <t>Merged</t>
        </is>
      </c>
      <c r="D59" s="161" t="inlineStr">
        <is>
          <t>New</t>
        </is>
      </c>
      <c r="E59" s="161" t="inlineStr">
        <is>
          <t>Both sites use medisale@inot-meditech.com</t>
        </is>
      </c>
      <c r="F59" s="161" t="inlineStr">
        <is>
          <t>Kept as one row under INOT.</t>
        </is>
      </c>
    </row>
    <row r="60" ht="22.35" customHeight="1" s="104">
      <c r="A60" s="161" t="inlineStr">
        <is>
          <t>KOREA</t>
        </is>
      </c>
      <c r="B60" s="162" t="inlineStr">
        <is>
          <t>JW Medical, Medigem</t>
        </is>
      </c>
      <c r="C60" s="214" t="inlineStr">
        <is>
          <t>Moved from Tier 1 to Tier 2</t>
        </is>
      </c>
      <c r="D60" s="161" t="inlineStr">
        <is>
          <t>v17: Tier 1 with a note that each already carries an ultrasound line (Sonosite, DRGEM)</t>
        </is>
      </c>
      <c r="E60" s="161" t="inlineStr">
        <is>
          <t>The tier rule puts any dealer with a competing ultrasound line at Tier 2</t>
        </is>
      </c>
      <c r="F60" s="161" t="inlineStr">
        <is>
          <t>Qualify the principal agreement before pitching.</t>
        </is>
      </c>
    </row>
    <row r="61" ht="22.35" customHeight="1" s="104">
      <c r="A61" s="161" t="inlineStr">
        <is>
          <t>KOREA</t>
        </is>
      </c>
      <c r="B61" s="162" t="inlineStr">
        <is>
          <t>Yujin Medical Electronics (유진의료전자)</t>
        </is>
      </c>
      <c r="C61" s="214" t="inlineStr">
        <is>
          <t>Merged with the new Eujin Med-Electronic find</t>
        </is>
      </c>
      <c r="D61" s="161" t="inlineStr">
        <is>
          <t>v17 row 37: eMEDI register only, confidence D</t>
        </is>
      </c>
      <c r="E61" s="161" t="inlineStr">
        <is>
          <t>Same Korean name; company site eujinmed.com prints eujin@eujinmed.com</t>
        </is>
      </c>
      <c r="F61" s="161" t="inlineStr">
        <is>
          <t>One row kept, now with site and email.</t>
        </is>
      </c>
    </row>
    <row r="62" ht="14.25" customHeight="1" s="104">
      <c r="A62" s="161" t="inlineStr">
        <is>
          <t>KOREA</t>
        </is>
      </c>
      <c r="B62" s="162" t="inlineStr">
        <is>
          <t>WithRay</t>
        </is>
      </c>
      <c r="C62" s="214" t="inlineStr">
        <is>
          <t>Email cell cleaned</t>
        </is>
      </c>
      <c r="D62" s="161" t="inlineStr">
        <is>
          <t>v17: sales and technical addresses in one cell</t>
        </is>
      </c>
      <c r="E62" s="161" t="inlineStr">
        <is>
          <t>Sales address kept in the email column, technical address moved to the detail column</t>
        </is>
      </c>
      <c r="F62" s="161" t="inlineStr">
        <is>
          <t>No action.</t>
        </is>
      </c>
    </row>
  </sheetData>
  <autoFilter ref="A4:F3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tabColor rgb="FFA6A6A6"/>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34" customWidth="1" style="103" min="1" max="1"/>
    <col width="12" customWidth="1" style="103" min="2" max="3"/>
    <col width="14" customWidth="1" style="103" min="4" max="4"/>
    <col width="110" customWidth="1" style="103" min="5" max="5"/>
  </cols>
  <sheetData>
    <row r="1" ht="18" customHeight="1" s="104">
      <c r="A1" s="117" t="inlineStr">
        <is>
          <t>Taiwan TFDA Registry — Relevance Changelog (8 corrections)</t>
        </is>
      </c>
    </row>
    <row r="2" ht="14.25" customHeight="1" s="104">
      <c r="A2" s="118" t="inlineStr">
        <is>
          <t>Tier corrections made when each ambiguous manufacturer's actual flagship product was web-verified, rather than trusting the TFDA category code alone. Carried verbatim from CHISON_Taiwan_Dealer_Targets_v2.xlsx. Net effect: Taiwan registry Tier 1 shrank from 12 to 6.</t>
        </is>
      </c>
    </row>
    <row r="4" ht="25.5" customHeight="1" s="104">
      <c r="A4" s="119" t="inlineStr">
        <is>
          <t>Company</t>
        </is>
      </c>
      <c r="B4" s="119" t="inlineStr">
        <is>
          <t>Old Tier</t>
        </is>
      </c>
      <c r="C4" s="119" t="inlineStr">
        <is>
          <t>New Tier</t>
        </is>
      </c>
      <c r="D4" s="119" t="inlineStr">
        <is>
          <t>Direction</t>
        </is>
      </c>
      <c r="E4" s="119" t="inlineStr">
        <is>
          <t>Reason (from web re-verification)</t>
        </is>
      </c>
    </row>
    <row r="5" ht="39.75" customHeight="1" s="104">
      <c r="A5" s="143" t="inlineStr">
        <is>
          <t>嘉文國際事業有限公司</t>
        </is>
      </c>
      <c r="B5" s="121" t="inlineStr">
        <is>
          <t>Tier 1</t>
        </is>
      </c>
      <c r="C5" s="121" t="inlineStr">
        <is>
          <t>Tier 3</t>
        </is>
      </c>
      <c r="D5" s="121" t="inlineStr">
        <is>
          <t>Downgrade</t>
        </is>
      </c>
      <c r="E5" s="121" t="inlineStr">
        <is>
          <t>CORRECTED on re-verification: Chengdu Mediate's flagship (and apparently primary) product is a bladder-volume scanner, not a general-purpose OB/imaging system as first assumed from the P.1560 category alone. Same niche as Verathon/EchoNous bladder-scan players — demoted from Tier 1.</t>
        </is>
      </c>
    </row>
    <row r="6" ht="39.75" customHeight="1" s="104">
      <c r="A6" s="143" t="inlineStr">
        <is>
          <t>德瑪凱股份有限公司</t>
        </is>
      </c>
      <c r="B6" s="121" t="inlineStr">
        <is>
          <t>Tier 1</t>
        </is>
      </c>
      <c r="C6" s="121" t="inlineStr">
        <is>
          <t>Tier 3</t>
        </is>
      </c>
      <c r="D6" s="121" t="inlineStr">
        <is>
          <t>Downgrade</t>
        </is>
      </c>
      <c r="E6" s="121" t="inlineStr">
        <is>
          <t>CORRECTED on re-verification: Caresono's public product catalog is dominated by PadScan bladder scanners (an ODM business), not general cart/portable ultrasound. Demoted from Tier 1 pending confirmation that 德瑪凱 sells a broader Caresono imaging line in Taiwan; still an active, diversifying device distributor worth a lower-priority call.</t>
        </is>
      </c>
    </row>
    <row r="7" ht="39.75" customHeight="1" s="104">
      <c r="A7" s="143" t="inlineStr">
        <is>
          <t>驊晟有限公司</t>
        </is>
      </c>
      <c r="B7" s="121" t="inlineStr">
        <is>
          <t>Tier 1</t>
        </is>
      </c>
      <c r="C7" s="121" t="inlineStr">
        <is>
          <t>Tier 3</t>
        </is>
      </c>
      <c r="D7" s="121" t="inlineStr">
        <is>
          <t>Downgrade</t>
        </is>
      </c>
      <c r="E7" s="121" t="inlineStr">
        <is>
          <t>CORRECTED on re-verification: Edgecare's product is a specialized wearable bladder/hemodynamic-monitoring patch, not a general cart/portable/handheld imaging system. Different clinical workflow and buyer from CHISON's line — low relevance, demoted from Tier 1.</t>
        </is>
      </c>
    </row>
    <row r="8" ht="39.75" customHeight="1" s="104">
      <c r="A8" s="143" t="inlineStr">
        <is>
          <t>貫華藥品有限公司</t>
        </is>
      </c>
      <c r="B8" s="121" t="inlineStr">
        <is>
          <t>Tier 1</t>
        </is>
      </c>
      <c r="C8" s="121" t="inlineStr">
        <is>
          <t>Tier 3</t>
        </is>
      </c>
      <c r="D8" s="121" t="inlineStr">
        <is>
          <t>Downgrade</t>
        </is>
      </c>
      <c r="E8" s="121" t="inlineStr">
        <is>
          <t>CORRECTED on re-verification: Carbon Medtech makes an interventional image-fusion navigation platform for surgery, not a general diagnostic scanner. Different specialty and sales channel (surgical/interventional, not radiology/OB/cardiology) — demoted from Tier 1.</t>
        </is>
      </c>
    </row>
    <row r="9" ht="39.75" customHeight="1" s="104">
      <c r="A9" s="143" t="inlineStr">
        <is>
          <t>鈞豊光學有限公司</t>
        </is>
      </c>
      <c r="B9" s="121" t="inlineStr">
        <is>
          <t>Tier 2</t>
        </is>
      </c>
      <c r="C9" s="121" t="inlineStr">
        <is>
          <t>Tier 3</t>
        </is>
      </c>
      <c r="D9" s="121" t="inlineStr">
        <is>
          <t>Downgrade</t>
        </is>
      </c>
      <c r="E9" s="121" t="inlineStr">
        <is>
          <t>CORRECTED on re-verification: MEDA is a pure ophthalmic-ultrasound specialist (eye-length biometry, not B-mode body imaging) — completely different clinical workflow/customer (ophthalmologists) from CHISON's general imaging line. Demoted from Tier 2; same low-relevance bucket as the other ophthalmic-biometry distributors on this list.</t>
        </is>
      </c>
    </row>
    <row r="10" ht="39.75" customHeight="1" s="104">
      <c r="A10" s="143" t="inlineStr">
        <is>
          <t>達勝有限公司</t>
        </is>
      </c>
      <c r="B10" s="121" t="inlineStr">
        <is>
          <t>Tier 3</t>
        </is>
      </c>
      <c r="C10" s="121" t="inlineStr">
        <is>
          <t>Tier 2</t>
        </is>
      </c>
      <c r="D10" s="121" t="inlineStr">
        <is>
          <t>Upgrade</t>
        </is>
      </c>
      <c r="E10" s="121" t="inlineStr">
        <is>
          <t>CORRECTED on re-verification: SIUI/Shantou Institute is a serious, long-established full-line Chinese ultrasound manufacturer (not a small/basic legacy brand as first assumed) with a genuine veterinary line — a real competing brand worth a proper qualifying conversation, especially on the VET side.</t>
        </is>
      </c>
    </row>
    <row r="11" ht="39.75" customHeight="1" s="104">
      <c r="A11" s="143" t="inlineStr">
        <is>
          <t>上準科技股份有限公司</t>
        </is>
      </c>
      <c r="B11" s="121" t="inlineStr">
        <is>
          <t>Tier 1</t>
        </is>
      </c>
      <c r="C11" s="121" t="inlineStr">
        <is>
          <t>Tier 3</t>
        </is>
      </c>
      <c r="D11" s="121" t="inlineStr">
        <is>
          <t>Downgrade</t>
        </is>
      </c>
      <c r="E11" s="121" t="inlineStr">
        <is>
          <t>CORRECTED on re-verification: JingFang Precision makes needle-guide accessories for other brands' transducers, not ultrasound imaging systems. This importer is an accessories house, not a systems dealer — demoted from Tier 1 to the accessories/long-tail bucket.</t>
        </is>
      </c>
    </row>
    <row r="12" ht="39.75" customHeight="1" s="104">
      <c r="A12" s="143" t="inlineStr">
        <is>
          <t>上岳科技股份有限公司</t>
        </is>
      </c>
      <c r="B12" s="121" t="inlineStr">
        <is>
          <t>Tier 1</t>
        </is>
      </c>
      <c r="C12" s="121" t="inlineStr">
        <is>
          <t>Tier 3</t>
        </is>
      </c>
      <c r="D12" s="121" t="inlineStr">
        <is>
          <t>Downgrade</t>
        </is>
      </c>
      <c r="E12" s="121" t="inlineStr">
        <is>
          <t>Could not independently verify Luckcome's product line/scale; TW registration is specifically an OB fetal monitor, not confirmed general imaging — moved out of Tier 1 pending verification.</t>
        </is>
      </c>
    </row>
  </sheetData>
  <autoFilter ref="A4:E1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tabColor rgb="FFFF99CC"/>
    <outlinePr summaryBelow="1" summaryRight="1"/>
    <pageSetUpPr fitToPage="0"/>
  </sheetPr>
  <dimension ref="A1:H80"/>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6796875" defaultRowHeight="14.25" zeroHeight="0" outlineLevelRow="0"/>
  <cols>
    <col width="34" customWidth="1" style="103" min="1" max="2"/>
    <col width="30" customWidth="1" style="103" min="3" max="4"/>
    <col width="22" customWidth="1" style="103" min="5" max="5"/>
    <col width="40" customWidth="1" style="103" min="6" max="6"/>
    <col width="22" customWidth="1" style="103" min="7" max="7"/>
    <col width="20" customWidth="1" style="103" min="8" max="8"/>
  </cols>
  <sheetData>
    <row r="1" ht="18" customHeight="1" s="104">
      <c r="A1" s="117" t="inlineStr">
        <is>
          <t>Taiwan — REF &amp; Excluded Entities (15)</t>
        </is>
      </c>
    </row>
    <row r="2" ht="14.25" customHeight="1" s="104">
      <c r="A2" s="118" t="inlineStr">
        <is>
          <t>NOT outreach targets. REF = a competitor's own Taiwan subsidiary/branch (their sales arm, not an independent dealer). EXCLUDED = a Taiwan brand owner using a contract factory, i.e. a manufacturer. Listed for transparency so nobody re-adds them later.</t>
        </is>
      </c>
    </row>
    <row r="4" ht="25.5" customHeight="1" s="104">
      <c r="A4" s="119" t="inlineStr">
        <is>
          <t>Company</t>
        </is>
      </c>
      <c r="B4" s="119" t="inlineStr">
        <is>
          <t>Segment / expertise</t>
        </is>
      </c>
      <c r="C4" s="119" t="inlineStr">
        <is>
          <t>Carries ultrasound? (brand / country)</t>
        </is>
      </c>
      <c r="D4" s="119" t="inlineStr">
        <is>
          <t>Location</t>
        </is>
      </c>
      <c r="E4" s="119" t="inlineStr">
        <is>
          <t>Website</t>
        </is>
      </c>
      <c r="F4" s="119" t="inlineStr">
        <is>
          <t>Note</t>
        </is>
      </c>
      <c r="G4" s="119" t="inlineStr">
        <is>
          <t>Status</t>
        </is>
      </c>
      <c r="H4" s="119" t="inlineStr">
        <is>
          <t>Source status</t>
        </is>
      </c>
    </row>
    <row r="5" ht="39.75" customHeight="1" s="104">
      <c r="A5" s="143" t="inlineStr">
        <is>
          <t>台灣飛利浦股份有限公司</t>
        </is>
      </c>
      <c r="B5" s="121" t="inlineStr">
        <is>
          <t>Philips Taiwan — wholly-owned Philips subsidiary</t>
        </is>
      </c>
      <c r="C5" s="121" t="inlineStr">
        <is>
          <t>Philips Ultrasound (US/China mfg)</t>
        </is>
      </c>
      <c r="D5" s="124" t="inlineStr">
        <is>
          <t>臺北市信義區市民大道6段288號10樓之6</t>
        </is>
      </c>
      <c r="E5" s="121" t="inlineStr">
        <is>
          <t>philips.com.tw</t>
        </is>
      </c>
      <c r="F5" s="121" t="inlineStr">
        <is>
          <t>REF — Philips' own Taiwan entity, not an independent dealer.</t>
        </is>
      </c>
      <c r="G5" s="121" t="inlineStr">
        <is>
          <t>REF</t>
        </is>
      </c>
      <c r="H5" s="121" t="inlineStr">
        <is>
          <t>Registry (TFDA)</t>
        </is>
      </c>
    </row>
    <row r="6" ht="39.75" customHeight="1" s="104">
      <c r="A6" s="143" t="inlineStr">
        <is>
          <t>奇異亞洲醫療設備股份有限公司</t>
        </is>
      </c>
      <c r="B6" s="121" t="inlineStr">
        <is>
          <t>GE Healthcare Asia — wholly-owned GE subsidiary</t>
        </is>
      </c>
      <c r="C6" s="121" t="inlineStr">
        <is>
          <t>GE Ultrasound (Korea/Norway/US mfg)</t>
        </is>
      </c>
      <c r="D6" s="124" t="inlineStr">
        <is>
          <t>臺北市中山區民生東路3段8號6樓</t>
        </is>
      </c>
      <c r="E6" s="121" t="inlineStr">
        <is>
          <t>gehealthcare.com</t>
        </is>
      </c>
      <c r="F6" s="121" t="inlineStr">
        <is>
          <t>REF — GE's own regional entity, not an independent dealer.</t>
        </is>
      </c>
      <c r="G6" s="121" t="inlineStr">
        <is>
          <t>REF</t>
        </is>
      </c>
      <c r="H6" s="121" t="inlineStr">
        <is>
          <t>Registry (TFDA)</t>
        </is>
      </c>
    </row>
    <row r="7" ht="39.75" customHeight="1" s="104">
      <c r="A7" s="143" t="inlineStr">
        <is>
          <t>西門子醫療設備股份有限公司</t>
        </is>
      </c>
      <c r="B7" s="121" t="inlineStr">
        <is>
          <t>Siemens Medical Equipment Taiwan — wholly-owned Siemens Healthineers entity</t>
        </is>
      </c>
      <c r="C7" s="121" t="inlineStr">
        <is>
          <t>Siemens ultrasound (US mfg)</t>
        </is>
      </c>
      <c r="D7" s="124" t="inlineStr">
        <is>
          <t>臺北市南港區園區街3號2樓之2</t>
        </is>
      </c>
      <c r="E7" s="121" t="inlineStr">
        <is>
          <t>siemens-healthineers.com</t>
        </is>
      </c>
      <c r="F7" s="121" t="inlineStr">
        <is>
          <t>REF — Siemens' own Taiwan entity, not an independent dealer.</t>
        </is>
      </c>
      <c r="G7" s="121" t="inlineStr">
        <is>
          <t>REF</t>
        </is>
      </c>
      <c r="H7" s="121" t="inlineStr">
        <is>
          <t>Registry (TFDA)</t>
        </is>
      </c>
    </row>
    <row r="8" ht="39.75" customHeight="1" s="104">
      <c r="A8" s="143" t="inlineStr">
        <is>
          <t>台灣雅培醫療器材有限公司</t>
        </is>
      </c>
      <c r="B8" s="121" t="inlineStr">
        <is>
          <t>Abbott Taiwan — wholly-owned Abbott subsidiary</t>
        </is>
      </c>
      <c r="C8" s="121" t="inlineStr">
        <is>
          <t>Abbott / St. Jude / LightLab IVUS-OCT catheters (US/China mfg)</t>
        </is>
      </c>
      <c r="D8" s="124" t="inlineStr">
        <is>
          <t>臺北市內湖區瑞光路407號5樓</t>
        </is>
      </c>
      <c r="E8" s="121" t="inlineStr">
        <is>
          <t>abbott.com</t>
        </is>
      </c>
      <c r="F8" s="121" t="inlineStr">
        <is>
          <t>REF — Abbott's own Taiwan entity; also a different niche (intravascular ultrasound/OCT catheters, not diagnostic imaging systems).</t>
        </is>
      </c>
      <c r="G8" s="121" t="inlineStr">
        <is>
          <t>REF</t>
        </is>
      </c>
      <c r="H8" s="121" t="inlineStr">
        <is>
          <t>Registry (TFDA)</t>
        </is>
      </c>
    </row>
    <row r="9" ht="39.75" customHeight="1" s="104">
      <c r="A9" s="143" t="inlineStr">
        <is>
          <t>富士軟片醫療產品股份有限公司</t>
        </is>
      </c>
      <c r="B9" s="121" t="inlineStr">
        <is>
          <t>Fujifilm Medical Products Taiwan — wholly-owned Fujifilm subsidiary</t>
        </is>
      </c>
      <c r="C9" s="121" t="inlineStr">
        <is>
          <t>Fujifilm/Hitachi ultrasound (Japan mfg)</t>
        </is>
      </c>
      <c r="D9" s="124" t="inlineStr">
        <is>
          <t>臺北市大同區重慶北路2段243號7樓</t>
        </is>
      </c>
      <c r="E9" s="121" t="inlineStr">
        <is>
          <t>fujifilm.com</t>
        </is>
      </c>
      <c r="F9" s="121" t="inlineStr">
        <is>
          <t>REF — Fujifilm's own Taiwan entity, not an independent dealer.</t>
        </is>
      </c>
      <c r="G9" s="121" t="inlineStr">
        <is>
          <t>REF</t>
        </is>
      </c>
      <c r="H9" s="121" t="inlineStr">
        <is>
          <t>Registry (TFDA)</t>
        </is>
      </c>
    </row>
    <row r="10" ht="39.75" customHeight="1" s="104">
      <c r="A10" s="143" t="inlineStr">
        <is>
          <t>荷商波士頓科技有限公司台灣分公司／臺灣分公司</t>
        </is>
      </c>
      <c r="B10" s="121" t="inlineStr">
        <is>
          <t>Boston Scientific Taiwan Branch — wholly-owned branch (2 near-duplicate registry entries)</t>
        </is>
      </c>
      <c r="C10" s="121" t="inlineStr">
        <is>
          <t>Boston Scientific IVUS catheters (US/Costa Rica mfg)</t>
        </is>
      </c>
      <c r="D10" s="124" t="inlineStr">
        <is>
          <t>臺北市南港區經貿一路170號18樓</t>
        </is>
      </c>
      <c r="E10" s="121" t="inlineStr">
        <is>
          <t>bostonscientific.com</t>
        </is>
      </c>
      <c r="F10" s="121" t="inlineStr">
        <is>
          <t>REF — Boston Scientific's own Taiwan branch; different niche (intravascular ultrasound catheters).</t>
        </is>
      </c>
      <c r="G10" s="121" t="inlineStr">
        <is>
          <t>REF</t>
        </is>
      </c>
      <c r="H10" s="121" t="inlineStr">
        <is>
          <t>Registry (TFDA)</t>
        </is>
      </c>
    </row>
    <row r="11" ht="39.75" customHeight="1" s="104">
      <c r="A11" s="143" t="inlineStr">
        <is>
          <t>香港商創立醫療器材有限公司台灣分公司</t>
        </is>
      </c>
      <c r="B11" s="121" t="inlineStr">
        <is>
          <t>Taiwan branch importing ECHOSENS (FR) exclusively — single-brand captive-style structure</t>
        </is>
      </c>
      <c r="C11" s="121" t="inlineStr">
        <is>
          <t>Echosens FibroScan (France) — liver elastography, not B-mode diagnostic imaging</t>
        </is>
      </c>
      <c r="D11" s="124" t="inlineStr">
        <is>
          <t>臺北市大安區光復南路102號6樓A-2</t>
        </is>
      </c>
      <c r="E11" s="121" t="inlineStr">
        <is>
          <t>Not verified</t>
        </is>
      </c>
      <c r="F11" s="121" t="inlineStr">
        <is>
          <t>Single-brand captive import structure for a different technology (transient elastography, not general diagnostic ultrasound) — low product fit.</t>
        </is>
      </c>
      <c r="G11" s="121" t="inlineStr">
        <is>
          <t>REF / different technology</t>
        </is>
      </c>
      <c r="H11" s="121" t="inlineStr">
        <is>
          <t>Registry (TFDA) — verify</t>
        </is>
      </c>
    </row>
    <row r="12" ht="39.75" customHeight="1" s="104">
      <c r="A12" s="143" t="inlineStr">
        <is>
          <t>佳世達科技股份有限公司 (Qisda)</t>
        </is>
      </c>
      <c r="B12" s="121" t="inlineStr">
        <is>
          <t>Taiwan OEM/ODM conglomerate manufacturing its own ultrasound line in-house</t>
        </is>
      </c>
      <c r="C12" s="121" t="inlineStr">
        <is>
          <t>Own-brand (Taiwan factory) — manufacturer, excluded per scope</t>
        </is>
      </c>
      <c r="D12" s="124" t="inlineStr">
        <is>
          <t>桃園市龜山區山頂里山鶯路157號</t>
        </is>
      </c>
      <c r="E12" s="121" t="inlineStr">
        <is>
          <t>qisda.com</t>
        </is>
      </c>
      <c r="F12" s="121" t="inlineStr">
        <is>
          <t>EXCLUDED — manufacturer (own factory), not a channel/dealer prospect.</t>
        </is>
      </c>
      <c r="G12" s="121" t="inlineStr">
        <is>
          <t>EXCLUDED (manufacturer)</t>
        </is>
      </c>
      <c r="H12" s="121" t="inlineStr">
        <is>
          <t>Registry (TFDA)</t>
        </is>
      </c>
    </row>
    <row r="13" ht="39.75" customHeight="1" s="104">
      <c r="A13" s="143" t="inlineStr">
        <is>
          <t>奔騰智慧生醫股份有限公司</t>
        </is>
      </c>
      <c r="B13" s="121" t="inlineStr">
        <is>
          <t>Own-brand ultrasound company using Compal (仁寶電腦工業) as contract manufacturer</t>
        </is>
      </c>
      <c r="C13" s="121" t="inlineStr">
        <is>
          <t>Own-brand (Compal-manufactured) — manufacturer, excluded per scope</t>
        </is>
      </c>
      <c r="D13" s="124" t="inlineStr">
        <is>
          <t>臺北市內湖區瑞光路581之1號</t>
        </is>
      </c>
      <c r="E13" s="121" t="inlineStr">
        <is>
          <t>Not verified</t>
        </is>
      </c>
      <c r="F13" s="121" t="inlineStr">
        <is>
          <t>EXCLUDED — brand owner/manufacturer, not a dealer.</t>
        </is>
      </c>
      <c r="G13" s="121" t="inlineStr">
        <is>
          <t>EXCLUDED (manufacturer)</t>
        </is>
      </c>
      <c r="H13" s="121" t="inlineStr">
        <is>
          <t>Registry (TFDA)</t>
        </is>
      </c>
    </row>
    <row r="14" ht="39.75" customHeight="1" s="104">
      <c r="A14" s="143" t="inlineStr">
        <is>
          <t>神寶醫資股份有限公司</t>
        </is>
      </c>
      <c r="B14" s="121" t="inlineStr">
        <is>
          <t>Own-brand device company using Compal (仁寶電腦工業) as contract manufacturer</t>
        </is>
      </c>
      <c r="C14" s="121" t="inlineStr">
        <is>
          <t>Own-brand (Compal-manufactured) — manufacturer, excluded per scope</t>
        </is>
      </c>
      <c r="D14" s="124" t="inlineStr">
        <is>
          <t>臺北市內湖區瑞光路581之1號(1樓)</t>
        </is>
      </c>
      <c r="E14" s="121" t="inlineStr">
        <is>
          <t>Not verified</t>
        </is>
      </c>
      <c r="F14" s="121" t="inlineStr">
        <is>
          <t>EXCLUDED — brand owner/manufacturer, not a dealer.</t>
        </is>
      </c>
      <c r="G14" s="121" t="inlineStr">
        <is>
          <t>EXCLUDED (manufacturer)</t>
        </is>
      </c>
      <c r="H14" s="121" t="inlineStr">
        <is>
          <t>Registry (TFDA)</t>
        </is>
      </c>
    </row>
    <row r="15" ht="39.75" customHeight="1" s="104">
      <c r="A15" s="143" t="inlineStr">
        <is>
          <t>瑞亞生醫股份有限公司</t>
        </is>
      </c>
      <c r="B15" s="121" t="inlineStr">
        <is>
          <t>Own-brand device company using Taiwan contract factories (慶旺科技)</t>
        </is>
      </c>
      <c r="C15" s="121" t="inlineStr">
        <is>
          <t>Own-brand (Taiwan-manufactured) — manufacturer, excluded per scope</t>
        </is>
      </c>
      <c r="D15" s="124" t="inlineStr">
        <is>
          <t>臺北市內湖區新湖一路87號7樓</t>
        </is>
      </c>
      <c r="E15" s="121" t="inlineStr">
        <is>
          <t>Not verified</t>
        </is>
      </c>
      <c r="F15" s="121" t="inlineStr">
        <is>
          <t>EXCLUDED — brand owner/manufacturer, not a dealer.</t>
        </is>
      </c>
      <c r="G15" s="121" t="inlineStr">
        <is>
          <t>EXCLUDED (manufacturer)</t>
        </is>
      </c>
      <c r="H15" s="121" t="inlineStr">
        <is>
          <t>Registry (TFDA)</t>
        </is>
      </c>
    </row>
    <row r="16" ht="39.75" customHeight="1" s="104">
      <c r="A16" s="143" t="inlineStr">
        <is>
          <t>華碩電腦股份有限公司 (ASUS)</t>
        </is>
      </c>
      <c r="B16" s="121" t="inlineStr">
        <is>
          <t>Own-brand ultrasound venture using Taiwan contract factories (互貴興業/慶旺科技)</t>
        </is>
      </c>
      <c r="C16" s="121" t="inlineStr">
        <is>
          <t>Own-brand (Taiwan-manufactured) — manufacturer, excluded per scope</t>
        </is>
      </c>
      <c r="D16" s="124" t="inlineStr">
        <is>
          <t>臺北市北投區立德路15號</t>
        </is>
      </c>
      <c r="E16" s="121" t="inlineStr">
        <is>
          <t>asus.com</t>
        </is>
      </c>
      <c r="F16" s="121" t="inlineStr">
        <is>
          <t>EXCLUDED — brand owner/manufacturer, not a dealer.</t>
        </is>
      </c>
      <c r="G16" s="121" t="inlineStr">
        <is>
          <t>EXCLUDED (manufacturer)</t>
        </is>
      </c>
      <c r="H16" s="121" t="inlineStr">
        <is>
          <t>Registry (TFDA)</t>
        </is>
      </c>
    </row>
    <row r="17" ht="39.75" customHeight="1" s="104">
      <c r="A17" s="143" t="inlineStr">
        <is>
          <t>超象科技股份有限公司</t>
        </is>
      </c>
      <c r="B17" s="121" t="inlineStr">
        <is>
          <t>Own-brand device company using Taiwan contract factories (互貴興業/慶旺科技)</t>
        </is>
      </c>
      <c r="C17" s="121" t="inlineStr">
        <is>
          <t>Own-brand (Taiwan-manufactured) — manufacturer, excluded per scope</t>
        </is>
      </c>
      <c r="D17" s="124" t="inlineStr">
        <is>
          <t>新北市新店區北新路1段293號6樓之3</t>
        </is>
      </c>
      <c r="E17" s="121" t="inlineStr">
        <is>
          <t>Not verified</t>
        </is>
      </c>
      <c r="F17" s="121" t="inlineStr">
        <is>
          <t>EXCLUDED — brand owner/manufacturer, not a dealer.</t>
        </is>
      </c>
      <c r="G17" s="121" t="inlineStr">
        <is>
          <t>EXCLUDED (manufacturer)</t>
        </is>
      </c>
      <c r="H17" s="121" t="inlineStr">
        <is>
          <t>Registry (TFDA)</t>
        </is>
      </c>
    </row>
    <row r="18" ht="39.75" customHeight="1" s="104">
      <c r="A18" s="143" t="inlineStr">
        <is>
          <t>長庚醫學科技股份有限公司</t>
        </is>
      </c>
      <c r="B18" s="121" t="inlineStr">
        <is>
          <t>Chang Gung Medical Technology — hospital-affiliated in-house tech/manufacturing arm</t>
        </is>
      </c>
      <c r="C18" s="121" t="inlineStr">
        <is>
          <t>Own-brand / own factory (Linkou) — manufacturer, excluded per scope</t>
        </is>
      </c>
      <c r="D18" s="124" t="inlineStr">
        <is>
          <t>桃園市龜山區文化二路11之5號(1樓)</t>
        </is>
      </c>
      <c r="E18" s="121" t="inlineStr">
        <is>
          <t>cgmt.com.tw</t>
        </is>
      </c>
      <c r="F18" s="121" t="inlineStr">
        <is>
          <t>EXCLUDED — hospital-affiliated own-brand/own-factory entity, not an independent dealer.</t>
        </is>
      </c>
      <c r="G18" s="121" t="inlineStr">
        <is>
          <t>EXCLUDED (manufacturer)</t>
        </is>
      </c>
      <c r="H18" s="121" t="inlineStr">
        <is>
          <t>Registry (TFDA)</t>
        </is>
      </c>
    </row>
    <row r="19" ht="39.75" customHeight="1" s="104">
      <c r="A19" s="143" t="inlineStr">
        <is>
          <t>安克生醫股份有限公司</t>
        </is>
      </c>
      <c r="B19" s="121" t="inlineStr">
        <is>
          <t>Distributor; imports Teratech Corp (US) portable ultrasound engine/OEM platform</t>
        </is>
      </c>
      <c r="C19" s="121" t="inlineStr">
        <is>
          <t>Teratech (US) — niche OEM ultrasound platform maker</t>
        </is>
      </c>
      <c r="D19" s="124" t="inlineStr">
        <is>
          <t>臺北市松山區復興北路167號5樓</t>
        </is>
      </c>
      <c r="E19" s="121" t="inlineStr">
        <is>
          <t>No website found — verify</t>
        </is>
      </c>
      <c r="F19" s="121" t="inlineStr">
        <is>
          <t>AmCad BioMed — TPEx-listed (4188) Taiwan brand owner of its OWN AI ultrasound products (安克細偵 Taiwan Excellence award; 即時AI掌超 real-time AI handheld, sold to Jordan's royal medical system; US FDA-cleared sleep-apnoea ultrasound system). It imports the Teratech engine as an OEM COMPONENT for its own device — it is not a dealer. Both the registry file's own exclusion rule (Taiwan brand owners using a contract factory) and CHISON's interest (they compete directly in AI handheld, against SonoEye + SonoAI) put this on the REF &amp; Excluded tab, not at the top of the call list.</t>
        </is>
      </c>
      <c r="G19" s="121" t="inlineStr">
        <is>
          <t>EXCLUDED (manufacturer / competitor)</t>
        </is>
      </c>
      <c r="H19" s="121" t="inlineStr">
        <is>
          <t>TFDA registry + web-verified amcad.com.tw · udn.com/news/story/7241/8794554 · genetinfo.com item 79657 · innoaward.taiwan-healthcare.org</t>
        </is>
      </c>
    </row>
    <row r="21" ht="14.25" customHeight="1" s="104">
      <c r="A21" s="112" t="inlineStr">
        <is>
          <t>TCMICA DIRECTORY MEMBERS LEFT OUT, 6 OCT 2026 (not ultrasound buyers or unusable email)</t>
        </is>
      </c>
    </row>
    <row r="22" ht="15" customHeight="1" s="104">
      <c r="A22" s="219" t="inlineStr">
        <is>
          <t>雙賓美容百貨有限公司</t>
        </is>
      </c>
      <c r="B22" s="219" t="inlineStr">
        <is>
          <t>美容器材</t>
        </is>
      </c>
      <c r="C22" s="218" t="inlineStr">
        <is>
          <t>Not identified</t>
        </is>
      </c>
      <c r="D22" s="218" t="inlineStr">
        <is>
          <t>Taichung</t>
        </is>
      </c>
      <c r="E22" s="218" t="n"/>
      <c r="F22" s="218" t="inlineStr">
        <is>
          <t>Excluded: 美容器材. Email on directory: silvia.cos@livemail.tw</t>
        </is>
      </c>
      <c r="G22" s="218" t="inlineStr">
        <is>
          <t>EXCLUDED</t>
        </is>
      </c>
      <c r="H22" s="218" t="inlineStr">
        <is>
          <t>TCMICA directory</t>
        </is>
      </c>
    </row>
    <row r="23" ht="15" customHeight="1" s="104">
      <c r="A23" s="219" t="inlineStr">
        <is>
          <t>台灣寶蝶股份有限公司</t>
        </is>
      </c>
      <c r="B23" s="219" t="inlineStr">
        <is>
          <t>舞蹈相關產品</t>
        </is>
      </c>
      <c r="C23" s="218" t="inlineStr">
        <is>
          <t>Not identified</t>
        </is>
      </c>
      <c r="D23" s="218" t="inlineStr">
        <is>
          <t>Taichung</t>
        </is>
      </c>
      <c r="E23" s="218" t="n"/>
      <c r="F23" s="218" t="inlineStr">
        <is>
          <t>Excluded: 舞蹈相關產品. Email on directory: brgs@ms22.hinet.net</t>
        </is>
      </c>
      <c r="G23" s="218" t="inlineStr">
        <is>
          <t>EXCLUDED</t>
        </is>
      </c>
      <c r="H23" s="218" t="inlineStr">
        <is>
          <t>TCMICA directory</t>
        </is>
      </c>
    </row>
    <row r="24" ht="15" customHeight="1" s="104">
      <c r="A24" s="219" t="inlineStr">
        <is>
          <t>精華眼鏡行</t>
        </is>
      </c>
      <c r="B24" s="219" t="inlineStr">
        <is>
          <t>隱形眼鏡及藥水</t>
        </is>
      </c>
      <c r="C24" s="218" t="inlineStr">
        <is>
          <t>Not identified</t>
        </is>
      </c>
      <c r="D24" s="218" t="inlineStr">
        <is>
          <t>Taichung</t>
        </is>
      </c>
      <c r="E24" s="218" t="n"/>
      <c r="F24" s="218" t="inlineStr">
        <is>
          <t>Excluded: 隱形眼鏡及藥水. Email on directory: ch1954@ms71.hinet.net</t>
        </is>
      </c>
      <c r="G24" s="218" t="inlineStr">
        <is>
          <t>EXCLUDED</t>
        </is>
      </c>
      <c r="H24" s="218" t="inlineStr">
        <is>
          <t>TCMICA directory</t>
        </is>
      </c>
    </row>
    <row r="25" ht="15" customHeight="1" s="104">
      <c r="A25" s="219" t="inlineStr">
        <is>
          <t>誠毅企業社</t>
        </is>
      </c>
      <c r="B25" s="219" t="inlineStr">
        <is>
          <t>看護支援</t>
        </is>
      </c>
      <c r="C25" s="218" t="inlineStr">
        <is>
          <t>Not identified</t>
        </is>
      </c>
      <c r="D25" s="218" t="inlineStr">
        <is>
          <t>Taichung</t>
        </is>
      </c>
      <c r="E25" s="218" t="n"/>
      <c r="F25" s="218" t="inlineStr">
        <is>
          <t>Excluded: 看護支援. Email on directory: ja22725404@gmail.com</t>
        </is>
      </c>
      <c r="G25" s="218" t="inlineStr">
        <is>
          <t>EXCLUDED</t>
        </is>
      </c>
      <c r="H25" s="218" t="inlineStr">
        <is>
          <t>TCMICA directory</t>
        </is>
      </c>
    </row>
    <row r="26" ht="15" customHeight="1" s="104">
      <c r="A26" s="219" t="inlineStr">
        <is>
          <t>寶倫嬰兒用品有限公司</t>
        </is>
      </c>
      <c r="B26" s="219" t="inlineStr">
        <is>
          <t>婦幼用品</t>
        </is>
      </c>
      <c r="C26" s="218" t="inlineStr">
        <is>
          <t>Not identified</t>
        </is>
      </c>
      <c r="D26" s="218" t="inlineStr">
        <is>
          <t>Taichung</t>
        </is>
      </c>
      <c r="E26" s="218" t="n"/>
      <c r="F26" s="218" t="inlineStr">
        <is>
          <t>Excluded: 婦幼用品. Email on directory: a22085401@yahoo.com.tw</t>
        </is>
      </c>
      <c r="G26" s="218" t="inlineStr">
        <is>
          <t>EXCLUDED</t>
        </is>
      </c>
      <c r="H26" s="218" t="inlineStr">
        <is>
          <t>TCMICA directory</t>
        </is>
      </c>
    </row>
    <row r="27" ht="15" customHeight="1" s="104">
      <c r="A27" s="219" t="inlineStr">
        <is>
          <t>女人我最美購物商城</t>
        </is>
      </c>
      <c r="B27" s="219" t="inlineStr">
        <is>
          <t>網路零售</t>
        </is>
      </c>
      <c r="C27" s="218" t="inlineStr">
        <is>
          <t>Not identified</t>
        </is>
      </c>
      <c r="D27" s="218" t="inlineStr">
        <is>
          <t>Taichung</t>
        </is>
      </c>
      <c r="E27" s="218" t="n"/>
      <c r="F27" s="218" t="inlineStr">
        <is>
          <t>Excluded: 網路零售. Email on directory: happy720622@gmail.com</t>
        </is>
      </c>
      <c r="G27" s="218" t="inlineStr">
        <is>
          <t>EXCLUDED</t>
        </is>
      </c>
      <c r="H27" s="218" t="inlineStr">
        <is>
          <t>TCMICA directory</t>
        </is>
      </c>
    </row>
    <row r="28" ht="15" customHeight="1" s="104">
      <c r="A28" s="219" t="inlineStr">
        <is>
          <t>東洋氣體有限公司</t>
        </is>
      </c>
      <c r="B28" s="219" t="inlineStr">
        <is>
          <t>工業氣體</t>
        </is>
      </c>
      <c r="C28" s="218" t="inlineStr">
        <is>
          <t>Not identified</t>
        </is>
      </c>
      <c r="D28" s="218" t="inlineStr">
        <is>
          <t>Taichung</t>
        </is>
      </c>
      <c r="E28" s="218" t="n"/>
      <c r="F28" s="218" t="inlineStr">
        <is>
          <t>Excluded: 工業氣體. Email on directory: service@toyogas.com.tw</t>
        </is>
      </c>
      <c r="G28" s="218" t="inlineStr">
        <is>
          <t>EXCLUDED</t>
        </is>
      </c>
      <c r="H28" s="218" t="inlineStr">
        <is>
          <t>TCMICA directory</t>
        </is>
      </c>
    </row>
    <row r="29" ht="15" customHeight="1" s="104">
      <c r="A29" s="219" t="inlineStr">
        <is>
          <t>足好有限公司</t>
        </is>
      </c>
      <c r="B29" s="219" t="inlineStr">
        <is>
          <t>健康襪、內衣褲</t>
        </is>
      </c>
      <c r="C29" s="218" t="inlineStr">
        <is>
          <t>Not identified</t>
        </is>
      </c>
      <c r="D29" s="218" t="inlineStr">
        <is>
          <t>Taichung</t>
        </is>
      </c>
      <c r="E29" s="218" t="n"/>
      <c r="F29" s="218" t="inlineStr">
        <is>
          <t>Excluded: 健康襪、內衣褲. Email on directory: a042121701@yahoo.com.tw</t>
        </is>
      </c>
      <c r="G29" s="218" t="inlineStr">
        <is>
          <t>EXCLUDED</t>
        </is>
      </c>
      <c r="H29" s="218" t="inlineStr">
        <is>
          <t>TCMICA directory</t>
        </is>
      </c>
    </row>
    <row r="30" ht="15" customHeight="1" s="104">
      <c r="A30" s="219" t="inlineStr">
        <is>
          <t>鑫城座墊股份有限公司</t>
        </is>
      </c>
      <c r="B30" s="219" t="inlineStr">
        <is>
          <t>座墊</t>
        </is>
      </c>
      <c r="C30" s="218" t="inlineStr">
        <is>
          <t>Not identified</t>
        </is>
      </c>
      <c r="D30" s="218" t="inlineStr">
        <is>
          <t>Taichung</t>
        </is>
      </c>
      <c r="E30" s="218" t="n"/>
      <c r="F30" s="218" t="inlineStr">
        <is>
          <t>Excluded: 座墊. Email on directory: brian@fashionseat.com</t>
        </is>
      </c>
      <c r="G30" s="218" t="inlineStr">
        <is>
          <t>EXCLUDED</t>
        </is>
      </c>
      <c r="H30" s="218" t="inlineStr">
        <is>
          <t>TCMICA directory</t>
        </is>
      </c>
    </row>
    <row r="31" ht="15" customHeight="1" s="104">
      <c r="A31" s="219" t="inlineStr">
        <is>
          <t>裕發棉業有限公司</t>
        </is>
      </c>
      <c r="B31" s="219" t="inlineStr">
        <is>
          <t>棉製護具</t>
        </is>
      </c>
      <c r="C31" s="218" t="inlineStr">
        <is>
          <t>Not identified</t>
        </is>
      </c>
      <c r="D31" s="218" t="inlineStr">
        <is>
          <t>Taichung</t>
        </is>
      </c>
      <c r="E31" s="218" t="n"/>
      <c r="F31" s="218" t="inlineStr">
        <is>
          <t>Excluded: 棉製護具. Email on directory: hcmanten363@gmail.com</t>
        </is>
      </c>
      <c r="G31" s="218" t="inlineStr">
        <is>
          <t>EXCLUDED</t>
        </is>
      </c>
      <c r="H31" s="218" t="inlineStr">
        <is>
          <t>TCMICA directory</t>
        </is>
      </c>
    </row>
    <row r="32" ht="15" customHeight="1" s="104">
      <c r="A32" s="219" t="inlineStr">
        <is>
          <t>亞洲自然醫學生物科技有限公司</t>
        </is>
      </c>
      <c r="B32" s="219" t="inlineStr">
        <is>
          <t>無營業項目</t>
        </is>
      </c>
      <c r="C32" s="218" t="inlineStr">
        <is>
          <t>Not identified</t>
        </is>
      </c>
      <c r="D32" s="218" t="inlineStr">
        <is>
          <t>Taichung</t>
        </is>
      </c>
      <c r="E32" s="218" t="n"/>
      <c r="F32" s="218" t="inlineStr">
        <is>
          <t>Excluded: 無營業項目. Email on directory: irischu228@hotmail.com</t>
        </is>
      </c>
      <c r="G32" s="218" t="inlineStr">
        <is>
          <t>EXCLUDED</t>
        </is>
      </c>
      <c r="H32" s="218" t="inlineStr">
        <is>
          <t>TCMICA directory</t>
        </is>
      </c>
    </row>
    <row r="33" ht="15" customHeight="1" s="104">
      <c r="A33" s="219" t="inlineStr">
        <is>
          <t>漣贏企業有限公司</t>
        </is>
      </c>
      <c r="B33" s="219" t="inlineStr">
        <is>
          <t>走道扶手</t>
        </is>
      </c>
      <c r="C33" s="218" t="inlineStr">
        <is>
          <t>Not identified</t>
        </is>
      </c>
      <c r="D33" s="218" t="inlineStr">
        <is>
          <t>Taichung</t>
        </is>
      </c>
      <c r="E33" s="218" t="n"/>
      <c r="F33" s="218" t="inlineStr">
        <is>
          <t>Excluded: 走道扶手. Email on directory: lienyin.ly@msa.hinet.net</t>
        </is>
      </c>
      <c r="G33" s="218" t="inlineStr">
        <is>
          <t>EXCLUDED</t>
        </is>
      </c>
      <c r="H33" s="218" t="inlineStr">
        <is>
          <t>TCMICA directory</t>
        </is>
      </c>
    </row>
    <row r="34" ht="15" customHeight="1" s="104">
      <c r="A34" s="219" t="inlineStr">
        <is>
          <t>冠霖化工原料有限公司</t>
        </is>
      </c>
      <c r="B34" s="219" t="inlineStr">
        <is>
          <t>化工原料</t>
        </is>
      </c>
      <c r="C34" s="218" t="inlineStr">
        <is>
          <t>Not identified</t>
        </is>
      </c>
      <c r="D34" s="218" t="inlineStr">
        <is>
          <t>Taichung</t>
        </is>
      </c>
      <c r="E34" s="218" t="n"/>
      <c r="F34" s="218" t="inlineStr">
        <is>
          <t>Excluded: 化工原料. Email on directory: guanlinchem@gmail.com</t>
        </is>
      </c>
      <c r="G34" s="218" t="inlineStr">
        <is>
          <t>EXCLUDED</t>
        </is>
      </c>
      <c r="H34" s="218" t="inlineStr">
        <is>
          <t>TCMICA directory</t>
        </is>
      </c>
    </row>
    <row r="35" ht="15" customHeight="1" s="104">
      <c r="A35" s="219" t="inlineStr">
        <is>
          <t>凱珞服飾精品</t>
        </is>
      </c>
      <c r="B35" s="219" t="inlineStr">
        <is>
          <t>服飾</t>
        </is>
      </c>
      <c r="C35" s="218" t="inlineStr">
        <is>
          <t>Not identified</t>
        </is>
      </c>
      <c r="D35" s="218" t="inlineStr">
        <is>
          <t>Taichung</t>
        </is>
      </c>
      <c r="E35" s="218" t="n"/>
      <c r="F35" s="218" t="inlineStr">
        <is>
          <t>Excluded: 服飾. Email on directory: sdkorea1788@gmail.com</t>
        </is>
      </c>
      <c r="G35" s="218" t="inlineStr">
        <is>
          <t>EXCLUDED</t>
        </is>
      </c>
      <c r="H35" s="218" t="inlineStr">
        <is>
          <t>TCMICA directory</t>
        </is>
      </c>
    </row>
    <row r="36" ht="15" customHeight="1" s="104">
      <c r="A36" s="219" t="inlineStr">
        <is>
          <t>寶齡嬰童用品批發超市</t>
        </is>
      </c>
      <c r="B36" s="219" t="inlineStr">
        <is>
          <t>嬰兒用品</t>
        </is>
      </c>
      <c r="C36" s="218" t="inlineStr">
        <is>
          <t>Not identified</t>
        </is>
      </c>
      <c r="D36" s="218" t="inlineStr">
        <is>
          <t>Taichung</t>
        </is>
      </c>
      <c r="E36" s="218" t="n"/>
      <c r="F36" s="218" t="inlineStr">
        <is>
          <t>Excluded: 嬰兒用品. Email on directory: wen_1022@yahoo.com.tw</t>
        </is>
      </c>
      <c r="G36" s="218" t="inlineStr">
        <is>
          <t>EXCLUDED</t>
        </is>
      </c>
      <c r="H36" s="218" t="inlineStr">
        <is>
          <t>TCMICA directory</t>
        </is>
      </c>
    </row>
    <row r="37" ht="15" customHeight="1" s="104">
      <c r="A37" s="219" t="inlineStr">
        <is>
          <t>桃源貿易有限公司</t>
        </is>
      </c>
      <c r="B37" s="219" t="inlineStr">
        <is>
          <t>護膝護具</t>
        </is>
      </c>
      <c r="C37" s="218" t="inlineStr">
        <is>
          <t>Not identified</t>
        </is>
      </c>
      <c r="D37" s="218" t="inlineStr">
        <is>
          <t>Taichung</t>
        </is>
      </c>
      <c r="E37" s="218" t="n"/>
      <c r="F37" s="218" t="inlineStr">
        <is>
          <t>Excluded: 護膝護具. Email on directory: service@polarstar.com.tw</t>
        </is>
      </c>
      <c r="G37" s="218" t="inlineStr">
        <is>
          <t>EXCLUDED</t>
        </is>
      </c>
      <c r="H37" s="218" t="inlineStr">
        <is>
          <t>TCMICA directory</t>
        </is>
      </c>
    </row>
    <row r="38" ht="15" customHeight="1" s="104">
      <c r="A38" s="219" t="inlineStr">
        <is>
          <t>臺灣裘貝有限公司</t>
        </is>
      </c>
      <c r="B38" s="219" t="inlineStr">
        <is>
          <t>婦幼用品</t>
        </is>
      </c>
      <c r="C38" s="218" t="inlineStr">
        <is>
          <t>Not identified</t>
        </is>
      </c>
      <c r="D38" s="218" t="inlineStr">
        <is>
          <t>Taichung</t>
        </is>
      </c>
      <c r="E38" s="218" t="n"/>
      <c r="F38" s="218" t="inlineStr">
        <is>
          <t>Excluded: 婦幼用品. Email on directory: gennies25@seed.net.tw</t>
        </is>
      </c>
      <c r="G38" s="218" t="inlineStr">
        <is>
          <t>EXCLUDED</t>
        </is>
      </c>
      <c r="H38" s="218" t="inlineStr">
        <is>
          <t>TCMICA directory</t>
        </is>
      </c>
    </row>
    <row r="39" ht="15" customHeight="1" s="104">
      <c r="A39" s="219" t="inlineStr">
        <is>
          <t>柏榮生醫有限公司</t>
        </is>
      </c>
      <c r="B39" s="219" t="inlineStr">
        <is>
          <t>地址含異常字元，已退信</t>
        </is>
      </c>
      <c r="C39" s="218" t="inlineStr">
        <is>
          <t>Not identified</t>
        </is>
      </c>
      <c r="D39" s="218" t="inlineStr">
        <is>
          <t>Taichung</t>
        </is>
      </c>
      <c r="E39" s="218" t="n"/>
      <c r="F39" s="218" t="inlineStr">
        <is>
          <t>Excluded: 地址含異常字元，已退信. Email on directory: bio¬-zon@yahoo.com.tw</t>
        </is>
      </c>
      <c r="G39" s="218" t="inlineStr">
        <is>
          <t>EXCLUDED</t>
        </is>
      </c>
      <c r="H39" s="218" t="inlineStr">
        <is>
          <t>TCMICA directory</t>
        </is>
      </c>
    </row>
    <row r="40" ht="15" customHeight="1" s="104">
      <c r="A40" s="219" t="inlineStr">
        <is>
          <t>曾常恩企業有限公司</t>
        </is>
      </c>
      <c r="B40" s="219" t="inlineStr">
        <is>
          <t>個人信箱，業務不明</t>
        </is>
      </c>
      <c r="C40" s="218" t="inlineStr">
        <is>
          <t>Not identified</t>
        </is>
      </c>
      <c r="D40" s="218" t="inlineStr">
        <is>
          <t>Taichung</t>
        </is>
      </c>
      <c r="E40" s="218" t="n"/>
      <c r="F40" s="218" t="inlineStr">
        <is>
          <t>Excluded: 個人信箱，業務不明. Email on directory: beautiful_lady168@yahoo.com.tw</t>
        </is>
      </c>
      <c r="G40" s="218" t="inlineStr">
        <is>
          <t>EXCLUDED</t>
        </is>
      </c>
      <c r="H40" s="218" t="inlineStr">
        <is>
          <t>TCMICA directory</t>
        </is>
      </c>
    </row>
    <row r="41" ht="15" customHeight="1" s="104">
      <c r="A41" s="219" t="inlineStr">
        <is>
          <t>肽坦生物科技有限公司</t>
        </is>
      </c>
      <c r="B41" s="219" t="inlineStr">
        <is>
          <t>網域疑似錯誤</t>
        </is>
      </c>
      <c r="C41" s="218" t="inlineStr">
        <is>
          <t>Not identified</t>
        </is>
      </c>
      <c r="D41" s="218" t="inlineStr">
        <is>
          <t>Taichung</t>
        </is>
      </c>
      <c r="E41" s="218" t="n"/>
      <c r="F41" s="218" t="inlineStr">
        <is>
          <t>Excluded: 網域疑似錯誤. Email on directory: 911424707@gg.com</t>
        </is>
      </c>
      <c r="G41" s="218" t="inlineStr">
        <is>
          <t>EXCLUDED</t>
        </is>
      </c>
      <c r="H41" s="218" t="inlineStr">
        <is>
          <t>TCMICA directory</t>
        </is>
      </c>
    </row>
    <row r="42" ht="15" customHeight="1" s="104">
      <c r="A42" s="219" t="inlineStr">
        <is>
          <t>優兒房企業有限公司</t>
        </is>
      </c>
      <c r="B42" s="219" t="inlineStr">
        <is>
          <t>婦幼用品</t>
        </is>
      </c>
      <c r="C42" s="218" t="inlineStr">
        <is>
          <t>Not identified</t>
        </is>
      </c>
      <c r="D42" s="218" t="inlineStr">
        <is>
          <t>Taichung</t>
        </is>
      </c>
      <c r="E42" s="218" t="n"/>
      <c r="F42" s="218" t="inlineStr">
        <is>
          <t>Excluded: 婦幼用品. Email on directory: c0932623979@yahoo.com.tw</t>
        </is>
      </c>
      <c r="G42" s="218" t="inlineStr">
        <is>
          <t>EXCLUDED</t>
        </is>
      </c>
      <c r="H42" s="218" t="inlineStr">
        <is>
          <t>TCMICA directory</t>
        </is>
      </c>
    </row>
    <row r="43" ht="15" customHeight="1" s="104">
      <c r="A43" s="219" t="inlineStr">
        <is>
          <t>金宏齒科材料行</t>
        </is>
      </c>
      <c r="B43" s="219" t="inlineStr">
        <is>
          <t>與金昌牙科同一信箱</t>
        </is>
      </c>
      <c r="C43" s="218" t="inlineStr">
        <is>
          <t>Not identified</t>
        </is>
      </c>
      <c r="D43" s="218" t="inlineStr">
        <is>
          <t>Taichung</t>
        </is>
      </c>
      <c r="E43" s="218" t="n"/>
      <c r="F43" s="218" t="inlineStr">
        <is>
          <t>Excluded: 與金昌牙科同一信箱. Email on directory: jam.dam@msa.hinet.net</t>
        </is>
      </c>
      <c r="G43" s="218" t="inlineStr">
        <is>
          <t>EXCLUDED</t>
        </is>
      </c>
      <c r="H43" s="218" t="inlineStr">
        <is>
          <t>TCMICA directory</t>
        </is>
      </c>
    </row>
    <row r="44" ht="15" customHeight="1" s="104">
      <c r="A44" s="219" t="inlineStr">
        <is>
          <t>源豐鐘錶精品有限公司</t>
        </is>
      </c>
      <c r="B44" s="219" t="inlineStr">
        <is>
          <t>隱形鏡片</t>
        </is>
      </c>
      <c r="C44" s="218" t="inlineStr">
        <is>
          <t>Not identified</t>
        </is>
      </c>
      <c r="D44" s="218" t="inlineStr">
        <is>
          <t>Taichung</t>
        </is>
      </c>
      <c r="E44" s="218" t="n"/>
      <c r="F44" s="218" t="inlineStr">
        <is>
          <t>Excluded: 隱形鏡片. Email on directory: ccw1016@kimo.com</t>
        </is>
      </c>
      <c r="G44" s="218" t="inlineStr">
        <is>
          <t>EXCLUDED</t>
        </is>
      </c>
      <c r="H44" s="218" t="inlineStr">
        <is>
          <t>TCMICA directory</t>
        </is>
      </c>
    </row>
    <row r="45" ht="15" customHeight="1" s="104">
      <c r="A45" s="219" t="inlineStr">
        <is>
          <t>郁銓國際醫學美容有限公司</t>
        </is>
      </c>
      <c r="B45" s="219" t="inlineStr">
        <is>
          <t>美容器材</t>
        </is>
      </c>
      <c r="C45" s="218" t="inlineStr">
        <is>
          <t>Not identified</t>
        </is>
      </c>
      <c r="D45" s="218" t="inlineStr">
        <is>
          <t>Taichung</t>
        </is>
      </c>
      <c r="E45" s="218" t="n"/>
      <c r="F45" s="218" t="inlineStr">
        <is>
          <t>Excluded: 美容器材. Email on directory: matx.tw@yahoo.com.tw</t>
        </is>
      </c>
      <c r="G45" s="218" t="inlineStr">
        <is>
          <t>EXCLUDED</t>
        </is>
      </c>
      <c r="H45" s="218" t="inlineStr">
        <is>
          <t>TCMICA directory</t>
        </is>
      </c>
    </row>
    <row r="46" ht="15" customHeight="1" s="104">
      <c r="A46" s="219" t="inlineStr">
        <is>
          <t>安姿美容國際有限公司</t>
        </is>
      </c>
      <c r="B46" s="219" t="inlineStr">
        <is>
          <t>美容器材</t>
        </is>
      </c>
      <c r="C46" s="218" t="inlineStr">
        <is>
          <t>Not identified</t>
        </is>
      </c>
      <c r="D46" s="218" t="inlineStr">
        <is>
          <t>Taichung</t>
        </is>
      </c>
      <c r="E46" s="218" t="n"/>
      <c r="F46" s="218" t="inlineStr">
        <is>
          <t>Excluded: 美容器材. Email on directory: angel89731970@gmail.com</t>
        </is>
      </c>
      <c r="G46" s="218" t="inlineStr">
        <is>
          <t>EXCLUDED</t>
        </is>
      </c>
      <c r="H46" s="218" t="inlineStr">
        <is>
          <t>TCMICA directory</t>
        </is>
      </c>
    </row>
    <row r="47" ht="15" customHeight="1" s="104">
      <c r="A47" s="219" t="inlineStr">
        <is>
          <t>超準科技股份有限公司</t>
        </is>
      </c>
      <c r="B47" s="219" t="inlineStr">
        <is>
          <t>體脂體重計(同組:上準衡器)</t>
        </is>
      </c>
      <c r="C47" s="218" t="inlineStr">
        <is>
          <t>Not identified</t>
        </is>
      </c>
      <c r="D47" s="218" t="inlineStr">
        <is>
          <t>Taichung</t>
        </is>
      </c>
      <c r="E47" s="218" t="n"/>
      <c r="F47" s="218" t="inlineStr">
        <is>
          <t>Excluded: 體脂體重計(同組:上準衡器). Email on directory: satrue@ms12.hinet.net</t>
        </is>
      </c>
      <c r="G47" s="218" t="inlineStr">
        <is>
          <t>EXCLUDED</t>
        </is>
      </c>
      <c r="H47" s="218" t="inlineStr">
        <is>
          <t>TCMICA directory</t>
        </is>
      </c>
    </row>
    <row r="48" ht="15" customHeight="1" s="104">
      <c r="A48" s="219" t="inlineStr">
        <is>
          <t>穗寶康股份有限公司</t>
        </is>
      </c>
      <c r="B48" s="219" t="inlineStr">
        <is>
          <t>床枕寢具</t>
        </is>
      </c>
      <c r="C48" s="218" t="inlineStr">
        <is>
          <t>Not identified</t>
        </is>
      </c>
      <c r="D48" s="218" t="inlineStr">
        <is>
          <t>Taichung</t>
        </is>
      </c>
      <c r="E48" s="218" t="n"/>
      <c r="F48" s="218" t="inlineStr">
        <is>
          <t>Excluded: 床枕寢具. Email on directory: sbc@sbcjust-sleep.com</t>
        </is>
      </c>
      <c r="G48" s="218" t="inlineStr">
        <is>
          <t>EXCLUDED</t>
        </is>
      </c>
      <c r="H48" s="218" t="inlineStr">
        <is>
          <t>TCMICA directory</t>
        </is>
      </c>
    </row>
    <row r="49" ht="15" customHeight="1" s="104">
      <c r="A49" s="219" t="inlineStr">
        <is>
          <t>崇德實業社</t>
        </is>
      </c>
      <c r="B49" s="219" t="inlineStr">
        <is>
          <t>腰帶</t>
        </is>
      </c>
      <c r="C49" s="218" t="inlineStr">
        <is>
          <t>Not identified</t>
        </is>
      </c>
      <c r="D49" s="218" t="inlineStr">
        <is>
          <t>Taichung</t>
        </is>
      </c>
      <c r="E49" s="218" t="n"/>
      <c r="F49" s="218" t="inlineStr">
        <is>
          <t>Excluded: 腰帶. Email on directory: cd2541719@gmail.com</t>
        </is>
      </c>
      <c r="G49" s="218" t="inlineStr">
        <is>
          <t>EXCLUDED</t>
        </is>
      </c>
      <c r="H49" s="218" t="inlineStr">
        <is>
          <t>TCMICA directory</t>
        </is>
      </c>
    </row>
    <row r="50" ht="15" customHeight="1" s="104">
      <c r="A50" s="219" t="inlineStr">
        <is>
          <t>鈕斯勃貿易股份有限公司</t>
        </is>
      </c>
      <c r="B50" s="219" t="inlineStr">
        <is>
          <t>護具</t>
        </is>
      </c>
      <c r="C50" s="218" t="inlineStr">
        <is>
          <t>Not identified</t>
        </is>
      </c>
      <c r="D50" s="218" t="inlineStr">
        <is>
          <t>Taichung</t>
        </is>
      </c>
      <c r="E50" s="218" t="n"/>
      <c r="F50" s="218" t="inlineStr">
        <is>
          <t>Excluded: 護具. Email on directory: allpowerlife@yahoo.com.tw</t>
        </is>
      </c>
      <c r="G50" s="218" t="inlineStr">
        <is>
          <t>EXCLUDED</t>
        </is>
      </c>
      <c r="H50" s="218" t="inlineStr">
        <is>
          <t>TCMICA directory</t>
        </is>
      </c>
    </row>
    <row r="51" ht="15" customHeight="1" s="104">
      <c r="A51" s="219" t="inlineStr">
        <is>
          <t>盟博生技有限公司</t>
        </is>
      </c>
      <c r="B51" s="219" t="inlineStr">
        <is>
          <t>地址含異常字元</t>
        </is>
      </c>
      <c r="C51" s="218" t="inlineStr">
        <is>
          <t>Not identified</t>
        </is>
      </c>
      <c r="D51" s="218" t="inlineStr">
        <is>
          <t>Taichung</t>
        </is>
      </c>
      <c r="E51" s="218" t="n"/>
      <c r="F51" s="218" t="inlineStr">
        <is>
          <t>Excluded: 地址含異常字元. Email on directory: veronika¬-1126@yahoo.com</t>
        </is>
      </c>
      <c r="G51" s="218" t="inlineStr">
        <is>
          <t>EXCLUDED</t>
        </is>
      </c>
      <c r="H51" s="218" t="inlineStr">
        <is>
          <t>TCMICA directory</t>
        </is>
      </c>
    </row>
    <row r="52" ht="15" customHeight="1" s="104">
      <c r="A52" s="219" t="inlineStr">
        <is>
          <t>崇安紙器有限公司</t>
        </is>
      </c>
      <c r="B52" s="219" t="inlineStr">
        <is>
          <t>紙器</t>
        </is>
      </c>
      <c r="C52" s="218" t="inlineStr">
        <is>
          <t>Not identified</t>
        </is>
      </c>
      <c r="D52" s="218" t="inlineStr">
        <is>
          <t>Taichung</t>
        </is>
      </c>
      <c r="E52" s="218" t="n"/>
      <c r="F52" s="218" t="inlineStr">
        <is>
          <t>Excluded: 紙器. Email on directory: chungank@ms64.hinet.net</t>
        </is>
      </c>
      <c r="G52" s="218" t="inlineStr">
        <is>
          <t>EXCLUDED</t>
        </is>
      </c>
      <c r="H52" s="218" t="inlineStr">
        <is>
          <t>TCMICA directory</t>
        </is>
      </c>
    </row>
    <row r="53" ht="15" customHeight="1" s="104">
      <c r="A53" s="219" t="inlineStr">
        <is>
          <t>玩轉娛樂星球國際影音事業有限公司</t>
        </is>
      </c>
      <c r="B53" s="219" t="inlineStr">
        <is>
          <t>影音娛樂</t>
        </is>
      </c>
      <c r="C53" s="218" t="inlineStr">
        <is>
          <t>Not identified</t>
        </is>
      </c>
      <c r="D53" s="218" t="inlineStr">
        <is>
          <t>Taichung</t>
        </is>
      </c>
      <c r="E53" s="218" t="n"/>
      <c r="F53" s="218" t="inlineStr">
        <is>
          <t>Excluded: 影音娛樂. Email on directory: vv.dodo99@yahoo.com.tw</t>
        </is>
      </c>
      <c r="G53" s="218" t="inlineStr">
        <is>
          <t>EXCLUDED</t>
        </is>
      </c>
      <c r="H53" s="218" t="inlineStr">
        <is>
          <t>TCMICA directory</t>
        </is>
      </c>
    </row>
    <row r="54" ht="15" customHeight="1" s="104">
      <c r="A54" s="219" t="inlineStr">
        <is>
          <t>喬億來商行</t>
        </is>
      </c>
      <c r="B54" s="219" t="inlineStr">
        <is>
          <t>體脂計</t>
        </is>
      </c>
      <c r="C54" s="218" t="inlineStr">
        <is>
          <t>Not identified</t>
        </is>
      </c>
      <c r="D54" s="218" t="inlineStr">
        <is>
          <t>Taichung</t>
        </is>
      </c>
      <c r="E54" s="218" t="n"/>
      <c r="F54" s="218" t="inlineStr">
        <is>
          <t>Excluded: 體脂計. Email on directory: wd888.wd888@msa.hinet.net</t>
        </is>
      </c>
      <c r="G54" s="218" t="inlineStr">
        <is>
          <t>EXCLUDED</t>
        </is>
      </c>
      <c r="H54" s="218" t="inlineStr">
        <is>
          <t>TCMICA directory</t>
        </is>
      </c>
    </row>
    <row r="55" ht="15" customHeight="1" s="104">
      <c r="A55" s="219" t="inlineStr">
        <is>
          <t>六甲村實業有限公司</t>
        </is>
      </c>
      <c r="B55" s="219" t="inlineStr">
        <is>
          <t>母嬰用品(同組:六玳實業)</t>
        </is>
      </c>
      <c r="C55" s="218" t="inlineStr">
        <is>
          <t>Not identified</t>
        </is>
      </c>
      <c r="D55" s="218" t="inlineStr">
        <is>
          <t>Taichung</t>
        </is>
      </c>
      <c r="E55" s="218" t="n"/>
      <c r="F55" s="218" t="inlineStr">
        <is>
          <t>Excluded: 母嬰用品(同組:六玳實業). Email on directory: cindy@mammy-village.com.tw</t>
        </is>
      </c>
      <c r="G55" s="218" t="inlineStr">
        <is>
          <t>EXCLUDED</t>
        </is>
      </c>
      <c r="H55" s="218" t="inlineStr">
        <is>
          <t>TCMICA directory</t>
        </is>
      </c>
    </row>
    <row r="56" ht="15" customHeight="1" s="104">
      <c r="A56" s="219" t="inlineStr">
        <is>
          <t>聿柏企業有限公司</t>
        </is>
      </c>
      <c r="B56" s="219" t="inlineStr">
        <is>
          <t>護具</t>
        </is>
      </c>
      <c r="C56" s="218" t="inlineStr">
        <is>
          <t>Not identified</t>
        </is>
      </c>
      <c r="D56" s="218" t="inlineStr">
        <is>
          <t>Taichung</t>
        </is>
      </c>
      <c r="E56" s="218" t="n"/>
      <c r="F56" s="218" t="inlineStr">
        <is>
          <t>Excluded: 護具. Email on directory: yuh-bor@yahoo.com.tw</t>
        </is>
      </c>
      <c r="G56" s="218" t="inlineStr">
        <is>
          <t>EXCLUDED</t>
        </is>
      </c>
      <c r="H56" s="218" t="inlineStr">
        <is>
          <t>TCMICA directory</t>
        </is>
      </c>
    </row>
    <row r="57" ht="15" customHeight="1" s="104">
      <c r="A57" s="219" t="inlineStr">
        <is>
          <t>智耀有限公司</t>
        </is>
      </c>
      <c r="B57" s="219" t="inlineStr">
        <is>
          <t>痘痘貼、冷熱敷墊</t>
        </is>
      </c>
      <c r="C57" s="218" t="inlineStr">
        <is>
          <t>Not identified</t>
        </is>
      </c>
      <c r="D57" s="218" t="inlineStr">
        <is>
          <t>Taichung</t>
        </is>
      </c>
      <c r="E57" s="218" t="n"/>
      <c r="F57" s="218" t="inlineStr">
        <is>
          <t>Excluded: 痘痘貼、冷熱敷墊. Email on directory: sharon@carcenter.com.tw</t>
        </is>
      </c>
      <c r="G57" s="218" t="inlineStr">
        <is>
          <t>EXCLUDED</t>
        </is>
      </c>
      <c r="H57" s="218" t="inlineStr">
        <is>
          <t>TCMICA directory</t>
        </is>
      </c>
    </row>
    <row r="58" ht="15" customHeight="1" s="104">
      <c r="A58" s="219" t="inlineStr">
        <is>
          <t>復王有限公司</t>
        </is>
      </c>
      <c r="B58" s="219" t="inlineStr">
        <is>
          <t>電磁爐、高爾夫用品</t>
        </is>
      </c>
      <c r="C58" s="218" t="inlineStr">
        <is>
          <t>Not identified</t>
        </is>
      </c>
      <c r="D58" s="218" t="inlineStr">
        <is>
          <t>Taichung</t>
        </is>
      </c>
      <c r="E58" s="218" t="n"/>
      <c r="F58" s="218" t="inlineStr">
        <is>
          <t>Excluded: 電磁爐、高爾夫用品. Email on directory: b0911778999@yahoo.com.tw</t>
        </is>
      </c>
      <c r="G58" s="218" t="inlineStr">
        <is>
          <t>EXCLUDED</t>
        </is>
      </c>
      <c r="H58" s="218" t="inlineStr">
        <is>
          <t>TCMICA directory</t>
        </is>
      </c>
    </row>
    <row r="59" ht="15" customHeight="1" s="104">
      <c r="A59" s="219" t="inlineStr">
        <is>
          <t>弼強儀器有限公司</t>
        </is>
      </c>
      <c r="B59" s="219" t="inlineStr">
        <is>
          <t>與健晟儀器同集團，已寄健晟</t>
        </is>
      </c>
      <c r="C59" s="218" t="inlineStr">
        <is>
          <t>Not identified</t>
        </is>
      </c>
      <c r="D59" s="218" t="inlineStr">
        <is>
          <t>Taichung</t>
        </is>
      </c>
      <c r="E59" s="218" t="n"/>
      <c r="F59" s="218" t="inlineStr">
        <is>
          <t>Excluded: 與健晟儀器同集團，已寄健晟. Email on directory: chin@epii.com.tw</t>
        </is>
      </c>
      <c r="G59" s="218" t="inlineStr">
        <is>
          <t>EXCLUDED</t>
        </is>
      </c>
      <c r="H59" s="218" t="inlineStr">
        <is>
          <t>TCMICA directory</t>
        </is>
      </c>
    </row>
    <row r="60" ht="15" customHeight="1" s="104">
      <c r="A60" s="219" t="inlineStr">
        <is>
          <t>舒寶實業有限公司</t>
        </is>
      </c>
      <c r="B60" s="219" t="inlineStr">
        <is>
          <t>婦幼用品</t>
        </is>
      </c>
      <c r="C60" s="218" t="inlineStr">
        <is>
          <t>Not identified</t>
        </is>
      </c>
      <c r="D60" s="218" t="inlineStr">
        <is>
          <t>Taichung</t>
        </is>
      </c>
      <c r="E60" s="218" t="n"/>
      <c r="F60" s="218" t="inlineStr">
        <is>
          <t>Excluded: 婦幼用品. Email on directory: a0932550510@gmail.com</t>
        </is>
      </c>
      <c r="G60" s="218" t="inlineStr">
        <is>
          <t>EXCLUDED</t>
        </is>
      </c>
      <c r="H60" s="218" t="inlineStr">
        <is>
          <t>TCMICA directory</t>
        </is>
      </c>
    </row>
    <row r="61" ht="15" customHeight="1" s="104">
      <c r="A61" s="219" t="inlineStr">
        <is>
          <t>格瑞生醫股份有限公司</t>
        </is>
      </c>
      <c r="B61" s="219" t="inlineStr">
        <is>
          <t>空氣淨化器</t>
        </is>
      </c>
      <c r="C61" s="218" t="inlineStr">
        <is>
          <t>Not identified</t>
        </is>
      </c>
      <c r="D61" s="218" t="inlineStr">
        <is>
          <t>Taichung</t>
        </is>
      </c>
      <c r="E61" s="218" t="n"/>
      <c r="F61" s="218" t="inlineStr">
        <is>
          <t>Excluded: 空氣淨化器. Email on directory: graybiomedical@gmail.com</t>
        </is>
      </c>
      <c r="G61" s="218" t="inlineStr">
        <is>
          <t>EXCLUDED</t>
        </is>
      </c>
      <c r="H61" s="218" t="inlineStr">
        <is>
          <t>TCMICA directory</t>
        </is>
      </c>
    </row>
    <row r="62" ht="15" customHeight="1" s="104">
      <c r="A62" s="219" t="inlineStr">
        <is>
          <t>艾瑞科衛材股份有限公司</t>
        </is>
      </c>
      <c r="B62" s="219" t="inlineStr">
        <is>
          <t>護具</t>
        </is>
      </c>
      <c r="C62" s="218" t="inlineStr">
        <is>
          <t>Not identified</t>
        </is>
      </c>
      <c r="D62" s="218" t="inlineStr">
        <is>
          <t>Taichung</t>
        </is>
      </c>
      <c r="E62" s="218" t="n"/>
      <c r="F62" s="218" t="inlineStr">
        <is>
          <t>Excluded: 護具. Email on directory: sales.mediroyal@gmail.com</t>
        </is>
      </c>
      <c r="G62" s="218" t="inlineStr">
        <is>
          <t>EXCLUDED</t>
        </is>
      </c>
      <c r="H62" s="218" t="inlineStr">
        <is>
          <t>TCMICA directory</t>
        </is>
      </c>
    </row>
    <row r="63" ht="15" customHeight="1" s="104">
      <c r="A63" s="219" t="inlineStr">
        <is>
          <t>瑞明醫學科技股份有限公司</t>
        </is>
      </c>
      <c r="B63" s="219" t="inlineStr">
        <is>
          <t>地址格式錯誤</t>
        </is>
      </c>
      <c r="C63" s="218" t="inlineStr">
        <is>
          <t>Not identified</t>
        </is>
      </c>
      <c r="D63" s="218" t="inlineStr">
        <is>
          <t>Taichung</t>
        </is>
      </c>
      <c r="E63" s="218" t="n"/>
      <c r="F63" s="218" t="inlineStr">
        <is>
          <t>Excluded: 地址格式錯誤. Email on directory: jerrytsai@evervision@com.tw</t>
        </is>
      </c>
      <c r="G63" s="218" t="inlineStr">
        <is>
          <t>EXCLUDED</t>
        </is>
      </c>
      <c r="H63" s="218" t="inlineStr">
        <is>
          <t>TCMICA directory</t>
        </is>
      </c>
    </row>
    <row r="64" ht="15" customHeight="1" s="104">
      <c r="A64" s="219" t="inlineStr">
        <is>
          <t>京彩股份有限公司</t>
        </is>
      </c>
      <c r="B64" s="219" t="inlineStr">
        <is>
          <t>口罩、護腰</t>
        </is>
      </c>
      <c r="C64" s="218" t="inlineStr">
        <is>
          <t>Not identified</t>
        </is>
      </c>
      <c r="D64" s="218" t="inlineStr">
        <is>
          <t>Taichung</t>
        </is>
      </c>
      <c r="E64" s="218" t="n"/>
      <c r="F64" s="218" t="inlineStr">
        <is>
          <t>Excluded: 口罩、護腰. Email on directory: taichistone88@gmail.com</t>
        </is>
      </c>
      <c r="G64" s="218" t="inlineStr">
        <is>
          <t>EXCLUDED</t>
        </is>
      </c>
      <c r="H64" s="218" t="inlineStr">
        <is>
          <t>TCMICA directory</t>
        </is>
      </c>
    </row>
    <row r="65" ht="15" customHeight="1" s="104">
      <c r="A65" s="219" t="inlineStr">
        <is>
          <t>伸宜興生技有限公司</t>
        </is>
      </c>
      <c r="B65" s="219" t="inlineStr">
        <is>
          <t>保健食品</t>
        </is>
      </c>
      <c r="C65" s="218" t="inlineStr">
        <is>
          <t>Not identified</t>
        </is>
      </c>
      <c r="D65" s="218" t="inlineStr">
        <is>
          <t>Taichung</t>
        </is>
      </c>
      <c r="E65" s="218" t="n"/>
      <c r="F65" s="218" t="inlineStr">
        <is>
          <t>Excluded: 保健食品. Email on directory: life1687@gmail.com</t>
        </is>
      </c>
      <c r="G65" s="218" t="inlineStr">
        <is>
          <t>EXCLUDED</t>
        </is>
      </c>
      <c r="H65" s="218" t="inlineStr">
        <is>
          <t>TCMICA directory</t>
        </is>
      </c>
    </row>
    <row r="66" ht="15" customHeight="1" s="104">
      <c r="A66" s="219" t="inlineStr">
        <is>
          <t>勝宜有限公司</t>
        </is>
      </c>
      <c r="B66" s="219" t="inlineStr">
        <is>
          <t>床墊、眼罩、襪子</t>
        </is>
      </c>
      <c r="C66" s="218" t="inlineStr">
        <is>
          <t>Not identified</t>
        </is>
      </c>
      <c r="D66" s="218" t="inlineStr">
        <is>
          <t>Taichung</t>
        </is>
      </c>
      <c r="E66" s="218" t="n"/>
      <c r="F66" s="218" t="inlineStr">
        <is>
          <t>Excluded: 床墊、眼罩、襪子. Email on directory: movieann@hotmail.com</t>
        </is>
      </c>
      <c r="G66" s="218" t="inlineStr">
        <is>
          <t>EXCLUDED</t>
        </is>
      </c>
      <c r="H66" s="218" t="inlineStr">
        <is>
          <t>TCMICA directory</t>
        </is>
      </c>
    </row>
    <row r="67" ht="15" customHeight="1" s="104">
      <c r="A67" s="219" t="inlineStr">
        <is>
          <t>生發化學生技股份有限公司</t>
        </is>
      </c>
      <c r="B67" s="219" t="inlineStr">
        <is>
          <t>酒精化學原料</t>
        </is>
      </c>
      <c r="C67" s="218" t="inlineStr">
        <is>
          <t>Not identified</t>
        </is>
      </c>
      <c r="D67" s="218" t="inlineStr">
        <is>
          <t>Taichung</t>
        </is>
      </c>
      <c r="E67" s="218" t="n"/>
      <c r="F67" s="218" t="inlineStr">
        <is>
          <t>Excluded: 酒精化學原料. Email on directory: sf479@sengfa.com.tw</t>
        </is>
      </c>
      <c r="G67" s="218" t="inlineStr">
        <is>
          <t>EXCLUDED</t>
        </is>
      </c>
      <c r="H67" s="218" t="inlineStr">
        <is>
          <t>TCMICA directory</t>
        </is>
      </c>
    </row>
    <row r="68" ht="15" customHeight="1" s="104">
      <c r="A68" s="219" t="inlineStr">
        <is>
          <t>鑫弘翔科技事業股份有限公司</t>
        </is>
      </c>
      <c r="B68" s="219" t="inlineStr">
        <is>
          <t>除濕機、空氣清淨機</t>
        </is>
      </c>
      <c r="C68" s="218" t="inlineStr">
        <is>
          <t>Not identified</t>
        </is>
      </c>
      <c r="D68" s="218" t="inlineStr">
        <is>
          <t>Taichung</t>
        </is>
      </c>
      <c r="E68" s="218" t="n"/>
      <c r="F68" s="218" t="inlineStr">
        <is>
          <t>Excluded: 除濕機、空氣清淨機. Email on directory: drlife.katty@gmail.com</t>
        </is>
      </c>
      <c r="G68" s="218" t="inlineStr">
        <is>
          <t>EXCLUDED</t>
        </is>
      </c>
      <c r="H68" s="218" t="inlineStr">
        <is>
          <t>TCMICA directory</t>
        </is>
      </c>
    </row>
    <row r="69" ht="15" customHeight="1" s="104">
      <c r="A69" s="219" t="inlineStr">
        <is>
          <t>健豪印刷事業股份有限公司</t>
        </is>
      </c>
      <c r="B69" s="219" t="inlineStr">
        <is>
          <t>印刷</t>
        </is>
      </c>
      <c r="C69" s="218" t="inlineStr">
        <is>
          <t>Not identified</t>
        </is>
      </c>
      <c r="D69" s="218" t="inlineStr">
        <is>
          <t>Taichung</t>
        </is>
      </c>
      <c r="E69" s="218" t="n"/>
      <c r="F69" s="218" t="inlineStr">
        <is>
          <t>Excluded: 印刷. Email on directory: service@gding.com.tw</t>
        </is>
      </c>
      <c r="G69" s="218" t="inlineStr">
        <is>
          <t>EXCLUDED</t>
        </is>
      </c>
      <c r="H69" s="218" t="inlineStr">
        <is>
          <t>TCMICA directory</t>
        </is>
      </c>
    </row>
    <row r="70" ht="15" customHeight="1" s="104">
      <c r="A70" s="219" t="inlineStr">
        <is>
          <t>永達精密工業有限公司</t>
        </is>
      </c>
      <c r="B70" s="219" t="inlineStr">
        <is>
          <t>網域拼寫錯誤</t>
        </is>
      </c>
      <c r="C70" s="218" t="inlineStr">
        <is>
          <t>Not identified</t>
        </is>
      </c>
      <c r="D70" s="218" t="inlineStr">
        <is>
          <t>Taichung</t>
        </is>
      </c>
      <c r="E70" s="218" t="n"/>
      <c r="F70" s="218" t="inlineStr">
        <is>
          <t>Excluded: 網域拼寫錯誤. Email on directory: oundar007@gahoo.com.tw</t>
        </is>
      </c>
      <c r="G70" s="218" t="inlineStr">
        <is>
          <t>EXCLUDED</t>
        </is>
      </c>
      <c r="H70" s="218" t="inlineStr">
        <is>
          <t>TCMICA directory</t>
        </is>
      </c>
    </row>
    <row r="71" ht="15" customHeight="1" s="104">
      <c r="A71" s="219" t="inlineStr">
        <is>
          <t>金龍俊科技股份有限公司</t>
        </is>
      </c>
      <c r="B71" s="219" t="inlineStr">
        <is>
          <t>電熱器</t>
        </is>
      </c>
      <c r="C71" s="218" t="inlineStr">
        <is>
          <t>Not identified</t>
        </is>
      </c>
      <c r="D71" s="218" t="inlineStr">
        <is>
          <t>Taichung</t>
        </is>
      </c>
      <c r="E71" s="218" t="n"/>
      <c r="F71" s="218" t="inlineStr">
        <is>
          <t>Excluded: 電熱器. Email on directory: info@ptc-heater.com.tw</t>
        </is>
      </c>
      <c r="G71" s="218" t="inlineStr">
        <is>
          <t>EXCLUDED</t>
        </is>
      </c>
      <c r="H71" s="218" t="inlineStr">
        <is>
          <t>TCMICA directory</t>
        </is>
      </c>
    </row>
    <row r="72" ht="15" customHeight="1" s="104">
      <c r="A72" s="219" t="inlineStr">
        <is>
          <t>星言國際有限公司</t>
        </is>
      </c>
      <c r="B72" s="219" t="inlineStr">
        <is>
          <t>額溫槍、口罩零售</t>
        </is>
      </c>
      <c r="C72" s="218" t="inlineStr">
        <is>
          <t>Not identified</t>
        </is>
      </c>
      <c r="D72" s="218" t="inlineStr">
        <is>
          <t>Taichung</t>
        </is>
      </c>
      <c r="E72" s="218" t="n"/>
      <c r="F72" s="218" t="inlineStr">
        <is>
          <t>Excluded: 額溫槍、口罩零售. Email on directory: topguyan@gmail.com</t>
        </is>
      </c>
      <c r="G72" s="218" t="inlineStr">
        <is>
          <t>EXCLUDED</t>
        </is>
      </c>
      <c r="H72" s="218" t="inlineStr">
        <is>
          <t>TCMICA directory</t>
        </is>
      </c>
    </row>
    <row r="73" ht="15" customHeight="1" s="104">
      <c r="A73" s="219" t="inlineStr">
        <is>
          <t>喬山健康科技股份有限公司台中分公司</t>
        </is>
      </c>
      <c r="B73" s="219" t="inlineStr">
        <is>
          <t>健身器材品牌</t>
        </is>
      </c>
      <c r="C73" s="218" t="inlineStr">
        <is>
          <t>Not identified</t>
        </is>
      </c>
      <c r="D73" s="218" t="inlineStr">
        <is>
          <t>Taichung</t>
        </is>
      </c>
      <c r="E73" s="218" t="n"/>
      <c r="F73" s="218" t="inlineStr">
        <is>
          <t>Excluded: 健身器材品牌. Email on directory: menshenday@johnsonfitness.com</t>
        </is>
      </c>
      <c r="G73" s="218" t="inlineStr">
        <is>
          <t>EXCLUDED</t>
        </is>
      </c>
      <c r="H73" s="218" t="inlineStr">
        <is>
          <t>TCMICA directory</t>
        </is>
      </c>
    </row>
    <row r="74" ht="15" customHeight="1" s="104">
      <c r="A74" s="219" t="inlineStr">
        <is>
          <t>綠點高新科技股份有限公司</t>
        </is>
      </c>
      <c r="B74" s="219" t="inlineStr">
        <is>
          <t>代工製造(Jabil)</t>
        </is>
      </c>
      <c r="C74" s="218" t="inlineStr">
        <is>
          <t>Not identified</t>
        </is>
      </c>
      <c r="D74" s="218" t="inlineStr">
        <is>
          <t>Taichung</t>
        </is>
      </c>
      <c r="E74" s="218" t="n"/>
      <c r="F74" s="218" t="inlineStr">
        <is>
          <t>Excluded: 代工製造(Jabil). Email on directory: chris-wu@jabil.com</t>
        </is>
      </c>
      <c r="G74" s="218" t="inlineStr">
        <is>
          <t>EXCLUDED</t>
        </is>
      </c>
      <c r="H74" s="218" t="inlineStr">
        <is>
          <t>TCMICA directory</t>
        </is>
      </c>
    </row>
    <row r="75" ht="15" customHeight="1" s="104">
      <c r="A75" s="219" t="inlineStr">
        <is>
          <t>祥瑞工業有限公司</t>
        </is>
      </c>
      <c r="B75" s="219" t="inlineStr">
        <is>
          <t>病床推桿零件製造</t>
        </is>
      </c>
      <c r="C75" s="218" t="inlineStr">
        <is>
          <t>Not identified</t>
        </is>
      </c>
      <c r="D75" s="218" t="inlineStr">
        <is>
          <t>Taichung</t>
        </is>
      </c>
      <c r="E75" s="218" t="n"/>
      <c r="F75" s="218" t="inlineStr">
        <is>
          <t>Excluded: 病床推桿零件製造. Email on directory: shiangrui432@gmail.com</t>
        </is>
      </c>
      <c r="G75" s="218" t="inlineStr">
        <is>
          <t>EXCLUDED</t>
        </is>
      </c>
      <c r="H75" s="218" t="inlineStr">
        <is>
          <t>TCMICA directory</t>
        </is>
      </c>
    </row>
    <row r="76" ht="15" customHeight="1" s="104">
      <c r="A76" s="219" t="inlineStr">
        <is>
          <t>美弗實業股份有限公司</t>
        </is>
      </c>
      <c r="B76" s="219" t="inlineStr">
        <is>
          <t>嬰幼兒商品</t>
        </is>
      </c>
      <c r="C76" s="218" t="inlineStr">
        <is>
          <t>Not identified</t>
        </is>
      </c>
      <c r="D76" s="218" t="inlineStr">
        <is>
          <t>Taichung</t>
        </is>
      </c>
      <c r="E76" s="218" t="n"/>
      <c r="F76" s="218" t="inlineStr">
        <is>
          <t>Excluded: 嬰幼兒商品. Email on directory: pc@simba.com.tw</t>
        </is>
      </c>
      <c r="G76" s="218" t="inlineStr">
        <is>
          <t>EXCLUDED</t>
        </is>
      </c>
      <c r="H76" s="218" t="inlineStr">
        <is>
          <t>TCMICA directory</t>
        </is>
      </c>
    </row>
    <row r="77" ht="15" customHeight="1" s="104">
      <c r="A77" s="219" t="inlineStr">
        <is>
          <t>勁赫製衣股份有限公司</t>
        </is>
      </c>
      <c r="B77" s="219" t="inlineStr">
        <is>
          <t>製衣</t>
        </is>
      </c>
      <c r="C77" s="218" t="inlineStr">
        <is>
          <t>Not identified</t>
        </is>
      </c>
      <c r="D77" s="218" t="inlineStr">
        <is>
          <t>Taichung</t>
        </is>
      </c>
      <c r="E77" s="218" t="n"/>
      <c r="F77" s="218" t="inlineStr">
        <is>
          <t>Excluded: 製衣. Email on directory: a26652258@yahoo.com.tw</t>
        </is>
      </c>
      <c r="G77" s="218" t="inlineStr">
        <is>
          <t>EXCLUDED</t>
        </is>
      </c>
      <c r="H77" s="218" t="inlineStr">
        <is>
          <t>TCMICA directory</t>
        </is>
      </c>
    </row>
    <row r="78" ht="15" customHeight="1" s="104">
      <c r="A78" s="219" t="inlineStr">
        <is>
          <t>豪霖工業股份有限公司</t>
        </is>
      </c>
      <c r="B78" s="219" t="inlineStr">
        <is>
          <t>鞋墊</t>
        </is>
      </c>
      <c r="C78" s="218" t="inlineStr">
        <is>
          <t>Not identified</t>
        </is>
      </c>
      <c r="D78" s="218" t="inlineStr">
        <is>
          <t>Taichung</t>
        </is>
      </c>
      <c r="E78" s="218" t="n"/>
      <c r="F78" s="218" t="inlineStr">
        <is>
          <t>Excluded: 鞋墊. Email on directory: hauling@ms33.hinet.net</t>
        </is>
      </c>
      <c r="G78" s="218" t="inlineStr">
        <is>
          <t>EXCLUDED</t>
        </is>
      </c>
      <c r="H78" s="218" t="inlineStr">
        <is>
          <t>TCMICA directory</t>
        </is>
      </c>
    </row>
    <row r="79" ht="15" customHeight="1" s="104">
      <c r="A79" s="219" t="inlineStr">
        <is>
          <t>德侑實業有限公司</t>
        </is>
      </c>
      <c r="B79" s="219" t="inlineStr">
        <is>
          <t>鞋墊</t>
        </is>
      </c>
      <c r="C79" s="218" t="inlineStr">
        <is>
          <t>Not identified</t>
        </is>
      </c>
      <c r="D79" s="218" t="inlineStr">
        <is>
          <t>Taichung</t>
        </is>
      </c>
      <c r="E79" s="218" t="n"/>
      <c r="F79" s="218" t="inlineStr">
        <is>
          <t>Excluded: 鞋墊. Email on directory: shela.a9119@msa.hinet.net</t>
        </is>
      </c>
      <c r="G79" s="218" t="inlineStr">
        <is>
          <t>EXCLUDED</t>
        </is>
      </c>
      <c r="H79" s="218" t="inlineStr">
        <is>
          <t>TCMICA directory</t>
        </is>
      </c>
    </row>
    <row r="80" ht="15" customHeight="1" s="104">
      <c r="A80" s="219" t="inlineStr">
        <is>
          <t>大田儀器有限公司(潭子)</t>
        </is>
      </c>
      <c r="B80" s="219" t="inlineStr">
        <is>
          <t>同公司已寄 ezcare5000@gmail.com</t>
        </is>
      </c>
      <c r="C80" s="218" t="inlineStr">
        <is>
          <t>Not identified</t>
        </is>
      </c>
      <c r="D80" s="218" t="inlineStr">
        <is>
          <t>Taichung</t>
        </is>
      </c>
      <c r="E80" s="218" t="n"/>
      <c r="F80" s="218" t="inlineStr">
        <is>
          <t>Excluded: 同公司已寄 ezcare5000@gmail.com. Email on directory: ez.care@msa.hinet.net</t>
        </is>
      </c>
      <c r="G80" s="218" t="inlineStr">
        <is>
          <t>EXCLUDED</t>
        </is>
      </c>
      <c r="H80" s="218" t="inlineStr">
        <is>
          <t>TCMICA directory</t>
        </is>
      </c>
    </row>
  </sheetData>
  <autoFilter ref="A4:H1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tabColor rgb="FF548235"/>
    <outlinePr summaryBelow="1" summaryRight="1"/>
    <pageSetUpPr fitToPage="0"/>
  </sheetPr>
  <dimension ref="A1:B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0" customWidth="1" style="103" min="1" max="1"/>
    <col width="125" customWidth="1" style="103" min="2" max="2"/>
  </cols>
  <sheetData>
    <row r="1" ht="18" customHeight="1" s="104">
      <c r="A1" s="117" t="inlineStr">
        <is>
          <t>Singapore — ALPS Ultrasound / Equipment Tender Cycle</t>
        </is>
      </c>
    </row>
    <row r="2" ht="14.25" customHeight="1" s="104">
      <c r="A2" s="118" t="inlineStr">
        <is>
          <t>Researched 20 Jul 2026 · carried verbatim from SG Contacts Combined.xlsx. Read alongside the Singapore Contacts and Singapore End-Users tabs.</t>
        </is>
      </c>
    </row>
    <row r="5" ht="24" customHeight="1" s="104">
      <c r="A5" s="220" t="inlineStr">
        <is>
          <t>1. No fixed annual 'ultrasound tender season'</t>
        </is>
      </c>
      <c r="B5" s="108" t="inlineStr">
        <is>
          <t>ALPS runs sourcing events on a ROLLING MONTHLY calendar, published 1-3 months ahead on its National Sourcing Events page. Events appear when institution demand/contract expiry triggers them, not on a fixed annual date. June-July 2026 events are all consumables/services - no ultrasound RFP is currently listed.</t>
        </is>
      </c>
    </row>
    <row r="6" ht="48" customHeight="1" s="104">
      <c r="A6" s="220" t="inlineStr">
        <is>
          <t>2. Where tenders are published</t>
        </is>
      </c>
      <c r="B6" s="108" t="inlineStr">
        <is>
          <t>THREE platforms, register on all: (1) SAP Business Network / Ariba (supplier.ariba.com) - ALPS national group-contract sourcing events. (2) SESAMi (sg.sesami.net) - institution-level RFQs/RFPs for NUHS and NHG hospitals (your NUH RFQ-22-0801 came through SESAMi; NUH still directs suppliers to the SESAMi Source Key portal today; SESAMi collects a small document fee on behalf of NHG/NUHS/JHS/AHPL). (3) GeBIZ (gebiz.gov.sg) - government tenders incl. MOH-level purchases. SingHealth runs its own eProcurement portal - check singhealth.com.sg/procurement when targeting SGH/KKH/NHC etc.</t>
        </is>
      </c>
    </row>
    <row r="7" ht="36" customHeight="1" s="104">
      <c r="A7" s="220" t="inlineStr">
        <is>
          <t>3. Budget rhythm that drives equipment tenders</t>
        </is>
      </c>
      <c r="B7" s="108" t="inlineStr">
        <is>
          <t>Public healthcare follows the Government fiscal year: 1 April - 31 March. Capital equipment budgets are approved before FY start, so new-FY equipment tenders typically start flowing from April onward, with sourcing activity clustering mid-year (roughly May-October). Plan demos/introductions for Q4 (Jan-Mar) so Chison is shortlist-ready when new-FY budgets release.</t>
        </is>
      </c>
    </row>
    <row r="8" ht="24" customHeight="1" s="104">
      <c r="A8" s="220" t="inlineStr">
        <is>
          <t>4. Typical contract structure</t>
        </is>
      </c>
      <c r="B8" s="108" t="inlineStr">
        <is>
          <t>From your own documents: ALPS Master Agreements typically run 2 years firm + 1-year extension option (e.g. GPMR08423: 1 Jul 2025 - 30 Jun 2027, +1yr to 2028). Equipment purchases are usually per-project capital tenders (RFP/RFQ), sometimes bundled with service/maintenance contracts of 5-8 years for imaging equipment.</t>
        </is>
      </c>
    </row>
    <row r="9" ht="36" customHeight="1" s="104">
      <c r="A9" s="220" t="inlineStr">
        <is>
          <t>5. Who runs ultrasound tenders inside ALPS</t>
        </is>
      </c>
      <c r="B9" s="108" t="inlineStr">
        <is>
          <t>Equipment sits under ALPS Strategic Procurement - MEDICAL TECHNOLOGY category (separate from the Medical Supplies/consumables team most of your contacts belong to). The MedTech team works with clinical champions, nursing and biomedical engineers to build category strategies. Your warm HQ contacts (Vanessa Soam, Angeline Tang, Kenny Soo, Tan Si Yuan) can refer you internally.</t>
        </is>
      </c>
    </row>
    <row r="10" ht="24" customHeight="1" s="104">
      <c r="A10" s="220" t="inlineStr">
        <is>
          <t>6. Who influences the spec</t>
        </is>
      </c>
      <c r="B10" s="108" t="inlineStr">
        <is>
          <t>Hospital-side demand comes from clinical departments (Radiology, Cardiology, O&amp;G, ED/ICU for POCUS) plus Biomedical Engineering. MMD contacts administer contracts but do not write equipment specs - always ask them for referral to the imaging/biomed teams.</t>
        </is>
      </c>
    </row>
    <row r="11" ht="24" customHeight="1" s="104">
      <c r="A11" s="220" t="inlineStr">
        <is>
          <t>7. Practical timeline expectations</t>
        </is>
      </c>
      <c r="B11" s="108" t="inlineStr">
        <is>
          <t>RFP open-to-close is typically 2-6 weeks (your NUH RFQ: 9 days; questions cutoff after 3 days). Evaluation + clinical trial/demo can take 2-6 months for equipment. Award to contract start: ~3 months (GPMR08423 awarded 28 Mar 2025 for 1 Jul 2025 start). Total cycle from RFP to install: commonly 6-12 months.</t>
        </is>
      </c>
    </row>
    <row r="12" ht="24" customHeight="1" s="104">
      <c r="A12" s="220" t="inlineStr">
        <is>
          <t>8. Vendor prerequisites</t>
        </is>
      </c>
      <c r="B12" s="108" t="inlineStr">
        <is>
          <t>Singapore-registered entity (or appointed local distributor), HSA medical device registration for each ultrasound model, and Ariba/GeBIZ registration. Private hospitals (e.g. Mount Alvernia) and MINDEF procure outside ALPS on their own cycles.</t>
        </is>
      </c>
    </row>
    <row r="14" ht="14.25" customHeight="1" s="104">
      <c r="A14" s="220" t="inlineStr">
        <is>
          <t>Sources</t>
        </is>
      </c>
      <c r="B14" s="108" t="inlineStr">
        <is>
          <t>alpshealthcare.com.sg (Process Guidelines, National Sourcing Events), supplier.ariba.com, gebiz.gov.sg, MOF Singapore fiscal year, your ALPS MA folder documents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tabColor rgb="FFFFC000"/>
    <outlinePr summaryBelow="1" summaryRight="1"/>
    <pageSetUpPr fitToPage="0"/>
  </sheetPr>
  <dimension ref="A1:F23"/>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6796875" defaultRowHeight="14.25" zeroHeight="0" outlineLevelRow="0"/>
  <cols>
    <col width="12" customWidth="1" style="103" min="1" max="1"/>
    <col width="34" customWidth="1" style="103" min="2" max="2"/>
    <col width="10" customWidth="1" style="103" min="3" max="3"/>
    <col width="22" customWidth="1" style="103" min="4" max="4"/>
    <col width="96" customWidth="1" style="103" min="5" max="5"/>
    <col width="44" customWidth="1" style="103" min="6" max="6"/>
  </cols>
  <sheetData>
    <row r="1" ht="18" customHeight="1" s="104">
      <c r="A1" s="117" t="inlineStr">
        <is>
          <t>Priority Audit — 7 tier corrections, 10 judgements upheld</t>
        </is>
      </c>
    </row>
    <row r="2" ht="14.25" customHeight="1" s="104">
      <c r="A2" s="118" t="inlineStr">
        <is>
          <t>Why v3.1 exists: the two source files used INCOMPATIBLE Tier 1 definitions and v3.0 merged them verbatim. v2's rule rewards scale/service capability + a working domain; the TFDA-registry file's rule rewarded being SMALL ('single/minor line, no deep entrenchment') and ignored reachability entirely — so six micro-importers and one listed competitor landed at the top of the call list. Every row below is auditable; reverse any of them you disagree with.</t>
        </is>
      </c>
    </row>
    <row r="4" ht="25.5" customHeight="1" s="104">
      <c r="A4" s="119" t="inlineStr">
        <is>
          <t>Market</t>
        </is>
      </c>
      <c r="B4" s="119" t="inlineStr">
        <is>
          <t>Company</t>
        </is>
      </c>
      <c r="C4" s="119" t="inlineStr">
        <is>
          <t>Was</t>
        </is>
      </c>
      <c r="D4" s="119" t="inlineStr">
        <is>
          <t>Now</t>
        </is>
      </c>
      <c r="E4" s="119" t="inlineStr">
        <is>
          <t>Why</t>
        </is>
      </c>
      <c r="F4" s="119" t="inlineStr">
        <is>
          <t>Evidence</t>
        </is>
      </c>
    </row>
    <row r="5" ht="21.75" customHeight="1" s="104">
      <c r="A5" s="120" t="inlineStr">
        <is>
          <t>CHANGED — tier corrected in this pass</t>
        </is>
      </c>
      <c r="B5" s="120" t="n"/>
      <c r="C5" s="120" t="n"/>
      <c r="D5" s="120" t="n"/>
      <c r="E5" s="120" t="n"/>
      <c r="F5" s="120" t="n"/>
    </row>
    <row r="6" ht="39.75" customHeight="1" s="104">
      <c r="A6" s="121" t="inlineStr">
        <is>
          <t>Taiwan</t>
        </is>
      </c>
      <c r="B6" s="143" t="inlineStr">
        <is>
          <t>奇裕企業股份有限公司</t>
        </is>
      </c>
      <c r="C6" s="121" t="inlineStr">
        <is>
          <t>1</t>
        </is>
      </c>
      <c r="D6" s="121" t="inlineStr">
        <is>
          <t>2</t>
        </is>
      </c>
      <c r="E6" s="121" t="inlineStr">
        <is>
          <t>Kromax International (奇裕集團) is real and reachable — kromax.com, a LinkedIn company page, and TEEIA membership — so the registry's 'Not verified' was wrong and contact detail is now filled in. But TEEIA is the ELECTRONICS MANUFACTURING EQUIPMENT association: medical looks like a sideline of an industrial-equipment group, so 'right segment + service capability' is unproven. Qualify before promoting.</t>
        </is>
      </c>
      <c r="F6" s="121" t="inlineStr">
        <is>
          <t>kromax.com (SONON 300L/300C listing) · tw.linkedin.com/company/kromax-international-corp. · teeiab2b.com.tw</t>
        </is>
      </c>
    </row>
    <row r="7" ht="39.75" customHeight="1" s="104">
      <c r="A7" s="121" t="inlineStr">
        <is>
          <t>Taiwan</t>
        </is>
      </c>
      <c r="B7" s="143" t="inlineStr">
        <is>
          <t>安克生醫股份有限公司</t>
        </is>
      </c>
      <c r="C7" s="121" t="inlineStr">
        <is>
          <t>1</t>
        </is>
      </c>
      <c r="D7" s="121" t="inlineStr">
        <is>
          <t>EXCLUDED (manufacturer)</t>
        </is>
      </c>
      <c r="E7" s="121" t="inlineStr">
        <is>
          <t>AmCad BioMed — TPEx-listed (4188) Taiwan brand owner of its OWN AI ultrasound products (安克細偵 Taiwan Excellence award; 即時AI掌超 real-time AI handheld, sold to Jordan's royal medical system; US FDA-cleared sleep-apnoea ultrasound system). It imports the Teratech engine as an OEM COMPONENT for its own device — it is not a dealer. Both the registry file's own exclusion rule (Taiwan brand owners using a contract factory) and CHISON's interest (they compete directly in AI handheld, against SonoEye + SonoAI) put this on the REF &amp; Excluded tab, not at the top of the call list.</t>
        </is>
      </c>
      <c r="F7" s="121" t="inlineStr">
        <is>
          <t>amcad.com.tw · udn.com/news/story/7241/8794554 · genetinfo.com item 79657 · innoaward.taiwan-healthcare.org</t>
        </is>
      </c>
    </row>
    <row r="8" ht="39.75" customHeight="1" s="104">
      <c r="A8" s="121" t="inlineStr">
        <is>
          <t>Taiwan</t>
        </is>
      </c>
      <c r="B8" s="143" t="inlineStr">
        <is>
          <t>楨寶有限公司</t>
        </is>
      </c>
      <c r="C8" s="121" t="inlineStr">
        <is>
          <t>1</t>
        </is>
      </c>
      <c r="D8" s="121" t="inlineStr">
        <is>
          <t>3</t>
        </is>
      </c>
      <c r="E8" s="121" t="inlineStr">
        <is>
          <t>No web presence of any kind found. Single brand is Guangzhou Sonostar — an Alibaba/made-in-china-tier handheld maker. Fails v2's own Tier-1 rule that every Tier 1 has a working domain, and no scale or service capability is evidenced. Long tail until someone reaches them at the registry address.</t>
        </is>
      </c>
      <c r="F8" s="121" t="inlineStr">
        <is>
          <t>No result for 楨寶有限公司 in TW web search; sonostar.net is a Guangzhou export brand</t>
        </is>
      </c>
    </row>
    <row r="9" ht="39.75" customHeight="1" s="104">
      <c r="A9" s="121" t="inlineStr">
        <is>
          <t>Taiwan</t>
        </is>
      </c>
      <c r="B9" s="143" t="inlineStr">
        <is>
          <t>泳鈦國際有限公司</t>
        </is>
      </c>
      <c r="C9" s="121" t="inlineStr">
        <is>
          <t>1</t>
        </is>
      </c>
      <c r="D9" s="121" t="inlineStr">
        <is>
          <t>3</t>
        </is>
      </c>
      <c r="E9" s="121" t="inlineStr">
        <is>
          <t>Same as 楨寶 — no web presence, single Sonostar (Guangzhou) handheld brand, Tainan-based. No verifiable scale, service team or domain.</t>
        </is>
      </c>
      <c r="F9" s="121" t="inlineStr">
        <is>
          <t>No result in TW web search; sonostar.net is a Guangzhou export brand</t>
        </is>
      </c>
    </row>
    <row r="10" ht="39.75" customHeight="1" s="104">
      <c r="A10" s="121" t="inlineStr">
        <is>
          <t>Taiwan</t>
        </is>
      </c>
      <c r="B10" s="143" t="inlineStr">
        <is>
          <t>營廣股份有限公司</t>
        </is>
      </c>
      <c r="C10" s="121" t="inlineStr">
        <is>
          <t>1</t>
        </is>
      </c>
      <c r="D10" s="121" t="inlineStr">
        <is>
          <t>3</t>
        </is>
      </c>
      <c r="E10" s="121" t="inlineStr">
        <is>
          <t>No web presence found. Single small US OEM brand (Medisono). Note Medisono is already carried by 品約 Pinyork (row 1, Tier 1) which DOES have a service team and a domain — so this row adds little.</t>
        </is>
      </c>
      <c r="F10" s="121" t="inlineStr">
        <is>
          <t>No result in TW web search for 營廣股份有限公司</t>
        </is>
      </c>
    </row>
    <row r="11" ht="39.75" customHeight="1" s="104">
      <c r="A11" s="121" t="inlineStr">
        <is>
          <t>Taiwan</t>
        </is>
      </c>
      <c r="B11" s="143" t="inlineStr">
        <is>
          <t>華僖股份有限公司</t>
        </is>
      </c>
      <c r="C11" s="121" t="inlineStr">
        <is>
          <t>1</t>
        </is>
      </c>
      <c r="D11" s="121" t="inlineStr">
        <is>
          <t>3</t>
        </is>
      </c>
      <c r="E11" s="121" t="inlineStr">
        <is>
          <t>No web presence found. Single basic Chinese brand (Xuzhou Kaixin). Kaohsiung-based. No verifiable scale, service capability or domain.</t>
        </is>
      </c>
      <c r="F11" s="121" t="inlineStr">
        <is>
          <t>No result in TW web search for 華僖股份有限公司</t>
        </is>
      </c>
    </row>
    <row r="12" ht="39.75" customHeight="1" s="104">
      <c r="A12" s="121" t="inlineStr">
        <is>
          <t>Japan</t>
        </is>
      </c>
      <c r="B12" s="122" t="inlineStr">
        <is>
          <t>Green Medical グリーンメディカル</t>
        </is>
      </c>
      <c r="C12" s="121" t="inlineStr">
        <is>
          <t>1</t>
        </is>
      </c>
      <c r="D12" s="121" t="inlineStr">
        <is>
          <t>2</t>
        </is>
      </c>
      <c r="E12" s="121" t="inlineStr">
        <is>
          <t>green-medical.jp is a USED / REFURBISHED medical equipment trader (中古医療機器の販売・買取) — it buys and resells second-hand systems rather than building a new brand, which is why its line card reads 'multi-brand US'. Wrong business model for a new-distributor appointment, so not 'contact first'. Kept at Tier 2 rather than dropped because their customers are price-sensitive clinics — the same buyer CHISON's value tier targets — and a trade-in/upgrade play is worth one qualifying call.</t>
        </is>
      </c>
      <c r="F12" s="121" t="inlineStr">
        <is>
          <t>green-medical.jp/en ('Used Medical Equipment'), green-medical.jp/buy/flow</t>
        </is>
      </c>
    </row>
    <row r="13" ht="21.75" customHeight="1" s="104">
      <c r="A13" s="120" t="inlineStr">
        <is>
          <t>UPHELD — examined and deliberately left unchanged</t>
        </is>
      </c>
      <c r="B13" s="120" t="n"/>
      <c r="C13" s="120" t="n"/>
      <c r="D13" s="120" t="n"/>
      <c r="E13" s="120" t="n"/>
      <c r="F13" s="120" t="n"/>
    </row>
    <row r="14" ht="39.75" customHeight="1" s="104">
      <c r="A14" s="121" t="inlineStr">
        <is>
          <t>Taiwan</t>
        </is>
      </c>
      <c r="B14" s="143" t="inlineStr">
        <is>
          <t>品約醫療儀器 Pinyork Medical</t>
        </is>
      </c>
      <c r="C14" s="121" t="inlineStr">
        <is>
          <t>1</t>
        </is>
      </c>
      <c r="D14" s="121" t="inlineStr">
        <is>
          <t>1</t>
        </is>
      </c>
      <c r="E14" s="121" t="inlineStr">
        <is>
          <t>Carries Fujifilm/Aloka + Medisono, so it fails a literal reading of 'no competing line' — but Aloka is a legacy platform with an ageing installed base, Pinyork runs its OWN service team and clinic base, and the row's product column already frames the Aloka-refresh pitch. The conflict IS the opportunity. Tier 1 upheld.</t>
        </is>
      </c>
      <c r="F14" s="121" t="inlineStr">
        <is>
          <t>judgement call — reverse it if you disagree</t>
        </is>
      </c>
    </row>
    <row r="15" ht="39.75" customHeight="1" s="104">
      <c r="A15" s="121" t="inlineStr">
        <is>
          <t>Taiwan</t>
        </is>
      </c>
      <c r="B15" s="143" t="inlineStr">
        <is>
          <t>總騰儀器 SOAR Instrument-Tech</t>
        </is>
      </c>
      <c r="C15" s="121" t="inlineStr">
        <is>
          <t>1</t>
        </is>
      </c>
      <c r="D15" s="121" t="inlineStr">
        <is>
          <t>1</t>
        </is>
      </c>
      <c r="E15" s="121" t="inlineStr">
        <is>
          <t>Carries GE ultrasound, but the row records the GE line as non-exclusive and the channel is clinic-opening turnkey bundles — a cost-sensitive buyer where a value-tier brand genuinely wins. Tier 1 upheld, but the GE conflict should be the first qualifying question.</t>
        </is>
      </c>
      <c r="F15" s="121" t="inlineStr">
        <is>
          <t>judgement call — reverse it if you disagree</t>
        </is>
      </c>
    </row>
    <row r="16" ht="39.75" customHeight="1" s="104">
      <c r="A16" s="121" t="inlineStr">
        <is>
          <t>Taiwan</t>
        </is>
      </c>
      <c r="B16" s="143" t="inlineStr">
        <is>
          <t>力林國際 Vet Supply (crossover)</t>
        </is>
      </c>
      <c r="C16" s="121" t="inlineStr">
        <is>
          <t>1</t>
        </is>
      </c>
      <c r="D16" s="121" t="inlineStr">
        <is>
          <t>1</t>
        </is>
      </c>
      <c r="E16" s="121" t="inlineStr">
        <is>
          <t>Carries vet ultrasound. v2's Tier 1 definition explicitly carves out '(or vet-dedicated channel)', so this is compliant, not an exception. Tier 1 upheld.</t>
        </is>
      </c>
      <c r="F16" s="121" t="inlineStr">
        <is>
          <t>judgement call — reverse it if you disagree</t>
        </is>
      </c>
    </row>
    <row r="17" ht="39.75" customHeight="1" s="104">
      <c r="A17" s="121" t="inlineStr">
        <is>
          <t>Korea</t>
        </is>
      </c>
      <c r="B17" s="122" t="inlineStr">
        <is>
          <t>JW Medical JW메디칼</t>
        </is>
      </c>
      <c r="C17" s="121" t="inlineStr">
        <is>
          <t>1</t>
        </is>
      </c>
      <c r="D17" s="121" t="inlineStr">
        <is>
          <t>1</t>
        </is>
      </c>
      <c r="E17" s="121" t="inlineStr">
        <is>
          <t>Carries imported ultrasound, but is already at 'Evaluation placed' — the only row in the whole workbook past 'Not started'. Live opportunity. Tier 1 upheld.</t>
        </is>
      </c>
      <c r="F17" s="121" t="inlineStr">
        <is>
          <t>judgement call — reverse it if you disagree</t>
        </is>
      </c>
    </row>
    <row r="18" ht="39.75" customHeight="1" s="104">
      <c r="A18" s="121" t="inlineStr">
        <is>
          <t>Korea</t>
        </is>
      </c>
      <c r="B18" s="122" t="inlineStr">
        <is>
          <t>Listem 리스템 / JPI Healthcare</t>
        </is>
      </c>
      <c r="C18" s="121" t="inlineStr">
        <is>
          <t>2</t>
        </is>
      </c>
      <c r="D18" s="121" t="inlineStr">
        <is>
          <t>2</t>
        </is>
      </c>
      <c r="E18" s="121" t="inlineStr">
        <is>
          <t>Both are Korean X-ray/DR MAKERS with radiology dealer networks and no ultrasound line — they match the Tier 1 profile on paper. Left at Tier 2 because they are manufacturers: whether they will carry a third-party foreign brand is exactly the 'fit to confirm' that defines Tier 2. Verified Listem makes DR/fluoroscopy/radiography only.</t>
        </is>
      </c>
      <c r="F18" s="121" t="inlineStr">
        <is>
          <t>judgement call — reverse it if you disagree</t>
        </is>
      </c>
    </row>
    <row r="19" ht="39.75" customHeight="1" s="104">
      <c r="A19" s="121" t="inlineStr">
        <is>
          <t>Korea</t>
        </is>
      </c>
      <c r="B19" s="122" t="inlineStr">
        <is>
          <t>Soelim 소림</t>
        </is>
      </c>
      <c r="C19" s="121" t="inlineStr">
        <is>
          <t>2</t>
        </is>
      </c>
      <c r="D19" s="121" t="inlineStr">
        <is>
          <t>2</t>
        </is>
      </c>
      <c r="E19" s="121" t="inlineStr">
        <is>
          <t>Surgical/ortho/hospital OR channel with no ultrasound conflict — matches your KEY ASK closely. Left at Tier 2 only because OR-instrument dealers rarely carry capital imaging; promote on the first positive call.</t>
        </is>
      </c>
      <c r="F19" s="121" t="inlineStr">
        <is>
          <t>judgement call — reverse it if you disagree</t>
        </is>
      </c>
    </row>
    <row r="20" ht="39.75" customHeight="1" s="104">
      <c r="A20" s="121" t="inlineStr">
        <is>
          <t>Korea</t>
        </is>
      </c>
      <c r="B20" s="122" t="inlineStr">
        <is>
          <t>Emergo Korea vs Synex 사이넥스</t>
        </is>
      </c>
      <c r="C20" s="121" t="inlineStr">
        <is>
          <t>2 vs 1</t>
        </is>
      </c>
      <c r="D20" s="121" t="inlineStr">
        <is>
          <t>2 vs 1</t>
        </is>
      </c>
      <c r="E20" s="121" t="inlineStr">
        <is>
          <t>Both are licence-holder routes, tiered differently. Upheld: Synex offers full commercialisation (clinical, MFDS licensing, market access, sub-dealer build) whereas Emergo is a pure KLH service. Different scope, different tier.</t>
        </is>
      </c>
      <c r="F20" s="121" t="inlineStr">
        <is>
          <t>judgement call — reverse it if you disagree</t>
        </is>
      </c>
    </row>
    <row r="21" ht="39.75" customHeight="1" s="104">
      <c r="A21" s="121" t="inlineStr">
        <is>
          <t>Japan</t>
        </is>
      </c>
      <c r="B21" s="122" t="inlineStr">
        <is>
          <t>13 national/regional dealers at Tier 1 with 'Unknown' line card</t>
        </is>
      </c>
      <c r="C21" s="121" t="inlineStr">
        <is>
          <t>1</t>
        </is>
      </c>
      <c r="D21" s="121" t="inlineStr">
        <is>
          <t>1</t>
        </is>
      </c>
      <c r="E21" s="121" t="inlineStr">
        <is>
          <t>Yamashita, Kawanishi, Mutoh, Yagami, Kishiya, TS Alfresa, Konishi, Matsuyoshi et al. are Japan's regional dealer network — they distribute whatever the hospital orders, so 'Unknown' means unqualified, not conflicted. Tier 1 upheld; the line-card question is the first thing to ask.</t>
        </is>
      </c>
      <c r="F21" s="121" t="inlineStr">
        <is>
          <t>judgement call — reverse it if you disagree</t>
        </is>
      </c>
    </row>
    <row r="22" ht="39.75" customHeight="1" s="104">
      <c r="A22" s="121" t="inlineStr">
        <is>
          <t>Singapore</t>
        </is>
      </c>
      <c r="B22" s="122" t="inlineStr">
        <is>
          <t>3 medical schools at Tier 1</t>
        </is>
      </c>
      <c r="C22" s="121" t="inlineStr">
        <is>
          <t>1</t>
        </is>
      </c>
      <c r="D22" s="121" t="inlineStr">
        <is>
          <t>1</t>
        </is>
      </c>
      <c r="E22" s="121" t="inlineStr">
        <is>
          <t>Duke-NUS, NUS Yong Loo Lin, NTU LKC. Different buying motion from the GP chains (teaching/simulation, smaller volume, longer cycle) but POCUS curricula buy handhelds in quantity and they manufacture KOLs. Tier 1 upheld.</t>
        </is>
      </c>
      <c r="F22" s="121" t="inlineStr">
        <is>
          <t>judgement call — reverse it if you disagree</t>
        </is>
      </c>
    </row>
    <row r="23" ht="39.75" customHeight="1" s="104">
      <c r="A23" s="121" t="inlineStr">
        <is>
          <t>All tabs</t>
        </is>
      </c>
      <c r="B23" s="122" t="inlineStr">
        <is>
          <t>'3-Resource' and 'REF' tier values</t>
        </is>
      </c>
      <c r="C23" s="121" t="inlineStr">
        <is>
          <t>n/a</t>
        </is>
      </c>
      <c r="D23" s="121" t="inlineStr">
        <is>
          <t>n/a</t>
        </is>
      </c>
      <c r="E23" s="121" t="inlineStr">
        <is>
          <t>16 resource rows (associations, expos, registries, directories) and 25 REF rows (competitors and brand subsidiaries) are correctly held OUT of the numeric tiers on every tab. This taxonomy was applied consistently in v2 and needed no correction.</t>
        </is>
      </c>
      <c r="F23" s="121" t="inlineStr">
        <is>
          <t>judgement call — reverse it if you disagree</t>
        </is>
      </c>
    </row>
  </sheetData>
  <autoFilter ref="A4:F2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2026-08-08T03:40:07Z</dcterms:created>
  <dcterms:modified xmlns:dcterms="http://purl.org/dc/terms/" xmlns:xsi="http://www.w3.org/2001/XMLSchema-instance" xsi:type="dcterms:W3CDTF">2026-10-10T12:35:23Z</dcterms:modified>
  <cp:lastModifiedBy>Tan chin Huat</cp:lastModifiedBy>
  <cp:revision>0</cp:revision>
</cp:coreProperties>
</file>