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List" sheetId="1" state="visible" r:id="rId1"/>
    <sheet xmlns:r="http://schemas.openxmlformats.org/officeDocument/2006/relationships" name="Tier A Shortlist" sheetId="2" state="visible" r:id="rId2"/>
    <sheet xmlns:r="http://schemas.openxmlformats.org/officeDocument/2006/relationships" name="By Region" sheetId="3" state="visible" r:id="rId3"/>
    <sheet xmlns:r="http://schemas.openxmlformats.org/officeDocument/2006/relationships" name="Summary" sheetId="4" state="visible" r:id="rId4"/>
    <sheet xmlns:r="http://schemas.openxmlformats.org/officeDocument/2006/relationships" name="Sources" sheetId="5" state="visible" r:id="rId5"/>
    <sheet xmlns:r="http://schemas.openxmlformats.org/officeDocument/2006/relationships" name="Verification Log" sheetId="6" state="visible" r:id="rId6"/>
  </sheets>
  <definedNames>
    <definedName name="_xlnm._FilterDatabase" localSheetId="0" hidden="1">'Master List'!$A$4:$AG$292</definedName>
    <definedName name="_xlnm._FilterDatabase" localSheetId="1" hidden="1">'Tier A Shortlist'!$A$4:$L$19</definedName>
    <definedName name="_xlnm._FilterDatabase" localSheetId="2" hidden="1">'By Region'!$A$4:$H$10</definedName>
    <definedName name="_xlnm._FilterDatabase" localSheetId="4" hidden="1">'Sources'!$A$4:$C$108</definedName>
    <definedName name="_xlnm._FilterDatabase" localSheetId="5" hidden="1">'Verification Log'!$A$4:$F$40</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14"/>
    </font>
    <font>
      <name val="Arial"/>
      <i val="1"/>
      <sz val="9"/>
    </font>
    <font>
      <name val="Arial"/>
      <b val="1"/>
      <color rgb="00FFFFFF"/>
      <sz val="10"/>
    </font>
    <font>
      <name val="Arial"/>
      <sz val="9"/>
    </font>
    <font>
      <name val="Arial"/>
      <color rgb="000563C1"/>
      <sz val="9"/>
      <u val="single"/>
    </font>
    <font>
      <name val="Arial"/>
      <b val="1"/>
      <sz val="9"/>
    </font>
    <font>
      <name val="Arial"/>
      <b val="1"/>
      <color rgb="001F3864"/>
    </font>
    <font>
      <name val="Arial"/>
      <b val="1"/>
    </font>
    <font>
      <name val="Arial"/>
      <b val="1"/>
      <color rgb="001F3864"/>
      <sz val="9"/>
    </font>
  </fonts>
  <fills count="9">
    <fill>
      <patternFill/>
    </fill>
    <fill>
      <patternFill patternType="gray125"/>
    </fill>
    <fill>
      <patternFill patternType="solid">
        <fgColor rgb="001F3864"/>
      </patternFill>
    </fill>
    <fill>
      <patternFill patternType="solid">
        <fgColor rgb="00C6EFCE"/>
      </patternFill>
    </fill>
    <fill>
      <patternFill patternType="solid">
        <fgColor rgb="00F2F2F2"/>
      </patternFill>
    </fill>
    <fill>
      <patternFill patternType="solid">
        <fgColor rgb="00FFF2CC"/>
      </patternFill>
    </fill>
    <fill>
      <patternFill patternType="solid">
        <fgColor rgb="00FFEB9C"/>
      </patternFill>
    </fill>
    <fill>
      <patternFill patternType="solid">
        <fgColor rgb="00DDEBF7"/>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4" borderId="1" applyAlignment="1" pivotButton="0" quotePrefix="0" xfId="0">
      <alignment vertical="top" wrapText="1"/>
    </xf>
    <xf numFmtId="0" fontId="6" fillId="3" borderId="1" applyAlignment="1" pivotButton="0" quotePrefix="0" xfId="0">
      <alignment horizontal="center" vertical="top"/>
    </xf>
    <xf numFmtId="0" fontId="5" fillId="0" borderId="1" applyAlignment="1" pivotButton="0" quotePrefix="0" xfId="0">
      <alignment vertical="top" wrapText="1"/>
    </xf>
    <xf numFmtId="0" fontId="4" fillId="5" borderId="1" applyAlignment="1" pivotButton="0" quotePrefix="0" xfId="0">
      <alignment vertical="top" wrapText="1"/>
    </xf>
    <xf numFmtId="0" fontId="6" fillId="6" borderId="1" applyAlignment="1" pivotButton="0" quotePrefix="0" xfId="0">
      <alignment horizontal="center" vertical="top"/>
    </xf>
    <xf numFmtId="0" fontId="6" fillId="7" borderId="1" applyAlignment="1" pivotButton="0" quotePrefix="0" xfId="0">
      <alignment horizontal="center" vertical="top"/>
    </xf>
    <xf numFmtId="0" fontId="4" fillId="8" borderId="1" applyAlignment="1" pivotButton="0" quotePrefix="0" xfId="0">
      <alignment vertical="top" wrapText="1"/>
    </xf>
    <xf numFmtId="0" fontId="7" fillId="0" borderId="0" pivotButton="0" quotePrefix="0" xfId="0"/>
    <xf numFmtId="0" fontId="4" fillId="0" borderId="0" pivotButton="0" quotePrefix="0" xfId="0"/>
    <xf numFmtId="0" fontId="6" fillId="0" borderId="0" pivotButton="0" quotePrefix="0" xfId="0"/>
    <xf numFmtId="0" fontId="8" fillId="0" borderId="0" pivotButton="0" quotePrefix="0" xfId="0"/>
    <xf numFmtId="0" fontId="9"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pmda.go.jp/PmdaSearch/kikiDetail/GeneralList/221ABBZX00092000_A_01" TargetMode="External" Id="rId1"/><Relationship Type="http://schemas.openxmlformats.org/officeDocument/2006/relationships/hyperlink" Target="https://www.r-agent.com/company/05319/" TargetMode="External" Id="rId2"/><Relationship Type="http://schemas.openxmlformats.org/officeDocument/2006/relationships/hyperlink" Target="https://www.atpress.ne.jp/news/11004" TargetMode="External" Id="rId3"/><Relationship Type="http://schemas.openxmlformats.org/officeDocument/2006/relationships/hyperlink" Target="https://www.pref.hiroshima.lg.jp/uploaded/attachment/261374.pdf" TargetMode="External" Id="rId4"/><Relationship Type="http://schemas.openxmlformats.org/officeDocument/2006/relationships/hyperlink" Target="https://baseconnect.in/companies/prefecture/a30ebdff-361b-42be-8372-1b0d350f48a0/keyword/2517ed26-1f2b-4156-ab10-55a6dc901a56" TargetMode="External" Id="rId5"/><Relationship Type="http://schemas.openxmlformats.org/officeDocument/2006/relationships/hyperlink" Target="https://magnet-japan.net" TargetMode="External" Id="rId6"/><Relationship Type="http://schemas.openxmlformats.org/officeDocument/2006/relationships/hyperlink" Target="https://www.careercross.com/company/pdf-591894" TargetMode="External" Id="rId7"/><Relationship Type="http://schemas.openxmlformats.org/officeDocument/2006/relationships/hyperlink" Target="https://mynavi-agent.jp/corpdetail/1161/" TargetMode="External" Id="rId8"/><Relationship Type="http://schemas.openxmlformats.org/officeDocument/2006/relationships/hyperlink" Target="https://directscout.recruit.co.jp/job_descriptions/7637910" TargetMode="External" Id="rId9"/><Relationship Type="http://schemas.openxmlformats.org/officeDocument/2006/relationships/hyperlink" Target="https://baseconnect.in/companies/prefecture/d80b180e-5fd9-4082-8cdc-a510179a3475/keyword/89941b4e-2dd1-4848-8957-48af280a31e0" TargetMode="External" Id="rId10"/><Relationship Type="http://schemas.openxmlformats.org/officeDocument/2006/relationships/hyperlink" Target="https://baseconnect.in/companies/prefecture/5b2e6d00-cfba-4d0b-850d-54757e4b4d7f/category/b2358a1c-c4c6-46f4-a0b1-dee3a1b30a0b" TargetMode="External" Id="rId11"/><Relationship Type="http://schemas.openxmlformats.org/officeDocument/2006/relationships/hyperlink" Target="https://careerconnection.jp/review/82545/jobinfo/" TargetMode="External" Id="rId12"/><Relationship Type="http://schemas.openxmlformats.org/officeDocument/2006/relationships/hyperlink" Target="https://baseconnect.in/companies/prefecture/912d7b2d-41c2-4923-a5c1-6666f9834966/keyword/14f3dcec-9cd5-4be5-84e1-ddccb7bd228c" TargetMode="External" Id="rId13"/><Relationship Type="http://schemas.openxmlformats.org/officeDocument/2006/relationships/hyperlink" Target="https://baseconnect.in/companies/prefecture/d80b180e-5fd9-4082-8cdc-a510179a3475/keyword/89941b4e-2dd1-4848-8957-48af280a31e0" TargetMode="External" Id="rId14"/><Relationship Type="http://schemas.openxmlformats.org/officeDocument/2006/relationships/hyperlink" Target="https://www.pref.yamaguchi.lg.jp/uploaded/attachment/60067.pdf" TargetMode="External" Id="rId15"/><Relationship Type="http://schemas.openxmlformats.org/officeDocument/2006/relationships/hyperlink" Target="https://baseconnect.in/companies/prefecture/3420045f-8609-4232-9407-75407ae4e6e8/keyword/89941b4e-2dd1-4848-8957-48af280a31e0" TargetMode="External" Id="rId16"/><Relationship Type="http://schemas.openxmlformats.org/officeDocument/2006/relationships/hyperlink" Target="https://www.open-nes.co.jp/" TargetMode="External" Id="rId17"/><Relationship Type="http://schemas.openxmlformats.org/officeDocument/2006/relationships/hyperlink" Target="https://www.pref.saitama.lg.jp/documents/236621/0220_nisshindenshiservice.pdf" TargetMode="External" Id="rId18"/><Relationship Type="http://schemas.openxmlformats.org/officeDocument/2006/relationships/hyperlink" Target="https://baseconnect.in/companies/prefecture/a30ebdff-361b-42be-8372-1b0d350f48a0/keyword/2517ed26-1f2b-4156-ab10-55a6dc901a56" TargetMode="External" Id="rId19"/><Relationship Type="http://schemas.openxmlformats.org/officeDocument/2006/relationships/hyperlink" Target="https://compalyze.co.jp/company/3430001002008" TargetMode="External" Id="rId20"/><Relationship Type="http://schemas.openxmlformats.org/officeDocument/2006/relationships/hyperlink" Target="https://compalyze.co.jp/company/6030001055134" TargetMode="External" Id="rId21"/><Relationship Type="http://schemas.openxmlformats.org/officeDocument/2006/relationships/hyperlink" Target="https://baseconnect.in/companies/prefecture/3420045f-8609-4232-9407-75407ae4e6e8/category/b2358a1c-c4c6-46f4-a0b1-dee3a1b30a0b" TargetMode="External" Id="rId22"/><Relationship Type="http://schemas.openxmlformats.org/officeDocument/2006/relationships/hyperlink" Target="https://baseconnect.in/companies/prefecture/3420045f-8609-4232-9407-75407ae4e6e8/category/b2358a1c-c4c6-46f4-a0b1-dee3a1b30a0b" TargetMode="External" Id="rId23"/><Relationship Type="http://schemas.openxmlformats.org/officeDocument/2006/relationships/hyperlink" Target="https://www2.jpx.co.jp/disc/26670/140120190403400264.pdf" TargetMode="External" Id="rId24"/><Relationship Type="http://schemas.openxmlformats.org/officeDocument/2006/relationships/hyperlink" Target="https://baseconnect.in/companies/prefecture/9c059a11-e5ef-470d-a270-47022ad1f973/category/e8b4fb2e-8cf9-473d-be34-3f729e65fdf3" TargetMode="External" Id="rId25"/><Relationship Type="http://schemas.openxmlformats.org/officeDocument/2006/relationships/hyperlink" Target="https://baseconnect.in/companies/prefecture/4637ba90-383b-4656-8be1-ca34c7f7244f/keyword/89941b4e-2dd1-4848-8957-48af280a31e0" TargetMode="External" Id="rId26"/><Relationship Type="http://schemas.openxmlformats.org/officeDocument/2006/relationships/hyperlink" Target="https://baseconnect.in/companies/prefecture/a30ebdff-361b-42be-8372-1b0d350f48a0/keyword/2517ed26-1f2b-4156-ab10-55a6dc901a56" TargetMode="External" Id="rId27"/><Relationship Type="http://schemas.openxmlformats.org/officeDocument/2006/relationships/hyperlink" Target="https://baseconnect.in/companies/prefecture/a30ebdff-361b-42be-8372-1b0d350f48a0/keyword/2517ed26-1f2b-4156-ab10-55a6dc901a56" TargetMode="External" Id="rId28"/><Relationship Type="http://schemas.openxmlformats.org/officeDocument/2006/relationships/hyperlink" Target="https://baseconnect.in/companies/prefecture/a30ebdff-361b-42be-8372-1b0d350f48a0/keyword/2517ed26-1f2b-4156-ab10-55a6dc901a56" TargetMode="External" Id="rId29"/><Relationship Type="http://schemas.openxmlformats.org/officeDocument/2006/relationships/hyperlink" Target="https://baseconnect.in/companies/prefecture/9c059a11-e5ef-470d-a270-47022ad1f973/category/e8b4fb2e-8cf9-473d-be34-3f729e65fdf3" TargetMode="External" Id="rId30"/><Relationship Type="http://schemas.openxmlformats.org/officeDocument/2006/relationships/hyperlink" Target="https://baseconnect.in/companies/prefecture/d8203dea-91e2-41c3-a785-b80aa997273c/category/b2358a1c-c4c6-46f4-a0b1-dee3a1b30a0b" TargetMode="External" Id="rId31"/><Relationship Type="http://schemas.openxmlformats.org/officeDocument/2006/relationships/hyperlink" Target="https://baseconnect.in/companies/prefecture/912d7b2d-41c2-4923-a5c1-6666f9834966/keyword/14f3dcec-9cd5-4be5-84e1-ddccb7bd228c" TargetMode="External" Id="rId32"/><Relationship Type="http://schemas.openxmlformats.org/officeDocument/2006/relationships/hyperlink" Target="https://job.rikunabi.com/job_descriptions/4511bb0b2d226083" TargetMode="External" Id="rId33"/><Relationship Type="http://schemas.openxmlformats.org/officeDocument/2006/relationships/hyperlink" Target="https://baseconnect.in/companies/prefecture/3420045f-8609-4232-9407-75407ae4e6e8/category/b2358a1c-c4c6-46f4-a0b1-dee3a1b30a0b" TargetMode="External" Id="rId34"/><Relationship Type="http://schemas.openxmlformats.org/officeDocument/2006/relationships/hyperlink" Target="https://baseconnect.in/companies/prefecture/a30ebdff-361b-42be-8372-1b0d350f48a0/keyword/2517ed26-1f2b-4156-ab10-55a6dc901a56" TargetMode="External" Id="rId35"/><Relationship Type="http://schemas.openxmlformats.org/officeDocument/2006/relationships/hyperlink" Target="https://baseconnect.in/companies/prefecture/a30ebdff-361b-42be-8372-1b0d350f48a0/keyword/2517ed26-1f2b-4156-ab10-55a6dc901a56" TargetMode="External" Id="rId36"/><Relationship Type="http://schemas.openxmlformats.org/officeDocument/2006/relationships/hyperlink" Target="https://baseconnect.in/companies/prefecture/a30ebdff-361b-42be-8372-1b0d350f48a0/keyword/2517ed26-1f2b-4156-ab10-55a6dc901a56" TargetMode="External" Id="rId37"/><Relationship Type="http://schemas.openxmlformats.org/officeDocument/2006/relationships/hyperlink" Target="https://baseconnect.in/companies/prefecture/a30ebdff-361b-42be-8372-1b0d350f48a0/keyword/2517ed26-1f2b-4156-ab10-55a6dc901a56" TargetMode="External" Id="rId38"/><Relationship Type="http://schemas.openxmlformats.org/officeDocument/2006/relationships/hyperlink" Target="https://baseconnect.in/companies/prefecture/5d54c878-c20d-4f57-bb73-e021f2210d6c/keyword/14f3dcec-9cd5-4be5-84e1-ddccb7bd228c" TargetMode="External" Id="rId39"/><Relationship Type="http://schemas.openxmlformats.org/officeDocument/2006/relationships/hyperlink" Target="https://baseconnect.in/companies/prefecture/c59cfe5b-871c-44d1-8594-96d4a5882e4b/keyword/89941b4e-2dd1-4848-8957-48af280a31e0" TargetMode="External" Id="rId40"/><Relationship Type="http://schemas.openxmlformats.org/officeDocument/2006/relationships/hyperlink" Target="https://baseconnect.in/companies/prefecture/d8203dea-91e2-41c3-a785-b80aa997273c/category/b2358a1c-c4c6-46f4-a0b1-dee3a1b30a0b" TargetMode="External" Id="rId41"/><Relationship Type="http://schemas.openxmlformats.org/officeDocument/2006/relationships/hyperlink" Target="https://baseconnect.in/companies/prefecture/9ed9a43b-c714-41d5-b91b-6b21041f1294/category/b2358a1c-c4c6-46f4-a0b1-dee3a1b30a0b" TargetMode="External" Id="rId42"/><Relationship Type="http://schemas.openxmlformats.org/officeDocument/2006/relationships/hyperlink" Target="https://kyuren.jp/%E4%BC%9A%E5%93%A1%E7%B4%B9%E4%BB%8B/" TargetMode="External" Id="rId43"/><Relationship Type="http://schemas.openxmlformats.org/officeDocument/2006/relationships/hyperlink" Target="https://baseconnect.in/companies/prefecture/39b58ff0-63fd-405f-8b8a-37c5443ce5c7/keyword/89941b4e-2dd1-4848-8957-48af280a31e0" TargetMode="External" Id="rId44"/><Relationship Type="http://schemas.openxmlformats.org/officeDocument/2006/relationships/hyperlink" Target="https://compalyze.co.jp/company/6500002004785" TargetMode="External" Id="rId45"/><Relationship Type="http://schemas.openxmlformats.org/officeDocument/2006/relationships/hyperlink" Target="https://baseconnect.in/companies/prefecture/c59cfe5b-871c-44d1-8594-96d4a5882e4b/keyword/89941b4e-2dd1-4848-8957-48af280a31e0" TargetMode="External" Id="rId46"/><Relationship Type="http://schemas.openxmlformats.org/officeDocument/2006/relationships/hyperlink" Target="https://baseconnect.in/companies/prefecture/d80b180e-5fd9-4082-8cdc-a510179a3475/keyword/89941b4e-2dd1-4848-8957-48af280a31e0" TargetMode="External" Id="rId47"/><Relationship Type="http://schemas.openxmlformats.org/officeDocument/2006/relationships/hyperlink" Target="https://baseconnect.in/companies/prefecture/e010a2b6-a345-4a52-b350-1ca592e384b8/keyword/a68873de-8c54-4a2c-820f-e04c8b93064c" TargetMode="External" Id="rId48"/><Relationship Type="http://schemas.openxmlformats.org/officeDocument/2006/relationships/hyperlink" Target="https://directscout.recruit.co.jp/job_descriptions/8635481" TargetMode="External" Id="rId49"/><Relationship Type="http://schemas.openxmlformats.org/officeDocument/2006/relationships/hyperlink" Target="https://baseconnect.in/companies/prefecture/60622468-79bd-4eef-86f8-cb69d1ef09f0/category/b2358a1c-c4c6-46f4-a0b1-dee3a1b30a0b" TargetMode="External" Id="rId50"/><Relationship Type="http://schemas.openxmlformats.org/officeDocument/2006/relationships/hyperlink" Target="https://baseconnect.in/companies/prefecture/4637ba90-383b-4656-8be1-ca34c7f7244f/keyword/89941b4e-2dd1-4848-8957-48af280a31e0" TargetMode="External" Id="rId51"/><Relationship Type="http://schemas.openxmlformats.org/officeDocument/2006/relationships/hyperlink" Target="https://compalyze.co.jp/company/8100001001277" TargetMode="External" Id="rId52"/><Relationship Type="http://schemas.openxmlformats.org/officeDocument/2006/relationships/hyperlink" Target="https://baseconnect.in/companies/prefecture/ce8171a3-9c3a-4158-b1ce-74bbb8bad1e4/keyword/bacc2d48-54d0-4e67-94c7-df7c3cb3a34e" TargetMode="External" Id="rId53"/><Relationship Type="http://schemas.openxmlformats.org/officeDocument/2006/relationships/hyperlink" Target="https://baseconnect.in/companies/prefecture/39b58ff0-63fd-405f-8b8a-37c5443ce5c7/keyword/89941b4e-2dd1-4848-8957-48af280a31e0" TargetMode="External" Id="rId54"/><Relationship Type="http://schemas.openxmlformats.org/officeDocument/2006/relationships/hyperlink" Target="https://atsoho.com/vendors/engineering/yamagata/4390001001418" TargetMode="External" Id="rId55"/><Relationship Type="http://schemas.openxmlformats.org/officeDocument/2006/relationships/hyperlink" Target="https://baseconnect.in/companies/prefecture/31ffefed-1183-4eba-a6d9-4182a6136e50/keyword/89941b4e-2dd1-4848-8957-48af280a31e0" TargetMode="External" Id="rId56"/><Relationship Type="http://schemas.openxmlformats.org/officeDocument/2006/relationships/hyperlink" Target="https://baseconnect.in/companies/prefecture/72122f8e-2e11-4641-9216-d1abc796b0cd/category/b2358a1c-c4c6-46f4-a0b1-dee3a1b30a0b" TargetMode="External" Id="rId57"/><Relationship Type="http://schemas.openxmlformats.org/officeDocument/2006/relationships/hyperlink" Target="https://baseconnect.in/companies/prefecture/a30ebdff-361b-42be-8372-1b0d350f48a0/keyword/89941b4e-2dd1-4848-8957-48af280a31e0" TargetMode="External" Id="rId58"/><Relationship Type="http://schemas.openxmlformats.org/officeDocument/2006/relationships/hyperlink" Target="https://baseconnect.in/companies/prefecture/5d54c878-c20d-4f57-bb73-e021f2210d6c/keyword/14f3dcec-9cd5-4be5-84e1-ddccb7bd228c" TargetMode="External" Id="rId59"/><Relationship Type="http://schemas.openxmlformats.org/officeDocument/2006/relationships/hyperlink" Target="https://baseconnect.in/companies/prefecture/5d54c878-c20d-4f57-bb73-e021f2210d6c/keyword/14f3dcec-9cd5-4be5-84e1-ddccb7bd228c" TargetMode="External" Id="rId60"/><Relationship Type="http://schemas.openxmlformats.org/officeDocument/2006/relationships/hyperlink" Target="https://baseconnect.in/companies/prefecture/d8203dea-91e2-41c3-a785-b80aa997273c/category/b2358a1c-c4c6-46f4-a0b1-dee3a1b30a0b" TargetMode="External" Id="rId61"/><Relationship Type="http://schemas.openxmlformats.org/officeDocument/2006/relationships/hyperlink" Target="https://baseconnect.in/companies/prefecture/d80b180e-5fd9-4082-8cdc-a510179a3475/keyword/088a0bed-423d-48b9-a3af-b77d98e81383" TargetMode="External" Id="rId62"/><Relationship Type="http://schemas.openxmlformats.org/officeDocument/2006/relationships/hyperlink" Target="https://baseconnect.in/companies/prefecture/d80b180e-5fd9-4082-8cdc-a510179a3475/keyword/088a0bed-423d-48b9-a3af-b77d98e81383" TargetMode="External" Id="rId63"/><Relationship Type="http://schemas.openxmlformats.org/officeDocument/2006/relationships/hyperlink" Target="https://baseconnect.in/companies/prefecture/60622468-79bd-4eef-86f8-cb69d1ef09f0/category/b2358a1c-c4c6-46f4-a0b1-dee3a1b30a0b" TargetMode="External" Id="rId64"/><Relationship Type="http://schemas.openxmlformats.org/officeDocument/2006/relationships/hyperlink" Target="https://kyuren.jp/%E4%BC%9A%E5%93%A1%E7%B4%B9%E4%BB%8B/" TargetMode="External" Id="rId65"/><Relationship Type="http://schemas.openxmlformats.org/officeDocument/2006/relationships/hyperlink" Target="https://baseconnect.in/companies/prefecture/9ebb3838-effc-47da-b634-994957a78319/keyword/89941b4e-2dd1-4848-8957-48af280a31e0" TargetMode="External" Id="rId66"/><Relationship Type="http://schemas.openxmlformats.org/officeDocument/2006/relationships/hyperlink" Target="https://baseconnect.in/companies/prefecture/d80b180e-5fd9-4082-8cdc-a510179a3475/keyword/89941b4e-2dd1-4848-8957-48af280a31e0" TargetMode="External" Id="rId67"/><Relationship Type="http://schemas.openxmlformats.org/officeDocument/2006/relationships/hyperlink" Target="https://baseconnect.in/companies/prefecture/18e4d2f6-9b16-4488-931c-17ced3101b74/keyword/2eca165e-bd4a-4e2e-bc44-397492071b92" TargetMode="External" Id="rId68"/><Relationship Type="http://schemas.openxmlformats.org/officeDocument/2006/relationships/hyperlink" Target="https://baseconnect.in/companies/prefecture/9c059a11-e5ef-470d-a270-47022ad1f973/category/e8b4fb2e-8cf9-473d-be34-3f729e65fdf3" TargetMode="External" Id="rId69"/><Relationship Type="http://schemas.openxmlformats.org/officeDocument/2006/relationships/hyperlink" Target="https://baseconnect.in/companies/prefecture/d8203dea-91e2-41c3-a785-b80aa997273c/category/b2358a1c-c4c6-46f4-a0b1-dee3a1b30a0b" TargetMode="External" Id="rId70"/><Relationship Type="http://schemas.openxmlformats.org/officeDocument/2006/relationships/hyperlink" Target="https://baseconnect.in/companies/prefecture/63038c5a-e328-472b-b9cc-039738609ba7/keyword/14f3dcec-9cd5-4be5-84e1-ddccb7bd228c" TargetMode="External" Id="rId71"/><Relationship Type="http://schemas.openxmlformats.org/officeDocument/2006/relationships/hyperlink" Target="https://www.openwork.jp/a0C1000000nInR1/job/" TargetMode="External" Id="rId72"/><Relationship Type="http://schemas.openxmlformats.org/officeDocument/2006/relationships/hyperlink" Target="https://baseconnect.in/companies/prefecture/63038c5a-e328-472b-b9cc-039738609ba7/keyword/14f3dcec-9cd5-4be5-84e1-ddccb7bd228c" TargetMode="External" Id="rId73"/><Relationship Type="http://schemas.openxmlformats.org/officeDocument/2006/relationships/hyperlink" Target="https://baseconnect.in/companies/prefecture/d80b180e-5fd9-4082-8cdc-a510179a3475/keyword/89941b4e-2dd1-4848-8957-48af280a31e0" TargetMode="External" Id="rId74"/><Relationship Type="http://schemas.openxmlformats.org/officeDocument/2006/relationships/hyperlink" Target="https://baseconnect.in/companies/prefecture/d80b180e-5fd9-4082-8cdc-a510179a3475/keyword/89941b4e-2dd1-4848-8957-48af280a31e0" TargetMode="External" Id="rId75"/><Relationship Type="http://schemas.openxmlformats.org/officeDocument/2006/relationships/hyperlink" Target="https://baseconnect.in/companies/prefecture/d80b180e-5fd9-4082-8cdc-a510179a3475/keyword/088a0bed-423d-48b9-a3af-b77d98e81383" TargetMode="External" Id="rId76"/><Relationship Type="http://schemas.openxmlformats.org/officeDocument/2006/relationships/hyperlink" Target="https://mynavi-agent.jp/corpdetail/25173/" TargetMode="External" Id="rId77"/><Relationship Type="http://schemas.openxmlformats.org/officeDocument/2006/relationships/hyperlink" Target="https://baseconnect.in/companies/prefecture/31ffefed-1183-4eba-a6d9-4182a6136e50/keyword/89941b4e-2dd1-4848-8957-48af280a31e0" TargetMode="External" Id="rId78"/><Relationship Type="http://schemas.openxmlformats.org/officeDocument/2006/relationships/hyperlink" Target="https://baseconnect.in/companies/prefecture/60622468-79bd-4eef-86f8-cb69d1ef09f0/category/b2358a1c-c4c6-46f4-a0b1-dee3a1b30a0b" TargetMode="External" Id="rId79"/><Relationship Type="http://schemas.openxmlformats.org/officeDocument/2006/relationships/hyperlink" Target="https://baseconnect.in/companies/prefecture/60622468-79bd-4eef-86f8-cb69d1ef09f0/category/b2358a1c-c4c6-46f4-a0b1-dee3a1b30a0b" TargetMode="External" Id="rId80"/><Relationship Type="http://schemas.openxmlformats.org/officeDocument/2006/relationships/hyperlink" Target="https://directscout.recruit.co.jp/job_descriptions/8635481" TargetMode="External" Id="rId81"/><Relationship Type="http://schemas.openxmlformats.org/officeDocument/2006/relationships/hyperlink" Target="https://directscout.recruit.co.jp/job_descriptions/6783118" TargetMode="External" Id="rId82"/><Relationship Type="http://schemas.openxmlformats.org/officeDocument/2006/relationships/hyperlink" Target="https://compalyze.co.jp/company/8220001007064" TargetMode="External" Id="rId83"/><Relationship Type="http://schemas.openxmlformats.org/officeDocument/2006/relationships/hyperlink" Target="https://baseconnect.in/companies/prefecture/ce8171a3-9c3a-4158-b1ce-74bbb8bad1e4/keyword/bacc2d48-54d0-4e67-94c7-df7c3cb3a34e" TargetMode="External" Id="rId84"/><Relationship Type="http://schemas.openxmlformats.org/officeDocument/2006/relationships/hyperlink" Target="https://salesnow.jp/db/companies/jcbhy5av98p6vedf" TargetMode="External" Id="rId85"/><Relationship Type="http://schemas.openxmlformats.org/officeDocument/2006/relationships/hyperlink" Target="https://directscout.recruit.co.jp/job_descriptions/6579004" TargetMode="External" Id="rId86"/><Relationship Type="http://schemas.openxmlformats.org/officeDocument/2006/relationships/hyperlink" Target="https://baseconnect.in/companies/prefecture/7e20a5b4-424c-4931-8b3e-970bc0da0dce/keyword/a68873de-8c54-4a2c-820f-e04c8b93064c" TargetMode="External" Id="rId87"/><Relationship Type="http://schemas.openxmlformats.org/officeDocument/2006/relationships/hyperlink" Target="https://baseconnect.in/companies/city/907fb3f8-31a8-4163-a276-005c0d2a920b" TargetMode="External" Id="rId88"/><Relationship Type="http://schemas.openxmlformats.org/officeDocument/2006/relationships/hyperlink" Target="https://baseconnect.in/companies/prefecture/0356fc34-b458-43d5-b209-feac5e7fd808/category/4334232a-592e-4ef1-96cc-df1557db8533" TargetMode="External" Id="rId89"/><Relationship Type="http://schemas.openxmlformats.org/officeDocument/2006/relationships/hyperlink" Target="https://baseconnect.in/companies/prefecture/0356fc34-b458-43d5-b209-feac5e7fd808/category/4334232a-592e-4ef1-96cc-df1557db8533" TargetMode="External" Id="rId90"/><Relationship Type="http://schemas.openxmlformats.org/officeDocument/2006/relationships/hyperlink" Target="https://baseconnect.in/companies/prefecture/0356fc34-b458-43d5-b209-feac5e7fd808/category/4334232a-592e-4ef1-96cc-df1557db8533" TargetMode="External" Id="rId91"/><Relationship Type="http://schemas.openxmlformats.org/officeDocument/2006/relationships/hyperlink" Target="https://baseconnect.in/companies/prefecture/cd00efe9-63bc-49a2-846e-3cfd4bca7207/keyword/89941b4e-2dd1-4848-8957-48af280a31e0" TargetMode="External" Id="rId92"/><Relationship Type="http://schemas.openxmlformats.org/officeDocument/2006/relationships/hyperlink" Target="https://baseconnect.in/companies/prefecture/de8c9062-e2c4-4731-9214-c2e07deaabfb/keyword/89941b4e-2dd1-4848-8957-48af280a31e0" TargetMode="External" Id="rId93"/><Relationship Type="http://schemas.openxmlformats.org/officeDocument/2006/relationships/hyperlink" Target="https://baseconnect.in/companies/prefecture/3420045f-8609-4232-9407-75407ae4e6e8/keyword/89941b4e-2dd1-4848-8957-48af280a31e0" TargetMode="External" Id="rId94"/><Relationship Type="http://schemas.openxmlformats.org/officeDocument/2006/relationships/hyperlink" Target="https://baseconnect.in/companies/keyword/a9b4f8d9-510e-403e-859d-c2d2fa9778be" TargetMode="External" Id="rId95"/><Relationship Type="http://schemas.openxmlformats.org/officeDocument/2006/relationships/hyperlink" Target="https://baseconnect.in/companies/prefecture/d8203dea-91e2-41c3-a785-b80aa997273c/category/b2358a1c-c4c6-46f4-a0b1-dee3a1b30a0b" TargetMode="External" Id="rId96"/><Relationship Type="http://schemas.openxmlformats.org/officeDocument/2006/relationships/hyperlink" Target="https://www.pref.kyoto.jp/sangyo-sien/company/sannsyoudou.html" TargetMode="External" Id="rId97"/><Relationship Type="http://schemas.openxmlformats.org/officeDocument/2006/relationships/hyperlink" Target="https://baseconnect.in/companies/prefecture/912d7b2d-41c2-4923-a5c1-6666f9834966/keyword/14f3dcec-9cd5-4be5-84e1-ddccb7bd228c" TargetMode="External" Id="rId98"/><Relationship Type="http://schemas.openxmlformats.org/officeDocument/2006/relationships/hyperlink" Target="https://baseconnect.in/companies/prefecture/ba2490e4-a288-4266-8dd3-30b4ef28b3b2" TargetMode="External" Id="rId99"/><Relationship Type="http://schemas.openxmlformats.org/officeDocument/2006/relationships/hyperlink" Target="https://baseconnect.in/companies/prefecture/d80b180e-5fd9-4082-8cdc-a510179a3475/keyword/89941b4e-2dd1-4848-8957-48af280a31e0" TargetMode="External" Id="rId100"/><Relationship Type="http://schemas.openxmlformats.org/officeDocument/2006/relationships/hyperlink" Target="https://baseconnect.in/companies/prefecture/d80b180e-5fd9-4082-8cdc-a510179a3475/keyword/89941b4e-2dd1-4848-8957-48af280a31e0" TargetMode="External" Id="rId101"/><Relationship Type="http://schemas.openxmlformats.org/officeDocument/2006/relationships/hyperlink" Target="https://directscout.recruit.co.jp/job_descriptions/8733921" TargetMode="External" Id="rId102"/><Relationship Type="http://schemas.openxmlformats.org/officeDocument/2006/relationships/hyperlink" Target="https://baseconnect.in/companies/prefecture/31ffefed-1183-4eba-a6d9-4182a6136e50/keyword/89941b4e-2dd1-4848-8957-48af280a31e0" TargetMode="External" Id="rId103"/><Relationship Type="http://schemas.openxmlformats.org/officeDocument/2006/relationships/hyperlink" Target="https://baseconnect.in/companies/prefecture/31ffefed-1183-4eba-a6d9-4182a6136e50/keyword/89941b4e-2dd1-4848-8957-48af280a31e0" TargetMode="External" Id="rId104"/><Relationship Type="http://schemas.openxmlformats.org/officeDocument/2006/relationships/hyperlink" Target="https://baseconnect.in/companies/prefecture/39b58ff0-63fd-405f-8b8a-37c5443ce5c7/keyword/89941b4e-2dd1-4848-8957-48af280a31e0" TargetMode="External" Id="rId105"/><Relationship Type="http://schemas.openxmlformats.org/officeDocument/2006/relationships/hyperlink" Target="https://compalyze.co.jp/company/2340001001399" TargetMode="External" Id="rId106"/><Relationship Type="http://schemas.openxmlformats.org/officeDocument/2006/relationships/hyperlink" Target="https://www.jahid.or.jp/pdf/meibo2021.pdf" TargetMode="External" Id="rId107"/><Relationship Type="http://schemas.openxmlformats.org/officeDocument/2006/relationships/hyperlink" Target="https://baseconnect.in/companies/prefecture/a89155ac-9626-450f-9011-00a5b6529965/category/b2358a1c-c4c6-46f4-a0b1-dee3a1b30a0b" TargetMode="External" Id="rId108"/><Relationship Type="http://schemas.openxmlformats.org/officeDocument/2006/relationships/hyperlink" Target="https://baseconnect.in/companies/prefecture/cd00efe9-63bc-49a2-846e-3cfd4bca7207/keyword/89941b4e-2dd1-4848-8957-48af280a31e0" TargetMode="External" Id="rId109"/><Relationship Type="http://schemas.openxmlformats.org/officeDocument/2006/relationships/hyperlink" Target="https://baseconnect.in/companies/prefecture/3562c231-08e3-43af-8765-2077382c0c10/keyword/6afa1771-8d91-440c-86b0-ba8538b7bf9a" TargetMode="External" Id="rId110"/><Relationship Type="http://schemas.openxmlformats.org/officeDocument/2006/relationships/hyperlink" Target="https://baseconnect.in/companies/prefecture/22e3a90e-e956-4cce-bd1b-bdc8b44fc75f/category/b2358a1c-c4c6-46f4-a0b1-dee3a1b30a0b" TargetMode="External" Id="rId111"/><Relationship Type="http://schemas.openxmlformats.org/officeDocument/2006/relationships/hyperlink" Target="https://baseconnect.in/companies/prefecture/22e3a90e-e956-4cce-bd1b-bdc8b44fc75f/category/b2358a1c-c4c6-46f4-a0b1-dee3a1b30a0b" TargetMode="External" Id="rId112"/><Relationship Type="http://schemas.openxmlformats.org/officeDocument/2006/relationships/hyperlink" Target="https://baseconnect.in/companies/prefecture/18e4d2f6-9b16-4488-931c-17ced3101b74/keyword/2eca165e-bd4a-4e2e-bc44-397492071b92" TargetMode="External" Id="rId113"/><Relationship Type="http://schemas.openxmlformats.org/officeDocument/2006/relationships/hyperlink" Target="https://baseconnect.in/companies/prefecture/f533238c-06e6-46f9-9508-cbe03ad6754f/category/b2358a1c-c4c6-46f4-a0b1-dee3a1b30a0b" TargetMode="External" Id="rId114"/><Relationship Type="http://schemas.openxmlformats.org/officeDocument/2006/relationships/hyperlink" Target="https://baseconnect.in/companies/prefecture/3420045f-8609-4232-9407-75407ae4e6e8/category/b2358a1c-c4c6-46f4-a0b1-dee3a1b30a0b" TargetMode="External" Id="rId115"/><Relationship Type="http://schemas.openxmlformats.org/officeDocument/2006/relationships/hyperlink" Target="https://baseconnect.in/companies/prefecture/3420045f-8609-4232-9407-75407ae4e6e8/category/b2358a1c-c4c6-46f4-a0b1-dee3a1b30a0b" TargetMode="External" Id="rId116"/><Relationship Type="http://schemas.openxmlformats.org/officeDocument/2006/relationships/hyperlink" Target="https://baseconnect.in/companies/prefecture/3420045f-8609-4232-9407-75407ae4e6e8/keyword/89941b4e-2dd1-4848-8957-48af280a31e0" TargetMode="External" Id="rId117"/><Relationship Type="http://schemas.openxmlformats.org/officeDocument/2006/relationships/hyperlink" Target="https://baseconnect.in/companies/prefecture/5b2e6d00-cfba-4d0b-850d-54757e4b4d7f/category/b2358a1c-c4c6-46f4-a0b1-dee3a1b30a0b" TargetMode="External" Id="rId118"/><Relationship Type="http://schemas.openxmlformats.org/officeDocument/2006/relationships/hyperlink" Target="https://baseconnect.in/companies/prefecture/5b2e6d00-cfba-4d0b-850d-54757e4b4d7f/category/b2358a1c-c4c6-46f4-a0b1-dee3a1b30a0b" TargetMode="External" Id="rId119"/><Relationship Type="http://schemas.openxmlformats.org/officeDocument/2006/relationships/hyperlink" Target="https://baseconnect.in/companies/prefecture/5b2e6d00-cfba-4d0b-850d-54757e4b4d7f/category/b2358a1c-c4c6-46f4-a0b1-dee3a1b30a0b" TargetMode="External" Id="rId120"/><Relationship Type="http://schemas.openxmlformats.org/officeDocument/2006/relationships/hyperlink" Target="https://baseconnect.in/companies/prefecture/5b2e6d00-cfba-4d0b-850d-54757e4b4d7f/category/b2358a1c-c4c6-46f4-a0b1-dee3a1b30a0b" TargetMode="External" Id="rId121"/><Relationship Type="http://schemas.openxmlformats.org/officeDocument/2006/relationships/hyperlink" Target="https://baseconnect.in/companies/prefecture/5b2e6d00-cfba-4d0b-850d-54757e4b4d7f/category/b2358a1c-c4c6-46f4-a0b1-dee3a1b30a0b" TargetMode="External" Id="rId122"/><Relationship Type="http://schemas.openxmlformats.org/officeDocument/2006/relationships/hyperlink" Target="https://www.jahid.or.jp/pdf/meibo2025.pdf" TargetMode="External" Id="rId123"/><Relationship Type="http://schemas.openxmlformats.org/officeDocument/2006/relationships/hyperlink" Target="https://www.jahid.or.jp/pdf/meibo2025.pdf" TargetMode="External" Id="rId124"/><Relationship Type="http://schemas.openxmlformats.org/officeDocument/2006/relationships/hyperlink" Target="https://www.jahid.or.jp/pdf/meibo2025.pdf" TargetMode="External" Id="rId125"/><Relationship Type="http://schemas.openxmlformats.org/officeDocument/2006/relationships/hyperlink" Target="https://www.jahid.or.jp/pdf/meibo2025.pdf" TargetMode="External" Id="rId126"/><Relationship Type="http://schemas.openxmlformats.org/officeDocument/2006/relationships/hyperlink" Target="https://www.jahid.or.jp/pdf/meibo2025.pdf" TargetMode="External" Id="rId127"/><Relationship Type="http://schemas.openxmlformats.org/officeDocument/2006/relationships/hyperlink" Target="https://www.jahid.or.jp/pdf/meibo2025.pdf" TargetMode="External" Id="rId128"/><Relationship Type="http://schemas.openxmlformats.org/officeDocument/2006/relationships/hyperlink" Target="https://www.jahid.or.jp/pdf/meibo2025.pdf" TargetMode="External" Id="rId129"/><Relationship Type="http://schemas.openxmlformats.org/officeDocument/2006/relationships/hyperlink" Target="https://www2.jpx.co.jp/disc/26670/140120190403400264.pdf" TargetMode="External" Id="rId130"/><Relationship Type="http://schemas.openxmlformats.org/officeDocument/2006/relationships/hyperlink" Target="https://baseconnect.in/companies/keyword/a9b4f8d9-510e-403e-859d-c2d2fa9778be" TargetMode="External" Id="rId131"/><Relationship Type="http://schemas.openxmlformats.org/officeDocument/2006/relationships/hyperlink" Target="https://baseconnect.in/companies/prefecture/5d54c878-c20d-4f57-bb73-e021f2210d6c/keyword/14f3dcec-9cd5-4be5-84e1-ddccb7bd228c" TargetMode="External" Id="rId132"/><Relationship Type="http://schemas.openxmlformats.org/officeDocument/2006/relationships/hyperlink" Target="https://baseconnect.in/companies/prefecture/9c059a11-e5ef-470d-a270-47022ad1f973/category/e8b4fb2e-8cf9-473d-be34-3f729e65fdf3" TargetMode="External" Id="rId133"/><Relationship Type="http://schemas.openxmlformats.org/officeDocument/2006/relationships/hyperlink" Target="https://baseconnect.in/companies/prefecture/c59cfe5b-871c-44d1-8594-96d4a5882e4b/keyword/89941b4e-2dd1-4848-8957-48af280a31e0" TargetMode="External" Id="rId134"/><Relationship Type="http://schemas.openxmlformats.org/officeDocument/2006/relationships/hyperlink" Target="https://baseconnect.in/companies/prefecture/d8203dea-91e2-41c3-a785-b80aa997273c/category/b2358a1c-c4c6-46f4-a0b1-dee3a1b30a0b" TargetMode="External" Id="rId135"/><Relationship Type="http://schemas.openxmlformats.org/officeDocument/2006/relationships/hyperlink" Target="https://baseconnect.in/companies/prefecture/d8203dea-91e2-41c3-a785-b80aa997273c/category/b2358a1c-c4c6-46f4-a0b1-dee3a1b30a0b" TargetMode="External" Id="rId136"/><Relationship Type="http://schemas.openxmlformats.org/officeDocument/2006/relationships/hyperlink" Target="https://baseconnect.in/companies/prefecture/d8203dea-91e2-41c3-a785-b80aa997273c/category/b2358a1c-c4c6-46f4-a0b1-dee3a1b30a0b" TargetMode="External" Id="rId137"/><Relationship Type="http://schemas.openxmlformats.org/officeDocument/2006/relationships/hyperlink" Target="https://baseconnect.in/companies/prefecture/63038c5a-e328-472b-b9cc-039738609ba7/keyword/14f3dcec-9cd5-4be5-84e1-ddccb7bd228c" TargetMode="External" Id="rId138"/><Relationship Type="http://schemas.openxmlformats.org/officeDocument/2006/relationships/hyperlink" Target="https://baseconnect.in/companies/prefecture/63038c5a-e328-472b-b9cc-039738609ba7/keyword/14f3dcec-9cd5-4be5-84e1-ddccb7bd228c" TargetMode="External" Id="rId139"/><Relationship Type="http://schemas.openxmlformats.org/officeDocument/2006/relationships/hyperlink" Target="https://baseconnect.in/companies/prefecture/63038c5a-e328-472b-b9cc-039738609ba7/keyword/14f3dcec-9cd5-4be5-84e1-ddccb7bd228c" TargetMode="External" Id="rId140"/><Relationship Type="http://schemas.openxmlformats.org/officeDocument/2006/relationships/hyperlink" Target="https://baseconnect.in/companies/prefecture/63038c5a-e328-472b-b9cc-039738609ba7/keyword/14f3dcec-9cd5-4be5-84e1-ddccb7bd228c" TargetMode="External" Id="rId141"/><Relationship Type="http://schemas.openxmlformats.org/officeDocument/2006/relationships/hyperlink" Target="https://baseconnect.in/companies/prefecture/63038c5a-e328-472b-b9cc-039738609ba7/keyword/14f3dcec-9cd5-4be5-84e1-ddccb7bd228c" TargetMode="External" Id="rId142"/><Relationship Type="http://schemas.openxmlformats.org/officeDocument/2006/relationships/hyperlink" Target="https://baseconnect.in/companies/prefecture/63038c5a-e328-472b-b9cc-039738609ba7/keyword/14f3dcec-9cd5-4be5-84e1-ddccb7bd228c" TargetMode="External" Id="rId143"/><Relationship Type="http://schemas.openxmlformats.org/officeDocument/2006/relationships/hyperlink" Target="https://baseconnect.in/companies/prefecture/912d7b2d-41c2-4923-a5c1-6666f9834966/keyword/14f3dcec-9cd5-4be5-84e1-ddccb7bd228c" TargetMode="External" Id="rId144"/><Relationship Type="http://schemas.openxmlformats.org/officeDocument/2006/relationships/hyperlink" Target="https://baseconnect.in/companies/prefecture/912d7b2d-41c2-4923-a5c1-6666f9834966/keyword/14f3dcec-9cd5-4be5-84e1-ddccb7bd228c" TargetMode="External" Id="rId145"/><Relationship Type="http://schemas.openxmlformats.org/officeDocument/2006/relationships/hyperlink" Target="https://baseconnect.in/companies/prefecture/ba2490e4-a288-4266-8dd3-30b4ef28b3b2" TargetMode="External" Id="rId146"/><Relationship Type="http://schemas.openxmlformats.org/officeDocument/2006/relationships/hyperlink" Target="https://www.osaka-iryokiki-kyokai.com/member_list/" TargetMode="External" Id="rId147"/><Relationship Type="http://schemas.openxmlformats.org/officeDocument/2006/relationships/hyperlink" Target="https://www.osaka-iryokiki-kyokai.com/member_list/" TargetMode="External" Id="rId148"/><Relationship Type="http://schemas.openxmlformats.org/officeDocument/2006/relationships/hyperlink" Target="https://www.osaka-iryokiki-kyokai.com/member_list/" TargetMode="External" Id="rId149"/><Relationship Type="http://schemas.openxmlformats.org/officeDocument/2006/relationships/hyperlink" Target="https://www.osaka-iryokiki-kyokai.com/member_list/" TargetMode="External" Id="rId150"/><Relationship Type="http://schemas.openxmlformats.org/officeDocument/2006/relationships/hyperlink" Target="https://www.osaka-iryokiki-kyokai.com/member_list/" TargetMode="External" Id="rId151"/><Relationship Type="http://schemas.openxmlformats.org/officeDocument/2006/relationships/hyperlink" Target="https://www.osaka-iryokiki-kyokai.com/member_list/" TargetMode="External" Id="rId152"/><Relationship Type="http://schemas.openxmlformats.org/officeDocument/2006/relationships/hyperlink" Target="https://www.osaka-iryokiki-kyokai.com/member_list/" TargetMode="External" Id="rId153"/><Relationship Type="http://schemas.openxmlformats.org/officeDocument/2006/relationships/hyperlink" Target="https://www.osaka-iryokiki-kyokai.com/member_list/" TargetMode="External" Id="rId154"/><Relationship Type="http://schemas.openxmlformats.org/officeDocument/2006/relationships/hyperlink" Target="https://www.osaka-iryokiki-kyokai.com/member_list/" TargetMode="External" Id="rId155"/><Relationship Type="http://schemas.openxmlformats.org/officeDocument/2006/relationships/hyperlink" Target="https://www.osaka-iryokiki-kyokai.com/member_list/" TargetMode="External" Id="rId156"/><Relationship Type="http://schemas.openxmlformats.org/officeDocument/2006/relationships/hyperlink" Target="https://www.osaka-iryokiki-kyokai.com/member_list/" TargetMode="External" Id="rId157"/><Relationship Type="http://schemas.openxmlformats.org/officeDocument/2006/relationships/hyperlink" Target="https://www.osaka-iryokiki-kyokai.com/member_list/" TargetMode="External" Id="rId158"/><Relationship Type="http://schemas.openxmlformats.org/officeDocument/2006/relationships/hyperlink" Target="https://www.osaka-iryokiki-kyokai.com/member_list/" TargetMode="External" Id="rId159"/><Relationship Type="http://schemas.openxmlformats.org/officeDocument/2006/relationships/hyperlink" Target="https://www.osaka-iryokiki-kyokai.com/member_list/06.html" TargetMode="External" Id="rId160"/><Relationship Type="http://schemas.openxmlformats.org/officeDocument/2006/relationships/hyperlink" Target="https://www.osaka-iryokiki-kyokai.com/member_list/06.html" TargetMode="External" Id="rId161"/><Relationship Type="http://schemas.openxmlformats.org/officeDocument/2006/relationships/hyperlink" Target="https://baseconnect.in/companies/prefecture/d80b180e-5fd9-4082-8cdc-a510179a3475/keyword/89941b4e-2dd1-4848-8957-48af280a31e0" TargetMode="External" Id="rId162"/><Relationship Type="http://schemas.openxmlformats.org/officeDocument/2006/relationships/hyperlink" Target="https://baseconnect.in/companies/prefecture/d80b180e-5fd9-4082-8cdc-a510179a3475/keyword/89941b4e-2dd1-4848-8957-48af280a31e0" TargetMode="External" Id="rId163"/><Relationship Type="http://schemas.openxmlformats.org/officeDocument/2006/relationships/hyperlink" Target="https://baseconnect.in/companies/prefecture/9ed9a43b-c714-41d5-b91b-6b21041f1294/category/b2358a1c-c4c6-46f4-a0b1-dee3a1b30a0b" TargetMode="External" Id="rId164"/><Relationship Type="http://schemas.openxmlformats.org/officeDocument/2006/relationships/hyperlink" Target="https://baseconnect.in/companies/prefecture/1d5a2479-736c-41d9-98fe-d43b8d447ca4/keyword/89941b4e-2dd1-4848-8957-48af280a31e0" TargetMode="External" Id="rId165"/><Relationship Type="http://schemas.openxmlformats.org/officeDocument/2006/relationships/hyperlink" Target="https://baseconnect.in/companies/prefecture/1d5a2479-736c-41d9-98fe-d43b8d447ca4/keyword/89941b4e-2dd1-4848-8957-48af280a31e0" TargetMode="External" Id="rId166"/><Relationship Type="http://schemas.openxmlformats.org/officeDocument/2006/relationships/hyperlink" Target="https://baseconnect.in/companies/prefecture/1d5a2479-736c-41d9-98fe-d43b8d447ca4/keyword/89941b4e-2dd1-4848-8957-48af280a31e0" TargetMode="External" Id="rId167"/><Relationship Type="http://schemas.openxmlformats.org/officeDocument/2006/relationships/hyperlink" Target="https://baseconnect.in/companies/prefecture/8de2e273-a5a8-45b9-8fc1-0fe6344d6843/keyword/14f3dcec-9cd5-4be5-84e1-ddccb7bd228c" TargetMode="External" Id="rId168"/><Relationship Type="http://schemas.openxmlformats.org/officeDocument/2006/relationships/hyperlink" Target="https://baseconnect.in/companies/prefecture/60622468-79bd-4eef-86f8-cb69d1ef09f0/category/b2358a1c-c4c6-46f4-a0b1-dee3a1b30a0b" TargetMode="External" Id="rId169"/><Relationship Type="http://schemas.openxmlformats.org/officeDocument/2006/relationships/hyperlink" Target="https://baseconnect.in/companies/prefecture/60622468-79bd-4eef-86f8-cb69d1ef09f0/category/b2358a1c-c4c6-46f4-a0b1-dee3a1b30a0b" TargetMode="External" Id="rId170"/><Relationship Type="http://schemas.openxmlformats.org/officeDocument/2006/relationships/hyperlink" Target="https://baseconnect.in/companies/prefecture/60622468-79bd-4eef-86f8-cb69d1ef09f0/category/b2358a1c-c4c6-46f4-a0b1-dee3a1b30a0b" TargetMode="External" Id="rId171"/><Relationship Type="http://schemas.openxmlformats.org/officeDocument/2006/relationships/hyperlink" Target="https://baseconnect.in/companies/prefecture/60622468-79bd-4eef-86f8-cb69d1ef09f0/category/b2358a1c-c4c6-46f4-a0b1-dee3a1b30a0b" TargetMode="External" Id="rId172"/><Relationship Type="http://schemas.openxmlformats.org/officeDocument/2006/relationships/hyperlink" Target="https://baseconnect.in/companies/prefecture/60622468-79bd-4eef-86f8-cb69d1ef09f0/category/b2358a1c-c4c6-46f4-a0b1-dee3a1b30a0b" TargetMode="External" Id="rId173"/><Relationship Type="http://schemas.openxmlformats.org/officeDocument/2006/relationships/hyperlink" Target="https://baseconnect.in/companies/prefecture/60622468-79bd-4eef-86f8-cb69d1ef09f0/category/b2358a1c-c4c6-46f4-a0b1-dee3a1b30a0b" TargetMode="External" Id="rId174"/><Relationship Type="http://schemas.openxmlformats.org/officeDocument/2006/relationships/hyperlink" Target="https://baseconnect.in/companies/prefecture/60622468-79bd-4eef-86f8-cb69d1ef09f0/category/b2358a1c-c4c6-46f4-a0b1-dee3a1b30a0b" TargetMode="External" Id="rId175"/><Relationship Type="http://schemas.openxmlformats.org/officeDocument/2006/relationships/hyperlink" Target="https://baseconnect.in/companies/prefecture/3cf97f91-8b39-4cdb-981b-d035b0176b65/keyword/89941b4e-2dd1-4848-8957-48af280a31e0" TargetMode="External" Id="rId176"/><Relationship Type="http://schemas.openxmlformats.org/officeDocument/2006/relationships/hyperlink" Target="https://baseconnect.in/companies/prefecture/3cf97f91-8b39-4cdb-981b-d035b0176b65/keyword/89941b4e-2dd1-4848-8957-48af280a31e0" TargetMode="External" Id="rId177"/><Relationship Type="http://schemas.openxmlformats.org/officeDocument/2006/relationships/hyperlink" Target="https://baseconnect.in/companies/prefecture/3cf97f91-8b39-4cdb-981b-d035b0176b65/keyword/89941b4e-2dd1-4848-8957-48af280a31e0" TargetMode="External" Id="rId178"/><Relationship Type="http://schemas.openxmlformats.org/officeDocument/2006/relationships/hyperlink" Target="https://baseconnect.in/companies/prefecture/4637ba90-383b-4656-8be1-ca34c7f7244f/keyword/89941b4e-2dd1-4848-8957-48af280a31e0" TargetMode="External" Id="rId179"/><Relationship Type="http://schemas.openxmlformats.org/officeDocument/2006/relationships/hyperlink" Target="https://baseconnect.in/companies/prefecture/4637ba90-383b-4656-8be1-ca34c7f7244f/keyword/89941b4e-2dd1-4848-8957-48af280a31e0" TargetMode="External" Id="rId180"/><Relationship Type="http://schemas.openxmlformats.org/officeDocument/2006/relationships/hyperlink" Target="https://baseconnect.in/companies/prefecture/aed784f6-cd06-4f72-95d9-876e82d37385/keyword/89941b4e-2dd1-4848-8957-48af280a31e0" TargetMode="External" Id="rId181"/><Relationship Type="http://schemas.openxmlformats.org/officeDocument/2006/relationships/hyperlink" Target="https://baseconnect.in/companies/prefecture/aed784f6-cd06-4f72-95d9-876e82d37385/keyword/89941b4e-2dd1-4848-8957-48af280a31e0" TargetMode="External" Id="rId182"/><Relationship Type="http://schemas.openxmlformats.org/officeDocument/2006/relationships/hyperlink" Target="https://baseconnect.in/companies/prefecture/47b312cd-84c4-4e89-951a-b56344bc774e/keyword/89941b4e-2dd1-4848-8957-48af280a31e0" TargetMode="External" Id="rId183"/><Relationship Type="http://schemas.openxmlformats.org/officeDocument/2006/relationships/hyperlink" Target="https://baseconnect.in/companies/prefecture/47b312cd-84c4-4e89-951a-b56344bc774e/keyword/89941b4e-2dd1-4848-8957-48af280a31e0" TargetMode="External" Id="rId184"/><Relationship Type="http://schemas.openxmlformats.org/officeDocument/2006/relationships/hyperlink" Target="https://baseconnect.in/companies/prefecture/47b312cd-84c4-4e89-951a-b56344bc774e/keyword/89941b4e-2dd1-4848-8957-48af280a31e0" TargetMode="External" Id="rId185"/><Relationship Type="http://schemas.openxmlformats.org/officeDocument/2006/relationships/hyperlink" Target="https://baseconnect.in/companies/prefecture/47b312cd-84c4-4e89-951a-b56344bc774e/keyword/89941b4e-2dd1-4848-8957-48af280a31e0" TargetMode="External" Id="rId186"/><Relationship Type="http://schemas.openxmlformats.org/officeDocument/2006/relationships/hyperlink" Target="https://baseconnect.in/companies/prefecture/47b312cd-84c4-4e89-951a-b56344bc774e/keyword/89941b4e-2dd1-4848-8957-48af280a31e0" TargetMode="External" Id="rId187"/><Relationship Type="http://schemas.openxmlformats.org/officeDocument/2006/relationships/hyperlink" Target="https://baseconnect.in/companies/prefecture/47b312cd-84c4-4e89-951a-b56344bc774e/keyword/89941b4e-2dd1-4848-8957-48af280a31e0" TargetMode="External" Id="rId188"/><Relationship Type="http://schemas.openxmlformats.org/officeDocument/2006/relationships/hyperlink" Target="https://baseconnect.in/companies/prefecture/ce8171a3-9c3a-4158-b1ce-74bbb8bad1e4/keyword/bacc2d48-54d0-4e67-94c7-df7c3cb3a34e" TargetMode="External" Id="rId189"/><Relationship Type="http://schemas.openxmlformats.org/officeDocument/2006/relationships/hyperlink" Target="https://kaigo.homes.co.jp/scare/ad22/cc26/3/" TargetMode="External" Id="rId190"/><Relationship Type="http://schemas.openxmlformats.org/officeDocument/2006/relationships/hyperlink" Target="https://kyuren.jp/%E4%BC%9A%E5%93%A1%E7%B4%B9%E4%BB%8B/" TargetMode="External" Id="rId191"/><Relationship Type="http://schemas.openxmlformats.org/officeDocument/2006/relationships/hyperlink" Target="https://baseconnect.in/companies/prefecture/082ceea9-0e2a-4911-900e-35c6f7c160b3/keyword/89941b4e-2dd1-4848-8957-48af280a31e0" TargetMode="External" Id="rId192"/><Relationship Type="http://schemas.openxmlformats.org/officeDocument/2006/relationships/hyperlink" Target="https://baseconnect.in/companies/prefecture/082ceea9-0e2a-4911-900e-35c6f7c160b3/keyword/89941b4e-2dd1-4848-8957-48af280a31e0" TargetMode="External" Id="rId193"/><Relationship Type="http://schemas.openxmlformats.org/officeDocument/2006/relationships/hyperlink" Target="https://baseconnect.in/companies/prefecture/b147f06d-09b9-4c4f-9e51-e7157354eec0/keyword/14f3dcec-9cd5-4be5-84e1-ddccb7bd228c" TargetMode="External" Id="rId194"/><Relationship Type="http://schemas.openxmlformats.org/officeDocument/2006/relationships/hyperlink" Target="https://kyuren.jp/%E4%BC%9A%E5%93%A1%E7%B4%B9%E4%BB%8B/" TargetMode="External" Id="rId195"/><Relationship Type="http://schemas.openxmlformats.org/officeDocument/2006/relationships/hyperlink" Target="https://kyuren.jp/%E4%BC%9A%E5%93%A1%E7%B4%B9%E4%BB%8B/" TargetMode="External" Id="rId196"/><Relationship Type="http://schemas.openxmlformats.org/officeDocument/2006/relationships/hyperlink" Target="https://kyuren.jp/%E4%BC%9A%E5%93%A1%E7%B4%B9%E4%BB%8B/" TargetMode="External" Id="rId197"/><Relationship Type="http://schemas.openxmlformats.org/officeDocument/2006/relationships/hyperlink" Target="https://kyuren.jp/%E4%BC%9A%E5%93%A1%E7%B4%B9%E4%BB%8B/" TargetMode="External" Id="rId198"/><Relationship Type="http://schemas.openxmlformats.org/officeDocument/2006/relationships/hyperlink" Target="https://kyuren.jp/%E4%BC%9A%E5%93%A1%E7%B4%B9%E4%BB%8B/" TargetMode="External" Id="rId199"/><Relationship Type="http://schemas.openxmlformats.org/officeDocument/2006/relationships/hyperlink" Target="https://kyuren.jp/%E4%BC%9A%E5%93%A1%E7%B4%B9%E4%BB%8B/" TargetMode="External" Id="rId200"/><Relationship Type="http://schemas.openxmlformats.org/officeDocument/2006/relationships/hyperlink" Target="https://kyuren.jp/%E4%BC%9A%E5%93%A1%E7%B4%B9%E4%BB%8B/" TargetMode="External" Id="rId201"/><Relationship Type="http://schemas.openxmlformats.org/officeDocument/2006/relationships/hyperlink" Target="https://kyuren.jp/%E4%BC%9A%E5%93%A1%E7%B4%B9%E4%BB%8B/" TargetMode="External" Id="rId202"/><Relationship Type="http://schemas.openxmlformats.org/officeDocument/2006/relationships/hyperlink" Target="https://kyuren.jp/%E4%BC%9A%E5%93%A1%E7%B4%B9%E4%BB%8B/" TargetMode="External" Id="rId203"/><Relationship Type="http://schemas.openxmlformats.org/officeDocument/2006/relationships/hyperlink" Target="https://baseconnect.in/companies/prefecture/96c84bbe-0dd4-4885-9333-4913e3f022c9/keyword/89941b4e-2dd1-4848-8957-48af280a31e0" TargetMode="External" Id="rId204"/><Relationship Type="http://schemas.openxmlformats.org/officeDocument/2006/relationships/hyperlink" Target="https://baseconnect.in/companies/prefecture/96c84bbe-0dd4-4885-9333-4913e3f022c9/keyword/89941b4e-2dd1-4848-8957-48af280a31e0" TargetMode="External" Id="rId205"/><Relationship Type="http://schemas.openxmlformats.org/officeDocument/2006/relationships/hyperlink" Target="https://baseconnect.in/companies/prefecture/96c84bbe-0dd4-4885-9333-4913e3f022c9/keyword/89941b4e-2dd1-4848-8957-48af280a31e0" TargetMode="External" Id="rId206"/><Relationship Type="http://schemas.openxmlformats.org/officeDocument/2006/relationships/hyperlink" Target="https://baseconnect.in/companies/prefecture/96c84bbe-0dd4-4885-9333-4913e3f022c9/keyword/89941b4e-2dd1-4848-8957-48af280a31e0" TargetMode="External" Id="rId207"/><Relationship Type="http://schemas.openxmlformats.org/officeDocument/2006/relationships/hyperlink" Target="https://baseconnect.in/companies/prefecture/96c84bbe-0dd4-4885-9333-4913e3f022c9/keyword/89941b4e-2dd1-4848-8957-48af280a31e0" TargetMode="External" Id="rId208"/><Relationship Type="http://schemas.openxmlformats.org/officeDocument/2006/relationships/hyperlink" Target="https://kyuren.jp/%E4%BC%9A%E5%93%A1%E7%B4%B9%E4%BB%8B/" TargetMode="External" Id="rId209"/><Relationship Type="http://schemas.openxmlformats.org/officeDocument/2006/relationships/hyperlink" Target="https://baseconnect.in/companies/prefecture/39b58ff0-63fd-405f-8b8a-37c5443ce5c7/keyword/89941b4e-2dd1-4848-8957-48af280a31e0" TargetMode="External" Id="rId210"/><Relationship Type="http://schemas.openxmlformats.org/officeDocument/2006/relationships/hyperlink" Target="https://baseconnect.in/companies/prefecture/39b58ff0-63fd-405f-8b8a-37c5443ce5c7/keyword/89941b4e-2dd1-4848-8957-48af280a31e0" TargetMode="External" Id="rId211"/><Relationship Type="http://schemas.openxmlformats.org/officeDocument/2006/relationships/hyperlink" Target="https://baseconnect.in/companies/prefecture/39b58ff0-63fd-405f-8b8a-37c5443ce5c7/keyword/89941b4e-2dd1-4848-8957-48af280a31e0" TargetMode="External" Id="rId212"/><Relationship Type="http://schemas.openxmlformats.org/officeDocument/2006/relationships/hyperlink" Target="https://baseconnect.in/companies/prefecture/39b58ff0-63fd-405f-8b8a-37c5443ce5c7/keyword/89941b4e-2dd1-4848-8957-48af280a31e0" TargetMode="External" Id="rId213"/><Relationship Type="http://schemas.openxmlformats.org/officeDocument/2006/relationships/hyperlink" Target="https://baseconnect.in/companies/prefecture/88d796cc-214f-4ebf-b294-ebcaa486f8a2/category/b2358a1c-c4c6-46f4-a0b1-dee3a1b30a0b" TargetMode="External" Id="rId214"/><Relationship Type="http://schemas.openxmlformats.org/officeDocument/2006/relationships/hyperlink" Target="https://baseconnect.in/companies/prefecture/88d796cc-214f-4ebf-b294-ebcaa486f8a2/category/b2358a1c-c4c6-46f4-a0b1-dee3a1b30a0b" TargetMode="External" Id="rId215"/><Relationship Type="http://schemas.openxmlformats.org/officeDocument/2006/relationships/hyperlink" Target="https://baseconnect.in/companies/prefecture/88d796cc-214f-4ebf-b294-ebcaa486f8a2/category/b2358a1c-c4c6-46f4-a0b1-dee3a1b30a0b" TargetMode="External" Id="rId216"/><Relationship Type="http://schemas.openxmlformats.org/officeDocument/2006/relationships/hyperlink" Target="https://baseconnect.in/companies/prefecture/88d796cc-214f-4ebf-b294-ebcaa486f8a2/category/b2358a1c-c4c6-46f4-a0b1-dee3a1b30a0b" TargetMode="External" Id="rId217"/><Relationship Type="http://schemas.openxmlformats.org/officeDocument/2006/relationships/hyperlink" Target="https://baseconnect.in/companies/prefecture/88d796cc-214f-4ebf-b294-ebcaa486f8a2/category/b2358a1c-c4c6-46f4-a0b1-dee3a1b30a0b" TargetMode="External" Id="rId218"/><Relationship Type="http://schemas.openxmlformats.org/officeDocument/2006/relationships/hyperlink" Target="https://kyuren.jp/%E4%BC%9A%E5%93%A1%E7%B4%B9%E4%BB%8B/" TargetMode="External" Id="rId219"/><Relationship Type="http://schemas.openxmlformats.org/officeDocument/2006/relationships/hyperlink" Target="https://kyuren.jp/%E4%BC%9A%E5%93%A1%E7%B4%B9%E4%BB%8B/" TargetMode="External" Id="rId220"/><Relationship Type="http://schemas.openxmlformats.org/officeDocument/2006/relationships/hyperlink" Target="https://kyuren.jp/%E4%BC%9A%E5%93%A1%E7%B4%B9%E4%BB%8B/" TargetMode="External" Id="rId221"/><Relationship Type="http://schemas.openxmlformats.org/officeDocument/2006/relationships/hyperlink" Target="https://baseconnect.in/companies/prefecture/344720c8-49c6-4a45-94af-958496d86524/category/b2358a1c-c4c6-46f4-a0b1-dee3a1b30a0b" TargetMode="External" Id="rId222"/><Relationship Type="http://schemas.openxmlformats.org/officeDocument/2006/relationships/hyperlink" Target="https://baseconnect.in/companies/prefecture/344720c8-49c6-4a45-94af-958496d86524/category/b2358a1c-c4c6-46f4-a0b1-dee3a1b30a0b" TargetMode="External" Id="rId223"/><Relationship Type="http://schemas.openxmlformats.org/officeDocument/2006/relationships/hyperlink" Target="https://baseconnect.in/companies/prefecture/344720c8-49c6-4a45-94af-958496d86524/category/b2358a1c-c4c6-46f4-a0b1-dee3a1b30a0b" TargetMode="External" Id="rId224"/><Relationship Type="http://schemas.openxmlformats.org/officeDocument/2006/relationships/hyperlink" Target="https://www.jahid.or.jp/pdf/meibo2025.pdf" TargetMode="External" Id="rId225"/><Relationship Type="http://schemas.openxmlformats.org/officeDocument/2006/relationships/hyperlink" Target="https://salesnow.jp/db/companies/jcb3frp3wfstg2f9h" TargetMode="External" Id="rId226"/><Relationship Type="http://schemas.openxmlformats.org/officeDocument/2006/relationships/hyperlink" Target="https://baseconnect.in/companies/prefecture/9ebb3838-effc-47da-b634-994957a78319/keyword/89941b4e-2dd1-4848-8957-48af280a31e0" TargetMode="External" Id="rId227"/><Relationship Type="http://schemas.openxmlformats.org/officeDocument/2006/relationships/hyperlink" Target="https://baseconnect.in/companies/prefecture/9ebb3838-effc-47da-b634-994957a78319/keyword/89941b4e-2dd1-4848-8957-48af280a31e0" TargetMode="External" Id="rId228"/><Relationship Type="http://schemas.openxmlformats.org/officeDocument/2006/relationships/hyperlink" Target="https://baseconnect.in/companies/prefecture/9ebb3838-effc-47da-b634-994957a78319/keyword/89941b4e-2dd1-4848-8957-48af280a31e0" TargetMode="External" Id="rId229"/><Relationship Type="http://schemas.openxmlformats.org/officeDocument/2006/relationships/hyperlink" Target="https://baseconnect.in/companies/prefecture/9ebb3838-effc-47da-b634-994957a78319/keyword/89941b4e-2dd1-4848-8957-48af280a31e0" TargetMode="External" Id="rId230"/><Relationship Type="http://schemas.openxmlformats.org/officeDocument/2006/relationships/hyperlink" Target="https://baseconnect.in/companies/prefecture/9ebb3838-effc-47da-b634-994957a78319/keyword/89941b4e-2dd1-4848-8957-48af280a31e0" TargetMode="External" Id="rId231"/><Relationship Type="http://schemas.openxmlformats.org/officeDocument/2006/relationships/hyperlink" Target="https://baseconnect.in/companies/prefecture/9ebb3838-effc-47da-b634-994957a78319/keyword/89941b4e-2dd1-4848-8957-48af280a31e0" TargetMode="External" Id="rId232"/><Relationship Type="http://schemas.openxmlformats.org/officeDocument/2006/relationships/hyperlink" Target="https://baseconnect.in/companies/prefecture/9ebb3838-effc-47da-b634-994957a78319/keyword/89941b4e-2dd1-4848-8957-48af280a31e0" TargetMode="External" Id="rId233"/><Relationship Type="http://schemas.openxmlformats.org/officeDocument/2006/relationships/hyperlink" Target="https://baseconnect.in/companies/prefecture/9ebb3838-effc-47da-b634-994957a78319/keyword/89941b4e-2dd1-4848-8957-48af280a31e0" TargetMode="External" Id="rId234"/><Relationship Type="http://schemas.openxmlformats.org/officeDocument/2006/relationships/hyperlink" Target="https://baseconnect.in/companies/prefecture/3eff90d1-0bad-4fac-bce6-da9b939d7407/keyword/89941b4e-2dd1-4848-8957-48af280a31e0" TargetMode="External" Id="rId235"/><Relationship Type="http://schemas.openxmlformats.org/officeDocument/2006/relationships/hyperlink" Target="https://baseconnect.in/companies/prefecture/3eff90d1-0bad-4fac-bce6-da9b939d7407/keyword/89941b4e-2dd1-4848-8957-48af280a31e0" TargetMode="External" Id="rId236"/><Relationship Type="http://schemas.openxmlformats.org/officeDocument/2006/relationships/hyperlink" Target="https://baseconnect.in/companies/prefecture/3eff90d1-0bad-4fac-bce6-da9b939d7407/keyword/89941b4e-2dd1-4848-8957-48af280a31e0" TargetMode="External" Id="rId237"/><Relationship Type="http://schemas.openxmlformats.org/officeDocument/2006/relationships/hyperlink" Target="https://baseconnect.in/companies/prefecture/3eff90d1-0bad-4fac-bce6-da9b939d7407/keyword/89941b4e-2dd1-4848-8957-48af280a31e0" TargetMode="External" Id="rId238"/><Relationship Type="http://schemas.openxmlformats.org/officeDocument/2006/relationships/hyperlink" Target="https://baseconnect.in/companies/prefecture/72122f8e-2e11-4641-9216-d1abc796b0cd/category/b2358a1c-c4c6-46f4-a0b1-dee3a1b30a0b" TargetMode="External" Id="rId239"/><Relationship Type="http://schemas.openxmlformats.org/officeDocument/2006/relationships/hyperlink" Target="https://baseconnect.in/companies/prefecture/72122f8e-2e11-4641-9216-d1abc796b0cd/category/b2358a1c-c4c6-46f4-a0b1-dee3a1b30a0b" TargetMode="External" Id="rId240"/><Relationship Type="http://schemas.openxmlformats.org/officeDocument/2006/relationships/hyperlink" Target="https://baseconnect.in/companies/prefecture/72122f8e-2e11-4641-9216-d1abc796b0cd/category/b2358a1c-c4c6-46f4-a0b1-dee3a1b30a0b" TargetMode="External" Id="rId241"/><Relationship Type="http://schemas.openxmlformats.org/officeDocument/2006/relationships/hyperlink" Target="https://baseconnect.in/companies/prefecture/3ef7ac2a-ecbb-4477-acd1-e7d443e6b591/category/b2358a1c-c4c6-46f4-a0b1-dee3a1b30a0b" TargetMode="External" Id="rId242"/><Relationship Type="http://schemas.openxmlformats.org/officeDocument/2006/relationships/hyperlink" Target="https://baseconnect.in/companies/prefecture/3ef7ac2a-ecbb-4477-acd1-e7d443e6b591/category/b2358a1c-c4c6-46f4-a0b1-dee3a1b30a0b" TargetMode="External" Id="rId243"/><Relationship Type="http://schemas.openxmlformats.org/officeDocument/2006/relationships/hyperlink" Target="https://baseconnect.in/companies/prefecture/3ef7ac2a-ecbb-4477-acd1-e7d443e6b591/category/b2358a1c-c4c6-46f4-a0b1-dee3a1b30a0b" TargetMode="External" Id="rId244"/><Relationship Type="http://schemas.openxmlformats.org/officeDocument/2006/relationships/hyperlink" Target="https://baseconnect.in/companies/prefecture/3ef7ac2a-ecbb-4477-acd1-e7d443e6b591/category/b2358a1c-c4c6-46f4-a0b1-dee3a1b30a0b" TargetMode="External" Id="rId245"/><Relationship Type="http://schemas.openxmlformats.org/officeDocument/2006/relationships/hyperlink" Target="https://baseconnect.in/companies/prefecture/a89155ac-9626-450f-9011-00a5b6529965/category/b2358a1c-c4c6-46f4-a0b1-dee3a1b30a0b" TargetMode="External" Id="rId246"/><Relationship Type="http://schemas.openxmlformats.org/officeDocument/2006/relationships/hyperlink" Target="https://baseconnect.in/companies/prefecture/a89155ac-9626-450f-9011-00a5b6529965/category/b2358a1c-c4c6-46f4-a0b1-dee3a1b30a0b" TargetMode="External" Id="rId247"/><Relationship Type="http://schemas.openxmlformats.org/officeDocument/2006/relationships/hyperlink" Target="https://baseconnect.in/companies/prefecture/a89155ac-9626-450f-9011-00a5b6529965/category/b2358a1c-c4c6-46f4-a0b1-dee3a1b30a0b" TargetMode="External" Id="rId248"/><Relationship Type="http://schemas.openxmlformats.org/officeDocument/2006/relationships/hyperlink" Target="https://baseconnect.in/companies/prefecture/cd00efe9-63bc-49a2-846e-3cfd4bca7207/keyword/89941b4e-2dd1-4848-8957-48af280a31e0" TargetMode="External" Id="rId249"/><Relationship Type="http://schemas.openxmlformats.org/officeDocument/2006/relationships/hyperlink" Target="https://baseconnect.in/companies/prefecture/2466a71e-a675-4184-bf2b-a9d3122e4400/category/b2358a1c-c4c6-46f4-a0b1-dee3a1b30a0b" TargetMode="External" Id="rId250"/><Relationship Type="http://schemas.openxmlformats.org/officeDocument/2006/relationships/hyperlink" Target="https://baseconnect.in/companies/prefecture/22e3a90e-e956-4cce-bd1b-bdc8b44fc75f/category/b2358a1c-c4c6-46f4-a0b1-dee3a1b30a0b" TargetMode="External" Id="rId251"/><Relationship Type="http://schemas.openxmlformats.org/officeDocument/2006/relationships/hyperlink" Target="https://compalyze.co.jp/company/6500001015536" TargetMode="External" Id="rId252"/><Relationship Type="http://schemas.openxmlformats.org/officeDocument/2006/relationships/hyperlink" Target="https://baseconnect.in/companies/prefecture/18e4d2f6-9b16-4488-931c-17ced3101b74/keyword/2eca165e-bd4a-4e2e-bc44-397492071b92" TargetMode="External" Id="rId253"/><Relationship Type="http://schemas.openxmlformats.org/officeDocument/2006/relationships/hyperlink" Target="https://baseconnect.in/companies/prefecture/de8c9062-e2c4-4731-9214-c2e07deaabfb/keyword/89941b4e-2dd1-4848-8957-48af280a31e0" TargetMode="External" Id="rId254"/><Relationship Type="http://schemas.openxmlformats.org/officeDocument/2006/relationships/hyperlink" Target="https://baseconnect.in/companies/prefecture/ed058ccb-0ba4-4479-9732-51a97cc73b5d/category/b2358a1c-c4c6-46f4-a0b1-dee3a1b30a0b" TargetMode="External" Id="rId255"/><Relationship Type="http://schemas.openxmlformats.org/officeDocument/2006/relationships/hyperlink" Target="https://baseconnect.in/companies/prefecture/3420045f-8609-4232-9407-75407ae4e6e8/category/b2358a1c-c4c6-46f4-a0b1-dee3a1b30a0b" TargetMode="External" Id="rId256"/><Relationship Type="http://schemas.openxmlformats.org/officeDocument/2006/relationships/hyperlink" Target="https://baseconnect.in/companies/prefecture/3420045f-8609-4232-9407-75407ae4e6e8/category/b2358a1c-c4c6-46f4-a0b1-dee3a1b30a0b" TargetMode="External" Id="rId257"/><Relationship Type="http://schemas.openxmlformats.org/officeDocument/2006/relationships/hyperlink" Target="https://baseconnect.in/companies/prefecture/3420045f-8609-4232-9407-75407ae4e6e8/category/b2358a1c-c4c6-46f4-a0b1-dee3a1b30a0b" TargetMode="External" Id="rId258"/><Relationship Type="http://schemas.openxmlformats.org/officeDocument/2006/relationships/hyperlink" Target="https://baseconnect.in/companies/prefecture/3420045f-8609-4232-9407-75407ae4e6e8/category/b2358a1c-c4c6-46f4-a0b1-dee3a1b30a0b" TargetMode="External" Id="rId259"/><Relationship Type="http://schemas.openxmlformats.org/officeDocument/2006/relationships/hyperlink" Target="https://baseconnect.in/companies/prefecture/3420045f-8609-4232-9407-75407ae4e6e8/keyword/89941b4e-2dd1-4848-8957-48af280a31e0" TargetMode="External" Id="rId260"/><Relationship Type="http://schemas.openxmlformats.org/officeDocument/2006/relationships/hyperlink" Target="https://baseconnect.in/companies/prefecture/3420045f-8609-4232-9407-75407ae4e6e8/keyword/89941b4e-2dd1-4848-8957-48af280a31e0" TargetMode="External" Id="rId261"/><Relationship Type="http://schemas.openxmlformats.org/officeDocument/2006/relationships/hyperlink" Target="https://baseconnect.in/companies/prefecture/3420045f-8609-4232-9407-75407ae4e6e8/keyword/89941b4e-2dd1-4848-8957-48af280a31e0" TargetMode="External" Id="rId262"/><Relationship Type="http://schemas.openxmlformats.org/officeDocument/2006/relationships/hyperlink" Target="https://baseconnect.in/companies/prefecture/3420045f-8609-4232-9407-75407ae4e6e8/keyword/89941b4e-2dd1-4848-8957-48af280a31e0" TargetMode="External" Id="rId263"/><Relationship Type="http://schemas.openxmlformats.org/officeDocument/2006/relationships/hyperlink" Target="https://baseconnect.in/companies/prefecture/5b2e6d00-cfba-4d0b-850d-54757e4b4d7f/keyword/89941b4e-2dd1-4848-8957-48af280a31e0" TargetMode="External" Id="rId264"/><Relationship Type="http://schemas.openxmlformats.org/officeDocument/2006/relationships/hyperlink" Target="https://baseconnect.in/companies/prefecture/5d54c878-c20d-4f57-bb73-e021f2210d6c/keyword/14f3dcec-9cd5-4be5-84e1-ddccb7bd228c" TargetMode="External" Id="rId265"/><Relationship Type="http://schemas.openxmlformats.org/officeDocument/2006/relationships/hyperlink" Target="https://baseconnect.in/companies/prefecture/c59cfe5b-871c-44d1-8594-96d4a5882e4b/keyword/89941b4e-2dd1-4848-8957-48af280a31e0" TargetMode="External" Id="rId266"/><Relationship Type="http://schemas.openxmlformats.org/officeDocument/2006/relationships/hyperlink" Target="https://baseconnect.in/companies/prefecture/c59cfe5b-871c-44d1-8594-96d4a5882e4b/keyword/89941b4e-2dd1-4848-8957-48af280a31e0" TargetMode="External" Id="rId267"/><Relationship Type="http://schemas.openxmlformats.org/officeDocument/2006/relationships/hyperlink" Target="https://biz-maps.com/s/cities/102016/m-inds/352" TargetMode="External" Id="rId268"/><Relationship Type="http://schemas.openxmlformats.org/officeDocument/2006/relationships/hyperlink" Target="https://baseconnect.in/companies/prefecture/d8203dea-91e2-41c3-a785-b80aa997273c/category/b2358a1c-c4c6-46f4-a0b1-dee3a1b30a0b" TargetMode="External" Id="rId269"/><Relationship Type="http://schemas.openxmlformats.org/officeDocument/2006/relationships/hyperlink" Target="https://baseconnect.in/companies/prefecture/d8203dea-91e2-41c3-a785-b80aa997273c/category/b2358a1c-c4c6-46f4-a0b1-dee3a1b30a0b" TargetMode="External" Id="rId270"/><Relationship Type="http://schemas.openxmlformats.org/officeDocument/2006/relationships/hyperlink" Target="https://baseconnect.in/companies/prefecture/d80b180e-5fd9-4082-8cdc-a510179a3475/keyword/89941b4e-2dd1-4848-8957-48af280a31e0" TargetMode="External" Id="rId271"/><Relationship Type="http://schemas.openxmlformats.org/officeDocument/2006/relationships/hyperlink" Target="https://baseconnect.in/companies/prefecture/60622468-79bd-4eef-86f8-cb69d1ef09f0/category/b2358a1c-c4c6-46f4-a0b1-dee3a1b30a0b" TargetMode="External" Id="rId272"/><Relationship Type="http://schemas.openxmlformats.org/officeDocument/2006/relationships/hyperlink" Target="https://baseconnect.in/companies/prefecture/ce8171a3-9c3a-4158-b1ce-74bbb8bad1e4/keyword/bacc2d48-54d0-4e67-94c7-df7c3cb3a34e" TargetMode="External" Id="rId273"/><Relationship Type="http://schemas.openxmlformats.org/officeDocument/2006/relationships/hyperlink" Target="https://kyuren.jp/%E4%BC%9A%E5%93%A1%E7%B4%B9%E4%BB%8B/" TargetMode="External" Id="rId274"/><Relationship Type="http://schemas.openxmlformats.org/officeDocument/2006/relationships/hyperlink" Target="https://www.jahid.or.jp/pdf/meibo2025.pdf" TargetMode="External" Id="rId275"/><Relationship Type="http://schemas.openxmlformats.org/officeDocument/2006/relationships/hyperlink" Target="https://www.jahid.or.jp/pdf/meibo2025.pdf" TargetMode="External" Id="rId276"/><Relationship Type="http://schemas.openxmlformats.org/officeDocument/2006/relationships/hyperlink" Target="https://baseconnect.in/companies/prefecture/9ebb3838-effc-47da-b634-994957a78319/keyword/89941b4e-2dd1-4848-8957-48af280a31e0" TargetMode="External" Id="rId277"/><Relationship Type="http://schemas.openxmlformats.org/officeDocument/2006/relationships/hyperlink" Target="https://i.ansinkaigo.jp/shokai/home-care/welfare-equipment/121454" TargetMode="External" Id="rId278"/><Relationship Type="http://schemas.openxmlformats.org/officeDocument/2006/relationships/hyperlink" Target="https://baseconnect.in/companies/prefecture/9ebb3838-effc-47da-b634-994957a78319/keyword/89941b4e-2dd1-4848-8957-48af280a31e0" TargetMode="External" Id="rId279"/><Relationship Type="http://schemas.openxmlformats.org/officeDocument/2006/relationships/hyperlink" Target="https://baseconnect.in/companies/prefecture/9ebb3838-effc-47da-b634-994957a78319/keyword/89941b4e-2dd1-4848-8957-48af280a31e0" TargetMode="External" Id="rId280"/><Relationship Type="http://schemas.openxmlformats.org/officeDocument/2006/relationships/hyperlink" Target="https://baseconnect.in/companies/prefecture/3eff90d1-0bad-4fac-bce6-da9b939d7407/keyword/89941b4e-2dd1-4848-8957-48af280a31e0" TargetMode="External" Id="rId281"/><Relationship Type="http://schemas.openxmlformats.org/officeDocument/2006/relationships/hyperlink" Target="https://compalyze.co.jp/company/5260001006627" TargetMode="External" Id="rId282"/><Relationship Type="http://schemas.openxmlformats.org/officeDocument/2006/relationships/hyperlink" Target="https://baseconnect.in/companies/prefecture/cd00efe9-63bc-49a2-846e-3cfd4bca7207/keyword/89941b4e-2dd1-4848-8957-48af280a31e0" TargetMode="External" Id="rId283"/><Relationship Type="http://schemas.openxmlformats.org/officeDocument/2006/relationships/hyperlink" Target="https://baseconnect.in/companies/prefecture/2466a71e-a675-4184-bf2b-a9d3122e4400/category/b2358a1c-c4c6-46f4-a0b1-dee3a1b30a0b" TargetMode="External" Id="rId284"/><Relationship Type="http://schemas.openxmlformats.org/officeDocument/2006/relationships/hyperlink" Target="https://baseconnect.in/companies/prefecture/3562c231-08e3-43af-8765-2077382c0c10/keyword/6afa1771-8d91-440c-86b0-ba8538b7bf9a" TargetMode="External" Id="rId285"/><Relationship Type="http://schemas.openxmlformats.org/officeDocument/2006/relationships/hyperlink" Target="https://baseconnect.in/companies/prefecture/22e3a90e-e956-4cce-bd1b-bdc8b44fc75f/category/b2358a1c-c4c6-46f4-a0b1-dee3a1b30a0b" TargetMode="External" Id="rId286"/><Relationship Type="http://schemas.openxmlformats.org/officeDocument/2006/relationships/hyperlink" Target="https://baseconnect.in/companies/prefecture/f533238c-06e6-46f9-9508-cbe03ad6754f/category/b2358a1c-c4c6-46f4-a0b1-dee3a1b30a0b" TargetMode="External" Id="rId287"/><Relationship Type="http://schemas.openxmlformats.org/officeDocument/2006/relationships/hyperlink" Target="https://baseconnect.in/companies/prefecture/5b2e6d00-cfba-4d0b-850d-54757e4b4d7f/keyword/89941b4e-2dd1-4848-8957-48af280a31e0" TargetMode="External" Id="rId288"/><Relationship Type="http://schemas.openxmlformats.org/officeDocument/2006/relationships/hyperlink" Target="https://i.ansinkaigo.jp/shokai/home-care/welfare-equipment/132088" TargetMode="External" Id="rId289"/><Relationship Type="http://schemas.openxmlformats.org/officeDocument/2006/relationships/hyperlink" Target="https://i.ansinkaigo.jp/shokai/home-care/welfare-equipment/130946" TargetMode="External" Id="rId290"/></Relationships>
</file>

<file path=xl/worksheets/_rels/sheet2.xml.rels><Relationships xmlns="http://schemas.openxmlformats.org/package/2006/relationships"><Relationship Type="http://schemas.openxmlformats.org/officeDocument/2006/relationships/hyperlink" Target="https://www.pmda.go.jp/PmdaSearch/kikiDetail/GeneralList/221ABBZX00092000_A_01" TargetMode="External" Id="rId1"/><Relationship Type="http://schemas.openxmlformats.org/officeDocument/2006/relationships/hyperlink" Target="https://www.r-agent.com/company/05319/" TargetMode="External" Id="rId2"/><Relationship Type="http://schemas.openxmlformats.org/officeDocument/2006/relationships/hyperlink" Target="https://www.atpress.ne.jp/news/11004" TargetMode="External" Id="rId3"/><Relationship Type="http://schemas.openxmlformats.org/officeDocument/2006/relationships/hyperlink" Target="https://www.pref.hiroshima.lg.jp/uploaded/attachment/261374.pdf" TargetMode="External" Id="rId4"/><Relationship Type="http://schemas.openxmlformats.org/officeDocument/2006/relationships/hyperlink" Target="https://baseconnect.in/companies/prefecture/a30ebdff-361b-42be-8372-1b0d350f48a0/keyword/2517ed26-1f2b-4156-ab10-55a6dc901a56" TargetMode="External" Id="rId5"/><Relationship Type="http://schemas.openxmlformats.org/officeDocument/2006/relationships/hyperlink" Target="https://www.careercross.com/company/pdf-591894" TargetMode="External" Id="rId6"/><Relationship Type="http://schemas.openxmlformats.org/officeDocument/2006/relationships/hyperlink" Target="https://mynavi-agent.jp/corpdetail/1161/" TargetMode="External" Id="rId7"/><Relationship Type="http://schemas.openxmlformats.org/officeDocument/2006/relationships/hyperlink" Target="https://directscout.recruit.co.jp/job_descriptions/7637910" TargetMode="External" Id="rId8"/><Relationship Type="http://schemas.openxmlformats.org/officeDocument/2006/relationships/hyperlink" Target="https://baseconnect.in/companies/prefecture/d80b180e-5fd9-4082-8cdc-a510179a3475/keyword/89941b4e-2dd1-4848-8957-48af280a31e0" TargetMode="External" Id="rId9"/><Relationship Type="http://schemas.openxmlformats.org/officeDocument/2006/relationships/hyperlink" Target="https://baseconnect.in/companies/prefecture/5b2e6d00-cfba-4d0b-850d-54757e4b4d7f/category/b2358a1c-c4c6-46f4-a0b1-dee3a1b30a0b" TargetMode="External" Id="rId10"/><Relationship Type="http://schemas.openxmlformats.org/officeDocument/2006/relationships/hyperlink" Target="https://careerconnection.jp/review/82545/jobinfo/" TargetMode="External" Id="rId11"/><Relationship Type="http://schemas.openxmlformats.org/officeDocument/2006/relationships/hyperlink" Target="https://baseconnect.in/companies/prefecture/912d7b2d-41c2-4923-a5c1-6666f9834966/keyword/14f3dcec-9cd5-4be5-84e1-ddccb7bd228c" TargetMode="External" Id="rId12"/><Relationship Type="http://schemas.openxmlformats.org/officeDocument/2006/relationships/hyperlink" Target="https://baseconnect.in/companies/prefecture/d80b180e-5fd9-4082-8cdc-a510179a3475/keyword/89941b4e-2dd1-4848-8957-48af280a31e0" TargetMode="External" Id="rId13"/><Relationship Type="http://schemas.openxmlformats.org/officeDocument/2006/relationships/hyperlink" Target="https://www.pref.yamaguchi.lg.jp/uploaded/attachment/60067.pdf" TargetMode="External" Id="rId14"/><Relationship Type="http://schemas.openxmlformats.org/officeDocument/2006/relationships/hyperlink" Target="https://baseconnect.in/companies/prefecture/3420045f-8609-4232-9407-75407ae4e6e8/keyword/89941b4e-2dd1-4848-8957-48af280a31e0" TargetMode="External" Id="rId15"/></Relationships>
</file>

<file path=xl/worksheets/_rels/sheet5.xml.rels><Relationships xmlns="http://schemas.openxmlformats.org/package/2006/relationships"><Relationship Type="http://schemas.openxmlformats.org/officeDocument/2006/relationships/hyperlink" Target="https://www.jahid.or.jp/pdf/meibo2025.pdf" TargetMode="External" Id="rId1"/><Relationship Type="http://schemas.openxmlformats.org/officeDocument/2006/relationships/hyperlink" Target="https://www.jahid.or.jp/pdf/meibo2021.pdf" TargetMode="External" Id="rId2"/><Relationship Type="http://schemas.openxmlformats.org/officeDocument/2006/relationships/hyperlink" Target="https://www.tahid.org/association/member.html" TargetMode="External" Id="rId3"/><Relationship Type="http://schemas.openxmlformats.org/officeDocument/2006/relationships/hyperlink" Target="https://www.osaka-iryokiki-kyokai.com/member_list/" TargetMode="External" Id="rId4"/><Relationship Type="http://schemas.openxmlformats.org/officeDocument/2006/relationships/hyperlink" Target="https://kyuren.jp/%E4%BC%9A%E5%93%A1%E7%B4%B9%E4%BB%8B/" TargetMode="External" Id="rId5"/><Relationship Type="http://schemas.openxmlformats.org/officeDocument/2006/relationships/hyperlink" Target="https://fukuokamea.com/%E4%BC%9A%E5%93%A1%E7%B4%B9%E4%BB%8B-2/" TargetMode="External" Id="rId6"/><Relationship Type="http://schemas.openxmlformats.org/officeDocument/2006/relationships/hyperlink" Target="https://www.pmda.go.jp/PmdaSearch/kikiDetail/GeneralList/221ABBZX00092000_A_01" TargetMode="External" Id="rId7"/><Relationship Type="http://schemas.openxmlformats.org/officeDocument/2006/relationships/hyperlink" Target="https://www.pmda.go.jp/review-services/drug-reviews/about-reviews/devices/0026.html" TargetMode="External" Id="rId8"/><Relationship Type="http://schemas.openxmlformats.org/officeDocument/2006/relationships/hyperlink" Target="https://www.atpress.ne.jp/news/11004" TargetMode="External" Id="rId9"/><Relationship Type="http://schemas.openxmlformats.org/officeDocument/2006/relationships/hyperlink" Target="https://www.shigyo.co.jp/post_topics/gaikokuseizouiryoukikiwonihondehannbaisurusainootoshiana/" TargetMode="External" Id="rId10"/><Relationship Type="http://schemas.openxmlformats.org/officeDocument/2006/relationships/hyperlink" Target="https://baseconnect.in/companies/prefecture/9ebb3838-effc-47da-b634-994957a78319/keyword/89941b4e-2dd1-4848-8957-48af280a31e0" TargetMode="External" Id="rId11"/><Relationship Type="http://schemas.openxmlformats.org/officeDocument/2006/relationships/hyperlink" Target="https://baseconnect.in/companies/prefecture/60622468-79bd-4eef-86f8-cb69d1ef09f0/category/b2358a1c-c4c6-46f4-a0b1-dee3a1b30a0b" TargetMode="External" Id="rId12"/><Relationship Type="http://schemas.openxmlformats.org/officeDocument/2006/relationships/hyperlink" Target="https://baseconnect.in/companies/prefecture/d80b180e-5fd9-4082-8cdc-a510179a3475/keyword/89941b4e-2dd1-4848-8957-48af280a31e0" TargetMode="External" Id="rId13"/><Relationship Type="http://schemas.openxmlformats.org/officeDocument/2006/relationships/hyperlink" Target="https://baseconnect.in/companies/prefecture/d8203dea-91e2-41c3-a785-b80aa997273c/category/b2358a1c-c4c6-46f4-a0b1-dee3a1b30a0b" TargetMode="External" Id="rId14"/><Relationship Type="http://schemas.openxmlformats.org/officeDocument/2006/relationships/hyperlink" Target="https://baseconnect.in/companies/prefecture/a30ebdff-361b-42be-8372-1b0d350f48a0/keyword/2517ed26-1f2b-4156-ab10-55a6dc901a56" TargetMode="External" Id="rId15"/><Relationship Type="http://schemas.openxmlformats.org/officeDocument/2006/relationships/hyperlink" Target="https://baseconnect.in/companies/prefecture/3420045f-8609-4232-9407-75407ae4e6e8/category/b2358a1c-c4c6-46f4-a0b1-dee3a1b30a0b" TargetMode="External" Id="rId16"/><Relationship Type="http://schemas.openxmlformats.org/officeDocument/2006/relationships/hyperlink" Target="https://baseconnect.in/companies/prefecture/63038c5a-e328-472b-b9cc-039738609ba7/keyword/14f3dcec-9cd5-4be5-84e1-ddccb7bd228c" TargetMode="External" Id="rId17"/><Relationship Type="http://schemas.openxmlformats.org/officeDocument/2006/relationships/hyperlink" Target="https://baseconnect.in/companies/prefecture/5b2e6d00-cfba-4d0b-850d-54757e4b4d7f/category/b2358a1c-c4c6-46f4-a0b1-dee3a1b30a0b" TargetMode="External" Id="rId18"/><Relationship Type="http://schemas.openxmlformats.org/officeDocument/2006/relationships/hyperlink" Target="https://baseconnect.in/companies/prefecture/3420045f-8609-4232-9407-75407ae4e6e8/keyword/89941b4e-2dd1-4848-8957-48af280a31e0" TargetMode="External" Id="rId19"/><Relationship Type="http://schemas.openxmlformats.org/officeDocument/2006/relationships/hyperlink" Target="https://baseconnect.in/companies/prefecture/39b58ff0-63fd-405f-8b8a-37c5443ce5c7/keyword/89941b4e-2dd1-4848-8957-48af280a31e0" TargetMode="External" Id="rId20"/><Relationship Type="http://schemas.openxmlformats.org/officeDocument/2006/relationships/hyperlink" Target="https://baseconnect.in/companies/prefecture/3eff90d1-0bad-4fac-bce6-da9b939d7407/keyword/89941b4e-2dd1-4848-8957-48af280a31e0" TargetMode="External" Id="rId21"/><Relationship Type="http://schemas.openxmlformats.org/officeDocument/2006/relationships/hyperlink" Target="https://baseconnect.in/companies/prefecture/47b312cd-84c4-4e89-951a-b56344bc774e/keyword/89941b4e-2dd1-4848-8957-48af280a31e0" TargetMode="External" Id="rId22"/><Relationship Type="http://schemas.openxmlformats.org/officeDocument/2006/relationships/hyperlink" Target="https://baseconnect.in/companies/prefecture/912d7b2d-41c2-4923-a5c1-6666f9834966/keyword/14f3dcec-9cd5-4be5-84e1-ddccb7bd228c" TargetMode="External" Id="rId23"/><Relationship Type="http://schemas.openxmlformats.org/officeDocument/2006/relationships/hyperlink" Target="https://baseconnect.in/companies/prefecture/5d54c878-c20d-4f57-bb73-e021f2210d6c/keyword/14f3dcec-9cd5-4be5-84e1-ddccb7bd228c" TargetMode="External" Id="rId24"/><Relationship Type="http://schemas.openxmlformats.org/officeDocument/2006/relationships/hyperlink" Target="https://baseconnect.in/companies/prefecture/c59cfe5b-871c-44d1-8594-96d4a5882e4b/keyword/89941b4e-2dd1-4848-8957-48af280a31e0" TargetMode="External" Id="rId25"/><Relationship Type="http://schemas.openxmlformats.org/officeDocument/2006/relationships/hyperlink" Target="https://baseconnect.in/companies/prefecture/ce8171a3-9c3a-4158-b1ce-74bbb8bad1e4/keyword/bacc2d48-54d0-4e67-94c7-df7c3cb3a34e" TargetMode="External" Id="rId26"/><Relationship Type="http://schemas.openxmlformats.org/officeDocument/2006/relationships/hyperlink" Target="https://baseconnect.in/companies/prefecture/96c84bbe-0dd4-4885-9333-4913e3f022c9/keyword/89941b4e-2dd1-4848-8957-48af280a31e0" TargetMode="External" Id="rId27"/><Relationship Type="http://schemas.openxmlformats.org/officeDocument/2006/relationships/hyperlink" Target="https://baseconnect.in/companies/prefecture/88d796cc-214f-4ebf-b294-ebcaa486f8a2/category/b2358a1c-c4c6-46f4-a0b1-dee3a1b30a0b" TargetMode="External" Id="rId28"/><Relationship Type="http://schemas.openxmlformats.org/officeDocument/2006/relationships/hyperlink" Target="https://baseconnect.in/companies/prefecture/9c059a11-e5ef-470d-a270-47022ad1f973/category/e8b4fb2e-8cf9-473d-be34-3f729e65fdf3" TargetMode="External" Id="rId29"/><Relationship Type="http://schemas.openxmlformats.org/officeDocument/2006/relationships/hyperlink" Target="https://baseconnect.in/companies/prefecture/4637ba90-383b-4656-8be1-ca34c7f7244f/keyword/89941b4e-2dd1-4848-8957-48af280a31e0" TargetMode="External" Id="rId30"/><Relationship Type="http://schemas.openxmlformats.org/officeDocument/2006/relationships/hyperlink" Target="https://baseconnect.in/companies/prefecture/31ffefed-1183-4eba-a6d9-4182a6136e50/keyword/89941b4e-2dd1-4848-8957-48af280a31e0" TargetMode="External" Id="rId31"/><Relationship Type="http://schemas.openxmlformats.org/officeDocument/2006/relationships/hyperlink" Target="https://baseconnect.in/companies/prefecture/72122f8e-2e11-4641-9216-d1abc796b0cd/category/b2358a1c-c4c6-46f4-a0b1-dee3a1b30a0b" TargetMode="External" Id="rId32"/><Relationship Type="http://schemas.openxmlformats.org/officeDocument/2006/relationships/hyperlink" Target="https://baseconnect.in/companies/prefecture/cd00efe9-63bc-49a2-846e-3cfd4bca7207/keyword/89941b4e-2dd1-4848-8957-48af280a31e0" TargetMode="External" Id="rId33"/><Relationship Type="http://schemas.openxmlformats.org/officeDocument/2006/relationships/hyperlink" Target="https://baseconnect.in/companies/prefecture/a89155ac-9626-450f-9011-00a5b6529965/category/b2358a1c-c4c6-46f4-a0b1-dee3a1b30a0b" TargetMode="External" Id="rId34"/><Relationship Type="http://schemas.openxmlformats.org/officeDocument/2006/relationships/hyperlink" Target="https://baseconnect.in/companies/prefecture/22e3a90e-e956-4cce-bd1b-bdc8b44fc75f/category/b2358a1c-c4c6-46f4-a0b1-dee3a1b30a0b" TargetMode="External" Id="rId35"/><Relationship Type="http://schemas.openxmlformats.org/officeDocument/2006/relationships/hyperlink" Target="https://baseconnect.in/companies/prefecture/3ef7ac2a-ecbb-4477-acd1-e7d443e6b591/category/b2358a1c-c4c6-46f4-a0b1-dee3a1b30a0b" TargetMode="External" Id="rId36"/><Relationship Type="http://schemas.openxmlformats.org/officeDocument/2006/relationships/hyperlink" Target="https://baseconnect.in/companies/prefecture/d80b180e-5fd9-4082-8cdc-a510179a3475/keyword/088a0bed-423d-48b9-a3af-b77d98e81383" TargetMode="External" Id="rId37"/><Relationship Type="http://schemas.openxmlformats.org/officeDocument/2006/relationships/hyperlink" Target="https://baseconnect.in/companies/prefecture/18e4d2f6-9b16-4488-931c-17ced3101b74/keyword/2eca165e-bd4a-4e2e-bc44-397492071b92" TargetMode="External" Id="rId38"/><Relationship Type="http://schemas.openxmlformats.org/officeDocument/2006/relationships/hyperlink" Target="https://baseconnect.in/companies/prefecture/0356fc34-b458-43d5-b209-feac5e7fd808/category/4334232a-592e-4ef1-96cc-df1557db8533" TargetMode="External" Id="rId39"/><Relationship Type="http://schemas.openxmlformats.org/officeDocument/2006/relationships/hyperlink" Target="https://baseconnect.in/companies/prefecture/1d5a2479-736c-41d9-98fe-d43b8d447ca4/keyword/89941b4e-2dd1-4848-8957-48af280a31e0" TargetMode="External" Id="rId40"/><Relationship Type="http://schemas.openxmlformats.org/officeDocument/2006/relationships/hyperlink" Target="https://baseconnect.in/companies/prefecture/3cf97f91-8b39-4cdb-981b-d035b0176b65/keyword/89941b4e-2dd1-4848-8957-48af280a31e0" TargetMode="External" Id="rId41"/><Relationship Type="http://schemas.openxmlformats.org/officeDocument/2006/relationships/hyperlink" Target="https://baseconnect.in/companies/prefecture/344720c8-49c6-4a45-94af-958496d86524/category/b2358a1c-c4c6-46f4-a0b1-dee3a1b30a0b" TargetMode="External" Id="rId42"/><Relationship Type="http://schemas.openxmlformats.org/officeDocument/2006/relationships/hyperlink" Target="https://baseconnect.in/companies/prefecture/2466a71e-a675-4184-bf2b-a9d3122e4400/category/b2358a1c-c4c6-46f4-a0b1-dee3a1b30a0b" TargetMode="External" Id="rId43"/><Relationship Type="http://schemas.openxmlformats.org/officeDocument/2006/relationships/hyperlink" Target="https://www2.jpx.co.jp/disc/26670/140120190403400264.pdf" TargetMode="External" Id="rId44"/><Relationship Type="http://schemas.openxmlformats.org/officeDocument/2006/relationships/hyperlink" Target="https://compalyze.co.jp" TargetMode="External" Id="rId45"/><Relationship Type="http://schemas.openxmlformats.org/officeDocument/2006/relationships/hyperlink" Target="https://baseconnect.in/companies/prefecture/9ed9a43b-c714-41d5-b91b-6b21041f1294/category/b2358a1c-c4c6-46f4-a0b1-dee3a1b30a0b" TargetMode="External" Id="rId46"/><Relationship Type="http://schemas.openxmlformats.org/officeDocument/2006/relationships/hyperlink" Target="https://directscout.recruit.co.jp/job_descriptions/8635481" TargetMode="External" Id="rId47"/><Relationship Type="http://schemas.openxmlformats.org/officeDocument/2006/relationships/hyperlink" Target="https://baseconnect.in/companies/prefecture/de8c9062-e2c4-4731-9214-c2e07deaabfb/keyword/89941b4e-2dd1-4848-8957-48af280a31e0" TargetMode="External" Id="rId48"/><Relationship Type="http://schemas.openxmlformats.org/officeDocument/2006/relationships/hyperlink" Target="https://baseconnect.in/companies/keyword/a9b4f8d9-510e-403e-859d-c2d2fa9778be" TargetMode="External" Id="rId49"/><Relationship Type="http://schemas.openxmlformats.org/officeDocument/2006/relationships/hyperlink" Target="https://baseconnect.in/companies/prefecture/ba2490e4-a288-4266-8dd3-30b4ef28b3b2" TargetMode="External" Id="rId50"/><Relationship Type="http://schemas.openxmlformats.org/officeDocument/2006/relationships/hyperlink" Target="https://baseconnect.in/companies/prefecture/3562c231-08e3-43af-8765-2077382c0c10/keyword/6afa1771-8d91-440c-86b0-ba8538b7bf9a" TargetMode="External" Id="rId51"/><Relationship Type="http://schemas.openxmlformats.org/officeDocument/2006/relationships/hyperlink" Target="https://baseconnect.in/companies/prefecture/f533238c-06e6-46f9-9508-cbe03ad6754f/category/b2358a1c-c4c6-46f4-a0b1-dee3a1b30a0b" TargetMode="External" Id="rId52"/><Relationship Type="http://schemas.openxmlformats.org/officeDocument/2006/relationships/hyperlink" Target="https://www.osaka-iryokiki-kyokai.com/member_list/06.html" TargetMode="External" Id="rId53"/><Relationship Type="http://schemas.openxmlformats.org/officeDocument/2006/relationships/hyperlink" Target="https://baseconnect.in/companies/prefecture/aed784f6-cd06-4f72-95d9-876e82d37385/keyword/89941b4e-2dd1-4848-8957-48af280a31e0" TargetMode="External" Id="rId54"/><Relationship Type="http://schemas.openxmlformats.org/officeDocument/2006/relationships/hyperlink" Target="https://baseconnect.in/companies/prefecture/082ceea9-0e2a-4911-900e-35c6f7c160b3/keyword/89941b4e-2dd1-4848-8957-48af280a31e0" TargetMode="External" Id="rId55"/><Relationship Type="http://schemas.openxmlformats.org/officeDocument/2006/relationships/hyperlink" Target="https://baseconnect.in/companies/prefecture/5b2e6d00-cfba-4d0b-850d-54757e4b4d7f/keyword/89941b4e-2dd1-4848-8957-48af280a31e0" TargetMode="External" Id="rId56"/><Relationship Type="http://schemas.openxmlformats.org/officeDocument/2006/relationships/hyperlink" Target="https://pmda.go.jp" TargetMode="External" Id="rId57"/><Relationship Type="http://schemas.openxmlformats.org/officeDocument/2006/relationships/hyperlink" Target="https://www.r-agent.com/company/05319/" TargetMode="External" Id="rId58"/><Relationship Type="http://schemas.openxmlformats.org/officeDocument/2006/relationships/hyperlink" Target="https://mynavi-agent.jp/corpdetail/12673/" TargetMode="External" Id="rId59"/><Relationship Type="http://schemas.openxmlformats.org/officeDocument/2006/relationships/hyperlink" Target="https://www.pref.hiroshima.lg.jp/uploaded/attachment/261374.pdf" TargetMode="External" Id="rId60"/><Relationship Type="http://schemas.openxmlformats.org/officeDocument/2006/relationships/hyperlink" Target="https://corporate.jp.sharp/news/171219-a.pdf" TargetMode="External" Id="rId61"/><Relationship Type="http://schemas.openxmlformats.org/officeDocument/2006/relationships/hyperlink" Target="https://www.careercross.com/company/pdf-591894" TargetMode="External" Id="rId62"/><Relationship Type="http://schemas.openxmlformats.org/officeDocument/2006/relationships/hyperlink" Target="https://baseconnect.in/companies/prefecture/a30ebdff-361b-42be-8372-1b0d350f48a0/keyword/93424367-66f3-4226-9851-da8b3b5ab067" TargetMode="External" Id="rId63"/><Relationship Type="http://schemas.openxmlformats.org/officeDocument/2006/relationships/hyperlink" Target="https://mynavi-agent.jp/corpdetail/1161/" TargetMode="External" Id="rId64"/><Relationship Type="http://schemas.openxmlformats.org/officeDocument/2006/relationships/hyperlink" Target="https://directscout.recruit.co.jp/job_descriptions/7637910" TargetMode="External" Id="rId65"/><Relationship Type="http://schemas.openxmlformats.org/officeDocument/2006/relationships/hyperlink" Target="https://careerconnection.jp/review/82545/jobinfo/" TargetMode="External" Id="rId66"/><Relationship Type="http://schemas.openxmlformats.org/officeDocument/2006/relationships/hyperlink" Target="https://www.pref.yamaguchi.lg.jp/uploaded/attachment/60067.pdf" TargetMode="External" Id="rId67"/><Relationship Type="http://schemas.openxmlformats.org/officeDocument/2006/relationships/hyperlink" Target="https://www.pref.saitama.lg.jp/documents/236621/0220_nisshindenshiservice.pdf" TargetMode="External" Id="rId68"/><Relationship Type="http://schemas.openxmlformats.org/officeDocument/2006/relationships/hyperlink" Target="https://careerconnection.jp/review/947/jobinfo/" TargetMode="External" Id="rId69"/><Relationship Type="http://schemas.openxmlformats.org/officeDocument/2006/relationships/hyperlink" Target="https://compalyze.co.jp/company/3430001002008" TargetMode="External" Id="rId70"/><Relationship Type="http://schemas.openxmlformats.org/officeDocument/2006/relationships/hyperlink" Target="https://compalyze.co.jp/company/6030001055134" TargetMode="External" Id="rId71"/><Relationship Type="http://schemas.openxmlformats.org/officeDocument/2006/relationships/hyperlink" Target="https://www.r-agent.com/company/c7230/" TargetMode="External" Id="rId72"/><Relationship Type="http://schemas.openxmlformats.org/officeDocument/2006/relationships/hyperlink" Target="https://kaigo.homes.co.jp/scare/ad11/area110201/cc13/" TargetMode="External" Id="rId73"/><Relationship Type="http://schemas.openxmlformats.org/officeDocument/2006/relationships/hyperlink" Target="https://job.rikunabi.com/job_descriptions/4511bb0b2d226083" TargetMode="External" Id="rId74"/><Relationship Type="http://schemas.openxmlformats.org/officeDocument/2006/relationships/hyperlink" Target="https://compalyze.co.jp/company/6500002004785" TargetMode="External" Id="rId75"/><Relationship Type="http://schemas.openxmlformats.org/officeDocument/2006/relationships/hyperlink" Target="https://baseconnect.in/companies/prefecture/e010a2b6-a345-4a52-b350-1ca592e384b8/keyword/a68873de-8c54-4a2c-820f-e04c8b93064c" TargetMode="External" Id="rId76"/><Relationship Type="http://schemas.openxmlformats.org/officeDocument/2006/relationships/hyperlink" Target="https://compalyze.co.jp/company/8100001001277" TargetMode="External" Id="rId77"/><Relationship Type="http://schemas.openxmlformats.org/officeDocument/2006/relationships/hyperlink" Target="https://atsoho.com/vendors/engineering/yamagata/4390001001418" TargetMode="External" Id="rId78"/><Relationship Type="http://schemas.openxmlformats.org/officeDocument/2006/relationships/hyperlink" Target="https://baseconnect.in/companies/prefecture/a30ebdff-361b-42be-8372-1b0d350f48a0/keyword/89941b4e-2dd1-4848-8957-48af280a31e0" TargetMode="External" Id="rId79"/><Relationship Type="http://schemas.openxmlformats.org/officeDocument/2006/relationships/hyperlink" Target="https://www.openwork.jp/a0C1000000nInR1/job/" TargetMode="External" Id="rId80"/><Relationship Type="http://schemas.openxmlformats.org/officeDocument/2006/relationships/hyperlink" Target="https://compalyze.co.jp/company/3130001011567" TargetMode="External" Id="rId81"/><Relationship Type="http://schemas.openxmlformats.org/officeDocument/2006/relationships/hyperlink" Target="https://mynavi-agent.jp/corpdetail/25173/" TargetMode="External" Id="rId82"/><Relationship Type="http://schemas.openxmlformats.org/officeDocument/2006/relationships/hyperlink" Target="https://directscout.recruit.co.jp/job_descriptions/6783118" TargetMode="External" Id="rId83"/><Relationship Type="http://schemas.openxmlformats.org/officeDocument/2006/relationships/hyperlink" Target="https://compalyze.co.jp/company/8220001007064" TargetMode="External" Id="rId84"/><Relationship Type="http://schemas.openxmlformats.org/officeDocument/2006/relationships/hyperlink" Target="https://salesnow.jp/db/companies/jcbhy5av98p6vedf" TargetMode="External" Id="rId85"/><Relationship Type="http://schemas.openxmlformats.org/officeDocument/2006/relationships/hyperlink" Target="https://directscout.recruit.co.jp/job_descriptions/6579004" TargetMode="External" Id="rId86"/><Relationship Type="http://schemas.openxmlformats.org/officeDocument/2006/relationships/hyperlink" Target="https://baseconnect.in/companies/prefecture/7e20a5b4-424c-4931-8b3e-970bc0da0dce/keyword/a68873de-8c54-4a2c-820f-e04c8b93064c" TargetMode="External" Id="rId87"/><Relationship Type="http://schemas.openxmlformats.org/officeDocument/2006/relationships/hyperlink" Target="https://baseconnect.in/companies/city/907fb3f8-31a8-4163-a276-005c0d2a920b" TargetMode="External" Id="rId88"/><Relationship Type="http://schemas.openxmlformats.org/officeDocument/2006/relationships/hyperlink" Target="https://www.pref.kyoto.jp/sangyo-sien/company/sannsyoudou.html" TargetMode="External" Id="rId89"/><Relationship Type="http://schemas.openxmlformats.org/officeDocument/2006/relationships/hyperlink" Target="https://directscout.recruit.co.jp/job_descriptions/8733921" TargetMode="External" Id="rId90"/><Relationship Type="http://schemas.openxmlformats.org/officeDocument/2006/relationships/hyperlink" Target="https://compalyze.co.jp/company/2340001001399" TargetMode="External" Id="rId91"/><Relationship Type="http://schemas.openxmlformats.org/officeDocument/2006/relationships/hyperlink" Target="https://baseconnect.in/companies/prefecture/8de2e273-a5a8-45b9-8fc1-0fe6344d6843/keyword/14f3dcec-9cd5-4be5-84e1-ddccb7bd228c" TargetMode="External" Id="rId92"/><Relationship Type="http://schemas.openxmlformats.org/officeDocument/2006/relationships/hyperlink" Target="https://kaigo.homes.co.jp/scare/ad22/cc26/3/" TargetMode="External" Id="rId93"/><Relationship Type="http://schemas.openxmlformats.org/officeDocument/2006/relationships/hyperlink" Target="https://baseconnect.in/companies/prefecture/b147f06d-09b9-4c4f-9e51-e7157354eec0/keyword/14f3dcec-9cd5-4be5-84e1-ddccb7bd228c" TargetMode="External" Id="rId94"/><Relationship Type="http://schemas.openxmlformats.org/officeDocument/2006/relationships/hyperlink" Target="https://data-max.co.jp/corpo_database/corpo/detail/4310001009518" TargetMode="External" Id="rId95"/><Relationship Type="http://schemas.openxmlformats.org/officeDocument/2006/relationships/hyperlink" Target="https://salesnow.jp/db/companies/jcb3frp3wfstg2f9h" TargetMode="External" Id="rId96"/><Relationship Type="http://schemas.openxmlformats.org/officeDocument/2006/relationships/hyperlink" Target="https://compalyze.co.jp/company/6500001015536" TargetMode="External" Id="rId97"/><Relationship Type="http://schemas.openxmlformats.org/officeDocument/2006/relationships/hyperlink" Target="https://baseconnect.in/companies/prefecture/ed058ccb-0ba4-4479-9732-51a97cc73b5d/category/b2358a1c-c4c6-46f4-a0b1-dee3a1b30a0b" TargetMode="External" Id="rId98"/><Relationship Type="http://schemas.openxmlformats.org/officeDocument/2006/relationships/hyperlink" Target="https://biz-maps.com/s/cities/102016/m-inds/352" TargetMode="External" Id="rId99"/><Relationship Type="http://schemas.openxmlformats.org/officeDocument/2006/relationships/hyperlink" Target="https://i.ansinkaigo.jp/shokai/home-care/welfare-equipment/121454" TargetMode="External" Id="rId100"/><Relationship Type="http://schemas.openxmlformats.org/officeDocument/2006/relationships/hyperlink" Target="https://compalyze.co.jp/company/4450002009734" TargetMode="External" Id="rId101"/><Relationship Type="http://schemas.openxmlformats.org/officeDocument/2006/relationships/hyperlink" Target="https://compalyze.co.jp/company/5260001006627" TargetMode="External" Id="rId102"/><Relationship Type="http://schemas.openxmlformats.org/officeDocument/2006/relationships/hyperlink" Target="https://i.ansinkaigo.jp/shokai/home-care/welfare-equipment/132088" TargetMode="External" Id="rId103"/><Relationship Type="http://schemas.openxmlformats.org/officeDocument/2006/relationships/hyperlink" Target="https://i.ansinkaigo.jp/shokai/home-care/welfare-equipment/130946" TargetMode="External" Id="rId104"/></Relationships>
</file>

<file path=xl/worksheets/_rels/sheet6.xml.rels><Relationships xmlns="http://schemas.openxmlformats.org/package/2006/relationships"><Relationship Type="http://schemas.openxmlformats.org/officeDocument/2006/relationships/hyperlink" Target="https://www.r-agent.com/company/05319/" TargetMode="External" Id="rId1"/><Relationship Type="http://schemas.openxmlformats.org/officeDocument/2006/relationships/hyperlink" Target="https://data-max.co.jp/corpo_database/corpo/detail/4310001009518" TargetMode="External" Id="rId2"/><Relationship Type="http://schemas.openxmlformats.org/officeDocument/2006/relationships/hyperlink" Target="https://www.pref.miyazaki.lg.jp/documents/57538/57538_20241128084904-1.pdf" TargetMode="External" Id="rId3"/><Relationship Type="http://schemas.openxmlformats.org/officeDocument/2006/relationships/hyperlink" Target="https://i.ansinkaigo.jp/shokai/home-care/welfare-equipment/132088" TargetMode="External" Id="rId4"/><Relationship Type="http://schemas.openxmlformats.org/officeDocument/2006/relationships/hyperlink" Target="https://i.ansinkaigo.jp/shokai/home-care/welfare-equipment/130946" TargetMode="External" Id="rId5"/><Relationship Type="http://schemas.openxmlformats.org/officeDocument/2006/relationships/hyperlink" Target="https://www.careercross.com/company/pdf-591894" TargetMode="External" Id="rId6"/><Relationship Type="http://schemas.openxmlformats.org/officeDocument/2006/relationships/hyperlink" Target="https://salesnow.jp/db/companies/jcb3frp3wfstg2f9h" TargetMode="External" Id="rId7"/><Relationship Type="http://schemas.openxmlformats.org/officeDocument/2006/relationships/hyperlink" Target="https://kyuren.jp/%E4%BC%9A%E5%93%A1%E7%B4%B9%E4%BB%8B/" TargetMode="External" Id="rId8"/><Relationship Type="http://schemas.openxmlformats.org/officeDocument/2006/relationships/hyperlink" Target="https://www.openwork.jp/a0C1000000nInR1/job/" TargetMode="External" Id="rId9"/><Relationship Type="http://schemas.openxmlformats.org/officeDocument/2006/relationships/hyperlink" Target="https://www.pref.saitama.lg.jp/documents/236621/0220_nisshindenshiservice.pdf" TargetMode="External" Id="rId10"/><Relationship Type="http://schemas.openxmlformats.org/officeDocument/2006/relationships/hyperlink" Target="https://i.ansinkaigo.jp/shokai/home-care/welfare-equipment/121454" TargetMode="External" Id="rId11"/><Relationship Type="http://schemas.openxmlformats.org/officeDocument/2006/relationships/hyperlink" Target="https://www.pref.niigata.lg.jp/site/kigyonokoe/aisys.html" TargetMode="External" Id="rId12"/><Relationship Type="http://schemas.openxmlformats.org/officeDocument/2006/relationships/hyperlink" Target="https://baseconnect.in/companies/prefecture/4637ba90-383b-4656-8be1-ca34c7f7244f/keyword/89941b4e-2dd1-4848-8957-48af280a31e0" TargetMode="External" Id="rId13"/><Relationship Type="http://schemas.openxmlformats.org/officeDocument/2006/relationships/hyperlink" Target="https://kaigo.homes.co.jp/scare/ad22/cc26/3/" TargetMode="External" Id="rId14"/></Relationships>
</file>

<file path=xl/worksheets/sheet1.xml><?xml version="1.0" encoding="utf-8"?>
<worksheet xmlns="http://schemas.openxmlformats.org/spreadsheetml/2006/main">
  <sheetPr>
    <outlinePr summaryBelow="1" summaryRight="1"/>
    <pageSetUpPr/>
  </sheetPr>
  <dimension ref="A1:AG313"/>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6" customWidth="1" min="2" max="2"/>
    <col width="24" customWidth="1" min="3" max="3"/>
    <col width="22" customWidth="1" min="4" max="4"/>
    <col width="11" customWidth="1" min="5" max="5"/>
    <col width="16" customWidth="1" min="6" max="6"/>
    <col width="30" customWidth="1" min="7" max="7"/>
    <col width="40" customWidth="1" min="8" max="8"/>
    <col width="26" customWidth="1" min="9" max="9"/>
    <col width="30" customWidth="1" min="10" max="10"/>
    <col width="30" customWidth="1" min="11" max="11"/>
    <col width="22" customWidth="1" min="12" max="12"/>
    <col width="18" customWidth="1" min="13" max="13"/>
    <col width="12" customWidth="1" min="14" max="14"/>
    <col width="22" customWidth="1" min="15" max="15"/>
    <col width="14" customWidth="1" min="16" max="16"/>
    <col width="14" customWidth="1" min="17" max="17"/>
    <col width="16" customWidth="1" min="18" max="18"/>
    <col width="9" customWidth="1" min="19" max="19"/>
    <col width="6" customWidth="1" min="20" max="20"/>
    <col width="50" customWidth="1" min="21" max="21"/>
    <col width="60" customWidth="1" min="22" max="22"/>
    <col width="12" customWidth="1" min="23" max="23"/>
    <col width="60" customWidth="1" min="24" max="24"/>
    <col width="40" customWidth="1" min="25" max="25"/>
    <col width="22" customWidth="1" min="26" max="26"/>
    <col width="34" customWidth="1" min="27" max="27"/>
    <col width="44" customWidth="1" min="28" max="28"/>
    <col width="44" customWidth="1" min="29" max="29"/>
    <col width="15" customWidth="1" min="30" max="30"/>
    <col width="36" customWidth="1" min="31" max="31"/>
    <col width="40" customWidth="1" min="32" max="32"/>
    <col width="34" customWidth="1" min="33" max="33"/>
  </cols>
  <sheetData>
    <row r="1">
      <c r="A1" s="1" t="inlineStr">
        <is>
          <t>Japan Distributor List, Human Diagnostic Ultrasound (v1)</t>
        </is>
      </c>
    </row>
    <row r="2">
      <c r="A2" s="2" t="inlineStr">
        <is>
          <t>CHISON human diagnostic ultrasound, Japan distributor leads. Built 10 Oct 2026 by desk research for Casper Tan. Deduplicated against the 68 rows on the Japan Dealers tab. Scores are indicative desk scores, not interview based. Emails added 10 Oct 2026: each company website was opened and crawled for a published address, and every website was checked against the Japanese company name; see Email source and Email confidence.</t>
        </is>
      </c>
    </row>
    <row r="4">
      <c r="A4" s="3" t="inlineStr">
        <is>
          <t>No.</t>
        </is>
      </c>
      <c r="B4" s="3" t="inlineStr">
        <is>
          <t>Company (English)</t>
        </is>
      </c>
      <c r="C4" s="3" t="inlineStr">
        <is>
          <t>Company (Japanese)</t>
        </is>
      </c>
      <c r="D4" s="3" t="inlineStr">
        <is>
          <t>法人番号</t>
        </is>
      </c>
      <c r="E4" s="3" t="inlineStr">
        <is>
          <t>HQ prefecture</t>
        </is>
      </c>
      <c r="F4" s="3" t="inlineStr">
        <is>
          <t>Region</t>
        </is>
      </c>
      <c r="G4" s="3" t="inlineStr">
        <is>
          <t>Website</t>
        </is>
      </c>
      <c r="H4" s="3" t="inlineStr">
        <is>
          <t>Licences held</t>
        </is>
      </c>
      <c r="I4" s="3" t="inlineStr">
        <is>
          <t>Brands carried</t>
        </is>
      </c>
      <c r="J4" s="3" t="inlineStr">
        <is>
          <t>Segments served</t>
        </is>
      </c>
      <c r="K4" s="3" t="inlineStr">
        <is>
          <t>Coverage area</t>
        </is>
      </c>
      <c r="L4" s="3" t="inlineStr">
        <is>
          <t>Est. revenue or headcount</t>
        </is>
      </c>
      <c r="M4" s="3" t="inlineStr">
        <is>
          <t>Key contact name</t>
        </is>
      </c>
      <c r="N4" s="3" t="inlineStr">
        <is>
          <t>Title</t>
        </is>
      </c>
      <c r="O4" s="3" t="inlineStr">
        <is>
          <t>Email</t>
        </is>
      </c>
      <c r="P4" s="3" t="inlineStr">
        <is>
          <t>Phone</t>
        </is>
      </c>
      <c r="Q4" s="3" t="inlineStr">
        <is>
          <t>LinkedIn</t>
        </is>
      </c>
      <c r="R4" s="3" t="inlineStr">
        <is>
          <t>Contact confidence</t>
        </is>
      </c>
      <c r="S4" s="3" t="inlineStr">
        <is>
          <t>Fit score /35</t>
        </is>
      </c>
      <c r="T4" s="3" t="inlineStr">
        <is>
          <t>Tier</t>
        </is>
      </c>
      <c r="U4" s="3" t="inlineStr">
        <is>
          <t>Why they fit</t>
        </is>
      </c>
      <c r="V4" s="3" t="inlineStr">
        <is>
          <t>Suggested opening angle</t>
        </is>
      </c>
      <c r="W4" s="3" t="inlineStr">
        <is>
          <t>Also serves vet (Y/N)</t>
        </is>
      </c>
      <c r="X4" s="3" t="inlineStr">
        <is>
          <t>Source links</t>
        </is>
      </c>
      <c r="Y4" s="3" t="inlineStr">
        <is>
          <t>CHISON product to lead with</t>
        </is>
      </c>
      <c r="Z4" s="3" t="inlineStr">
        <is>
          <t>Score breakdown (Reg, Imaging, Conflict, Coverage, Reach, Service, Openness)</t>
        </is>
      </c>
      <c r="AA4" s="3" t="inlineStr">
        <is>
          <t>Address (where found)</t>
        </is>
      </c>
      <c r="AB4" s="3" t="inlineStr">
        <is>
          <t>Verification status</t>
        </is>
      </c>
      <c r="AC4" s="3" t="inlineStr">
        <is>
          <t>Flags</t>
        </is>
      </c>
      <c r="AD4" s="3" t="inlineStr">
        <is>
          <t>Pipeline stage</t>
        </is>
      </c>
      <c r="AE4" s="3" t="inlineStr">
        <is>
          <t>Other emails found</t>
        </is>
      </c>
      <c r="AF4" s="3" t="inlineStr">
        <is>
          <t>Email source</t>
        </is>
      </c>
      <c r="AG4" s="3" t="inlineStr">
        <is>
          <t>Email confidence</t>
        </is>
      </c>
    </row>
    <row r="5">
      <c r="A5" s="4" t="n">
        <v>1</v>
      </c>
      <c r="B5" s="4" t="inlineStr">
        <is>
          <t>Yuman Network</t>
        </is>
      </c>
      <c r="C5" s="4" t="inlineStr">
        <is>
          <t>ユーマンネットワーク</t>
        </is>
      </c>
      <c r="D5" s="4" t="inlineStr">
        <is>
          <t>Not retrieved (NTA lookup blocked in this session)</t>
        </is>
      </c>
      <c r="E5" s="4" t="inlineStr">
        <is>
          <t>東京都</t>
        </is>
      </c>
      <c r="F5" s="4" t="inlineStr">
        <is>
          <t>Kanto</t>
        </is>
      </c>
      <c r="G5" s="4" t="inlineStr">
        <is>
          <t>Not confirmed (company site not opened; network policy blocked direct access)</t>
        </is>
      </c>
      <c r="H5" s="4" t="inlineStr">
        <is>
          <t>MAH confirmed: PMDA listing shows it as 製造販売業者 for KOSMOS ultrasound</t>
        </is>
      </c>
      <c r="I5" s="4" t="inlineStr">
        <is>
          <t>KOSMOS handheld ultrasound (EchoNous) as MAH</t>
        </is>
      </c>
      <c r="J5" s="4" t="inlineStr">
        <is>
          <t>Ultrasound</t>
        </is>
      </c>
      <c r="K5" s="4" t="inlineStr">
        <is>
          <t>東京都 (regional; branch network not confirmed)</t>
        </is>
      </c>
      <c r="L5" s="4" t="inlineStr">
        <is>
          <t>Not found</t>
        </is>
      </c>
      <c r="M5" s="4" t="inlineStr">
        <is>
          <t>Not identified</t>
        </is>
      </c>
      <c r="N5" s="4" t="inlineStr">
        <is>
          <t>Not identified</t>
        </is>
      </c>
      <c r="O5" s="4" t="inlineStr">
        <is>
          <t>Not published; use company inquiry form</t>
        </is>
      </c>
      <c r="P5" s="4" t="inlineStr">
        <is>
          <t>Not confirmed</t>
        </is>
      </c>
      <c r="Q5" s="4" t="inlineStr">
        <is>
          <t>Not identified</t>
        </is>
      </c>
      <c r="R5" s="5" t="inlineStr">
        <is>
          <t>Unverified</t>
        </is>
      </c>
      <c r="S5" s="4" t="n">
        <v>27</v>
      </c>
      <c r="T5" s="6" t="inlineStr">
        <is>
          <t>A</t>
        </is>
      </c>
      <c r="U5" s="4" t="inlineStr">
        <is>
          <t>Holds or very likely holds a 製造販売業 licence through its import business, which removes the biggest Japan entry barrier. Already in imaging, so ultrasound is a natural line extension.</t>
        </is>
      </c>
      <c r="V5"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5" s="4" t="inlineStr">
        <is>
          <t>N (not identified)</t>
        </is>
      </c>
      <c r="X5" s="7" t="inlineStr">
        <is>
          <t>https://www.pmda.go.jp/PmdaSearch/kikiDetail/GeneralList/221ABBZX00092000_A_01 ; https://pmda.go.jp PmdaSearch (KOSMOS Series 製造販売/有限会社ユーマンネットワーク)</t>
        </is>
      </c>
      <c r="Y5" s="4" t="inlineStr">
        <is>
          <t>SonoBook 9 and SonoMax 7 carts plus SonoGO (no head to head with their KOSMOS handheld)</t>
        </is>
      </c>
      <c r="Z5" s="4" t="inlineStr">
        <is>
          <t>5, 5, 3, 3, 5, 2, 4</t>
        </is>
      </c>
      <c r="AA5" s="4" t="inlineStr">
        <is>
          <t>Not found</t>
        </is>
      </c>
      <c r="AB5" s="4" t="inlineStr">
        <is>
          <t>Directory or search listing; not opened (direct site access blocked)</t>
        </is>
      </c>
      <c r="AC5" s="4" t="inlineStr">
        <is>
          <t>No expired licence or ended distribution agreement found</t>
        </is>
      </c>
      <c r="AD5" s="4" t="inlineStr">
        <is>
          <t>Not started</t>
        </is>
      </c>
      <c r="AE5" s="4" t="inlineStr"/>
      <c r="AF5" s="4" t="inlineStr"/>
      <c r="AG5" s="4" t="inlineStr">
        <is>
          <t>No email published and no verified website found</t>
        </is>
      </c>
    </row>
    <row r="6">
      <c r="A6" s="4" t="n">
        <v>2</v>
      </c>
      <c r="B6" s="4" t="inlineStr">
        <is>
          <t>Toyo Medic</t>
        </is>
      </c>
      <c r="C6" s="4" t="inlineStr">
        <is>
          <t>東洋メディック</t>
        </is>
      </c>
      <c r="D6" s="4" t="inlineStr">
        <is>
          <t>Not retrieved (NTA lookup blocked in this session)</t>
        </is>
      </c>
      <c r="E6" s="4" t="inlineStr">
        <is>
          <t>東京都</t>
        </is>
      </c>
      <c r="F6" s="4" t="inlineStr">
        <is>
          <t>Kanto</t>
        </is>
      </c>
      <c r="G6" s="4" t="inlineStr">
        <is>
          <t>https://www.toyo-medic.co.jp/</t>
        </is>
      </c>
      <c r="H6" s="4" t="inlineStr">
        <is>
          <t>MAH implied: Imports diagnostic and radiology devices as Japan general agent; 製造販売業 licence implied, confirm class</t>
        </is>
      </c>
      <c r="I6" s="4" t="inlineStr">
        <is>
          <t>Not identified in published sources</t>
        </is>
      </c>
      <c r="J6" s="4" t="inlineStr">
        <is>
          <t>Radiology and imaging</t>
        </is>
      </c>
      <c r="K6" s="4" t="inlineStr">
        <is>
          <t>東京都; Osaka Nagoya Fukuoka Sapporo Sendai</t>
        </is>
      </c>
      <c r="L6" s="4" t="inlineStr">
        <is>
          <t>Est 1982</t>
        </is>
      </c>
      <c r="M6" s="4" t="inlineStr">
        <is>
          <t>Not identified</t>
        </is>
      </c>
      <c r="N6" s="4" t="inlineStr">
        <is>
          <t>Not identified</t>
        </is>
      </c>
      <c r="O6" s="4" t="inlineStr">
        <is>
          <t>kankyou@toyo-medic.co.jp</t>
        </is>
      </c>
      <c r="P6" s="4" t="inlineStr">
        <is>
          <t>Not confirmed</t>
        </is>
      </c>
      <c r="Q6" s="4" t="inlineStr">
        <is>
          <t>Not identified</t>
        </is>
      </c>
      <c r="R6" s="8" t="inlineStr">
        <is>
          <t>Company inquiry only</t>
        </is>
      </c>
      <c r="S6" s="4" t="n">
        <v>26</v>
      </c>
      <c r="T6" s="6" t="inlineStr">
        <is>
          <t>A</t>
        </is>
      </c>
      <c r="U6" s="4" t="inlineStr">
        <is>
          <t>Holds or very likely holds a 製造販売業 licence through its import business, which removes the biggest Japan entry barrier. Already in imaging, so ultrasound is a natural line extension.</t>
        </is>
      </c>
      <c r="V6"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6" s="4" t="inlineStr">
        <is>
          <t>N (not identified)</t>
        </is>
      </c>
      <c r="X6" s="7" t="inlineStr">
        <is>
          <t>https://www.r-agent.com/company/05319/ ; https://mynavi-agent.jp/corpdetail/12673/</t>
        </is>
      </c>
      <c r="Y6" s="4" t="inlineStr">
        <is>
          <t>SonoMax 7 plus SonoPort for radiology departments; SonoAir 70 portable</t>
        </is>
      </c>
      <c r="Z6" s="4" t="inlineStr">
        <is>
          <t>4, 4, 3, 2, 5, 4, 4</t>
        </is>
      </c>
      <c r="AA6" s="4" t="inlineStr">
        <is>
          <t>東京都千代田区飯田橋3丁目8番5号</t>
        </is>
      </c>
      <c r="AB6" s="4" t="inlineStr">
        <is>
          <t>Verified in 10% recheck</t>
        </is>
      </c>
      <c r="AC6" s="4" t="inlineStr">
        <is>
          <t>Holding group overlap: same ITOCHU group as Century Medical (existing row 1). Ask which entity should own the conversation. No expired licence or ended distribution agreement found</t>
        </is>
      </c>
      <c r="AD6" s="4" t="inlineStr">
        <is>
          <t>Not started</t>
        </is>
      </c>
      <c r="AE6" s="4" t="inlineStr">
        <is>
          <t>marketing-d2@toyo-medic.co.jp</t>
        </is>
      </c>
      <c r="AF6" s="4" t="inlineStr">
        <is>
          <t>https://apmc-mwe.org/mwe2024/kigyo/data/A07400.html</t>
        </is>
      </c>
      <c r="AG6" s="4" t="inlineStr">
        <is>
          <t>Likely: indexed on company domain</t>
        </is>
      </c>
    </row>
    <row r="7">
      <c r="A7" s="4" t="n">
        <v>3</v>
      </c>
      <c r="B7" s="4" t="inlineStr">
        <is>
          <t>ICST</t>
        </is>
      </c>
      <c r="C7" s="4" t="inlineStr">
        <is>
          <t>ICST</t>
        </is>
      </c>
      <c r="D7" s="4" t="inlineStr">
        <is>
          <t>Not retrieved (NTA lookup blocked in this session)</t>
        </is>
      </c>
      <c r="E7" s="4" t="inlineStr">
        <is>
          <t>埼玉県</t>
        </is>
      </c>
      <c r="F7" s="4" t="inlineStr">
        <is>
          <t>Kanto</t>
        </is>
      </c>
      <c r="G7" s="4" t="inlineStr">
        <is>
          <t>https://icst.jp/</t>
        </is>
      </c>
      <c r="H7" s="4" t="inlineStr">
        <is>
          <t>MAH confirmed: Press release describes DMAH (選任製造販売業者) service for foreign makers</t>
        </is>
      </c>
      <c r="I7" s="4" t="inlineStr">
        <is>
          <t>Not identified in published sources</t>
        </is>
      </c>
      <c r="J7" s="4" t="inlineStr">
        <is>
          <t>General medical equipment (hospitals and clinics)</t>
        </is>
      </c>
      <c r="K7" s="4" t="inlineStr">
        <is>
          <t>埼玉県 (regional; branch network not confirmed)</t>
        </is>
      </c>
      <c r="L7" s="4" t="inlineStr">
        <is>
          <t>Not found</t>
        </is>
      </c>
      <c r="M7" s="4" t="inlineStr">
        <is>
          <t>Not identified</t>
        </is>
      </c>
      <c r="N7" s="4" t="inlineStr">
        <is>
          <t>Not identified</t>
        </is>
      </c>
      <c r="O7" s="4" t="inlineStr">
        <is>
          <t>info@icst.jp</t>
        </is>
      </c>
      <c r="P7" s="4" t="inlineStr">
        <is>
          <t>Not confirmed</t>
        </is>
      </c>
      <c r="Q7" s="4" t="inlineStr">
        <is>
          <t>Not identified</t>
        </is>
      </c>
      <c r="R7" s="5" t="inlineStr">
        <is>
          <t>Unverified</t>
        </is>
      </c>
      <c r="S7" s="4" t="n">
        <v>24</v>
      </c>
      <c r="T7" s="6" t="inlineStr">
        <is>
          <t>A</t>
        </is>
      </c>
      <c r="U7" s="4" t="inlineStr">
        <is>
          <t>Offers DMAH (選任製造販売業者) service to foreign makers; can hold the CHISON certification so a dealer network can sell without its own MAH.</t>
        </is>
      </c>
      <c r="V7" s="4" t="inlineStr">
        <is>
          <t>Ask about DMAH service scope, fees and timeline for a Class II 汎用超音波画像診断装置 via a Registered Certification Body; share FDA clearance and QMS documents.</t>
        </is>
      </c>
      <c r="W7" s="4" t="inlineStr">
        <is>
          <t>N (not identified)</t>
        </is>
      </c>
      <c r="X7" s="7" t="inlineStr">
        <is>
          <t>https://www.atpress.ne.jp/news/11004 ; https://baseconnect.in/companies/prefecture/5b2e6d00-cfba-4d0b-850d-54757e4b4d7f/category/b2358a1c-c4c6-46f4-a0b1-dee3a1b30a0b</t>
        </is>
      </c>
      <c r="Y7" s="4" t="inlineStr">
        <is>
          <t>Not a sales channel: DMAH partner for the CHISON Class II certification file</t>
        </is>
      </c>
      <c r="Z7" s="4" t="inlineStr">
        <is>
          <t>5, 2, 3, 3, 3, 4, 4</t>
        </is>
      </c>
      <c r="AA7" s="4" t="inlineStr">
        <is>
          <t>Not found</t>
        </is>
      </c>
      <c r="AB7" s="4" t="inlineStr">
        <is>
          <t>Directory or search listing; not opened (direct site access blocked)</t>
        </is>
      </c>
      <c r="AC7" s="4" t="inlineStr">
        <is>
          <t>No expired licence or ended distribution agreement found</t>
        </is>
      </c>
      <c r="AD7" s="4" t="inlineStr">
        <is>
          <t>Not started</t>
        </is>
      </c>
      <c r="AE7" s="4" t="inlineStr">
        <is>
          <t>y-yoshinaka@icst.jp</t>
        </is>
      </c>
      <c r="AF7" s="4" t="inlineStr">
        <is>
          <t>https://saitama-global-bizmatch.jp/exhibiting_companies/icst+corporation</t>
        </is>
      </c>
      <c r="AG7" s="4" t="inlineStr">
        <is>
          <t>Likely: indexed on company domain</t>
        </is>
      </c>
    </row>
    <row r="8">
      <c r="A8" s="4" t="n">
        <v>4</v>
      </c>
      <c r="B8" s="4" t="inlineStr">
        <is>
          <t>Mizoue Project Japan</t>
        </is>
      </c>
      <c r="C8" s="4" t="inlineStr">
        <is>
          <t>MIZOUE PROJECT JAPAN</t>
        </is>
      </c>
      <c r="D8" s="4" t="inlineStr">
        <is>
          <t>Not retrieved (NTA lookup blocked in this session)</t>
        </is>
      </c>
      <c r="E8" s="4" t="inlineStr">
        <is>
          <t>広島県</t>
        </is>
      </c>
      <c r="F8" s="4" t="inlineStr">
        <is>
          <t>Chugoku and Shikoku</t>
        </is>
      </c>
      <c r="G8" s="4" t="inlineStr">
        <is>
          <t>https://www.mizoueproject.com/</t>
        </is>
      </c>
      <c r="H8" s="4" t="inlineStr">
        <is>
          <t>MAH confirmed: Hiroshima prefecture document states it holds a medical device 製造販売業 licence</t>
        </is>
      </c>
      <c r="I8" s="4" t="inlineStr">
        <is>
          <t>Own WiZ handheld ultrasound (Sharp display partner)</t>
        </is>
      </c>
      <c r="J8" s="4" t="inlineStr">
        <is>
          <t>Ultrasound</t>
        </is>
      </c>
      <c r="K8" s="4" t="inlineStr">
        <is>
          <t>広島県 (regional; branch network not confirmed)</t>
        </is>
      </c>
      <c r="L8" s="4" t="inlineStr">
        <is>
          <t>Not found</t>
        </is>
      </c>
      <c r="M8" s="4" t="inlineStr">
        <is>
          <t>Not identified</t>
        </is>
      </c>
      <c r="N8" s="4" t="inlineStr">
        <is>
          <t>Not identified</t>
        </is>
      </c>
      <c r="O8" s="4" t="inlineStr">
        <is>
          <t>toiawase@mizoueproject.com</t>
        </is>
      </c>
      <c r="P8" s="4" t="inlineStr">
        <is>
          <t>Not confirmed</t>
        </is>
      </c>
      <c r="Q8" s="4" t="inlineStr">
        <is>
          <t>Not identified</t>
        </is>
      </c>
      <c r="R8" s="5" t="inlineStr">
        <is>
          <t>Unverified</t>
        </is>
      </c>
      <c r="S8" s="4" t="n">
        <v>24</v>
      </c>
      <c r="T8" s="6" t="inlineStr">
        <is>
          <t>A</t>
        </is>
      </c>
      <c r="U8" s="4" t="inlineStr">
        <is>
          <t>Holds or very likely holds a 製造販売業 licence through its import business, which removes the biggest Japan entry barrier. Already in imaging, so ultrasound is a natural line extension.</t>
        </is>
      </c>
      <c r="V8"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8" s="4" t="inlineStr">
        <is>
          <t>N (not identified)</t>
        </is>
      </c>
      <c r="X8" s="7" t="inlineStr">
        <is>
          <t>https://www.pref.hiroshima.lg.jp/uploaded/attachment/261374.pdf ; https://corporate.jp.sharp/news/171219-a.pdf</t>
        </is>
      </c>
      <c r="Y8" s="4" t="inlineStr">
        <is>
          <t>Cart and laptop tier (SonoBook 9, SonoMax 7) or OEM talk; avoid handheld overlap with WiZ</t>
        </is>
      </c>
      <c r="Z8" s="4" t="inlineStr">
        <is>
          <t>5, 5, 2, 3, 3, 2, 4</t>
        </is>
      </c>
      <c r="AA8" s="4" t="inlineStr">
        <is>
          <t>Not found</t>
        </is>
      </c>
      <c r="AB8" s="4" t="inlineStr">
        <is>
          <t>Directory or search listing; not opened (direct site access blocked)</t>
        </is>
      </c>
      <c r="AC8" s="4" t="inlineStr">
        <is>
          <t>No expired licence or ended distribution agreement found</t>
        </is>
      </c>
      <c r="AD8" s="4" t="inlineStr">
        <is>
          <t>Not started</t>
        </is>
      </c>
      <c r="AE8" s="4" t="inlineStr"/>
      <c r="AF8" s="4" t="inlineStr">
        <is>
          <t>https://www.mizoueproject.com/FormMail/Inquiry/FormMail.html</t>
        </is>
      </c>
      <c r="AG8" s="4" t="inlineStr">
        <is>
          <t>Verified: published on company website</t>
        </is>
      </c>
    </row>
    <row r="9">
      <c r="A9" s="4" t="n">
        <v>5</v>
      </c>
      <c r="B9" s="4" t="inlineStr">
        <is>
          <t>Eastech</t>
        </is>
      </c>
      <c r="C9" s="4" t="inlineStr">
        <is>
          <t>イーステック</t>
        </is>
      </c>
      <c r="D9" s="4" t="inlineStr">
        <is>
          <t>Not retrieved (NTA lookup blocked in this session)</t>
        </is>
      </c>
      <c r="E9" s="4" t="inlineStr">
        <is>
          <t>東京都</t>
        </is>
      </c>
      <c r="F9" s="4" t="inlineStr">
        <is>
          <t>Kanto</t>
        </is>
      </c>
      <c r="G9" s="4" t="inlineStr">
        <is>
          <t>https://www.eastek.co.jp/</t>
        </is>
      </c>
      <c r="H9" s="4" t="inlineStr">
        <is>
          <t>MAH implied: Makes and wholesales ultrasound and mammography products; 製造販売業 licence implied</t>
        </is>
      </c>
      <c r="I9" s="4" t="inlineStr">
        <is>
          <t>Not identified in published sources</t>
        </is>
      </c>
      <c r="J9" s="4" t="inlineStr">
        <is>
          <t>Ultrasound, Radiology and imaging</t>
        </is>
      </c>
      <c r="K9" s="4" t="inlineStr">
        <is>
          <t>東京都 (regional; branch network not confirmed)</t>
        </is>
      </c>
      <c r="L9" s="4" t="inlineStr">
        <is>
          <t>Not found</t>
        </is>
      </c>
      <c r="M9" s="4" t="inlineStr">
        <is>
          <t>Not identified</t>
        </is>
      </c>
      <c r="N9" s="4" t="inlineStr">
        <is>
          <t>Not identified</t>
        </is>
      </c>
      <c r="O9" s="4" t="inlineStr">
        <is>
          <t>info@eastek.co.jp</t>
        </is>
      </c>
      <c r="P9" s="4" t="inlineStr">
        <is>
          <t>Not confirmed</t>
        </is>
      </c>
      <c r="Q9" s="4" t="inlineStr">
        <is>
          <t>Not identified</t>
        </is>
      </c>
      <c r="R9" s="5" t="inlineStr">
        <is>
          <t>Unverified</t>
        </is>
      </c>
      <c r="S9" s="4" t="n">
        <v>23</v>
      </c>
      <c r="T9" s="6" t="inlineStr">
        <is>
          <t>A</t>
        </is>
      </c>
      <c r="U9" s="4" t="inlineStr">
        <is>
          <t>Holds or very likely holds a 製造販売業 licence through its import business, which removes the biggest Japan entry barrier. Already in imaging, so ultrasound is a natural line extension.</t>
        </is>
      </c>
      <c r="V9"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9" s="4" t="inlineStr">
        <is>
          <t>N (not identified)</t>
        </is>
      </c>
      <c r="X9" s="7" t="inlineStr">
        <is>
          <t>https://baseconnect.in/companies/prefecture/a30ebdff-361b-42be-8372-1b0d350f48a0/keyword/2517ed26-1f2b-4156-ab10-55a6dc901a56</t>
        </is>
      </c>
      <c r="Y9" s="4" t="inlineStr">
        <is>
          <t>SonoGO and SonoAir 30/70 as a mid tier portable line; SonoEye P3 for POCUS</t>
        </is>
      </c>
      <c r="Z9" s="4" t="inlineStr">
        <is>
          <t>4, 5, 3, 3, 3, 2, 3</t>
        </is>
      </c>
      <c r="AA9" s="4" t="inlineStr">
        <is>
          <t>Not found</t>
        </is>
      </c>
      <c r="AB9" s="4" t="inlineStr">
        <is>
          <t>Directory or search listing; not opened (direct site access blocked)</t>
        </is>
      </c>
      <c r="AC9" s="4" t="inlineStr">
        <is>
          <t>No expired licence or ended distribution agreement found</t>
        </is>
      </c>
      <c r="AD9" s="4" t="inlineStr">
        <is>
          <t>Not started</t>
        </is>
      </c>
      <c r="AE9" s="4" t="inlineStr"/>
      <c r="AF9" s="4" t="inlineStr">
        <is>
          <t>https://www.eastek.co.jp/company.html</t>
        </is>
      </c>
      <c r="AG9" s="4" t="inlineStr">
        <is>
          <t>Verified: published on company website</t>
        </is>
      </c>
    </row>
    <row r="10">
      <c r="A10" s="4" t="n">
        <v>6</v>
      </c>
      <c r="B10" s="4" t="inlineStr">
        <is>
          <t>MAGnet</t>
        </is>
      </c>
      <c r="C10" s="4" t="inlineStr">
        <is>
          <t>MAGnet</t>
        </is>
      </c>
      <c r="D10" s="4" t="inlineStr">
        <is>
          <t>Not retrieved (NTA lookup blocked in this session)</t>
        </is>
      </c>
      <c r="E10" s="4" t="inlineStr">
        <is>
          <t>東京都</t>
        </is>
      </c>
      <c r="F10" s="4" t="inlineStr">
        <is>
          <t>Kanto</t>
        </is>
      </c>
      <c r="G10" s="7" t="inlineStr">
        <is>
          <t>https://magnet-japan.net</t>
        </is>
      </c>
      <c r="H10" s="4" t="inlineStr">
        <is>
          <t>MAH implied: Imports sleep and respiratory devices; licence implied</t>
        </is>
      </c>
      <c r="I10" s="4" t="inlineStr">
        <is>
          <t>Not identified in published sources</t>
        </is>
      </c>
      <c r="J10" s="4" t="inlineStr">
        <is>
          <t>Anaesthesia, ICU and respiratory, Sleep medicine</t>
        </is>
      </c>
      <c r="K10" s="4" t="inlineStr">
        <is>
          <t>東京都; Nagoya Osaka Fukuoka</t>
        </is>
      </c>
      <c r="L10" s="4" t="inlineStr">
        <is>
          <t>Est 2008; about 25 staff</t>
        </is>
      </c>
      <c r="M10" s="4" t="inlineStr">
        <is>
          <t>Not identified</t>
        </is>
      </c>
      <c r="N10" s="4" t="inlineStr">
        <is>
          <t>Not identified</t>
        </is>
      </c>
      <c r="O10" s="4" t="inlineStr">
        <is>
          <t>Not published; use contact form</t>
        </is>
      </c>
      <c r="P10" s="4" t="inlineStr">
        <is>
          <t>Not confirmed</t>
        </is>
      </c>
      <c r="Q10" s="4" t="inlineStr">
        <is>
          <t>Not identified</t>
        </is>
      </c>
      <c r="R10" s="8" t="inlineStr">
        <is>
          <t>Likely</t>
        </is>
      </c>
      <c r="S10" s="4" t="n">
        <v>23</v>
      </c>
      <c r="T10" s="6" t="inlineStr">
        <is>
          <t>A</t>
        </is>
      </c>
      <c r="U10" s="4" t="inlineStr">
        <is>
          <t>Holds or very likely holds a 製造販売業 licence through its import business, which removes the biggest Japan entry barrier. Imaging line not yet carried, so CHISON fills a gap rather than competing.</t>
        </is>
      </c>
      <c r="V10"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0" s="4" t="inlineStr">
        <is>
          <t>N (not identified)</t>
        </is>
      </c>
      <c r="X10" s="7" t="inlineStr">
        <is>
          <t>https://www.careercross.com/company/pdf-591894 ; https://baseconnect.in/companies/prefecture/a30ebdff-361b-42be-8372-1b0d350f48a0/keyword/93424367-66f3-4226-9851-da8b3b5ab067</t>
        </is>
      </c>
      <c r="Y10" s="4" t="inlineStr">
        <is>
          <t>SonoEye P3 for FAST, lung and vascular access (POCUS)</t>
        </is>
      </c>
      <c r="Z10" s="4" t="inlineStr">
        <is>
          <t>4, 2, 3, 2, 4, 4, 4</t>
        </is>
      </c>
      <c r="AA10" s="4" t="inlineStr">
        <is>
          <t>東京都文京区本郷3丁目42番5号 MFC本郷ビル3F</t>
        </is>
      </c>
      <c r="AB10" s="4" t="inlineStr">
        <is>
          <t>Verified in 10% recheck</t>
        </is>
      </c>
      <c r="AC10" s="4" t="inlineStr">
        <is>
          <t>No expired licence or ended distribution agreement found</t>
        </is>
      </c>
      <c r="AD10" s="4" t="inlineStr">
        <is>
          <t>Not started</t>
        </is>
      </c>
      <c r="AE10" s="4" t="inlineStr"/>
      <c r="AF10" s="4" t="inlineStr">
        <is>
          <t>https://www.magnet-japan.net/contactus</t>
        </is>
      </c>
      <c r="AG10" s="4" t="inlineStr">
        <is>
          <t>No email published; use the contact form (link in Email source)</t>
        </is>
      </c>
    </row>
    <row r="11">
      <c r="A11" s="4" t="n">
        <v>7</v>
      </c>
      <c r="B11" s="4" t="inlineStr">
        <is>
          <t>Euro Meditech</t>
        </is>
      </c>
      <c r="C11" s="4" t="inlineStr">
        <is>
          <t>ユーロメディテック</t>
        </is>
      </c>
      <c r="D11" s="4" t="inlineStr">
        <is>
          <t>Not retrieved (NTA lookup blocked in this session)</t>
        </is>
      </c>
      <c r="E11" s="4" t="inlineStr">
        <is>
          <t>東京都</t>
        </is>
      </c>
      <c r="F11" s="4" t="inlineStr">
        <is>
          <t>Kanto</t>
        </is>
      </c>
      <c r="G11" s="4" t="inlineStr">
        <is>
          <t>https://www.euro-meditec.co.jp/</t>
        </is>
      </c>
      <c r="H11" s="4" t="inlineStr">
        <is>
          <t>MAH implied: Imports radiotherapy systems; 製造販売業 licence implied, confirm class</t>
        </is>
      </c>
      <c r="I11" s="4" t="inlineStr">
        <is>
          <t>Not identified in published sources</t>
        </is>
      </c>
      <c r="J11" s="4" t="inlineStr">
        <is>
          <t>Radiation oncology</t>
        </is>
      </c>
      <c r="K11" s="4" t="inlineStr">
        <is>
          <t>東京都 (regional; branch network not confirmed)</t>
        </is>
      </c>
      <c r="L11" s="4" t="inlineStr">
        <is>
          <t>Not found</t>
        </is>
      </c>
      <c r="M11" s="4" t="inlineStr">
        <is>
          <t>Not identified</t>
        </is>
      </c>
      <c r="N11" s="4" t="inlineStr">
        <is>
          <t>Not identified</t>
        </is>
      </c>
      <c r="O11" s="4" t="inlineStr">
        <is>
          <t>info@euro-meditec.co.jp</t>
        </is>
      </c>
      <c r="P11" s="4" t="inlineStr">
        <is>
          <t>Not confirmed</t>
        </is>
      </c>
      <c r="Q11" s="4" t="inlineStr">
        <is>
          <t>Not identified</t>
        </is>
      </c>
      <c r="R11" s="5" t="inlineStr">
        <is>
          <t>Unverified</t>
        </is>
      </c>
      <c r="S11" s="4" t="n">
        <v>22</v>
      </c>
      <c r="T11" s="6" t="inlineStr">
        <is>
          <t>A</t>
        </is>
      </c>
      <c r="U11" s="4" t="inlineStr">
        <is>
          <t>Holds or very likely holds a 製造販売業 licence through its import business, which removes the biggest Japan entry barrier. Already in imaging, so ultrasound is a natural line extension.</t>
        </is>
      </c>
      <c r="V11"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1" s="4" t="inlineStr">
        <is>
          <t>N (not identified)</t>
        </is>
      </c>
      <c r="X11" s="7" t="inlineStr">
        <is>
          <t>https://mynavi-agent.jp/corpdetail/1161/ (search result set; reconfirm page)</t>
        </is>
      </c>
      <c r="Y11" s="4" t="inlineStr">
        <is>
          <t>SonoMax 7 plus SonoPort for radiology departments; SonoAir 70 portable</t>
        </is>
      </c>
      <c r="Z11" s="4" t="inlineStr">
        <is>
          <t>4, 2, 3, 2, 3, 4, 4</t>
        </is>
      </c>
      <c r="AA11" s="4" t="inlineStr">
        <is>
          <t>Not found</t>
        </is>
      </c>
      <c r="AB11" s="4" t="inlineStr">
        <is>
          <t>Directory or search listing; not opened (direct site access blocked)</t>
        </is>
      </c>
      <c r="AC11" s="4" t="inlineStr">
        <is>
          <t>No expired licence or ended distribution agreement found</t>
        </is>
      </c>
      <c r="AD11" s="4" t="inlineStr">
        <is>
          <t>Not started</t>
        </is>
      </c>
      <c r="AE11" s="4" t="inlineStr">
        <is>
          <t>dosimetry-support@euro-meditec.co.jp</t>
        </is>
      </c>
      <c r="AF11" s="4" t="inlineStr">
        <is>
          <t>https://www.euro-meditec.co.jp/beamscan/</t>
        </is>
      </c>
      <c r="AG11" s="4" t="inlineStr">
        <is>
          <t>Verified: published on company website</t>
        </is>
      </c>
    </row>
    <row r="12">
      <c r="A12" s="4" t="n">
        <v>8</v>
      </c>
      <c r="B12" s="4" t="inlineStr">
        <is>
          <t>MC Healthcare</t>
        </is>
      </c>
      <c r="C12" s="4" t="inlineStr">
        <is>
          <t>エム・シー・ヘルスケア</t>
        </is>
      </c>
      <c r="D12" s="4" t="inlineStr">
        <is>
          <t>Not retrieved (NTA lookup blocked in this session)</t>
        </is>
      </c>
      <c r="E12" s="4" t="inlineStr">
        <is>
          <t>東京都</t>
        </is>
      </c>
      <c r="F12" s="4" t="inlineStr">
        <is>
          <t>Kanto</t>
        </is>
      </c>
      <c r="G12" s="4" t="inlineStr">
        <is>
          <t>https://mc-healthcare.co.jp/</t>
        </is>
      </c>
      <c r="H12" s="4" t="inlineStr">
        <is>
          <t>MAH implied: Mitsubishi Corp group; imports and sells latest devices; licence implied</t>
        </is>
      </c>
      <c r="I12" s="4" t="inlineStr">
        <is>
          <t>Not identified in published sources</t>
        </is>
      </c>
      <c r="J12" s="4" t="inlineStr">
        <is>
          <t>Hospitals</t>
        </is>
      </c>
      <c r="K12" s="4" t="inlineStr">
        <is>
          <t>東京都 (regional; branch network not confirmed)</t>
        </is>
      </c>
      <c r="L12" s="4" t="inlineStr">
        <is>
          <t>Not found</t>
        </is>
      </c>
      <c r="M12" s="4" t="inlineStr">
        <is>
          <t>Not identified</t>
        </is>
      </c>
      <c r="N12" s="4" t="inlineStr">
        <is>
          <t>Not identified</t>
        </is>
      </c>
      <c r="O12" s="4" t="inlineStr">
        <is>
          <t>Not published; use contact form</t>
        </is>
      </c>
      <c r="P12" s="4" t="inlineStr">
        <is>
          <t>Not confirmed</t>
        </is>
      </c>
      <c r="Q12" s="4" t="inlineStr">
        <is>
          <t>Not identified</t>
        </is>
      </c>
      <c r="R12" s="5" t="inlineStr">
        <is>
          <t>Likely</t>
        </is>
      </c>
      <c r="S12" s="4" t="n">
        <v>22</v>
      </c>
      <c r="T12" s="6" t="inlineStr">
        <is>
          <t>A</t>
        </is>
      </c>
      <c r="U12" s="4" t="inlineStr">
        <is>
          <t>Holds or very likely holds a 製造販売業 licence through its import business, which removes the biggest Japan entry barrier. Imaging line not yet carried, so CHISON fills a gap rather than competing.</t>
        </is>
      </c>
      <c r="V12"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2" s="4" t="inlineStr">
        <is>
          <t>N (not identified)</t>
        </is>
      </c>
      <c r="X12" s="7" t="inlineStr">
        <is>
          <t>https://directscout.recruit.co.jp/job_descriptions/7637910 (search result set; reconfirm page)</t>
        </is>
      </c>
      <c r="Y12" s="4" t="inlineStr">
        <is>
          <t>SonoEye P3 plus SonoAir 30 for GP and clinic accounts</t>
        </is>
      </c>
      <c r="Z12" s="4" t="inlineStr">
        <is>
          <t>4, 2, 3, 2, 5, 2, 4</t>
        </is>
      </c>
      <c r="AA12" s="4" t="inlineStr">
        <is>
          <t>Not found</t>
        </is>
      </c>
      <c r="AB12" s="4" t="inlineStr">
        <is>
          <t>Directory or search listing; not opened (direct site access blocked)</t>
        </is>
      </c>
      <c r="AC12" s="4" t="inlineStr">
        <is>
          <t>No expired licence or ended distribution agreement found</t>
        </is>
      </c>
      <c r="AD12" s="4" t="inlineStr">
        <is>
          <t>Not started</t>
        </is>
      </c>
      <c r="AE12" s="4" t="inlineStr"/>
      <c r="AF12" s="4" t="inlineStr">
        <is>
          <t>https://mc-healthcare.co.jp/contact/</t>
        </is>
      </c>
      <c r="AG12" s="4" t="inlineStr">
        <is>
          <t>No email published; use the contact form (link in Email source)</t>
        </is>
      </c>
    </row>
    <row r="13">
      <c r="A13" s="4" t="n">
        <v>9</v>
      </c>
      <c r="B13" s="4" t="inlineStr">
        <is>
          <t>Unimedic</t>
        </is>
      </c>
      <c r="C13" s="4" t="inlineStr">
        <is>
          <t>ユニメディック</t>
        </is>
      </c>
      <c r="D13" s="4" t="inlineStr">
        <is>
          <t>Not retrieved (NTA lookup blocked in this session)</t>
        </is>
      </c>
      <c r="E13" s="4" t="inlineStr">
        <is>
          <t>大阪府</t>
        </is>
      </c>
      <c r="F13" s="4" t="inlineStr">
        <is>
          <t>Kansai</t>
        </is>
      </c>
      <c r="G13" s="4" t="inlineStr">
        <is>
          <t>https://unimedic.co.jp/</t>
        </is>
      </c>
      <c r="H13" s="4" t="inlineStr">
        <is>
          <t>MAH implied: Imports surgical instruments; 製造販売業 licence implied</t>
        </is>
      </c>
      <c r="I13" s="4" t="inlineStr">
        <is>
          <t>Not identified in published sources</t>
        </is>
      </c>
      <c r="J13" s="4" t="inlineStr">
        <is>
          <t>Surgery and OR</t>
        </is>
      </c>
      <c r="K13" s="4" t="inlineStr">
        <is>
          <t>大阪府 (regional; branch network not confirmed)</t>
        </is>
      </c>
      <c r="L13" s="4" t="inlineStr">
        <is>
          <t>Not found</t>
        </is>
      </c>
      <c r="M13" s="4" t="inlineStr">
        <is>
          <t>Not identified</t>
        </is>
      </c>
      <c r="N13" s="4" t="inlineStr">
        <is>
          <t>Not identified</t>
        </is>
      </c>
      <c r="O13" s="4" t="inlineStr">
        <is>
          <t>inquiry@unimedic.co.jp</t>
        </is>
      </c>
      <c r="P13" s="4" t="inlineStr">
        <is>
          <t>Not confirmed</t>
        </is>
      </c>
      <c r="Q13" s="4" t="inlineStr">
        <is>
          <t>Not identified</t>
        </is>
      </c>
      <c r="R13" s="5" t="inlineStr">
        <is>
          <t>Unverified</t>
        </is>
      </c>
      <c r="S13" s="4" t="n">
        <v>22</v>
      </c>
      <c r="T13" s="6" t="inlineStr">
        <is>
          <t>A</t>
        </is>
      </c>
      <c r="U13" s="4" t="inlineStr">
        <is>
          <t>Holds or very likely holds a 製造販売業 licence through its import business, which removes the biggest Japan entry barrier. Imaging line not yet carried, so CHISON fills a gap rather than competing.</t>
        </is>
      </c>
      <c r="V13"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3" s="4" t="inlineStr">
        <is>
          <t>N (not identified)</t>
        </is>
      </c>
      <c r="X13" s="7" t="inlineStr">
        <is>
          <t>https://baseconnect.in/companies/prefecture/d80b180e-5fd9-4082-8cdc-a510179a3475/keyword/89941b4e-2dd1-4848-8957-48af280a31e0</t>
        </is>
      </c>
      <c r="Y13" s="4" t="inlineStr">
        <is>
          <t>SonoTouch plus SonoEye P3 (nerve block, vascular access, peri operative)</t>
        </is>
      </c>
      <c r="Z13" s="4" t="inlineStr">
        <is>
          <t>4, 2, 3, 2, 3, 4, 4</t>
        </is>
      </c>
      <c r="AA13" s="4" t="inlineStr">
        <is>
          <t>Not found</t>
        </is>
      </c>
      <c r="AB13" s="4" t="inlineStr">
        <is>
          <t>Directory or search listing; not opened (direct site access blocked)</t>
        </is>
      </c>
      <c r="AC13" s="4" t="inlineStr">
        <is>
          <t>No expired licence or ended distribution agreement found</t>
        </is>
      </c>
      <c r="AD13" s="4" t="inlineStr">
        <is>
          <t>Not started</t>
        </is>
      </c>
      <c r="AE13" s="4" t="inlineStr"/>
      <c r="AF13" s="4" t="inlineStr">
        <is>
          <t>https://unimedic.co.jp/pages/23/</t>
        </is>
      </c>
      <c r="AG13" s="4" t="inlineStr">
        <is>
          <t>Likely: indexed on company domain</t>
        </is>
      </c>
    </row>
    <row r="14">
      <c r="A14" s="4" t="n">
        <v>10</v>
      </c>
      <c r="B14" s="4" t="inlineStr">
        <is>
          <t>IMI Co.</t>
        </is>
      </c>
      <c r="C14" s="4" t="inlineStr">
        <is>
          <t>アイ・エム・アイ</t>
        </is>
      </c>
      <c r="D14" s="4" t="inlineStr">
        <is>
          <t>Not retrieved (NTA lookup blocked in this session)</t>
        </is>
      </c>
      <c r="E14" s="4" t="inlineStr">
        <is>
          <t>埼玉県</t>
        </is>
      </c>
      <c r="F14" s="4" t="inlineStr">
        <is>
          <t>Kanto</t>
        </is>
      </c>
      <c r="G14" s="4" t="inlineStr">
        <is>
          <t>https://www.imimed.co.jp/</t>
        </is>
      </c>
      <c r="H14" s="4" t="inlineStr">
        <is>
          <t>MAH implied: Imports ventilators and monitoring; 製造販売業 licence implied</t>
        </is>
      </c>
      <c r="I14" s="4" t="inlineStr">
        <is>
          <t>Not identified in published sources</t>
        </is>
      </c>
      <c r="J14" s="4" t="inlineStr">
        <is>
          <t>Anaesthesia, ICU and respiratory, Surgery and OR</t>
        </is>
      </c>
      <c r="K14" s="4" t="inlineStr">
        <is>
          <t>埼玉県 (regional; branch network not confirmed)</t>
        </is>
      </c>
      <c r="L14" s="4" t="inlineStr">
        <is>
          <t>Not found</t>
        </is>
      </c>
      <c r="M14" s="4" t="inlineStr">
        <is>
          <t>Not identified</t>
        </is>
      </c>
      <c r="N14" s="4" t="inlineStr">
        <is>
          <t>Not identified</t>
        </is>
      </c>
      <c r="O14" s="4" t="inlineStr">
        <is>
          <t>Not published; use contact form</t>
        </is>
      </c>
      <c r="P14" s="4" t="inlineStr">
        <is>
          <t>Not confirmed</t>
        </is>
      </c>
      <c r="Q14" s="4" t="inlineStr">
        <is>
          <t>Not identified</t>
        </is>
      </c>
      <c r="R14" s="5" t="inlineStr">
        <is>
          <t>Likely</t>
        </is>
      </c>
      <c r="S14" s="4" t="n">
        <v>21</v>
      </c>
      <c r="T14" s="6" t="inlineStr">
        <is>
          <t>A</t>
        </is>
      </c>
      <c r="U14" s="4" t="inlineStr">
        <is>
          <t>Holds or very likely holds a 製造販売業 licence through its import business, which removes the biggest Japan entry barrier. Imaging line not yet carried, so CHISON fills a gap rather than competing.</t>
        </is>
      </c>
      <c r="V14"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4" s="4" t="inlineStr">
        <is>
          <t>N (not identified)</t>
        </is>
      </c>
      <c r="X14" s="7" t="inlineStr">
        <is>
          <t>https://baseconnect.in/companies/prefecture/5b2e6d00-cfba-4d0b-850d-54757e4b4d7f/category/b2358a1c-c4c6-46f4-a0b1-dee3a1b30a0b</t>
        </is>
      </c>
      <c r="Y14" s="4" t="inlineStr">
        <is>
          <t>SonoTouch plus SonoEye P3 (nerve block, vascular access, peri operative)</t>
        </is>
      </c>
      <c r="Z14" s="4" t="inlineStr">
        <is>
          <t>4, 3, 3, 2, 3, 2, 4</t>
        </is>
      </c>
      <c r="AA14" s="4" t="inlineStr">
        <is>
          <t>Not found</t>
        </is>
      </c>
      <c r="AB14" s="4" t="inlineStr">
        <is>
          <t>Directory or search listing; not opened (direct site access blocked)</t>
        </is>
      </c>
      <c r="AC14" s="4" t="inlineStr">
        <is>
          <t>No expired licence or ended distribution agreement found</t>
        </is>
      </c>
      <c r="AD14" s="4" t="inlineStr">
        <is>
          <t>Not started</t>
        </is>
      </c>
      <c r="AE14" s="4" t="inlineStr"/>
      <c r="AF14" s="4" t="inlineStr">
        <is>
          <t>https://www.imimed.co.jp/contact/medical/?t=7</t>
        </is>
      </c>
      <c r="AG14" s="4" t="inlineStr">
        <is>
          <t>No email published; use the contact form (link in Email source)</t>
        </is>
      </c>
    </row>
    <row r="15">
      <c r="A15" s="4" t="n">
        <v>11</v>
      </c>
      <c r="B15" s="4" t="inlineStr">
        <is>
          <t>Toki Boeki (TKB Group)</t>
        </is>
      </c>
      <c r="C15" s="4" t="inlineStr">
        <is>
          <t>東機貿</t>
        </is>
      </c>
      <c r="D15" s="4" t="inlineStr">
        <is>
          <t>Not retrieved (NTA lookup blocked in this session)</t>
        </is>
      </c>
      <c r="E15" s="4" t="inlineStr">
        <is>
          <t>東京都</t>
        </is>
      </c>
      <c r="F15" s="4" t="inlineStr">
        <is>
          <t>Kanto</t>
        </is>
      </c>
      <c r="G15" s="4" t="inlineStr">
        <is>
          <t>https://www.tokibo.co.jp/</t>
        </is>
      </c>
      <c r="H15" s="4" t="inlineStr">
        <is>
          <t>MAH implied: 70 year import house; 製造販売業 licence implied, confirm class</t>
        </is>
      </c>
      <c r="I15" s="4" t="inlineStr">
        <is>
          <t>Not identified in published sources</t>
        </is>
      </c>
      <c r="J15" s="4" t="inlineStr">
        <is>
          <t>General medical equipment (hospitals and clinics)</t>
        </is>
      </c>
      <c r="K15" s="4" t="inlineStr">
        <is>
          <t>東京都 (regional; branch network not confirmed)</t>
        </is>
      </c>
      <c r="L15" s="4" t="inlineStr">
        <is>
          <t>Not found</t>
        </is>
      </c>
      <c r="M15" s="4" t="inlineStr">
        <is>
          <t>Not identified</t>
        </is>
      </c>
      <c r="N15" s="4" t="inlineStr">
        <is>
          <t>Not identified</t>
        </is>
      </c>
      <c r="O15" s="4" t="inlineStr">
        <is>
          <t>Not published; use contact form</t>
        </is>
      </c>
      <c r="P15" s="4" t="inlineStr">
        <is>
          <t>Not confirmed</t>
        </is>
      </c>
      <c r="Q15" s="4" t="inlineStr">
        <is>
          <t>Not identified</t>
        </is>
      </c>
      <c r="R15" s="5" t="inlineStr">
        <is>
          <t>Likely</t>
        </is>
      </c>
      <c r="S15" s="4" t="n">
        <v>21</v>
      </c>
      <c r="T15" s="6" t="inlineStr">
        <is>
          <t>A</t>
        </is>
      </c>
      <c r="U15" s="4" t="inlineStr">
        <is>
          <t>Holds or very likely holds a 製造販売業 licence through its import business, which removes the biggest Japan entry barrier. Imaging line not yet carried, so CHISON fills a gap rather than competing.</t>
        </is>
      </c>
      <c r="V15"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5" s="4" t="inlineStr">
        <is>
          <t>N (not identified)</t>
        </is>
      </c>
      <c r="X15" s="7" t="inlineStr">
        <is>
          <t>https://careerconnection.jp/review/82545/jobinfo/</t>
        </is>
      </c>
      <c r="Y15" s="4" t="inlineStr">
        <is>
          <t>SonoEye P3 plus SonoAir 30 for GP and clinic accounts</t>
        </is>
      </c>
      <c r="Z15" s="4" t="inlineStr">
        <is>
          <t>4, 2, 3, 3, 3, 2, 4</t>
        </is>
      </c>
      <c r="AA15" s="4" t="inlineStr">
        <is>
          <t>Not found</t>
        </is>
      </c>
      <c r="AB15" s="4" t="inlineStr">
        <is>
          <t>Directory or search listing; not opened (direct site access blocked)</t>
        </is>
      </c>
      <c r="AC15" s="4" t="inlineStr">
        <is>
          <t>No expired licence or ended distribution agreement found</t>
        </is>
      </c>
      <c r="AD15" s="4" t="inlineStr">
        <is>
          <t>Not started</t>
        </is>
      </c>
      <c r="AE15" s="4" t="inlineStr"/>
      <c r="AF15" s="4" t="inlineStr">
        <is>
          <t>https://www.tokibo.co.jp/contact/</t>
        </is>
      </c>
      <c r="AG15" s="4" t="inlineStr">
        <is>
          <t>No email published; use the contact form (link in Email source)</t>
        </is>
      </c>
    </row>
    <row r="16">
      <c r="A16" s="4" t="n">
        <v>12</v>
      </c>
      <c r="B16" s="4" t="inlineStr">
        <is>
          <t>Total Medical Supply</t>
        </is>
      </c>
      <c r="C16" s="4" t="inlineStr">
        <is>
          <t>トータルメディカルサプライ</t>
        </is>
      </c>
      <c r="D16" s="4" t="inlineStr">
        <is>
          <t>Not retrieved (NTA lookup blocked in this session)</t>
        </is>
      </c>
      <c r="E16" s="4" t="inlineStr">
        <is>
          <t>兵庫県</t>
        </is>
      </c>
      <c r="F16" s="4" t="inlineStr">
        <is>
          <t>Kansai</t>
        </is>
      </c>
      <c r="G16" s="4" t="inlineStr">
        <is>
          <t>http://www.totalms.jp/</t>
        </is>
      </c>
      <c r="H16" s="4" t="inlineStr">
        <is>
          <t>MAH implied: Imports anaesthesia machines and ventilators; 製造販売業 licence implied</t>
        </is>
      </c>
      <c r="I16" s="4" t="inlineStr">
        <is>
          <t>Not identified in published sources</t>
        </is>
      </c>
      <c r="J16" s="4" t="inlineStr">
        <is>
          <t>Anaesthesia, ICU and respiratory</t>
        </is>
      </c>
      <c r="K16" s="4" t="inlineStr">
        <is>
          <t>兵庫県 (regional; branch network not confirmed)</t>
        </is>
      </c>
      <c r="L16" s="4" t="inlineStr">
        <is>
          <t>Not found</t>
        </is>
      </c>
      <c r="M16" s="4" t="inlineStr">
        <is>
          <t>Not identified</t>
        </is>
      </c>
      <c r="N16" s="4" t="inlineStr">
        <is>
          <t>Not identified</t>
        </is>
      </c>
      <c r="O16" s="4" t="inlineStr">
        <is>
          <t>Not published; use contact form</t>
        </is>
      </c>
      <c r="P16" s="4" t="inlineStr">
        <is>
          <t>Not confirmed</t>
        </is>
      </c>
      <c r="Q16" s="4" t="inlineStr">
        <is>
          <t>Not identified</t>
        </is>
      </c>
      <c r="R16" s="5" t="inlineStr">
        <is>
          <t>Likely</t>
        </is>
      </c>
      <c r="S16" s="4" t="n">
        <v>21</v>
      </c>
      <c r="T16" s="6" t="inlineStr">
        <is>
          <t>A</t>
        </is>
      </c>
      <c r="U16" s="4" t="inlineStr">
        <is>
          <t>Holds or very likely holds a 製造販売業 licence through its import business, which removes the biggest Japan entry barrier. Imaging line not yet carried, so CHISON fills a gap rather than competing.</t>
        </is>
      </c>
      <c r="V16"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6" s="4" t="inlineStr">
        <is>
          <t>N (not identified)</t>
        </is>
      </c>
      <c r="X16" s="7" t="inlineStr">
        <is>
          <t>https://baseconnect.in/companies/prefecture/912d7b2d-41c2-4923-a5c1-6666f9834966/keyword/14f3dcec-9cd5-4be5-84e1-ddccb7bd228c</t>
        </is>
      </c>
      <c r="Y16" s="4" t="inlineStr">
        <is>
          <t>SonoTouch plus SonoEye P3 (nerve block, vascular access, peri operative)</t>
        </is>
      </c>
      <c r="Z16" s="4" t="inlineStr">
        <is>
          <t>4, 3, 3, 2, 3, 2, 4</t>
        </is>
      </c>
      <c r="AA16" s="4" t="inlineStr">
        <is>
          <t>Not found</t>
        </is>
      </c>
      <c r="AB16" s="4" t="inlineStr">
        <is>
          <t>Directory or search listing; not opened (direct site access blocked)</t>
        </is>
      </c>
      <c r="AC16" s="4" t="inlineStr">
        <is>
          <t>No expired licence or ended distribution agreement found</t>
        </is>
      </c>
      <c r="AD16" s="4" t="inlineStr">
        <is>
          <t>Not started</t>
        </is>
      </c>
      <c r="AE16" s="4" t="inlineStr"/>
      <c r="AF16" s="4" t="inlineStr">
        <is>
          <t>http://www.totalms.jp/contact</t>
        </is>
      </c>
      <c r="AG16" s="4" t="inlineStr">
        <is>
          <t>No email published; use the contact form (link in Email source)</t>
        </is>
      </c>
    </row>
    <row r="17">
      <c r="A17" s="4" t="n">
        <v>13</v>
      </c>
      <c r="B17" s="4" t="inlineStr">
        <is>
          <t>Medicon (Osaka)</t>
        </is>
      </c>
      <c r="C17" s="4" t="inlineStr">
        <is>
          <t>メディコン</t>
        </is>
      </c>
      <c r="D17" s="4" t="inlineStr">
        <is>
          <t>Not retrieved (NTA lookup blocked in this session)</t>
        </is>
      </c>
      <c r="E17" s="4" t="inlineStr">
        <is>
          <t>大阪府</t>
        </is>
      </c>
      <c r="F17" s="4" t="inlineStr">
        <is>
          <t>Kansai</t>
        </is>
      </c>
      <c r="G17" s="4" t="inlineStr">
        <is>
          <t>https://www.info-cdcwatch.jp/customer/?m=CDCTop</t>
        </is>
      </c>
      <c r="H17" s="4" t="inlineStr">
        <is>
          <t>MAH implied: Surgical device importer; 製造販売業 licence implied</t>
        </is>
      </c>
      <c r="I17" s="4" t="inlineStr">
        <is>
          <t>Not identified in published sources</t>
        </is>
      </c>
      <c r="J17" s="4" t="inlineStr">
        <is>
          <t>Surgery and OR</t>
        </is>
      </c>
      <c r="K17" s="4" t="inlineStr">
        <is>
          <t>大阪府 (regional; branch network not confirmed)</t>
        </is>
      </c>
      <c r="L17" s="4" t="inlineStr">
        <is>
          <t>Not found</t>
        </is>
      </c>
      <c r="M17" s="4" t="inlineStr">
        <is>
          <t>Not identified</t>
        </is>
      </c>
      <c r="N17" s="4" t="inlineStr">
        <is>
          <t>Not identified</t>
        </is>
      </c>
      <c r="O17" s="4" t="inlineStr">
        <is>
          <t>Not published; use company inquiry form</t>
        </is>
      </c>
      <c r="P17" s="4" t="inlineStr">
        <is>
          <t>Not confirmed</t>
        </is>
      </c>
      <c r="Q17" s="4" t="inlineStr">
        <is>
          <t>Not identified</t>
        </is>
      </c>
      <c r="R17" s="5" t="inlineStr">
        <is>
          <t>Company inquiry only</t>
        </is>
      </c>
      <c r="S17" s="4" t="n">
        <v>21</v>
      </c>
      <c r="T17" s="6" t="inlineStr">
        <is>
          <t>A</t>
        </is>
      </c>
      <c r="U17" s="4" t="inlineStr">
        <is>
          <t>Holds or very likely holds a 製造販売業 licence through its import business, which removes the biggest Japan entry barrier. Imaging line not yet carried, so CHISON fills a gap rather than competing.</t>
        </is>
      </c>
      <c r="V17"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7" s="4" t="inlineStr">
        <is>
          <t>N (not identified)</t>
        </is>
      </c>
      <c r="X17" s="7" t="inlineStr">
        <is>
          <t>https://baseconnect.in/companies/prefecture/d80b180e-5fd9-4082-8cdc-a510179a3475/keyword/89941b4e-2dd1-4848-8957-48af280a31e0</t>
        </is>
      </c>
      <c r="Y17" s="4" t="inlineStr">
        <is>
          <t>SonoTouch plus SonoEye P3 (nerve block, vascular access, peri operative)</t>
        </is>
      </c>
      <c r="Z17" s="4" t="inlineStr">
        <is>
          <t>4, 2, 3, 3, 3, 2, 4</t>
        </is>
      </c>
      <c r="AA17" s="4" t="inlineStr">
        <is>
          <t>Not found</t>
        </is>
      </c>
      <c r="AB17" s="4" t="inlineStr">
        <is>
          <t>Directory or search listing; not opened (direct site access blocked)</t>
        </is>
      </c>
      <c r="AC17" s="4" t="inlineStr">
        <is>
          <t>No expired licence or ended distribution agreement found</t>
        </is>
      </c>
      <c r="AD17" s="4" t="inlineStr">
        <is>
          <t>Not started</t>
        </is>
      </c>
      <c r="AE17" s="4" t="inlineStr"/>
      <c r="AF17" s="4" t="inlineStr"/>
      <c r="AG17" s="4" t="inlineStr">
        <is>
          <t>No email published; website has no contact page link, phone first</t>
        </is>
      </c>
    </row>
    <row r="18">
      <c r="A18" s="4" t="n">
        <v>14</v>
      </c>
      <c r="B18" s="4" t="inlineStr">
        <is>
          <t>Heiwa Iryo Kikai</t>
        </is>
      </c>
      <c r="C18" s="4" t="inlineStr">
        <is>
          <t>平和医療器械</t>
        </is>
      </c>
      <c r="D18" s="4" t="inlineStr">
        <is>
          <t>Not retrieved (NTA lookup blocked in this session)</t>
        </is>
      </c>
      <c r="E18" s="4" t="inlineStr">
        <is>
          <t>山口県</t>
        </is>
      </c>
      <c r="F18" s="4" t="inlineStr">
        <is>
          <t>Chugoku and Shikoku</t>
        </is>
      </c>
      <c r="G18" s="4" t="inlineStr">
        <is>
          <t>https://heiwairyo.co.jp/</t>
        </is>
      </c>
      <c r="H18" s="4" t="inlineStr">
        <is>
          <t>MAH implied: Imports surgical devices and does OEM manufacturing; 製造販売業 licence implied</t>
        </is>
      </c>
      <c r="I18" s="4" t="inlineStr">
        <is>
          <t>Not identified in published sources</t>
        </is>
      </c>
      <c r="J18" s="4" t="inlineStr">
        <is>
          <t>Surgery and OR</t>
        </is>
      </c>
      <c r="K18" s="4" t="inlineStr">
        <is>
          <t>山口県 (regional; branch network not confirmed)</t>
        </is>
      </c>
      <c r="L18" s="4" t="inlineStr">
        <is>
          <t>Not found</t>
        </is>
      </c>
      <c r="M18" s="4" t="inlineStr">
        <is>
          <t>Not identified</t>
        </is>
      </c>
      <c r="N18" s="4" t="inlineStr">
        <is>
          <t>Not identified</t>
        </is>
      </c>
      <c r="O18" s="4" t="inlineStr">
        <is>
          <t>info@heiwairyo.co.jp</t>
        </is>
      </c>
      <c r="P18" s="4" t="inlineStr">
        <is>
          <t>Not confirmed</t>
        </is>
      </c>
      <c r="Q18" s="4" t="inlineStr">
        <is>
          <t>Not identified</t>
        </is>
      </c>
      <c r="R18" s="5" t="inlineStr">
        <is>
          <t>Unverified</t>
        </is>
      </c>
      <c r="S18" s="4" t="n">
        <v>21</v>
      </c>
      <c r="T18" s="6" t="inlineStr">
        <is>
          <t>A</t>
        </is>
      </c>
      <c r="U18" s="4" t="inlineStr">
        <is>
          <t>Holds or very likely holds a 製造販売業 licence through its import business, which removes the biggest Japan entry barrier. Imaging line not yet carried, so CHISON fills a gap rather than competing.</t>
        </is>
      </c>
      <c r="V18"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8" s="4" t="inlineStr">
        <is>
          <t>N (not identified)</t>
        </is>
      </c>
      <c r="X18" s="7" t="inlineStr">
        <is>
          <t>https://www.pref.yamaguchi.lg.jp/uploaded/attachment/60067.pdf</t>
        </is>
      </c>
      <c r="Y18" s="4" t="inlineStr">
        <is>
          <t>SonoTouch plus SonoEye P3 (nerve block, vascular access, peri operative)</t>
        </is>
      </c>
      <c r="Z18" s="4" t="inlineStr">
        <is>
          <t>4, 2, 3, 3, 3, 2, 4</t>
        </is>
      </c>
      <c r="AA18" s="4" t="inlineStr">
        <is>
          <t>Not found</t>
        </is>
      </c>
      <c r="AB18" s="4" t="inlineStr">
        <is>
          <t>Directory or search listing; not opened (direct site access blocked)</t>
        </is>
      </c>
      <c r="AC18" s="4" t="inlineStr">
        <is>
          <t>No expired licence or ended distribution agreement found</t>
        </is>
      </c>
      <c r="AD18" s="4" t="inlineStr">
        <is>
          <t>Not started</t>
        </is>
      </c>
      <c r="AE18" s="4" t="inlineStr"/>
      <c r="AF18" s="4" t="inlineStr">
        <is>
          <t>https://heiwairyo.co.jp/company/</t>
        </is>
      </c>
      <c r="AG18" s="4" t="inlineStr">
        <is>
          <t>Verified: published on company website</t>
        </is>
      </c>
    </row>
    <row r="19">
      <c r="A19" s="4" t="n">
        <v>15</v>
      </c>
      <c r="B19" s="4" t="inlineStr">
        <is>
          <t>Meiyu</t>
        </is>
      </c>
      <c r="C19" s="4" t="inlineStr">
        <is>
          <t>名優</t>
        </is>
      </c>
      <c r="D19" s="4" t="inlineStr">
        <is>
          <t>Not retrieved (NTA lookup blocked in this session)</t>
        </is>
      </c>
      <c r="E19" s="4" t="inlineStr">
        <is>
          <t>千葉県</t>
        </is>
      </c>
      <c r="F19" s="4" t="inlineStr">
        <is>
          <t>Kanto</t>
        </is>
      </c>
      <c r="G19" s="4" t="inlineStr">
        <is>
          <t>https://meilleur.co.jp/</t>
        </is>
      </c>
      <c r="H19" s="4" t="inlineStr">
        <is>
          <t>MAH implied: Imports ENT devices; 製造販売業 licence implied</t>
        </is>
      </c>
      <c r="I19" s="4" t="inlineStr">
        <is>
          <t>Not identified in published sources</t>
        </is>
      </c>
      <c r="J19" s="4" t="inlineStr">
        <is>
          <t>ENT</t>
        </is>
      </c>
      <c r="K19" s="4" t="inlineStr">
        <is>
          <t>千葉県 (regional; branch network not confirmed)</t>
        </is>
      </c>
      <c r="L19" s="4" t="inlineStr">
        <is>
          <t>Not found</t>
        </is>
      </c>
      <c r="M19" s="4" t="inlineStr">
        <is>
          <t>Not identified</t>
        </is>
      </c>
      <c r="N19" s="4" t="inlineStr">
        <is>
          <t>Not identified</t>
        </is>
      </c>
      <c r="O19" s="4" t="inlineStr">
        <is>
          <t>Not published; use contact form</t>
        </is>
      </c>
      <c r="P19" s="4" t="inlineStr">
        <is>
          <t>Not confirmed</t>
        </is>
      </c>
      <c r="Q19" s="4" t="inlineStr">
        <is>
          <t>Not identified</t>
        </is>
      </c>
      <c r="R19" s="5" t="inlineStr">
        <is>
          <t>Likely</t>
        </is>
      </c>
      <c r="S19" s="4" t="n">
        <v>20</v>
      </c>
      <c r="T19" s="6" t="inlineStr">
        <is>
          <t>A</t>
        </is>
      </c>
      <c r="U19" s="4" t="inlineStr">
        <is>
          <t>Holds or very likely holds a 製造販売業 licence through its import business, which removes the biggest Japan entry barrier. Imaging line not yet carried, so CHISON fills a gap rather than competing.</t>
        </is>
      </c>
      <c r="V19"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9" s="4" t="inlineStr">
        <is>
          <t>N (not identified)</t>
        </is>
      </c>
      <c r="X19" s="7" t="inlineStr">
        <is>
          <t>https://baseconnect.in/companies/prefecture/3420045f-8609-4232-9407-75407ae4e6e8/keyword/89941b4e-2dd1-4848-8957-48af280a31e0</t>
        </is>
      </c>
      <c r="Y19" s="4" t="inlineStr">
        <is>
          <t>SonoEye P5 for head and neck</t>
        </is>
      </c>
      <c r="Z19" s="4" t="inlineStr">
        <is>
          <t>4, 2, 3, 2, 3, 2, 4</t>
        </is>
      </c>
      <c r="AA19" s="4" t="inlineStr">
        <is>
          <t>Not found</t>
        </is>
      </c>
      <c r="AB19" s="4" t="inlineStr">
        <is>
          <t>Directory or search listing; not opened (direct site access blocked)</t>
        </is>
      </c>
      <c r="AC19" s="4" t="inlineStr">
        <is>
          <t>No expired licence or ended distribution agreement found</t>
        </is>
      </c>
      <c r="AD19" s="4" t="inlineStr">
        <is>
          <t>Not started</t>
        </is>
      </c>
      <c r="AE19" s="4" t="inlineStr"/>
      <c r="AF19" s="4" t="inlineStr">
        <is>
          <t>https://meilleur.co.jp/contact/</t>
        </is>
      </c>
      <c r="AG19" s="4" t="inlineStr">
        <is>
          <t>No email published; use the contact form (link in Email source)</t>
        </is>
      </c>
    </row>
    <row r="20">
      <c r="A20" s="4" t="n">
        <v>16</v>
      </c>
      <c r="B20" s="4" t="inlineStr">
        <is>
          <t>Nisshin Denshi Service</t>
        </is>
      </c>
      <c r="C20" s="4" t="inlineStr">
        <is>
          <t>日信電子サービス</t>
        </is>
      </c>
      <c r="D20" s="4" t="inlineStr">
        <is>
          <t>Not retrieved (NTA lookup blocked in this session)</t>
        </is>
      </c>
      <c r="E20" s="4" t="inlineStr">
        <is>
          <t>東京都</t>
        </is>
      </c>
      <c r="F20" s="4" t="inlineStr">
        <is>
          <t>Kanto</t>
        </is>
      </c>
      <c r="G20" s="7" t="inlineStr">
        <is>
          <t>https://www.open-nes.co.jp/ (from prefecture PR card; live status not checked)</t>
        </is>
      </c>
      <c r="H20" s="4" t="inlineStr">
        <is>
          <t>No MAH found; device sales licence (高度管理医療機器等販売業) not confirmed</t>
        </is>
      </c>
      <c r="I20" s="4" t="inlineStr">
        <is>
          <t>Not identified in published sources</t>
        </is>
      </c>
      <c r="J20" s="4" t="inlineStr">
        <is>
          <t>Ultrasound, Radiology and imaging</t>
        </is>
      </c>
      <c r="K20" s="4" t="inlineStr">
        <is>
          <t>東京都 (regional; branch network not confirmed)</t>
        </is>
      </c>
      <c r="L20" s="4" t="inlineStr">
        <is>
          <t>Consolidated revenue about JPY 20.5bn (FY3/2026, job site figure); capital JPY 480m</t>
        </is>
      </c>
      <c r="M20" s="4" t="inlineStr">
        <is>
          <t>Not identified</t>
        </is>
      </c>
      <c r="N20" s="4" t="inlineStr">
        <is>
          <t>Not identified</t>
        </is>
      </c>
      <c r="O20" s="4" t="inlineStr">
        <is>
          <t>jinji-group@open-nes.co.jp</t>
        </is>
      </c>
      <c r="P20" s="4" t="inlineStr">
        <is>
          <t>Not confirmed</t>
        </is>
      </c>
      <c r="Q20" s="4" t="inlineStr">
        <is>
          <t>Not identified</t>
        </is>
      </c>
      <c r="R20" s="8" t="inlineStr">
        <is>
          <t>Company inquiry only</t>
        </is>
      </c>
      <c r="S20" s="4" t="n">
        <v>26</v>
      </c>
      <c r="T20" s="9" t="inlineStr">
        <is>
          <t>B</t>
        </is>
      </c>
      <c r="U20" s="4" t="inlineStr">
        <is>
          <t>Already sells or services ultrasound, so the team can demo and support from day one; needs a partner MAH.</t>
        </is>
      </c>
      <c r="V20" s="4" t="inlineStr">
        <is>
          <t>Ask which segments their current ultrasound line leaves uncovered (portable, POCUS, price sensitive clinics) and offer CHISON as the complementary mid tier.</t>
        </is>
      </c>
      <c r="W20" s="4" t="inlineStr">
        <is>
          <t>N (not identified)</t>
        </is>
      </c>
      <c r="X20" s="7" t="inlineStr">
        <is>
          <t>https://www.pref.saitama.lg.jp/documents/236621/0220_nisshindenshiservice.pdf ; https://careerconnection.jp/review/947/jobinfo/</t>
        </is>
      </c>
      <c r="Y20" s="4" t="inlineStr">
        <is>
          <t>SonoGO and SonoAir 30/70 as a mid tier portable line; SonoEye P3 for POCUS</t>
        </is>
      </c>
      <c r="Z20" s="4" t="inlineStr">
        <is>
          <t>2, 5, 3, 3, 5, 5, 3</t>
        </is>
      </c>
      <c r="AA20" s="4" t="inlineStr">
        <is>
          <t>東京都墨田区押上1丁目1番2号 東京スカイツリーイーストタワー15F (HQ per Saitama PR card)</t>
        </is>
      </c>
      <c r="AB20" s="4" t="inlineStr">
        <is>
          <t>Verified in 10% recheck. Correction: HQ is Tokyo Sumida, not Saitama; Saitama prefecture profiles the company</t>
        </is>
      </c>
      <c r="AC20" s="4" t="inlineStr">
        <is>
          <t>No expired licence or ended distribution agreement found</t>
        </is>
      </c>
      <c r="AD20" s="4" t="inlineStr">
        <is>
          <t>Not started</t>
        </is>
      </c>
      <c r="AE20" s="4" t="inlineStr"/>
      <c r="AF20" s="4" t="inlineStr">
        <is>
          <t>https://job.mynavi.jp/27/pc/search/corp75992/employment.html</t>
        </is>
      </c>
      <c r="AG20" s="4" t="inlineStr">
        <is>
          <t>Likely: indexed on company domain; HR or recruitment inbox, ask to forward to sales</t>
        </is>
      </c>
    </row>
    <row r="21">
      <c r="A21" s="4" t="n">
        <v>17</v>
      </c>
      <c r="B21" s="4" t="inlineStr">
        <is>
          <t>K's Medical</t>
        </is>
      </c>
      <c r="C21" s="4" t="inlineStr">
        <is>
          <t>ケーズメディカル</t>
        </is>
      </c>
      <c r="D21" s="4" t="inlineStr">
        <is>
          <t>Not retrieved (NTA lookup blocked in this session)</t>
        </is>
      </c>
      <c r="E21" s="4" t="inlineStr">
        <is>
          <t>東京都</t>
        </is>
      </c>
      <c r="F21" s="4" t="inlineStr">
        <is>
          <t>Kanto</t>
        </is>
      </c>
      <c r="G21" s="4" t="inlineStr">
        <is>
          <t>https://www.kz-medical.co.jp/</t>
        </is>
      </c>
      <c r="H21" s="4" t="inlineStr">
        <is>
          <t>No MAH found; device sales licence (高度管理医療機器等販売業) not confirmed</t>
        </is>
      </c>
      <c r="I21" s="4" t="inlineStr">
        <is>
          <t>Not identified in published sources</t>
        </is>
      </c>
      <c r="J21" s="4" t="inlineStr">
        <is>
          <t>Ultrasound, Clinics and GP (開業医)</t>
        </is>
      </c>
      <c r="K21" s="4" t="inlineStr">
        <is>
          <t>東京都 (regional; branch network not confirmed)</t>
        </is>
      </c>
      <c r="L21" s="4" t="inlineStr">
        <is>
          <t>Not found</t>
        </is>
      </c>
      <c r="M21" s="4" t="inlineStr">
        <is>
          <t>Not identified</t>
        </is>
      </c>
      <c r="N21" s="4" t="inlineStr">
        <is>
          <t>Not identified</t>
        </is>
      </c>
      <c r="O21" s="4" t="inlineStr">
        <is>
          <t>Not published; use company inquiry form</t>
        </is>
      </c>
      <c r="P21" s="4" t="inlineStr">
        <is>
          <t>Not confirmed</t>
        </is>
      </c>
      <c r="Q21" s="4" t="inlineStr">
        <is>
          <t>Not identified</t>
        </is>
      </c>
      <c r="R21" s="5" t="inlineStr">
        <is>
          <t>Company inquiry only</t>
        </is>
      </c>
      <c r="S21" s="4" t="n">
        <v>25</v>
      </c>
      <c r="T21" s="9" t="inlineStr">
        <is>
          <t>B</t>
        </is>
      </c>
      <c r="U21" s="4" t="inlineStr">
        <is>
          <t>Already sells or services ultrasound, so the team can demo and support from day one; needs a partner MAH.</t>
        </is>
      </c>
      <c r="V21" s="4" t="inlineStr">
        <is>
          <t>Ask which segments their current ultrasound line leaves uncovered (portable, POCUS, price sensitive clinics) and offer CHISON as the complementary mid tier.</t>
        </is>
      </c>
      <c r="W21" s="4" t="inlineStr">
        <is>
          <t>N (not identified)</t>
        </is>
      </c>
      <c r="X21" s="7" t="inlineStr">
        <is>
          <t>https://baseconnect.in/companies/prefecture/a30ebdff-361b-42be-8372-1b0d350f48a0/keyword/2517ed26-1f2b-4156-ab10-55a6dc901a56</t>
        </is>
      </c>
      <c r="Y21" s="4" t="inlineStr">
        <is>
          <t>SonoGO and SonoAir 30/70 as a mid tier portable line; SonoEye P3 for POCUS</t>
        </is>
      </c>
      <c r="Z21" s="4" t="inlineStr">
        <is>
          <t>2, 5, 3, 5, 3, 4, 3</t>
        </is>
      </c>
      <c r="AA21" s="4" t="inlineStr">
        <is>
          <t>Not found</t>
        </is>
      </c>
      <c r="AB21" s="4" t="inlineStr">
        <is>
          <t>Directory or search listing; not opened (direct site access blocked)</t>
        </is>
      </c>
      <c r="AC21" s="4" t="inlineStr">
        <is>
          <t>No expired licence or ended distribution agreement found</t>
        </is>
      </c>
      <c r="AD21" s="4" t="inlineStr">
        <is>
          <t>Not started</t>
        </is>
      </c>
      <c r="AE21" s="4" t="inlineStr"/>
      <c r="AF21" s="4" t="inlineStr"/>
      <c r="AG21" s="4" t="inlineStr">
        <is>
          <t>No email published; website has no contact page link, phone first</t>
        </is>
      </c>
    </row>
    <row r="22">
      <c r="A22" s="4" t="n">
        <v>18</v>
      </c>
      <c r="B22" s="4" t="inlineStr">
        <is>
          <t>Umekawa Ika Kikaiten</t>
        </is>
      </c>
      <c r="C22" s="4" t="inlineStr">
        <is>
          <t>梅川医科器械店</t>
        </is>
      </c>
      <c r="D22" s="4" t="inlineStr">
        <is>
          <t>Not retrieved (NTA lookup blocked in this session)</t>
        </is>
      </c>
      <c r="E22" s="4" t="inlineStr">
        <is>
          <t>北海道</t>
        </is>
      </c>
      <c r="F22" s="4" t="inlineStr">
        <is>
          <t>Tohoku and Hokkaido</t>
        </is>
      </c>
      <c r="G22" s="4" t="inlineStr">
        <is>
          <t>https://www.umekawa-mc.co.jp/</t>
        </is>
      </c>
      <c r="H22" s="4" t="inlineStr">
        <is>
          <t>No MAH found; device sales licence (高度管理医療機器等販売業) not confirmed</t>
        </is>
      </c>
      <c r="I22" s="4" t="inlineStr">
        <is>
          <t>Not identified in published sources</t>
        </is>
      </c>
      <c r="J22" s="4" t="inlineStr">
        <is>
          <t>Radiology and imaging, Clinics and GP (開業医)</t>
        </is>
      </c>
      <c r="K22" s="4" t="inlineStr">
        <is>
          <t>北海道; Hokkaido</t>
        </is>
      </c>
      <c r="L22" s="4" t="inlineStr">
        <is>
          <t>Not found</t>
        </is>
      </c>
      <c r="M22" s="4" t="inlineStr">
        <is>
          <t>Not identified</t>
        </is>
      </c>
      <c r="N22" s="4" t="inlineStr">
        <is>
          <t>Not identified</t>
        </is>
      </c>
      <c r="O22" s="4" t="inlineStr">
        <is>
          <t>contact@umekawa-mc.co.jp</t>
        </is>
      </c>
      <c r="P22" s="4" t="inlineStr">
        <is>
          <t>Not confirmed</t>
        </is>
      </c>
      <c r="Q22" s="4" t="inlineStr">
        <is>
          <t>Not identified</t>
        </is>
      </c>
      <c r="R22" s="5" t="inlineStr">
        <is>
          <t>Unverified</t>
        </is>
      </c>
      <c r="S22" s="4" t="n">
        <v>24</v>
      </c>
      <c r="T22" s="9" t="inlineStr">
        <is>
          <t>B</t>
        </is>
      </c>
      <c r="U22" s="4" t="inlineStr">
        <is>
          <t>Imaging dealer (X ray, CT, MRI or radiology) with the right hospital departments; ultrasound adds to the same buyers; needs a partner MAH.</t>
        </is>
      </c>
      <c r="V22" s="4" t="inlineStr">
        <is>
          <t>Position ultrasound as the add on for their existing radiology customers; ask whether they would sell under a partner MAH and run first demos.</t>
        </is>
      </c>
      <c r="W22" s="4" t="inlineStr">
        <is>
          <t>N (not identified)</t>
        </is>
      </c>
      <c r="X22" s="7" t="inlineStr">
        <is>
          <t>https://compalyze.co.jp/company/3430001002008</t>
        </is>
      </c>
      <c r="Y22" s="4" t="inlineStr">
        <is>
          <t>SonoMax 7 plus SonoPort for radiology departments; SonoAir 70 portable</t>
        </is>
      </c>
      <c r="Z22" s="4" t="inlineStr">
        <is>
          <t>2, 4, 3, 5, 3, 4, 3</t>
        </is>
      </c>
      <c r="AA22" s="4" t="inlineStr">
        <is>
          <t>Not found</t>
        </is>
      </c>
      <c r="AB22" s="4" t="inlineStr">
        <is>
          <t>Directory or search listing; not opened (direct site access blocked)</t>
        </is>
      </c>
      <c r="AC22" s="4" t="inlineStr">
        <is>
          <t>No expired licence or ended distribution agreement found</t>
        </is>
      </c>
      <c r="AD22" s="4" t="inlineStr">
        <is>
          <t>Not started</t>
        </is>
      </c>
      <c r="AE22" s="4" t="inlineStr"/>
      <c r="AF22" s="4" t="inlineStr">
        <is>
          <t>https://www.umekawa-mc.co.jp/contact.php</t>
        </is>
      </c>
      <c r="AG22" s="4" t="inlineStr">
        <is>
          <t>Verified: published on company website</t>
        </is>
      </c>
    </row>
    <row r="23">
      <c r="A23" s="4" t="n">
        <v>19</v>
      </c>
      <c r="B23" s="4" t="inlineStr">
        <is>
          <t>Tamura Iryokiki Hanbai</t>
        </is>
      </c>
      <c r="C23" s="4" t="inlineStr">
        <is>
          <t>タムラ医療機器販売</t>
        </is>
      </c>
      <c r="D23" s="4" t="inlineStr">
        <is>
          <t>Not retrieved (NTA lookup blocked in this session)</t>
        </is>
      </c>
      <c r="E23" s="4" t="inlineStr">
        <is>
          <t>埼玉県</t>
        </is>
      </c>
      <c r="F23" s="4" t="inlineStr">
        <is>
          <t>Kanto</t>
        </is>
      </c>
      <c r="G23" s="4" t="inlineStr">
        <is>
          <t>https://kaigonomori-t-group.com/</t>
        </is>
      </c>
      <c r="H23" s="4" t="inlineStr">
        <is>
          <t>No MAH found; device sales licence (高度管理医療機器等販売業) not confirmed</t>
        </is>
      </c>
      <c r="I23" s="4" t="inlineStr">
        <is>
          <t>Not identified in published sources</t>
        </is>
      </c>
      <c r="J23" s="4" t="inlineStr">
        <is>
          <t>Ultrasound, Radiology and imaging, Clinics and GP (開業医), Hospitals, Welfare and care</t>
        </is>
      </c>
      <c r="K23" s="4" t="inlineStr">
        <is>
          <t>埼玉県 (regional; branch network not confirmed)</t>
        </is>
      </c>
      <c r="L23" s="4" t="inlineStr">
        <is>
          <t>Est 1972</t>
        </is>
      </c>
      <c r="M23" s="4" t="inlineStr">
        <is>
          <t>Not identified</t>
        </is>
      </c>
      <c r="N23" s="4" t="inlineStr">
        <is>
          <t>Not identified</t>
        </is>
      </c>
      <c r="O23" s="4" t="inlineStr">
        <is>
          <t>Not published; use contact form</t>
        </is>
      </c>
      <c r="P23" s="4" t="inlineStr">
        <is>
          <t>Not confirmed</t>
        </is>
      </c>
      <c r="Q23" s="4" t="inlineStr">
        <is>
          <t>Not identified</t>
        </is>
      </c>
      <c r="R23" s="8" t="inlineStr">
        <is>
          <t>Likely</t>
        </is>
      </c>
      <c r="S23" s="4" t="n">
        <v>23</v>
      </c>
      <c r="T23" s="9" t="inlineStr">
        <is>
          <t>B</t>
        </is>
      </c>
      <c r="U23" s="4" t="inlineStr">
        <is>
          <t>Already sells or services ultrasound, so the team can demo and support from day one; needs a partner MAH.</t>
        </is>
      </c>
      <c r="V23" s="4" t="inlineStr">
        <is>
          <t>Ask which segments their current ultrasound line leaves uncovered (portable, POCUS, price sensitive clinics) and offer CHISON as the complementary mid tier.</t>
        </is>
      </c>
      <c r="W23" s="4" t="inlineStr">
        <is>
          <t>N (not identified)</t>
        </is>
      </c>
      <c r="X23" s="7" t="inlineStr">
        <is>
          <t>https://compalyze.co.jp/company/6030001055134 ; https://www.r-agent.com/company/c7230/ (search set) ; https://kaigo.homes.co.jp/scare/ad11/area110201/cc13/</t>
        </is>
      </c>
      <c r="Y23" s="4" t="inlineStr">
        <is>
          <t>SonoGO and SonoAir 30/70 as a mid tier portable line; SonoEye P3 for POCUS</t>
        </is>
      </c>
      <c r="Z23" s="4" t="inlineStr">
        <is>
          <t>2, 5, 3, 5, 3, 2, 3</t>
        </is>
      </c>
      <c r="AA23" s="4" t="inlineStr">
        <is>
          <t>Kawagoe office: 埼玉県川越市霞ケ関北2丁目2番13号 (care listing)</t>
        </is>
      </c>
      <c r="AB23" s="4" t="inlineStr">
        <is>
          <t>Directory or search listing; not opened (direct site access blocked)</t>
        </is>
      </c>
      <c r="AC23" s="4" t="inlineStr">
        <is>
          <t>No expired licence or ended distribution agreement found</t>
        </is>
      </c>
      <c r="AD23" s="4" t="inlineStr">
        <is>
          <t>Not started</t>
        </is>
      </c>
      <c r="AE23" s="4" t="inlineStr"/>
      <c r="AF23" s="4" t="inlineStr">
        <is>
          <t>https://kaigonomori-t-group.com/inquiry</t>
        </is>
      </c>
      <c r="AG23" s="4" t="inlineStr">
        <is>
          <t>No email published; use the contact form (link in Email source)</t>
        </is>
      </c>
    </row>
    <row r="24">
      <c r="A24" s="4" t="n">
        <v>20</v>
      </c>
      <c r="B24" s="4" t="inlineStr">
        <is>
          <t>Keiyo Shinwa</t>
        </is>
      </c>
      <c r="C24" s="4" t="inlineStr">
        <is>
          <t>京葉新和</t>
        </is>
      </c>
      <c r="D24" s="4" t="inlineStr">
        <is>
          <t>Not retrieved (NTA lookup blocked in this session)</t>
        </is>
      </c>
      <c r="E24" s="4" t="inlineStr">
        <is>
          <t>千葉県</t>
        </is>
      </c>
      <c r="F24" s="4" t="inlineStr">
        <is>
          <t>Kanto</t>
        </is>
      </c>
      <c r="G24" s="4" t="inlineStr">
        <is>
          <t>http://www.keiyo-shinwa.co.jp/</t>
        </is>
      </c>
      <c r="H24" s="4" t="inlineStr">
        <is>
          <t>No MAH found; device sales licence (高度管理医療機器等販売業) not confirmed</t>
        </is>
      </c>
      <c r="I24" s="4" t="inlineStr">
        <is>
          <t>Not identified in published sources</t>
        </is>
      </c>
      <c r="J24" s="4" t="inlineStr">
        <is>
          <t>Radiology and imaging</t>
        </is>
      </c>
      <c r="K24" s="4" t="inlineStr">
        <is>
          <t>千葉県 (regional; branch network not confirmed)</t>
        </is>
      </c>
      <c r="L24" s="4" t="inlineStr">
        <is>
          <t>Not found</t>
        </is>
      </c>
      <c r="M24" s="4" t="inlineStr">
        <is>
          <t>Not identified</t>
        </is>
      </c>
      <c r="N24" s="4" t="inlineStr">
        <is>
          <t>Not identified</t>
        </is>
      </c>
      <c r="O24" s="4" t="inlineStr">
        <is>
          <t>info@keiyo-shinwa.co.jp</t>
        </is>
      </c>
      <c r="P24" s="4" t="inlineStr">
        <is>
          <t>Not confirmed</t>
        </is>
      </c>
      <c r="Q24" s="4" t="inlineStr">
        <is>
          <t>Not identified</t>
        </is>
      </c>
      <c r="R24" s="5" t="inlineStr">
        <is>
          <t>Unverified</t>
        </is>
      </c>
      <c r="S24" s="4" t="n">
        <v>22</v>
      </c>
      <c r="T24" s="9" t="inlineStr">
        <is>
          <t>B</t>
        </is>
      </c>
      <c r="U24" s="4" t="inlineStr">
        <is>
          <t>Imaging dealer (X ray, CT, MRI or radiology) with the right hospital departments; ultrasound adds to the same buyers; needs a partner MAH.</t>
        </is>
      </c>
      <c r="V24" s="4" t="inlineStr">
        <is>
          <t>Position ultrasound as the add on for their existing radiology customers; ask whether they would sell under a partner MAH and run first demos.</t>
        </is>
      </c>
      <c r="W24" s="4" t="inlineStr">
        <is>
          <t>N (not identified)</t>
        </is>
      </c>
      <c r="X24" s="7" t="inlineStr">
        <is>
          <t>https://baseconnect.in/companies/prefecture/3420045f-8609-4232-9407-75407ae4e6e8/category/b2358a1c-c4c6-46f4-a0b1-dee3a1b30a0b</t>
        </is>
      </c>
      <c r="Y24" s="4" t="inlineStr">
        <is>
          <t>SonoMax 7 plus SonoPort for radiology departments; SonoAir 70 portable</t>
        </is>
      </c>
      <c r="Z24" s="4" t="inlineStr">
        <is>
          <t>2, 4, 3, 3, 3, 4, 3</t>
        </is>
      </c>
      <c r="AA24" s="4" t="inlineStr">
        <is>
          <t>Not found</t>
        </is>
      </c>
      <c r="AB24" s="4" t="inlineStr">
        <is>
          <t>Directory or search listing; not opened (direct site access blocked)</t>
        </is>
      </c>
      <c r="AC24" s="4" t="inlineStr">
        <is>
          <t>No expired licence or ended distribution agreement found</t>
        </is>
      </c>
      <c r="AD24" s="4" t="inlineStr">
        <is>
          <t>Not started</t>
        </is>
      </c>
      <c r="AE24" s="4" t="inlineStr"/>
      <c r="AF24" s="4" t="inlineStr">
        <is>
          <t>http://www.keiyo-shinwa.co.jp/</t>
        </is>
      </c>
      <c r="AG24" s="4" t="inlineStr">
        <is>
          <t>Verified: published on company website</t>
        </is>
      </c>
    </row>
    <row r="25">
      <c r="A25" s="4" t="n">
        <v>21</v>
      </c>
      <c r="B25" s="4" t="inlineStr">
        <is>
          <t>TK Planning</t>
        </is>
      </c>
      <c r="C25" s="4" t="inlineStr">
        <is>
          <t>TKプランニング</t>
        </is>
      </c>
      <c r="D25" s="4" t="inlineStr">
        <is>
          <t>Not retrieved (NTA lookup blocked in this session)</t>
        </is>
      </c>
      <c r="E25" s="4" t="inlineStr">
        <is>
          <t>千葉県</t>
        </is>
      </c>
      <c r="F25" s="4" t="inlineStr">
        <is>
          <t>Kanto</t>
        </is>
      </c>
      <c r="G25" s="4" t="inlineStr">
        <is>
          <t>https://tk-pl.com/</t>
        </is>
      </c>
      <c r="H25" s="4" t="inlineStr">
        <is>
          <t>No MAH found; device sales licence (高度管理医療機器等販売業) not confirmed</t>
        </is>
      </c>
      <c r="I25" s="4" t="inlineStr">
        <is>
          <t>Not identified in published sources</t>
        </is>
      </c>
      <c r="J25" s="4" t="inlineStr">
        <is>
          <t>General medical equipment (hospitals and clinics)</t>
        </is>
      </c>
      <c r="K25" s="4" t="inlineStr">
        <is>
          <t>千葉県 (regional; branch network not confirmed)</t>
        </is>
      </c>
      <c r="L25" s="4" t="inlineStr">
        <is>
          <t>Not found</t>
        </is>
      </c>
      <c r="M25" s="4" t="inlineStr">
        <is>
          <t>Not identified</t>
        </is>
      </c>
      <c r="N25" s="4" t="inlineStr">
        <is>
          <t>Not identified</t>
        </is>
      </c>
      <c r="O25" s="4" t="inlineStr">
        <is>
          <t>Not published; use contact form</t>
        </is>
      </c>
      <c r="P25" s="4" t="inlineStr">
        <is>
          <t>Not confirmed</t>
        </is>
      </c>
      <c r="Q25" s="4" t="inlineStr">
        <is>
          <t>Not identified</t>
        </is>
      </c>
      <c r="R25" s="5" t="inlineStr">
        <is>
          <t>Likely</t>
        </is>
      </c>
      <c r="S25" s="4" t="n">
        <v>22</v>
      </c>
      <c r="T25" s="9" t="inlineStr">
        <is>
          <t>B</t>
        </is>
      </c>
      <c r="U25" s="4" t="inlineStr">
        <is>
          <t>Imaging dealer (X ray, CT, MRI or radiology) with the right hospital departments; ultrasound adds to the same buyers; needs a partner MAH.</t>
        </is>
      </c>
      <c r="V25" s="4" t="inlineStr">
        <is>
          <t>Position ultrasound as the add on for their existing radiology customers; ask whether they would sell under a partner MAH and run first demos.</t>
        </is>
      </c>
      <c r="W25" s="4" t="inlineStr">
        <is>
          <t>N (not identified)</t>
        </is>
      </c>
      <c r="X25" s="7" t="inlineStr">
        <is>
          <t>https://baseconnect.in/companies/prefecture/3420045f-8609-4232-9407-75407ae4e6e8/category/b2358a1c-c4c6-46f4-a0b1-dee3a1b30a0b</t>
        </is>
      </c>
      <c r="Y25" s="4" t="inlineStr">
        <is>
          <t>SonoEye P3 plus SonoAir 30 for GP and clinic accounts</t>
        </is>
      </c>
      <c r="Z25" s="4" t="inlineStr">
        <is>
          <t>2, 4, 3, 3, 3, 4, 3</t>
        </is>
      </c>
      <c r="AA25" s="4" t="inlineStr">
        <is>
          <t>Not found</t>
        </is>
      </c>
      <c r="AB25" s="4" t="inlineStr">
        <is>
          <t>Directory or search listing; not opened (direct site access blocked)</t>
        </is>
      </c>
      <c r="AC25" s="4" t="inlineStr">
        <is>
          <t>No expired licence or ended distribution agreement found</t>
        </is>
      </c>
      <c r="AD25" s="4" t="inlineStr">
        <is>
          <t>Not started</t>
        </is>
      </c>
      <c r="AE25" s="4" t="inlineStr"/>
      <c r="AF25" s="4" t="inlineStr">
        <is>
          <t>https://tk-pl.com/contact/</t>
        </is>
      </c>
      <c r="AG25" s="4" t="inlineStr">
        <is>
          <t>No email published; use the contact form (link in Email source)</t>
        </is>
      </c>
    </row>
    <row r="26">
      <c r="A26" s="4" t="n">
        <v>22</v>
      </c>
      <c r="B26" s="4" t="inlineStr">
        <is>
          <t>Image One</t>
        </is>
      </c>
      <c r="C26" s="4" t="inlineStr">
        <is>
          <t>イメージワン</t>
        </is>
      </c>
      <c r="D26" s="4" t="inlineStr">
        <is>
          <t>Not retrieved (NTA lookup blocked in this session)</t>
        </is>
      </c>
      <c r="E26" s="4" t="inlineStr">
        <is>
          <t>東京都</t>
        </is>
      </c>
      <c r="F26" s="4" t="inlineStr">
        <is>
          <t>Kanto</t>
        </is>
      </c>
      <c r="G26" s="4" t="inlineStr">
        <is>
          <t>https://www.imageone.co.jp/</t>
        </is>
      </c>
      <c r="H26" s="4" t="inlineStr">
        <is>
          <t>No MAH found; device sales licence (高度管理医療機器等販売業) not confirmed</t>
        </is>
      </c>
      <c r="I26" s="4" t="inlineStr">
        <is>
          <t>Not identified in published sources</t>
        </is>
      </c>
      <c r="J26" s="4" t="inlineStr">
        <is>
          <t>Radiology and imaging</t>
        </is>
      </c>
      <c r="K26" s="4" t="inlineStr">
        <is>
          <t>東京都 (regional; branch network not confirmed)</t>
        </is>
      </c>
      <c r="L26" s="4" t="inlineStr">
        <is>
          <t>Not found</t>
        </is>
      </c>
      <c r="M26" s="4" t="inlineStr">
        <is>
          <t>Not identified</t>
        </is>
      </c>
      <c r="N26" s="4" t="inlineStr">
        <is>
          <t>Not identified</t>
        </is>
      </c>
      <c r="O26" s="4" t="inlineStr">
        <is>
          <t>whistleblowing@imageone.co.jp</t>
        </is>
      </c>
      <c r="P26" s="4" t="inlineStr">
        <is>
          <t>Not confirmed</t>
        </is>
      </c>
      <c r="Q26" s="4" t="inlineStr">
        <is>
          <t>Not identified</t>
        </is>
      </c>
      <c r="R26" s="5" t="inlineStr">
        <is>
          <t>Unverified</t>
        </is>
      </c>
      <c r="S26" s="4" t="n">
        <v>22</v>
      </c>
      <c r="T26" s="9" t="inlineStr">
        <is>
          <t>B</t>
        </is>
      </c>
      <c r="U26" s="4" t="inlineStr">
        <is>
          <t>Imaging dealer (X ray, CT, MRI or radiology) with the right hospital departments; ultrasound adds to the same buyers; needs a partner MAH.</t>
        </is>
      </c>
      <c r="V26" s="4" t="inlineStr">
        <is>
          <t>Position ultrasound as the add on for their existing radiology customers; ask whether they would sell under a partner MAH and run first demos.</t>
        </is>
      </c>
      <c r="W26" s="4" t="inlineStr">
        <is>
          <t>N (not identified)</t>
        </is>
      </c>
      <c r="X26" s="7" t="inlineStr">
        <is>
          <t>https://www2.jpx.co.jp/disc/26670/140120190403400264.pdf</t>
        </is>
      </c>
      <c r="Y26" s="4" t="inlineStr">
        <is>
          <t>SonoMax 7 plus SonoPort for radiology departments; SonoAir 70 portable</t>
        </is>
      </c>
      <c r="Z26" s="4" t="inlineStr">
        <is>
          <t>2, 4, 3, 3, 5, 2, 3</t>
        </is>
      </c>
      <c r="AA26" s="4" t="inlineStr">
        <is>
          <t>Not found</t>
        </is>
      </c>
      <c r="AB26" s="4" t="inlineStr">
        <is>
          <t>Directory or search listing; not opened (direct site access blocked)</t>
        </is>
      </c>
      <c r="AC26" s="4" t="inlineStr">
        <is>
          <t>No expired licence or ended distribution agreement found</t>
        </is>
      </c>
      <c r="AD26" s="4" t="inlineStr">
        <is>
          <t>Not started</t>
        </is>
      </c>
      <c r="AE26" s="4" t="inlineStr">
        <is>
          <t>privacy@imageone.co.jp</t>
        </is>
      </c>
      <c r="AF26" s="4" t="inlineStr">
        <is>
          <t>https://www.imageone.co.jp/governance/</t>
        </is>
      </c>
      <c r="AG26" s="4" t="inlineStr">
        <is>
          <t>Verified: published on company website</t>
        </is>
      </c>
    </row>
    <row r="27">
      <c r="A27" s="4" t="n">
        <v>23</v>
      </c>
      <c r="B27" s="4" t="inlineStr">
        <is>
          <t>IB Japan</t>
        </is>
      </c>
      <c r="C27" s="4" t="inlineStr">
        <is>
          <t>アイビージャパン</t>
        </is>
      </c>
      <c r="D27" s="4" t="inlineStr">
        <is>
          <t>Not retrieved (NTA lookup blocked in this session)</t>
        </is>
      </c>
      <c r="E27" s="4" t="inlineStr">
        <is>
          <t>神奈川県</t>
        </is>
      </c>
      <c r="F27" s="4" t="inlineStr">
        <is>
          <t>Kanto</t>
        </is>
      </c>
      <c r="G27" s="4" t="inlineStr">
        <is>
          <t>https://ivyjapan.com/</t>
        </is>
      </c>
      <c r="H27" s="4" t="inlineStr">
        <is>
          <t>No MAH found; device sales licence (高度管理医療機器等販売業) not confirmed</t>
        </is>
      </c>
      <c r="I27" s="4" t="inlineStr">
        <is>
          <t>Not identified in published sources</t>
        </is>
      </c>
      <c r="J27" s="4" t="inlineStr">
        <is>
          <t>Radiology and imaging, Clinics and GP (開業医), Hospitals</t>
        </is>
      </c>
      <c r="K27" s="4" t="inlineStr">
        <is>
          <t>神奈川県 (regional; branch network not confirmed)</t>
        </is>
      </c>
      <c r="L27" s="4" t="inlineStr">
        <is>
          <t>Not found</t>
        </is>
      </c>
      <c r="M27" s="4" t="inlineStr">
        <is>
          <t>Not identified</t>
        </is>
      </c>
      <c r="N27" s="4" t="inlineStr">
        <is>
          <t>Not identified</t>
        </is>
      </c>
      <c r="O27" s="4" t="inlineStr">
        <is>
          <t>Not published; use contact form</t>
        </is>
      </c>
      <c r="P27" s="4" t="inlineStr">
        <is>
          <t>Not confirmed</t>
        </is>
      </c>
      <c r="Q27" s="4" t="inlineStr">
        <is>
          <t>Not identified</t>
        </is>
      </c>
      <c r="R27" s="5" t="inlineStr">
        <is>
          <t>Likely</t>
        </is>
      </c>
      <c r="S27" s="4" t="n">
        <v>22</v>
      </c>
      <c r="T27" s="9" t="inlineStr">
        <is>
          <t>B</t>
        </is>
      </c>
      <c r="U27" s="4" t="inlineStr">
        <is>
          <t>Imaging dealer (X ray, CT, MRI or radiology) with the right hospital departments; ultrasound adds to the same buyers; needs a partner MAH.</t>
        </is>
      </c>
      <c r="V27" s="4" t="inlineStr">
        <is>
          <t>Position ultrasound as the add on for their existing radiology customers; ask whether they would sell under a partner MAH and run first demos.</t>
        </is>
      </c>
      <c r="W27" s="4" t="inlineStr">
        <is>
          <t>N (not identified)</t>
        </is>
      </c>
      <c r="X27" s="7" t="inlineStr">
        <is>
          <t>https://baseconnect.in/companies/prefecture/9c059a11-e5ef-470d-a270-47022ad1f973/category/e8b4fb2e-8cf9-473d-be34-3f729e65fdf3</t>
        </is>
      </c>
      <c r="Y27" s="4" t="inlineStr">
        <is>
          <t>SonoMax 7 plus SonoPort for radiology departments; SonoAir 70 portable</t>
        </is>
      </c>
      <c r="Z27" s="4" t="inlineStr">
        <is>
          <t>2, 4, 3, 5, 3, 2, 3</t>
        </is>
      </c>
      <c r="AA27" s="4" t="inlineStr">
        <is>
          <t>Not found</t>
        </is>
      </c>
      <c r="AB27" s="4" t="inlineStr">
        <is>
          <t>Directory or search listing; not opened (direct site access blocked)</t>
        </is>
      </c>
      <c r="AC27" s="4" t="inlineStr">
        <is>
          <t>No expired licence or ended distribution agreement found</t>
        </is>
      </c>
      <c r="AD27" s="4" t="inlineStr">
        <is>
          <t>Not started</t>
        </is>
      </c>
      <c r="AE27" s="4" t="inlineStr"/>
      <c r="AF27" s="4" t="inlineStr">
        <is>
          <t>https://ivyjapan.com/inquiry</t>
        </is>
      </c>
      <c r="AG27" s="4" t="inlineStr">
        <is>
          <t>No email published; use the contact form (link in Email source)</t>
        </is>
      </c>
    </row>
    <row r="28">
      <c r="A28" s="4" t="n">
        <v>24</v>
      </c>
      <c r="B28" s="4" t="inlineStr">
        <is>
          <t>Pro Medical</t>
        </is>
      </c>
      <c r="C28" s="4" t="inlineStr">
        <is>
          <t>プロメディカル</t>
        </is>
      </c>
      <c r="D28" s="4" t="inlineStr">
        <is>
          <t>Not retrieved (NTA lookup blocked in this session)</t>
        </is>
      </c>
      <c r="E28" s="4" t="inlineStr">
        <is>
          <t>石川県</t>
        </is>
      </c>
      <c r="F28" s="4" t="inlineStr">
        <is>
          <t>Chubu</t>
        </is>
      </c>
      <c r="G28" s="4" t="inlineStr">
        <is>
          <t>http://promedi.co.jp/</t>
        </is>
      </c>
      <c r="H28" s="4" t="inlineStr">
        <is>
          <t>No MAH found; device sales licence (高度管理医療機器等販売業) not confirmed</t>
        </is>
      </c>
      <c r="I28" s="4" t="inlineStr">
        <is>
          <t>Not identified in published sources</t>
        </is>
      </c>
      <c r="J28" s="4" t="inlineStr">
        <is>
          <t>Emergency and disaster, Orthopaedics and rehab, Clinics and GP (開業医), Hospitals</t>
        </is>
      </c>
      <c r="K28" s="4" t="inlineStr">
        <is>
          <t>石川県 (regional; branch network not confirmed)</t>
        </is>
      </c>
      <c r="L28" s="4" t="inlineStr">
        <is>
          <t>Not found</t>
        </is>
      </c>
      <c r="M28" s="4" t="inlineStr">
        <is>
          <t>Not identified</t>
        </is>
      </c>
      <c r="N28" s="4" t="inlineStr">
        <is>
          <t>Not identified</t>
        </is>
      </c>
      <c r="O28" s="4" t="inlineStr">
        <is>
          <t>Not published; use contact form</t>
        </is>
      </c>
      <c r="P28" s="4" t="inlineStr">
        <is>
          <t>Not confirmed</t>
        </is>
      </c>
      <c r="Q28" s="4" t="inlineStr">
        <is>
          <t>Not identified</t>
        </is>
      </c>
      <c r="R28" s="5" t="inlineStr">
        <is>
          <t>Likely</t>
        </is>
      </c>
      <c r="S28" s="4" t="n">
        <v>22</v>
      </c>
      <c r="T28" s="9" t="inlineStr">
        <is>
          <t>B</t>
        </is>
      </c>
      <c r="U28" s="4" t="inlineStr">
        <is>
          <t>Imaging dealer (X ray, CT, MRI or radiology) with the right hospital departments; ultrasound adds to the same buyers; needs a partner MAH.</t>
        </is>
      </c>
      <c r="V28" s="4" t="inlineStr">
        <is>
          <t>Position ultrasound as the add on for their existing radiology customers; ask whether they would sell under a partner MAH and run first demos.</t>
        </is>
      </c>
      <c r="W28" s="4" t="inlineStr">
        <is>
          <t>N (not identified)</t>
        </is>
      </c>
      <c r="X28" s="7" t="inlineStr">
        <is>
          <t>https://baseconnect.in/companies/prefecture/4637ba90-383b-4656-8be1-ca34c7f7244f/keyword/89941b4e-2dd1-4848-8957-48af280a31e0 ; https://compalyze.co.jp (search 2026 10 10)</t>
        </is>
      </c>
      <c r="Y28" s="4" t="inlineStr">
        <is>
          <t>SonoEye P3 for FAST, lung and vascular access (POCUS)</t>
        </is>
      </c>
      <c r="Z28" s="4" t="inlineStr">
        <is>
          <t>2, 4, 3, 5, 3, 2, 3</t>
        </is>
      </c>
      <c r="AA28" s="4" t="inlineStr">
        <is>
          <t>Not found</t>
        </is>
      </c>
      <c r="AB28" s="4" t="inlineStr">
        <is>
          <t>Directory or search listing; not opened (direct site access blocked)</t>
        </is>
      </c>
      <c r="AC28" s="4" t="inlineStr">
        <is>
          <t>No expired licence or ended distribution agreement found</t>
        </is>
      </c>
      <c r="AD28" s="4" t="inlineStr">
        <is>
          <t>Not started</t>
        </is>
      </c>
      <c r="AE28" s="4" t="inlineStr"/>
      <c r="AF28" s="4" t="inlineStr">
        <is>
          <t>http://promedi.co.jp/contact/</t>
        </is>
      </c>
      <c r="AG28" s="4" t="inlineStr">
        <is>
          <t>No email published; use the contact form (link in Email source)</t>
        </is>
      </c>
    </row>
    <row r="29">
      <c r="A29" s="4" t="n">
        <v>25</v>
      </c>
      <c r="B29" s="4" t="inlineStr">
        <is>
          <t>Tokyo Iryo Kagaku</t>
        </is>
      </c>
      <c r="C29" s="4" t="inlineStr">
        <is>
          <t>東京医療化学</t>
        </is>
      </c>
      <c r="D29" s="4" t="inlineStr">
        <is>
          <t>Not retrieved (NTA lookup blocked in this session)</t>
        </is>
      </c>
      <c r="E29" s="4" t="inlineStr">
        <is>
          <t>東京都</t>
        </is>
      </c>
      <c r="F29" s="4" t="inlineStr">
        <is>
          <t>Kanto</t>
        </is>
      </c>
      <c r="G29" s="4" t="inlineStr">
        <is>
          <t>https://www.tokyoiryokagaku.co.jp/</t>
        </is>
      </c>
      <c r="H29" s="4" t="inlineStr">
        <is>
          <t>No MAH found; device sales licence (高度管理医療機器等販売業) not confirmed</t>
        </is>
      </c>
      <c r="I29" s="4" t="inlineStr">
        <is>
          <t>Not identified in published sources</t>
        </is>
      </c>
      <c r="J29" s="4" t="inlineStr">
        <is>
          <t>Ultrasound</t>
        </is>
      </c>
      <c r="K29" s="4" t="inlineStr">
        <is>
          <t>東京都 (regional; branch network not confirmed)</t>
        </is>
      </c>
      <c r="L29" s="4" t="inlineStr">
        <is>
          <t>Not found</t>
        </is>
      </c>
      <c r="M29" s="4" t="inlineStr">
        <is>
          <t>Not identified</t>
        </is>
      </c>
      <c r="N29" s="4" t="inlineStr">
        <is>
          <t>Not identified</t>
        </is>
      </c>
      <c r="O29" s="4" t="inlineStr">
        <is>
          <t>chijun@tokyoiryokagaku.co.jp</t>
        </is>
      </c>
      <c r="P29" s="4" t="inlineStr">
        <is>
          <t>Not confirmed</t>
        </is>
      </c>
      <c r="Q29" s="4" t="inlineStr">
        <is>
          <t>Not identified</t>
        </is>
      </c>
      <c r="R29" s="5" t="inlineStr">
        <is>
          <t>Unverified</t>
        </is>
      </c>
      <c r="S29" s="4" t="n">
        <v>21</v>
      </c>
      <c r="T29" s="9" t="inlineStr">
        <is>
          <t>B</t>
        </is>
      </c>
      <c r="U29" s="4" t="inlineStr">
        <is>
          <t>Already sells or services ultrasound, so the team can demo and support from day one; needs a partner MAH.</t>
        </is>
      </c>
      <c r="V29" s="4" t="inlineStr">
        <is>
          <t>Ask which segments their current ultrasound line leaves uncovered (portable, POCUS, price sensitive clinics) and offer CHISON as the complementary mid tier.</t>
        </is>
      </c>
      <c r="W29" s="4" t="inlineStr">
        <is>
          <t>N (not identified)</t>
        </is>
      </c>
      <c r="X29" s="7" t="inlineStr">
        <is>
          <t>https://baseconnect.in/companies/prefecture/a30ebdff-361b-42be-8372-1b0d350f48a0/keyword/2517ed26-1f2b-4156-ab10-55a6dc901a56</t>
        </is>
      </c>
      <c r="Y29" s="4" t="inlineStr">
        <is>
          <t>SonoGO and SonoAir 30/70 as a mid tier portable line; SonoEye P3 for POCUS</t>
        </is>
      </c>
      <c r="Z29" s="4" t="inlineStr">
        <is>
          <t>2, 5, 3, 3, 3, 2, 3</t>
        </is>
      </c>
      <c r="AA29" s="4" t="inlineStr">
        <is>
          <t>Not found</t>
        </is>
      </c>
      <c r="AB29" s="4" t="inlineStr">
        <is>
          <t>Directory or search listing; not opened (direct site access blocked)</t>
        </is>
      </c>
      <c r="AC29" s="4" t="inlineStr">
        <is>
          <t>No expired licence or ended distribution agreement found</t>
        </is>
      </c>
      <c r="AD29" s="4" t="inlineStr">
        <is>
          <t>Not started</t>
        </is>
      </c>
      <c r="AE29" s="4" t="inlineStr"/>
      <c r="AF29" s="4" t="inlineStr">
        <is>
          <t>https://tgstat.com/channel/AAAAAFZawKi0tpS90fWgzg</t>
        </is>
      </c>
      <c r="AG29" s="4" t="inlineStr">
        <is>
          <t>Likely: indexed on company domain</t>
        </is>
      </c>
    </row>
    <row r="30">
      <c r="A30" s="4" t="n">
        <v>26</v>
      </c>
      <c r="B30" s="4" t="inlineStr">
        <is>
          <t>Omukai Ika Seiki</t>
        </is>
      </c>
      <c r="C30" s="4" t="inlineStr">
        <is>
          <t>大向医科精器</t>
        </is>
      </c>
      <c r="D30" s="4" t="inlineStr">
        <is>
          <t>Not retrieved (NTA lookup blocked in this session)</t>
        </is>
      </c>
      <c r="E30" s="4" t="inlineStr">
        <is>
          <t>東京都</t>
        </is>
      </c>
      <c r="F30" s="4" t="inlineStr">
        <is>
          <t>Kanto</t>
        </is>
      </c>
      <c r="G30" s="4" t="inlineStr">
        <is>
          <t>Not confirmed (company site not opened; network policy blocked direct access)</t>
        </is>
      </c>
      <c r="H30" s="4" t="inlineStr">
        <is>
          <t>No MAH found; device sales licence (高度管理医療機器等販売業) not confirmed</t>
        </is>
      </c>
      <c r="I30" s="4" t="inlineStr">
        <is>
          <t>Not identified in published sources</t>
        </is>
      </c>
      <c r="J30" s="4" t="inlineStr">
        <is>
          <t>Radiology and imaging</t>
        </is>
      </c>
      <c r="K30" s="4" t="inlineStr">
        <is>
          <t>東京都 (regional; branch network not confirmed)</t>
        </is>
      </c>
      <c r="L30" s="4" t="inlineStr">
        <is>
          <t>Not found</t>
        </is>
      </c>
      <c r="M30" s="4" t="inlineStr">
        <is>
          <t>Not identified</t>
        </is>
      </c>
      <c r="N30" s="4" t="inlineStr">
        <is>
          <t>Not identified</t>
        </is>
      </c>
      <c r="O30" s="4" t="inlineStr">
        <is>
          <t>Not published; use company inquiry form</t>
        </is>
      </c>
      <c r="P30" s="4" t="inlineStr">
        <is>
          <t>Not confirmed</t>
        </is>
      </c>
      <c r="Q30" s="4" t="inlineStr">
        <is>
          <t>Not identified</t>
        </is>
      </c>
      <c r="R30" s="5" t="inlineStr">
        <is>
          <t>Unverified</t>
        </is>
      </c>
      <c r="S30" s="4" t="n">
        <v>21</v>
      </c>
      <c r="T30" s="9" t="inlineStr">
        <is>
          <t>B</t>
        </is>
      </c>
      <c r="U30" s="4" t="inlineStr">
        <is>
          <t>Imaging dealer (X ray, CT, MRI or radiology) with the right hospital departments; ultrasound adds to the same buyers; needs a partner MAH.</t>
        </is>
      </c>
      <c r="V30" s="4" t="inlineStr">
        <is>
          <t>Position ultrasound as the add on for their existing radiology customers; ask whether they would sell under a partner MAH and run first demos.</t>
        </is>
      </c>
      <c r="W30" s="4" t="inlineStr">
        <is>
          <t>N (not identified)</t>
        </is>
      </c>
      <c r="X30" s="7" t="inlineStr">
        <is>
          <t>https://baseconnect.in/companies/prefecture/a30ebdff-361b-42be-8372-1b0d350f48a0/keyword/2517ed26-1f2b-4156-ab10-55a6dc901a56</t>
        </is>
      </c>
      <c r="Y30" s="4" t="inlineStr">
        <is>
          <t>SonoMax 7 plus SonoPort for radiology departments; SonoAir 70 portable</t>
        </is>
      </c>
      <c r="Z30" s="4" t="inlineStr">
        <is>
          <t>2, 4, 3, 3, 3, 2, 4</t>
        </is>
      </c>
      <c r="AA30" s="4" t="inlineStr">
        <is>
          <t>Not found</t>
        </is>
      </c>
      <c r="AB30" s="4" t="inlineStr">
        <is>
          <t>Recheck: no independent confirmation found; directory listing only</t>
        </is>
      </c>
      <c r="AC30" s="4" t="inlineStr">
        <is>
          <t>No expired licence or ended distribution agreement found</t>
        </is>
      </c>
      <c r="AD30" s="4" t="inlineStr">
        <is>
          <t>Not started</t>
        </is>
      </c>
      <c r="AE30" s="4" t="inlineStr"/>
      <c r="AF30" s="4" t="inlineStr"/>
      <c r="AG30" s="4" t="inlineStr">
        <is>
          <t>No email published and no verified website found</t>
        </is>
      </c>
    </row>
    <row r="31">
      <c r="A31" s="4" t="n">
        <v>27</v>
      </c>
      <c r="B31" s="4" t="inlineStr">
        <is>
          <t>Hospital Supply Japan</t>
        </is>
      </c>
      <c r="C31" s="4" t="inlineStr">
        <is>
          <t>ホスピタルサプライジャパン</t>
        </is>
      </c>
      <c r="D31" s="4" t="inlineStr">
        <is>
          <t>Not retrieved (NTA lookup blocked in this session)</t>
        </is>
      </c>
      <c r="E31" s="4" t="inlineStr">
        <is>
          <t>東京都</t>
        </is>
      </c>
      <c r="F31" s="4" t="inlineStr">
        <is>
          <t>Kanto</t>
        </is>
      </c>
      <c r="G31" s="4" t="inlineStr">
        <is>
          <t>Not confirmed (company site not opened; network policy blocked direct access)</t>
        </is>
      </c>
      <c r="H31" s="4" t="inlineStr">
        <is>
          <t>No MAH found; device sales licence (高度管理医療機器等販売業) not confirmed</t>
        </is>
      </c>
      <c r="I31" s="4" t="inlineStr">
        <is>
          <t>Not identified in published sources</t>
        </is>
      </c>
      <c r="J31" s="4" t="inlineStr">
        <is>
          <t>Ultrasound</t>
        </is>
      </c>
      <c r="K31" s="4" t="inlineStr">
        <is>
          <t>東京都 (regional; branch network not confirmed)</t>
        </is>
      </c>
      <c r="L31" s="4" t="inlineStr">
        <is>
          <t>Not found</t>
        </is>
      </c>
      <c r="M31" s="4" t="inlineStr">
        <is>
          <t>Not identified</t>
        </is>
      </c>
      <c r="N31" s="4" t="inlineStr">
        <is>
          <t>Not identified</t>
        </is>
      </c>
      <c r="O31" s="4" t="inlineStr">
        <is>
          <t>Not published; use company inquiry form</t>
        </is>
      </c>
      <c r="P31" s="4" t="inlineStr">
        <is>
          <t>Not confirmed</t>
        </is>
      </c>
      <c r="Q31" s="4" t="inlineStr">
        <is>
          <t>Not identified</t>
        </is>
      </c>
      <c r="R31" s="5" t="inlineStr">
        <is>
          <t>Unverified</t>
        </is>
      </c>
      <c r="S31" s="4" t="n">
        <v>21</v>
      </c>
      <c r="T31" s="9" t="inlineStr">
        <is>
          <t>B</t>
        </is>
      </c>
      <c r="U31" s="4" t="inlineStr">
        <is>
          <t>Already sells or services ultrasound, so the team can demo and support from day one; needs a partner MAH.</t>
        </is>
      </c>
      <c r="V31" s="4" t="inlineStr">
        <is>
          <t>Ask which segments their current ultrasound line leaves uncovered (portable, POCUS, price sensitive clinics) and offer CHISON as the complementary mid tier.</t>
        </is>
      </c>
      <c r="W31" s="4" t="inlineStr">
        <is>
          <t>N (not identified)</t>
        </is>
      </c>
      <c r="X31" s="7" t="inlineStr">
        <is>
          <t>https://baseconnect.in/companies/prefecture/a30ebdff-361b-42be-8372-1b0d350f48a0/keyword/2517ed26-1f2b-4156-ab10-55a6dc901a56</t>
        </is>
      </c>
      <c r="Y31" s="4" t="inlineStr">
        <is>
          <t>SonoGO and SonoAir 30/70 as a mid tier portable line; SonoEye P3 for POCUS</t>
        </is>
      </c>
      <c r="Z31" s="4" t="inlineStr">
        <is>
          <t>2, 5, 3, 3, 3, 2, 3</t>
        </is>
      </c>
      <c r="AA31" s="4" t="inlineStr">
        <is>
          <t>Not found</t>
        </is>
      </c>
      <c r="AB31" s="4" t="inlineStr">
        <is>
          <t>Directory or search listing; not opened (direct site access blocked)</t>
        </is>
      </c>
      <c r="AC31" s="4" t="inlineStr">
        <is>
          <t>No expired licence or ended distribution agreement found</t>
        </is>
      </c>
      <c r="AD31" s="4" t="inlineStr">
        <is>
          <t>Not started</t>
        </is>
      </c>
      <c r="AE31" s="4" t="inlineStr"/>
      <c r="AF31" s="4" t="inlineStr"/>
      <c r="AG31" s="4" t="inlineStr">
        <is>
          <t>No email published and no verified website found</t>
        </is>
      </c>
    </row>
    <row r="32">
      <c r="A32" s="4" t="n">
        <v>28</v>
      </c>
      <c r="B32" s="4" t="inlineStr">
        <is>
          <t>Medicare (Yokohama)</t>
        </is>
      </c>
      <c r="C32" s="4" t="inlineStr">
        <is>
          <t>メディケアー</t>
        </is>
      </c>
      <c r="D32" s="4" t="inlineStr">
        <is>
          <t>Not retrieved (NTA lookup blocked in this session)</t>
        </is>
      </c>
      <c r="E32" s="4" t="inlineStr">
        <is>
          <t>神奈川県</t>
        </is>
      </c>
      <c r="F32" s="4" t="inlineStr">
        <is>
          <t>Kanto</t>
        </is>
      </c>
      <c r="G32" s="4" t="inlineStr">
        <is>
          <t>https://www.mc-tehart.com/</t>
        </is>
      </c>
      <c r="H32" s="4" t="inlineStr">
        <is>
          <t>No MAH found; device sales licence (高度管理医療機器等販売業) not confirmed</t>
        </is>
      </c>
      <c r="I32" s="4" t="inlineStr">
        <is>
          <t>Not identified in published sources</t>
        </is>
      </c>
      <c r="J32" s="4" t="inlineStr">
        <is>
          <t>Ultrasound</t>
        </is>
      </c>
      <c r="K32" s="4" t="inlineStr">
        <is>
          <t>神奈川県 (regional; branch network not confirmed)</t>
        </is>
      </c>
      <c r="L32" s="4" t="inlineStr">
        <is>
          <t>Not found</t>
        </is>
      </c>
      <c r="M32" s="4" t="inlineStr">
        <is>
          <t>Not identified</t>
        </is>
      </c>
      <c r="N32" s="4" t="inlineStr">
        <is>
          <t>Not identified</t>
        </is>
      </c>
      <c r="O32" s="4" t="inlineStr">
        <is>
          <t>saiyo@mc-tehart.com</t>
        </is>
      </c>
      <c r="P32" s="4" t="inlineStr">
        <is>
          <t>Not confirmed</t>
        </is>
      </c>
      <c r="Q32" s="4" t="inlineStr">
        <is>
          <t>Not identified</t>
        </is>
      </c>
      <c r="R32" s="5" t="inlineStr">
        <is>
          <t>Unverified</t>
        </is>
      </c>
      <c r="S32" s="4" t="n">
        <v>21</v>
      </c>
      <c r="T32" s="9" t="inlineStr">
        <is>
          <t>B</t>
        </is>
      </c>
      <c r="U32" s="4" t="inlineStr">
        <is>
          <t>Already sells or services ultrasound, so the team can demo and support from day one; needs a partner MAH.</t>
        </is>
      </c>
      <c r="V32" s="4" t="inlineStr">
        <is>
          <t>Ask which segments their current ultrasound line leaves uncovered (portable, POCUS, price sensitive clinics) and offer CHISON as the complementary mid tier.</t>
        </is>
      </c>
      <c r="W32" s="4" t="inlineStr">
        <is>
          <t>N (not identified)</t>
        </is>
      </c>
      <c r="X32" s="7" t="inlineStr">
        <is>
          <t>https://baseconnect.in/companies/prefecture/9c059a11-e5ef-470d-a270-47022ad1f973/category/e8b4fb2e-8cf9-473d-be34-3f729e65fdf3</t>
        </is>
      </c>
      <c r="Y32" s="4" t="inlineStr">
        <is>
          <t>SonoGO and SonoAir 30/70 as a mid tier portable line; SonoEye P3 for POCUS</t>
        </is>
      </c>
      <c r="Z32" s="4" t="inlineStr">
        <is>
          <t>2, 5, 3, 3, 3, 2, 3</t>
        </is>
      </c>
      <c r="AA32" s="4" t="inlineStr">
        <is>
          <t>Not found</t>
        </is>
      </c>
      <c r="AB32" s="4" t="inlineStr">
        <is>
          <t>Directory or search listing; not opened (direct site access blocked)</t>
        </is>
      </c>
      <c r="AC32" s="4" t="inlineStr">
        <is>
          <t>No expired licence or ended distribution agreement found</t>
        </is>
      </c>
      <c r="AD32" s="4" t="inlineStr">
        <is>
          <t>Not started</t>
        </is>
      </c>
      <c r="AE32" s="4" t="inlineStr"/>
      <c r="AF32" s="4" t="inlineStr">
        <is>
          <t>https://job.mynavi.jp/27/pc/search/corp91469/recruiting_course27027677/recruiting_course.html</t>
        </is>
      </c>
      <c r="AG32" s="4" t="inlineStr">
        <is>
          <t>Likely: indexed on company domain; HR or recruitment inbox, ask to forward to sales</t>
        </is>
      </c>
    </row>
    <row r="33">
      <c r="A33" s="4" t="n">
        <v>29</v>
      </c>
      <c r="B33" s="4" t="inlineStr">
        <is>
          <t>Joshin Ho Iryo</t>
        </is>
      </c>
      <c r="C33" s="4" t="inlineStr">
        <is>
          <t>上晋放医療</t>
        </is>
      </c>
      <c r="D33" s="4" t="inlineStr">
        <is>
          <t>Not retrieved (NTA lookup blocked in this session)</t>
        </is>
      </c>
      <c r="E33" s="4" t="inlineStr">
        <is>
          <t>茨城県</t>
        </is>
      </c>
      <c r="F33" s="4" t="inlineStr">
        <is>
          <t>Kanto</t>
        </is>
      </c>
      <c r="G33" s="4" t="inlineStr">
        <is>
          <t>https://joshinho.sakura.ne.jp/</t>
        </is>
      </c>
      <c r="H33" s="4" t="inlineStr">
        <is>
          <t>No MAH found; device sales licence (高度管理医療機器等販売業) not confirmed</t>
        </is>
      </c>
      <c r="I33" s="4" t="inlineStr">
        <is>
          <t>Canon Medical (per directory)</t>
        </is>
      </c>
      <c r="J33" s="4" t="inlineStr">
        <is>
          <t>Radiology and imaging</t>
        </is>
      </c>
      <c r="K33" s="4" t="inlineStr">
        <is>
          <t>茨城県 (regional; branch network not confirmed)</t>
        </is>
      </c>
      <c r="L33" s="4" t="inlineStr">
        <is>
          <t>Not found</t>
        </is>
      </c>
      <c r="M33" s="4" t="inlineStr">
        <is>
          <t>Not identified</t>
        </is>
      </c>
      <c r="N33" s="4" t="inlineStr">
        <is>
          <t>Not identified</t>
        </is>
      </c>
      <c r="O33" s="4" t="inlineStr">
        <is>
          <t>joshinho@joshinho.sakura.ne.jp</t>
        </is>
      </c>
      <c r="P33" s="4" t="inlineStr">
        <is>
          <t>Not confirmed</t>
        </is>
      </c>
      <c r="Q33" s="4" t="inlineStr">
        <is>
          <t>Not identified</t>
        </is>
      </c>
      <c r="R33" s="5" t="inlineStr">
        <is>
          <t>Unverified</t>
        </is>
      </c>
      <c r="S33" s="4" t="n">
        <v>21</v>
      </c>
      <c r="T33" s="9" t="inlineStr">
        <is>
          <t>B</t>
        </is>
      </c>
      <c r="U33" s="4" t="inlineStr">
        <is>
          <t>Imaging dealer (X ray, CT, MRI or radiology) with the right hospital departments; ultrasound adds to the same buyers; needs a partner MAH.</t>
        </is>
      </c>
      <c r="V33" s="4" t="inlineStr">
        <is>
          <t>Carries Canon: pitch only the portable and handheld tier Canon does not push in clinics (SonoEye, SonoAir); ask which accounts their console line leaves unserved.</t>
        </is>
      </c>
      <c r="W33" s="4" t="inlineStr">
        <is>
          <t>N (not identified)</t>
        </is>
      </c>
      <c r="X33" s="7" t="inlineStr">
        <is>
          <t>https://baseconnect.in/companies/prefecture/d8203dea-91e2-41c3-a785-b80aa997273c/category/b2358a1c-c4c6-46f4-a0b1-dee3a1b30a0b</t>
        </is>
      </c>
      <c r="Y33" s="4" t="inlineStr">
        <is>
          <t>SonoMax 7 plus SonoPort for radiology departments; SonoAir 70 portable</t>
        </is>
      </c>
      <c r="Z33" s="4" t="inlineStr">
        <is>
          <t>2, 4, 2, 3, 3, 4, 3</t>
        </is>
      </c>
      <c r="AA33" s="4" t="inlineStr">
        <is>
          <t>Not found</t>
        </is>
      </c>
      <c r="AB33" s="4" t="inlineStr">
        <is>
          <t>Directory or search listing; not opened (direct site access blocked)</t>
        </is>
      </c>
      <c r="AC33" s="4" t="inlineStr">
        <is>
          <t>No expired licence or ended distribution agreement found</t>
        </is>
      </c>
      <c r="AD33" s="4" t="inlineStr">
        <is>
          <t>Not started</t>
        </is>
      </c>
      <c r="AE33" s="4" t="inlineStr"/>
      <c r="AF33" s="4" t="inlineStr">
        <is>
          <t>https://joshinho.sakura.ne.jp/page05.html</t>
        </is>
      </c>
      <c r="AG33" s="4" t="inlineStr">
        <is>
          <t>Verified: published on company website</t>
        </is>
      </c>
    </row>
    <row r="34">
      <c r="A34" s="4" t="n">
        <v>30</v>
      </c>
      <c r="B34" s="4" t="inlineStr">
        <is>
          <t>Nihon Medical System</t>
        </is>
      </c>
      <c r="C34" s="4" t="inlineStr">
        <is>
          <t>日本メディカルシステム</t>
        </is>
      </c>
      <c r="D34" s="4" t="inlineStr">
        <is>
          <t>Not retrieved (NTA lookup blocked in this session)</t>
        </is>
      </c>
      <c r="E34" s="4" t="inlineStr">
        <is>
          <t>兵庫県</t>
        </is>
      </c>
      <c r="F34" s="4" t="inlineStr">
        <is>
          <t>Kansai</t>
        </is>
      </c>
      <c r="G34" s="4" t="inlineStr">
        <is>
          <t>https://www.jmsys.co.jp/</t>
        </is>
      </c>
      <c r="H34" s="4" t="inlineStr">
        <is>
          <t>No MAH found; device sales licence (高度管理医療機器等販売業) not confirmed</t>
        </is>
      </c>
      <c r="I34" s="4" t="inlineStr">
        <is>
          <t>Not identified in published sources</t>
        </is>
      </c>
      <c r="J34" s="4" t="inlineStr">
        <is>
          <t>Radiology and imaging, Hospitals</t>
        </is>
      </c>
      <c r="K34" s="4" t="inlineStr">
        <is>
          <t>兵庫県 (regional; branch network not confirmed)</t>
        </is>
      </c>
      <c r="L34" s="4" t="inlineStr">
        <is>
          <t>Not found</t>
        </is>
      </c>
      <c r="M34" s="4" t="inlineStr">
        <is>
          <t>Not identified</t>
        </is>
      </c>
      <c r="N34" s="4" t="inlineStr">
        <is>
          <t>Not identified</t>
        </is>
      </c>
      <c r="O34" s="4" t="inlineStr">
        <is>
          <t>newph@jmsys.co.jp</t>
        </is>
      </c>
      <c r="P34" s="4" t="inlineStr">
        <is>
          <t>Not confirmed</t>
        </is>
      </c>
      <c r="Q34" s="4" t="inlineStr">
        <is>
          <t>Not identified</t>
        </is>
      </c>
      <c r="R34" s="5" t="inlineStr">
        <is>
          <t>Unverified</t>
        </is>
      </c>
      <c r="S34" s="4" t="n">
        <v>21</v>
      </c>
      <c r="T34" s="9" t="inlineStr">
        <is>
          <t>B</t>
        </is>
      </c>
      <c r="U34" s="4" t="inlineStr">
        <is>
          <t>Imaging dealer (X ray, CT, MRI or radiology) with the right hospital departments; ultrasound adds to the same buyers; needs a partner MAH.</t>
        </is>
      </c>
      <c r="V34" s="4" t="inlineStr">
        <is>
          <t>Position ultrasound as the add on for their existing radiology customers; ask whether they would sell under a partner MAH and run first demos.</t>
        </is>
      </c>
      <c r="W34" s="4" t="inlineStr">
        <is>
          <t>N (not identified)</t>
        </is>
      </c>
      <c r="X34" s="7" t="inlineStr">
        <is>
          <t>https://baseconnect.in/companies/prefecture/912d7b2d-41c2-4923-a5c1-6666f9834966/keyword/14f3dcec-9cd5-4be5-84e1-ddccb7bd228c</t>
        </is>
      </c>
      <c r="Y34" s="4" t="inlineStr">
        <is>
          <t>SonoMax 7 plus SonoPort for radiology departments; SonoAir 70 portable</t>
        </is>
      </c>
      <c r="Z34" s="4" t="inlineStr">
        <is>
          <t>2, 4, 3, 4, 3, 2, 3</t>
        </is>
      </c>
      <c r="AA34" s="4" t="inlineStr">
        <is>
          <t>Not found</t>
        </is>
      </c>
      <c r="AB34" s="4" t="inlineStr">
        <is>
          <t>Directory or search listing; not opened (direct site access blocked)</t>
        </is>
      </c>
      <c r="AC34" s="4" t="inlineStr">
        <is>
          <t>No expired licence or ended distribution agreement found</t>
        </is>
      </c>
      <c r="AD34" s="4" t="inlineStr">
        <is>
          <t>Not started</t>
        </is>
      </c>
      <c r="AE34" s="4" t="inlineStr">
        <is>
          <t>ontakesan@jmsys.co.jp</t>
        </is>
      </c>
      <c r="AF34" s="4" t="inlineStr">
        <is>
          <t>https://job.mynavi.jp/28/pc/corpinfo/displayInternship/index?optNo=yntXs&amp;corpId=86533</t>
        </is>
      </c>
      <c r="AG34" s="4" t="inlineStr">
        <is>
          <t>Likely: indexed on company domain</t>
        </is>
      </c>
    </row>
    <row r="35">
      <c r="A35" s="4" t="n">
        <v>31</v>
      </c>
      <c r="B35" s="4" t="inlineStr">
        <is>
          <t>Kyoritsu Ika Kikai</t>
        </is>
      </c>
      <c r="C35" s="4" t="inlineStr">
        <is>
          <t>共立医科器械</t>
        </is>
      </c>
      <c r="D35" s="4" t="inlineStr">
        <is>
          <t>Not retrieved (NTA lookup blocked in this session)</t>
        </is>
      </c>
      <c r="E35" s="4" t="inlineStr">
        <is>
          <t>岩手県</t>
        </is>
      </c>
      <c r="F35" s="4" t="inlineStr">
        <is>
          <t>Tohoku and Hokkaido</t>
        </is>
      </c>
      <c r="G35" s="4" t="inlineStr">
        <is>
          <t>https://kmic.co.jp/</t>
        </is>
      </c>
      <c r="H35" s="4" t="inlineStr">
        <is>
          <t>No MAH found; device sales licence (高度管理医療機器等販売業) not confirmed</t>
        </is>
      </c>
      <c r="I35" s="4" t="inlineStr">
        <is>
          <t>Not identified in published sources</t>
        </is>
      </c>
      <c r="J35" s="4" t="inlineStr">
        <is>
          <t>General medical equipment (hospitals and clinics)</t>
        </is>
      </c>
      <c r="K35" s="4" t="inlineStr">
        <is>
          <t>岩手県; Iwate Aomori Akita</t>
        </is>
      </c>
      <c r="L35" s="4" t="inlineStr">
        <is>
          <t>Not found</t>
        </is>
      </c>
      <c r="M35" s="4" t="inlineStr">
        <is>
          <t>Not identified</t>
        </is>
      </c>
      <c r="N35" s="4" t="inlineStr">
        <is>
          <t>Not identified</t>
        </is>
      </c>
      <c r="O35" s="4" t="inlineStr">
        <is>
          <t>Not published; use contact form</t>
        </is>
      </c>
      <c r="P35" s="4" t="inlineStr">
        <is>
          <t>Not confirmed</t>
        </is>
      </c>
      <c r="Q35" s="4" t="inlineStr">
        <is>
          <t>Not identified</t>
        </is>
      </c>
      <c r="R35" s="5" t="inlineStr">
        <is>
          <t>Likely</t>
        </is>
      </c>
      <c r="S35" s="4" t="n">
        <v>21</v>
      </c>
      <c r="T35" s="9" t="inlineStr">
        <is>
          <t>B</t>
        </is>
      </c>
      <c r="U35" s="4" t="inlineStr">
        <is>
          <t>Imaging dealer (X ray, CT, MRI or radiology) with the right hospital departments; ultrasound adds to the same buyers; needs a partner MAH.</t>
        </is>
      </c>
      <c r="V35" s="4" t="inlineStr">
        <is>
          <t>Position ultrasound as the add on for their existing radiology customers; ask whether they would sell under a partner MAH and run first demos.</t>
        </is>
      </c>
      <c r="W35" s="4" t="inlineStr">
        <is>
          <t>N (not identified)</t>
        </is>
      </c>
      <c r="X35" s="7" t="inlineStr">
        <is>
          <t>https://job.rikunabi.com/job_descriptions/4511bb0b2d226083</t>
        </is>
      </c>
      <c r="Y35" s="4" t="inlineStr">
        <is>
          <t>SonoEye P3 plus SonoAir 30 for GP and clinic accounts</t>
        </is>
      </c>
      <c r="Z35" s="4" t="inlineStr">
        <is>
          <t>2, 4, 3, 3, 4, 2, 3</t>
        </is>
      </c>
      <c r="AA35" s="4" t="inlineStr">
        <is>
          <t>Not found</t>
        </is>
      </c>
      <c r="AB35" s="4" t="inlineStr">
        <is>
          <t>Directory or search listing; not opened (direct site access blocked)</t>
        </is>
      </c>
      <c r="AC35" s="4" t="inlineStr">
        <is>
          <t>No expired licence or ended distribution agreement found</t>
        </is>
      </c>
      <c r="AD35" s="4" t="inlineStr">
        <is>
          <t>Not started</t>
        </is>
      </c>
      <c r="AE35" s="4" t="inlineStr"/>
      <c r="AF35" s="4" t="inlineStr">
        <is>
          <t>https://kmic.co.jp/pages/4/</t>
        </is>
      </c>
      <c r="AG35" s="4" t="inlineStr">
        <is>
          <t>No email published; use the contact form (link in Email source)</t>
        </is>
      </c>
    </row>
    <row r="36">
      <c r="A36" s="4" t="n">
        <v>32</v>
      </c>
      <c r="B36" s="4" t="inlineStr">
        <is>
          <t>Fukuyama Ika</t>
        </is>
      </c>
      <c r="C36" s="4" t="inlineStr">
        <is>
          <t>福山医科</t>
        </is>
      </c>
      <c r="D36" s="4" t="inlineStr">
        <is>
          <t>Not retrieved (NTA lookup blocked in this session)</t>
        </is>
      </c>
      <c r="E36" s="4" t="inlineStr">
        <is>
          <t>千葉県</t>
        </is>
      </c>
      <c r="F36" s="4" t="inlineStr">
        <is>
          <t>Kanto</t>
        </is>
      </c>
      <c r="G36" s="4" t="inlineStr">
        <is>
          <t>https://fukuyamaika.co.jp/</t>
        </is>
      </c>
      <c r="H36" s="4" t="inlineStr">
        <is>
          <t>No MAH found; device sales licence (高度管理医療機器等販売業) not confirmed</t>
        </is>
      </c>
      <c r="I36" s="4" t="inlineStr">
        <is>
          <t>Not identified in published sources</t>
        </is>
      </c>
      <c r="J36" s="4" t="inlineStr">
        <is>
          <t>Radiology and imaging</t>
        </is>
      </c>
      <c r="K36" s="4" t="inlineStr">
        <is>
          <t>千葉県 (regional; branch network not confirmed)</t>
        </is>
      </c>
      <c r="L36" s="4" t="inlineStr">
        <is>
          <t>Not found</t>
        </is>
      </c>
      <c r="M36" s="4" t="inlineStr">
        <is>
          <t>Not identified</t>
        </is>
      </c>
      <c r="N36" s="4" t="inlineStr">
        <is>
          <t>Not identified</t>
        </is>
      </c>
      <c r="O36" s="4" t="inlineStr">
        <is>
          <t>Not published; use contact form</t>
        </is>
      </c>
      <c r="P36" s="4" t="inlineStr">
        <is>
          <t>Not confirmed</t>
        </is>
      </c>
      <c r="Q36" s="4" t="inlineStr">
        <is>
          <t>Not identified</t>
        </is>
      </c>
      <c r="R36" s="5" t="inlineStr">
        <is>
          <t>Likely</t>
        </is>
      </c>
      <c r="S36" s="4" t="n">
        <v>20</v>
      </c>
      <c r="T36" s="9" t="inlineStr">
        <is>
          <t>B</t>
        </is>
      </c>
      <c r="U36" s="4" t="inlineStr">
        <is>
          <t>Imaging dealer (X ray, CT, MRI or radiology) with the right hospital departments; ultrasound adds to the same buyers; needs a partner MAH.</t>
        </is>
      </c>
      <c r="V36" s="4" t="inlineStr">
        <is>
          <t>Position ultrasound as the add on for their existing radiology customers; ask whether they would sell under a partner MAH and run first demos.</t>
        </is>
      </c>
      <c r="W36" s="4" t="inlineStr">
        <is>
          <t>N (not identified)</t>
        </is>
      </c>
      <c r="X36" s="7" t="inlineStr">
        <is>
          <t>https://baseconnect.in/companies/prefecture/3420045f-8609-4232-9407-75407ae4e6e8/category/b2358a1c-c4c6-46f4-a0b1-dee3a1b30a0b</t>
        </is>
      </c>
      <c r="Y36" s="4" t="inlineStr">
        <is>
          <t>SonoMax 7 plus SonoPort for radiology departments; SonoAir 70 portable</t>
        </is>
      </c>
      <c r="Z36" s="4" t="inlineStr">
        <is>
          <t>2, 4, 3, 3, 3, 2, 3</t>
        </is>
      </c>
      <c r="AA36" s="4" t="inlineStr">
        <is>
          <t>Not found</t>
        </is>
      </c>
      <c r="AB36" s="4" t="inlineStr">
        <is>
          <t>Directory or search listing; not opened (direct site access blocked)</t>
        </is>
      </c>
      <c r="AC36" s="4" t="inlineStr">
        <is>
          <t>No expired licence or ended distribution agreement found</t>
        </is>
      </c>
      <c r="AD36" s="4" t="inlineStr">
        <is>
          <t>Not started</t>
        </is>
      </c>
      <c r="AE36" s="4" t="inlineStr"/>
      <c r="AF36" s="4" t="inlineStr">
        <is>
          <t>https://fukuyamaika.co.jp/contact/</t>
        </is>
      </c>
      <c r="AG36" s="4" t="inlineStr">
        <is>
          <t>No email published; use the contact form (link in Email source)</t>
        </is>
      </c>
    </row>
    <row r="37">
      <c r="A37" s="4" t="n">
        <v>33</v>
      </c>
      <c r="B37" s="4" t="inlineStr">
        <is>
          <t>Rikuto</t>
        </is>
      </c>
      <c r="C37" s="4" t="inlineStr">
        <is>
          <t>六濤</t>
        </is>
      </c>
      <c r="D37" s="4" t="inlineStr">
        <is>
          <t>Not retrieved (NTA lookup blocked in this session)</t>
        </is>
      </c>
      <c r="E37" s="4" t="inlineStr">
        <is>
          <t>東京都</t>
        </is>
      </c>
      <c r="F37" s="4" t="inlineStr">
        <is>
          <t>Kanto</t>
        </is>
      </c>
      <c r="G37" s="4" t="inlineStr">
        <is>
          <t>https://www.rikutoh.com/</t>
        </is>
      </c>
      <c r="H37" s="4" t="inlineStr">
        <is>
          <t>No MAH found; device sales licence (高度管理医療機器等販売業) not confirmed</t>
        </is>
      </c>
      <c r="I37" s="4" t="inlineStr">
        <is>
          <t>Not identified in published sources</t>
        </is>
      </c>
      <c r="J37" s="4" t="inlineStr">
        <is>
          <t>Radiology and imaging</t>
        </is>
      </c>
      <c r="K37" s="4" t="inlineStr">
        <is>
          <t>東京都 (regional; branch network not confirmed)</t>
        </is>
      </c>
      <c r="L37" s="4" t="inlineStr">
        <is>
          <t>Not found</t>
        </is>
      </c>
      <c r="M37" s="4" t="inlineStr">
        <is>
          <t>Not identified</t>
        </is>
      </c>
      <c r="N37" s="4" t="inlineStr">
        <is>
          <t>Not identified</t>
        </is>
      </c>
      <c r="O37" s="4" t="inlineStr">
        <is>
          <t>Not published; use contact form</t>
        </is>
      </c>
      <c r="P37" s="4" t="inlineStr">
        <is>
          <t>Not confirmed</t>
        </is>
      </c>
      <c r="Q37" s="4" t="inlineStr">
        <is>
          <t>Not identified</t>
        </is>
      </c>
      <c r="R37" s="5" t="inlineStr">
        <is>
          <t>Likely</t>
        </is>
      </c>
      <c r="S37" s="4" t="n">
        <v>20</v>
      </c>
      <c r="T37" s="9" t="inlineStr">
        <is>
          <t>B</t>
        </is>
      </c>
      <c r="U37" s="4" t="inlineStr">
        <is>
          <t>Imaging dealer (X ray, CT, MRI or radiology) with the right hospital departments; ultrasound adds to the same buyers; needs a partner MAH.</t>
        </is>
      </c>
      <c r="V37" s="4" t="inlineStr">
        <is>
          <t>Position ultrasound as the add on for their existing radiology customers; ask whether they would sell under a partner MAH and run first demos.</t>
        </is>
      </c>
      <c r="W37" s="4" t="inlineStr">
        <is>
          <t>N (not identified)</t>
        </is>
      </c>
      <c r="X37" s="7" t="inlineStr">
        <is>
          <t>https://baseconnect.in/companies/prefecture/a30ebdff-361b-42be-8372-1b0d350f48a0/keyword/2517ed26-1f2b-4156-ab10-55a6dc901a56</t>
        </is>
      </c>
      <c r="Y37" s="4" t="inlineStr">
        <is>
          <t>SonoMax 7 plus SonoPort for radiology departments; SonoAir 70 portable</t>
        </is>
      </c>
      <c r="Z37" s="4" t="inlineStr">
        <is>
          <t>2, 4, 3, 3, 3, 2, 3</t>
        </is>
      </c>
      <c r="AA37" s="4" t="inlineStr">
        <is>
          <t>Not found</t>
        </is>
      </c>
      <c r="AB37" s="4" t="inlineStr">
        <is>
          <t>Directory or search listing; not opened (direct site access blocked)</t>
        </is>
      </c>
      <c r="AC37" s="4" t="inlineStr">
        <is>
          <t>No expired licence or ended distribution agreement found</t>
        </is>
      </c>
      <c r="AD37" s="4" t="inlineStr">
        <is>
          <t>Not started</t>
        </is>
      </c>
      <c r="AE37" s="4" t="inlineStr"/>
      <c r="AF37" s="4" t="inlineStr">
        <is>
          <t>https://www.rikutoh.com/contact</t>
        </is>
      </c>
      <c r="AG37" s="4" t="inlineStr">
        <is>
          <t>No email published; use the contact form (link in Email source)</t>
        </is>
      </c>
    </row>
    <row r="38">
      <c r="A38" s="4" t="n">
        <v>34</v>
      </c>
      <c r="B38" s="4" t="inlineStr">
        <is>
          <t>Superior Advantec</t>
        </is>
      </c>
      <c r="C38" s="4" t="inlineStr">
        <is>
          <t>スペリオルアドバンテック</t>
        </is>
      </c>
      <c r="D38" s="4" t="inlineStr">
        <is>
          <t>Not retrieved (NTA lookup blocked in this session)</t>
        </is>
      </c>
      <c r="E38" s="4" t="inlineStr">
        <is>
          <t>東京都</t>
        </is>
      </c>
      <c r="F38" s="4" t="inlineStr">
        <is>
          <t>Kanto</t>
        </is>
      </c>
      <c r="G38" s="4" t="inlineStr">
        <is>
          <t>https://www.satex.co.jp/</t>
        </is>
      </c>
      <c r="H38" s="4" t="inlineStr">
        <is>
          <t>No MAH found; device sales licence (高度管理医療機器等販売業) not confirmed</t>
        </is>
      </c>
      <c r="I38" s="4" t="inlineStr">
        <is>
          <t>Not identified in published sources</t>
        </is>
      </c>
      <c r="J38" s="4" t="inlineStr">
        <is>
          <t>Radiology and imaging</t>
        </is>
      </c>
      <c r="K38" s="4" t="inlineStr">
        <is>
          <t>東京都 (regional; branch network not confirmed)</t>
        </is>
      </c>
      <c r="L38" s="4" t="inlineStr">
        <is>
          <t>Not found</t>
        </is>
      </c>
      <c r="M38" s="4" t="inlineStr">
        <is>
          <t>Not identified</t>
        </is>
      </c>
      <c r="N38" s="4" t="inlineStr">
        <is>
          <t>Not identified</t>
        </is>
      </c>
      <c r="O38" s="4" t="inlineStr">
        <is>
          <t>Not published; use contact form</t>
        </is>
      </c>
      <c r="P38" s="4" t="inlineStr">
        <is>
          <t>Not confirmed</t>
        </is>
      </c>
      <c r="Q38" s="4" t="inlineStr">
        <is>
          <t>Not identified</t>
        </is>
      </c>
      <c r="R38" s="5" t="inlineStr">
        <is>
          <t>Likely</t>
        </is>
      </c>
      <c r="S38" s="4" t="n">
        <v>20</v>
      </c>
      <c r="T38" s="9" t="inlineStr">
        <is>
          <t>B</t>
        </is>
      </c>
      <c r="U38" s="4" t="inlineStr">
        <is>
          <t>Imaging dealer (X ray, CT, MRI or radiology) with the right hospital departments; ultrasound adds to the same buyers; needs a partner MAH.</t>
        </is>
      </c>
      <c r="V38" s="4" t="inlineStr">
        <is>
          <t>Position ultrasound as the add on for their existing radiology customers; ask whether they would sell under a partner MAH and run first demos.</t>
        </is>
      </c>
      <c r="W38" s="4" t="inlineStr">
        <is>
          <t>N (not identified)</t>
        </is>
      </c>
      <c r="X38" s="7" t="inlineStr">
        <is>
          <t>https://baseconnect.in/companies/prefecture/a30ebdff-361b-42be-8372-1b0d350f48a0/keyword/2517ed26-1f2b-4156-ab10-55a6dc901a56</t>
        </is>
      </c>
      <c r="Y38" s="4" t="inlineStr">
        <is>
          <t>SonoMax 7 plus SonoPort for radiology departments; SonoAir 70 portable</t>
        </is>
      </c>
      <c r="Z38" s="4" t="inlineStr">
        <is>
          <t>2, 4, 3, 3, 3, 2, 3</t>
        </is>
      </c>
      <c r="AA38" s="4" t="inlineStr">
        <is>
          <t>Not found</t>
        </is>
      </c>
      <c r="AB38" s="4" t="inlineStr">
        <is>
          <t>Directory or search listing; not opened (direct site access blocked)</t>
        </is>
      </c>
      <c r="AC38" s="4" t="inlineStr">
        <is>
          <t>No expired licence or ended distribution agreement found</t>
        </is>
      </c>
      <c r="AD38" s="4" t="inlineStr">
        <is>
          <t>Not started</t>
        </is>
      </c>
      <c r="AE38" s="4" t="inlineStr"/>
      <c r="AF38" s="4" t="inlineStr">
        <is>
          <t>https://www.satex.co.jp/contact.html</t>
        </is>
      </c>
      <c r="AG38" s="4" t="inlineStr">
        <is>
          <t>No email published; use the contact form (link in Email source)</t>
        </is>
      </c>
    </row>
    <row r="39">
      <c r="A39" s="4" t="n">
        <v>35</v>
      </c>
      <c r="B39" s="4" t="inlineStr">
        <is>
          <t>Orion Radsafe Medical</t>
        </is>
      </c>
      <c r="C39" s="4" t="inlineStr">
        <is>
          <t>オリオン・ラドセーフメディカル</t>
        </is>
      </c>
      <c r="D39" s="4" t="inlineStr">
        <is>
          <t>Not retrieved (NTA lookup blocked in this session)</t>
        </is>
      </c>
      <c r="E39" s="4" t="inlineStr">
        <is>
          <t>東京都</t>
        </is>
      </c>
      <c r="F39" s="4" t="inlineStr">
        <is>
          <t>Kanto</t>
        </is>
      </c>
      <c r="G39" s="4" t="inlineStr">
        <is>
          <t>https://www.orrad.co.jp/</t>
        </is>
      </c>
      <c r="H39" s="4" t="inlineStr">
        <is>
          <t>No MAH found; device sales licence (高度管理医療機器等販売業) not confirmed</t>
        </is>
      </c>
      <c r="I39" s="4" t="inlineStr">
        <is>
          <t>Not identified in published sources</t>
        </is>
      </c>
      <c r="J39" s="4" t="inlineStr">
        <is>
          <t>Radiology and imaging</t>
        </is>
      </c>
      <c r="K39" s="4" t="inlineStr">
        <is>
          <t>東京都 (regional; branch network not confirmed)</t>
        </is>
      </c>
      <c r="L39" s="4" t="inlineStr">
        <is>
          <t>Not found</t>
        </is>
      </c>
      <c r="M39" s="4" t="inlineStr">
        <is>
          <t>Not identified</t>
        </is>
      </c>
      <c r="N39" s="4" t="inlineStr">
        <is>
          <t>Not identified</t>
        </is>
      </c>
      <c r="O39" s="4" t="inlineStr">
        <is>
          <t>info-orion@orrad.co.jp</t>
        </is>
      </c>
      <c r="P39" s="4" t="inlineStr">
        <is>
          <t>Not confirmed</t>
        </is>
      </c>
      <c r="Q39" s="4" t="inlineStr">
        <is>
          <t>Not identified</t>
        </is>
      </c>
      <c r="R39" s="5" t="inlineStr">
        <is>
          <t>Unverified</t>
        </is>
      </c>
      <c r="S39" s="4" t="n">
        <v>20</v>
      </c>
      <c r="T39" s="9" t="inlineStr">
        <is>
          <t>B</t>
        </is>
      </c>
      <c r="U39" s="4" t="inlineStr">
        <is>
          <t>Imaging dealer (X ray, CT, MRI or radiology) with the right hospital departments; ultrasound adds to the same buyers; needs a partner MAH.</t>
        </is>
      </c>
      <c r="V39" s="4" t="inlineStr">
        <is>
          <t>Position ultrasound as the add on for their existing radiology customers; ask whether they would sell under a partner MAH and run first demos.</t>
        </is>
      </c>
      <c r="W39" s="4" t="inlineStr">
        <is>
          <t>N (not identified)</t>
        </is>
      </c>
      <c r="X39" s="7" t="inlineStr">
        <is>
          <t>https://baseconnect.in/companies/prefecture/a30ebdff-361b-42be-8372-1b0d350f48a0/keyword/2517ed26-1f2b-4156-ab10-55a6dc901a56</t>
        </is>
      </c>
      <c r="Y39" s="4" t="inlineStr">
        <is>
          <t>SonoMax 7 plus SonoPort for radiology departments; SonoAir 70 portable</t>
        </is>
      </c>
      <c r="Z39" s="4" t="inlineStr">
        <is>
          <t>2, 4, 3, 3, 3, 2, 3</t>
        </is>
      </c>
      <c r="AA39" s="4" t="inlineStr">
        <is>
          <t>Not found</t>
        </is>
      </c>
      <c r="AB39" s="4" t="inlineStr">
        <is>
          <t>Directory or search listing; not opened (direct site access blocked)</t>
        </is>
      </c>
      <c r="AC39" s="4" t="inlineStr">
        <is>
          <t>No expired licence or ended distribution agreement found</t>
        </is>
      </c>
      <c r="AD39" s="4" t="inlineStr">
        <is>
          <t>Not started</t>
        </is>
      </c>
      <c r="AE39" s="4" t="inlineStr">
        <is>
          <t>abcde@orrad.co.jp</t>
        </is>
      </c>
      <c r="AF39" s="4" t="inlineStr">
        <is>
          <t>https://www.orrad.co.jp/company/privacy.html</t>
        </is>
      </c>
      <c r="AG39" s="4" t="inlineStr">
        <is>
          <t>Verified: published on company website</t>
        </is>
      </c>
    </row>
    <row r="40">
      <c r="A40" s="4" t="n">
        <v>36</v>
      </c>
      <c r="B40" s="4" t="inlineStr">
        <is>
          <t>Nihon Denshi Oyo</t>
        </is>
      </c>
      <c r="C40" s="4" t="inlineStr">
        <is>
          <t>日本電子応用</t>
        </is>
      </c>
      <c r="D40" s="4" t="inlineStr">
        <is>
          <t>Not retrieved (NTA lookup blocked in this session)</t>
        </is>
      </c>
      <c r="E40" s="4" t="inlineStr">
        <is>
          <t>東京都</t>
        </is>
      </c>
      <c r="F40" s="4" t="inlineStr">
        <is>
          <t>Kanto</t>
        </is>
      </c>
      <c r="G40" s="4" t="inlineStr">
        <is>
          <t>https://www.ndc-oyo.co.jp/</t>
        </is>
      </c>
      <c r="H40" s="4" t="inlineStr">
        <is>
          <t>No MAH found; device sales licence (高度管理医療機器等販売業) not confirmed</t>
        </is>
      </c>
      <c r="I40" s="4" t="inlineStr">
        <is>
          <t>Not identified in published sources</t>
        </is>
      </c>
      <c r="J40" s="4" t="inlineStr">
        <is>
          <t>Radiology and imaging</t>
        </is>
      </c>
      <c r="K40" s="4" t="inlineStr">
        <is>
          <t>東京都 (regional; branch network not confirmed)</t>
        </is>
      </c>
      <c r="L40" s="4" t="inlineStr">
        <is>
          <t>Not found</t>
        </is>
      </c>
      <c r="M40" s="4" t="inlineStr">
        <is>
          <t>Not identified</t>
        </is>
      </c>
      <c r="N40" s="4" t="inlineStr">
        <is>
          <t>Not identified</t>
        </is>
      </c>
      <c r="O40" s="4" t="inlineStr">
        <is>
          <t>Not published; use contact form</t>
        </is>
      </c>
      <c r="P40" s="4" t="inlineStr">
        <is>
          <t>Not confirmed</t>
        </is>
      </c>
      <c r="Q40" s="4" t="inlineStr">
        <is>
          <t>Not identified</t>
        </is>
      </c>
      <c r="R40" s="5" t="inlineStr">
        <is>
          <t>Likely</t>
        </is>
      </c>
      <c r="S40" s="4" t="n">
        <v>20</v>
      </c>
      <c r="T40" s="9" t="inlineStr">
        <is>
          <t>B</t>
        </is>
      </c>
      <c r="U40" s="4" t="inlineStr">
        <is>
          <t>Imaging dealer (X ray, CT, MRI or radiology) with the right hospital departments; ultrasound adds to the same buyers; needs a partner MAH.</t>
        </is>
      </c>
      <c r="V40" s="4" t="inlineStr">
        <is>
          <t>Position ultrasound as the add on for their existing radiology customers; ask whether they would sell under a partner MAH and run first demos.</t>
        </is>
      </c>
      <c r="W40" s="4" t="inlineStr">
        <is>
          <t>N (not identified)</t>
        </is>
      </c>
      <c r="X40" s="7" t="inlineStr">
        <is>
          <t>https://baseconnect.in/companies/prefecture/a30ebdff-361b-42be-8372-1b0d350f48a0/keyword/2517ed26-1f2b-4156-ab10-55a6dc901a56</t>
        </is>
      </c>
      <c r="Y40" s="4" t="inlineStr">
        <is>
          <t>SonoMax 7 plus SonoPort for radiology departments; SonoAir 70 portable</t>
        </is>
      </c>
      <c r="Z40" s="4" t="inlineStr">
        <is>
          <t>2, 4, 3, 3, 3, 2, 3</t>
        </is>
      </c>
      <c r="AA40" s="4" t="inlineStr">
        <is>
          <t>Not found</t>
        </is>
      </c>
      <c r="AB40" s="4" t="inlineStr">
        <is>
          <t>Directory or search listing; not opened (direct site access blocked)</t>
        </is>
      </c>
      <c r="AC40" s="4" t="inlineStr">
        <is>
          <t>No expired licence or ended distribution agreement found</t>
        </is>
      </c>
      <c r="AD40" s="4" t="inlineStr">
        <is>
          <t>Not started</t>
        </is>
      </c>
      <c r="AE40" s="4" t="inlineStr"/>
      <c r="AF40" s="4" t="inlineStr">
        <is>
          <t>https://ssl.iqcms.net/www.ndc-oyo.co.jp/inquiry.php</t>
        </is>
      </c>
      <c r="AG40" s="4" t="inlineStr">
        <is>
          <t>No email published; use the contact form (link in Email source)</t>
        </is>
      </c>
    </row>
    <row r="41">
      <c r="A41" s="4" t="n">
        <v>37</v>
      </c>
      <c r="B41" s="4" t="inlineStr">
        <is>
          <t>SIS</t>
        </is>
      </c>
      <c r="C41" s="4" t="inlineStr">
        <is>
          <t>エスアイエス</t>
        </is>
      </c>
      <c r="D41" s="4" t="inlineStr">
        <is>
          <t>Not retrieved (NTA lookup blocked in this session)</t>
        </is>
      </c>
      <c r="E41" s="4" t="inlineStr">
        <is>
          <t>栃木県</t>
        </is>
      </c>
      <c r="F41" s="4" t="inlineStr">
        <is>
          <t>Kanto</t>
        </is>
      </c>
      <c r="G41" s="4" t="inlineStr">
        <is>
          <t>https://si-system.co.jp/</t>
        </is>
      </c>
      <c r="H41" s="4" t="inlineStr">
        <is>
          <t>No MAH found; device sales licence (高度管理医療機器等販売業) not confirmed</t>
        </is>
      </c>
      <c r="I41" s="4" t="inlineStr">
        <is>
          <t>Not identified in published sources</t>
        </is>
      </c>
      <c r="J41" s="4" t="inlineStr">
        <is>
          <t>General medical equipment (hospitals and clinics)</t>
        </is>
      </c>
      <c r="K41" s="4" t="inlineStr">
        <is>
          <t>栃木県 (regional; branch network not confirmed)</t>
        </is>
      </c>
      <c r="L41" s="4" t="inlineStr">
        <is>
          <t>Not found</t>
        </is>
      </c>
      <c r="M41" s="4" t="inlineStr">
        <is>
          <t>Not identified</t>
        </is>
      </c>
      <c r="N41" s="4" t="inlineStr">
        <is>
          <t>Not identified</t>
        </is>
      </c>
      <c r="O41" s="4" t="inlineStr">
        <is>
          <t>info@si-system.co.jp</t>
        </is>
      </c>
      <c r="P41" s="4" t="inlineStr">
        <is>
          <t>Not confirmed</t>
        </is>
      </c>
      <c r="Q41" s="4" t="inlineStr">
        <is>
          <t>Not identified</t>
        </is>
      </c>
      <c r="R41" s="5" t="inlineStr">
        <is>
          <t>Unverified</t>
        </is>
      </c>
      <c r="S41" s="4" t="n">
        <v>20</v>
      </c>
      <c r="T41" s="9" t="inlineStr">
        <is>
          <t>B</t>
        </is>
      </c>
      <c r="U41" s="4" t="inlineStr">
        <is>
          <t>Imaging dealer (X ray, CT, MRI or radiology) with the right hospital departments; ultrasound adds to the same buyers; needs a partner MAH.</t>
        </is>
      </c>
      <c r="V41" s="4" t="inlineStr">
        <is>
          <t>Position ultrasound as the add on for their existing radiology customers; ask whether they would sell under a partner MAH and run first demos.</t>
        </is>
      </c>
      <c r="W41" s="4" t="inlineStr">
        <is>
          <t>N (not identified)</t>
        </is>
      </c>
      <c r="X41" s="7" t="inlineStr">
        <is>
          <t>https://baseconnect.in/companies/prefecture/5d54c878-c20d-4f57-bb73-e021f2210d6c/keyword/14f3dcec-9cd5-4be5-84e1-ddccb7bd228c</t>
        </is>
      </c>
      <c r="Y41" s="4" t="inlineStr">
        <is>
          <t>SonoEye P3 plus SonoAir 30 for GP and clinic accounts</t>
        </is>
      </c>
      <c r="Z41" s="4" t="inlineStr">
        <is>
          <t>2, 4, 3, 3, 3, 2, 3</t>
        </is>
      </c>
      <c r="AA41" s="4" t="inlineStr">
        <is>
          <t>Not found</t>
        </is>
      </c>
      <c r="AB41" s="4" t="inlineStr">
        <is>
          <t>Directory or search listing; not opened (direct site access blocked)</t>
        </is>
      </c>
      <c r="AC41" s="4" t="inlineStr">
        <is>
          <t>No expired licence or ended distribution agreement found</t>
        </is>
      </c>
      <c r="AD41" s="4" t="inlineStr">
        <is>
          <t>Not started</t>
        </is>
      </c>
      <c r="AE41" s="4" t="inlineStr"/>
      <c r="AF41" s="4" t="inlineStr">
        <is>
          <t>https://si-system.co.jp/privacypolicy/</t>
        </is>
      </c>
      <c r="AG41" s="4" t="inlineStr">
        <is>
          <t>Verified: published on company website</t>
        </is>
      </c>
    </row>
    <row r="42">
      <c r="A42" s="4" t="n">
        <v>38</v>
      </c>
      <c r="B42" s="4" t="inlineStr">
        <is>
          <t>Kurihara Roentgen</t>
        </is>
      </c>
      <c r="C42" s="4" t="inlineStr">
        <is>
          <t>栗原レントゲン</t>
        </is>
      </c>
      <c r="D42" s="4" t="inlineStr">
        <is>
          <t>Not retrieved (NTA lookup blocked in this session)</t>
        </is>
      </c>
      <c r="E42" s="4" t="inlineStr">
        <is>
          <t>群馬県</t>
        </is>
      </c>
      <c r="F42" s="4" t="inlineStr">
        <is>
          <t>Kanto</t>
        </is>
      </c>
      <c r="G42" s="4" t="inlineStr">
        <is>
          <t>https://www.k-rad.jp/</t>
        </is>
      </c>
      <c r="H42" s="4" t="inlineStr">
        <is>
          <t>No MAH found; device sales licence (高度管理医療機器等販売業) not confirmed</t>
        </is>
      </c>
      <c r="I42" s="4" t="inlineStr">
        <is>
          <t>Not identified in published sources</t>
        </is>
      </c>
      <c r="J42" s="4" t="inlineStr">
        <is>
          <t>Radiology and imaging</t>
        </is>
      </c>
      <c r="K42" s="4" t="inlineStr">
        <is>
          <t>群馬県 (regional; branch network not confirmed)</t>
        </is>
      </c>
      <c r="L42" s="4" t="inlineStr">
        <is>
          <t>Not found</t>
        </is>
      </c>
      <c r="M42" s="4" t="inlineStr">
        <is>
          <t>Not identified</t>
        </is>
      </c>
      <c r="N42" s="4" t="inlineStr">
        <is>
          <t>Not identified</t>
        </is>
      </c>
      <c r="O42" s="4" t="inlineStr">
        <is>
          <t>kuribara_rad@k-rad.jp</t>
        </is>
      </c>
      <c r="P42" s="4" t="inlineStr">
        <is>
          <t>Not confirmed</t>
        </is>
      </c>
      <c r="Q42" s="4" t="inlineStr">
        <is>
          <t>Not identified</t>
        </is>
      </c>
      <c r="R42" s="5" t="inlineStr">
        <is>
          <t>Unverified</t>
        </is>
      </c>
      <c r="S42" s="4" t="n">
        <v>20</v>
      </c>
      <c r="T42" s="9" t="inlineStr">
        <is>
          <t>B</t>
        </is>
      </c>
      <c r="U42" s="4" t="inlineStr">
        <is>
          <t>Imaging dealer (X ray, CT, MRI or radiology) with the right hospital departments; ultrasound adds to the same buyers; needs a partner MAH.</t>
        </is>
      </c>
      <c r="V42" s="4" t="inlineStr">
        <is>
          <t>Position ultrasound as the add on for their existing radiology customers; ask whether they would sell under a partner MAH and run first demos.</t>
        </is>
      </c>
      <c r="W42" s="4" t="inlineStr">
        <is>
          <t>N (not identified)</t>
        </is>
      </c>
      <c r="X42" s="7" t="inlineStr">
        <is>
          <t>https://baseconnect.in/companies/prefecture/c59cfe5b-871c-44d1-8594-96d4a5882e4b/keyword/89941b4e-2dd1-4848-8957-48af280a31e0</t>
        </is>
      </c>
      <c r="Y42" s="4" t="inlineStr">
        <is>
          <t>SonoMax 7 plus SonoPort for radiology departments; SonoAir 70 portable</t>
        </is>
      </c>
      <c r="Z42" s="4" t="inlineStr">
        <is>
          <t>2, 4, 3, 3, 3, 2, 3</t>
        </is>
      </c>
      <c r="AA42" s="4" t="inlineStr">
        <is>
          <t>Not found</t>
        </is>
      </c>
      <c r="AB42" s="4" t="inlineStr">
        <is>
          <t>Directory or search listing; not opened (direct site access blocked)</t>
        </is>
      </c>
      <c r="AC42" s="4" t="inlineStr">
        <is>
          <t>No expired licence or ended distribution agreement found</t>
        </is>
      </c>
      <c r="AD42" s="4" t="inlineStr">
        <is>
          <t>Not started</t>
        </is>
      </c>
      <c r="AE42" s="4" t="inlineStr"/>
      <c r="AF42" s="4" t="inlineStr">
        <is>
          <t>https://www.k-rad.jp/profile</t>
        </is>
      </c>
      <c r="AG42" s="4" t="inlineStr">
        <is>
          <t>Verified: published on company website</t>
        </is>
      </c>
    </row>
    <row r="43">
      <c r="A43" s="4" t="n">
        <v>39</v>
      </c>
      <c r="B43" s="4" t="inlineStr">
        <is>
          <t>Entrich</t>
        </is>
      </c>
      <c r="C43" s="4" t="inlineStr">
        <is>
          <t>エントリッチ</t>
        </is>
      </c>
      <c r="D43" s="4" t="inlineStr">
        <is>
          <t>Not retrieved (NTA lookup blocked in this session)</t>
        </is>
      </c>
      <c r="E43" s="4" t="inlineStr">
        <is>
          <t>茨城県</t>
        </is>
      </c>
      <c r="F43" s="4" t="inlineStr">
        <is>
          <t>Kanto</t>
        </is>
      </c>
      <c r="G43" s="4" t="inlineStr">
        <is>
          <t>https://entorich.co.jp/</t>
        </is>
      </c>
      <c r="H43" s="4" t="inlineStr">
        <is>
          <t>No MAH found; device sales licence (高度管理医療機器等販売業) not confirmed</t>
        </is>
      </c>
      <c r="I43" s="4" t="inlineStr">
        <is>
          <t>Not identified in published sources</t>
        </is>
      </c>
      <c r="J43" s="4" t="inlineStr">
        <is>
          <t>Endoscopy and IVR</t>
        </is>
      </c>
      <c r="K43" s="4" t="inlineStr">
        <is>
          <t>茨城県 (regional; branch network not confirmed)</t>
        </is>
      </c>
      <c r="L43" s="4" t="inlineStr">
        <is>
          <t>Not found</t>
        </is>
      </c>
      <c r="M43" s="4" t="inlineStr">
        <is>
          <t>Not identified</t>
        </is>
      </c>
      <c r="N43" s="4" t="inlineStr">
        <is>
          <t>Not identified</t>
        </is>
      </c>
      <c r="O43" s="4" t="inlineStr">
        <is>
          <t>info@entorich.co.jp</t>
        </is>
      </c>
      <c r="P43" s="4" t="inlineStr">
        <is>
          <t>Not confirmed</t>
        </is>
      </c>
      <c r="Q43" s="4" t="inlineStr">
        <is>
          <t>Not identified</t>
        </is>
      </c>
      <c r="R43" s="5" t="inlineStr">
        <is>
          <t>Unverified</t>
        </is>
      </c>
      <c r="S43" s="4" t="n">
        <v>20</v>
      </c>
      <c r="T43" s="9" t="inlineStr">
        <is>
          <t>B</t>
        </is>
      </c>
      <c r="U43" s="4" t="inlineStr">
        <is>
          <t>Imaging dealer (X ray, CT, MRI or radiology) with the right hospital departments; ultrasound adds to the same buyers; needs a partner MAH.</t>
        </is>
      </c>
      <c r="V43" s="4" t="inlineStr">
        <is>
          <t>Position ultrasound as the add on for their existing radiology customers; ask whether they would sell under a partner MAH and run first demos.</t>
        </is>
      </c>
      <c r="W43" s="4" t="inlineStr">
        <is>
          <t>N (not identified)</t>
        </is>
      </c>
      <c r="X43" s="7" t="inlineStr">
        <is>
          <t>https://baseconnect.in/companies/prefecture/d8203dea-91e2-41c3-a785-b80aa997273c/category/b2358a1c-c4c6-46f4-a0b1-dee3a1b30a0b</t>
        </is>
      </c>
      <c r="Y43" s="4" t="inlineStr">
        <is>
          <t>SonoTouch plus SonoEye P3 (nerve block, vascular access, peri operative)</t>
        </is>
      </c>
      <c r="Z43" s="4" t="inlineStr">
        <is>
          <t>2, 4, 3, 3, 3, 2, 3</t>
        </is>
      </c>
      <c r="AA43" s="4" t="inlineStr">
        <is>
          <t>Not found</t>
        </is>
      </c>
      <c r="AB43" s="4" t="inlineStr">
        <is>
          <t>Directory or search listing; not opened (direct site access blocked)</t>
        </is>
      </c>
      <c r="AC43" s="4" t="inlineStr">
        <is>
          <t>No expired licence or ended distribution agreement found</t>
        </is>
      </c>
      <c r="AD43" s="4" t="inlineStr">
        <is>
          <t>Not started</t>
        </is>
      </c>
      <c r="AE43" s="4" t="inlineStr"/>
      <c r="AF43" s="4" t="inlineStr">
        <is>
          <t>https://entorich.co.jp/contact/</t>
        </is>
      </c>
      <c r="AG43" s="4" t="inlineStr">
        <is>
          <t>Verified: published on company website</t>
        </is>
      </c>
    </row>
    <row r="44">
      <c r="A44" s="4" t="n">
        <v>40</v>
      </c>
      <c r="B44" s="4" t="inlineStr">
        <is>
          <t>Y's Medical</t>
        </is>
      </c>
      <c r="C44" s="4" t="inlineStr">
        <is>
          <t>ワイズメディカル</t>
        </is>
      </c>
      <c r="D44" s="4" t="inlineStr">
        <is>
          <t>Not retrieved (NTA lookup blocked in this session)</t>
        </is>
      </c>
      <c r="E44" s="4" t="inlineStr">
        <is>
          <t>奈良県</t>
        </is>
      </c>
      <c r="F44" s="4" t="inlineStr">
        <is>
          <t>Kansai</t>
        </is>
      </c>
      <c r="G44" s="4" t="inlineStr">
        <is>
          <t>https://ys-ms.jp/</t>
        </is>
      </c>
      <c r="H44" s="4" t="inlineStr">
        <is>
          <t>No MAH found; device sales licence (高度管理医療機器等販売業) not confirmed</t>
        </is>
      </c>
      <c r="I44" s="4" t="inlineStr">
        <is>
          <t>Not identified in published sources</t>
        </is>
      </c>
      <c r="J44" s="4" t="inlineStr">
        <is>
          <t>Radiology and imaging</t>
        </is>
      </c>
      <c r="K44" s="4" t="inlineStr">
        <is>
          <t>奈良県 (regional; branch network not confirmed)</t>
        </is>
      </c>
      <c r="L44" s="4" t="inlineStr">
        <is>
          <t>Not found</t>
        </is>
      </c>
      <c r="M44" s="4" t="inlineStr">
        <is>
          <t>Not identified</t>
        </is>
      </c>
      <c r="N44" s="4" t="inlineStr">
        <is>
          <t>Not identified</t>
        </is>
      </c>
      <c r="O44" s="4" t="inlineStr">
        <is>
          <t>info@ys-ms.jp</t>
        </is>
      </c>
      <c r="P44" s="4" t="inlineStr">
        <is>
          <t>Not confirmed</t>
        </is>
      </c>
      <c r="Q44" s="4" t="inlineStr">
        <is>
          <t>Not identified</t>
        </is>
      </c>
      <c r="R44" s="5" t="inlineStr">
        <is>
          <t>Unverified</t>
        </is>
      </c>
      <c r="S44" s="4" t="n">
        <v>20</v>
      </c>
      <c r="T44" s="9" t="inlineStr">
        <is>
          <t>B</t>
        </is>
      </c>
      <c r="U44" s="4" t="inlineStr">
        <is>
          <t>Imaging dealer (X ray, CT, MRI or radiology) with the right hospital departments; ultrasound adds to the same buyers; needs a partner MAH.</t>
        </is>
      </c>
      <c r="V44" s="4" t="inlineStr">
        <is>
          <t>Position ultrasound as the add on for their existing radiology customers; ask whether they would sell under a partner MAH and run first demos.</t>
        </is>
      </c>
      <c r="W44" s="4" t="inlineStr">
        <is>
          <t>N (not identified)</t>
        </is>
      </c>
      <c r="X44" s="7" t="inlineStr">
        <is>
          <t>https://baseconnect.in/companies/prefecture/9ed9a43b-c714-41d5-b91b-6b21041f1294/category/b2358a1c-c4c6-46f4-a0b1-dee3a1b30a0b</t>
        </is>
      </c>
      <c r="Y44" s="4" t="inlineStr">
        <is>
          <t>SonoMax 7 plus SonoPort for radiology departments; SonoAir 70 portable</t>
        </is>
      </c>
      <c r="Z44" s="4" t="inlineStr">
        <is>
          <t>2, 4, 3, 3, 3, 2, 3</t>
        </is>
      </c>
      <c r="AA44" s="4" t="inlineStr">
        <is>
          <t>Not found</t>
        </is>
      </c>
      <c r="AB44" s="4" t="inlineStr">
        <is>
          <t>Directory or search listing; not opened (direct site access blocked)</t>
        </is>
      </c>
      <c r="AC44" s="4" t="inlineStr">
        <is>
          <t>No expired licence or ended distribution agreement found</t>
        </is>
      </c>
      <c r="AD44" s="4" t="inlineStr">
        <is>
          <t>Not started</t>
        </is>
      </c>
      <c r="AE44" s="4" t="inlineStr"/>
      <c r="AF44" s="4" t="inlineStr">
        <is>
          <t>https://ys-ms.jp/</t>
        </is>
      </c>
      <c r="AG44" s="4" t="inlineStr">
        <is>
          <t>Verified: published on company website</t>
        </is>
      </c>
    </row>
    <row r="45">
      <c r="A45" s="4" t="n">
        <v>41</v>
      </c>
      <c r="B45" s="4" t="inlineStr">
        <is>
          <t>Ryukyu Hoshasen</t>
        </is>
      </c>
      <c r="C45" s="4" t="inlineStr">
        <is>
          <t>琉球放射線</t>
        </is>
      </c>
      <c r="D45" s="4" t="inlineStr">
        <is>
          <t>Not retrieved (NTA lookup blocked in this session)</t>
        </is>
      </c>
      <c r="E45" s="4" t="inlineStr">
        <is>
          <t>沖縄県</t>
        </is>
      </c>
      <c r="F45" s="4" t="inlineStr">
        <is>
          <t>Kyushu and Okinawa</t>
        </is>
      </c>
      <c r="G45" s="4" t="inlineStr">
        <is>
          <t>https://ryukyuhoushasen.tkc.best-hp.jp/</t>
        </is>
      </c>
      <c r="H45" s="4" t="inlineStr">
        <is>
          <t>No MAH found; device sales licence (高度管理医療機器等販売業) not confirmed</t>
        </is>
      </c>
      <c r="I45" s="4" t="inlineStr">
        <is>
          <t>Not identified in published sources</t>
        </is>
      </c>
      <c r="J45" s="4" t="inlineStr">
        <is>
          <t>Radiology and imaging</t>
        </is>
      </c>
      <c r="K45" s="4" t="inlineStr">
        <is>
          <t>沖縄県 (regional; branch network not confirmed)</t>
        </is>
      </c>
      <c r="L45" s="4" t="inlineStr">
        <is>
          <t>Not found</t>
        </is>
      </c>
      <c r="M45" s="4" t="inlineStr">
        <is>
          <t>Not identified</t>
        </is>
      </c>
      <c r="N45" s="4" t="inlineStr">
        <is>
          <t>Not identified</t>
        </is>
      </c>
      <c r="O45" s="4" t="inlineStr">
        <is>
          <t>Not published; use contact form</t>
        </is>
      </c>
      <c r="P45" s="4" t="inlineStr">
        <is>
          <t>Not confirmed</t>
        </is>
      </c>
      <c r="Q45" s="4" t="inlineStr">
        <is>
          <t>Not identified</t>
        </is>
      </c>
      <c r="R45" s="5" t="inlineStr">
        <is>
          <t>Likely</t>
        </is>
      </c>
      <c r="S45" s="4" t="n">
        <v>20</v>
      </c>
      <c r="T45" s="9" t="inlineStr">
        <is>
          <t>B</t>
        </is>
      </c>
      <c r="U45" s="4" t="inlineStr">
        <is>
          <t>Imaging dealer (X ray, CT, MRI or radiology) with the right hospital departments; ultrasound adds to the same buyers; needs a partner MAH.</t>
        </is>
      </c>
      <c r="V45" s="4" t="inlineStr">
        <is>
          <t>Position ultrasound as the add on for their existing radiology customers; ask whether they would sell under a partner MAH and run first demos.</t>
        </is>
      </c>
      <c r="W45" s="4" t="inlineStr">
        <is>
          <t>N (not identified)</t>
        </is>
      </c>
      <c r="X45" s="7" t="inlineStr">
        <is>
          <t>https://kyuren.jp/%E4%BC%9A%E5%93%A1%E7%B4%B9%E4%BB%8B/</t>
        </is>
      </c>
      <c r="Y45" s="4" t="inlineStr">
        <is>
          <t>SonoMax 7 plus SonoPort for radiology departments; SonoAir 70 portable</t>
        </is>
      </c>
      <c r="Z45" s="4" t="inlineStr">
        <is>
          <t>2, 4, 3, 3, 3, 2, 3</t>
        </is>
      </c>
      <c r="AA45" s="4" t="inlineStr">
        <is>
          <t>Not found</t>
        </is>
      </c>
      <c r="AB45" s="4" t="inlineStr">
        <is>
          <t>Directory or search listing; not opened (direct site access blocked)</t>
        </is>
      </c>
      <c r="AC45" s="4" t="inlineStr">
        <is>
          <t>No expired licence or ended distribution agreement found</t>
        </is>
      </c>
      <c r="AD45" s="4" t="inlineStr">
        <is>
          <t>Not started</t>
        </is>
      </c>
      <c r="AE45" s="4" t="inlineStr"/>
      <c r="AF45" s="4" t="inlineStr">
        <is>
          <t>https://ryukyuhoushasen.tkc.best-hp.jp/form/ryukyuhoushasen/contact</t>
        </is>
      </c>
      <c r="AG45" s="4" t="inlineStr">
        <is>
          <t>No email published; use the contact form (link in Email source)</t>
        </is>
      </c>
    </row>
    <row r="46">
      <c r="A46" s="4" t="n">
        <v>42</v>
      </c>
      <c r="B46" s="4" t="inlineStr">
        <is>
          <t>CRC Service</t>
        </is>
      </c>
      <c r="C46" s="4" t="inlineStr">
        <is>
          <t>シー・アール・シー・サービス</t>
        </is>
      </c>
      <c r="D46" s="4" t="inlineStr">
        <is>
          <t>Not retrieved (NTA lookup blocked in this session)</t>
        </is>
      </c>
      <c r="E46" s="4" t="inlineStr">
        <is>
          <t>福岡県</t>
        </is>
      </c>
      <c r="F46" s="4" t="inlineStr">
        <is>
          <t>Kyushu and Okinawa</t>
        </is>
      </c>
      <c r="G46" s="4" t="inlineStr">
        <is>
          <t>Not confirmed (company site not opened; network policy blocked direct access)</t>
        </is>
      </c>
      <c r="H46" s="4" t="inlineStr">
        <is>
          <t>No MAH found; device sales licence (高度管理医療機器等販売業) not confirmed</t>
        </is>
      </c>
      <c r="I46" s="4" t="inlineStr">
        <is>
          <t>Not identified in published sources</t>
        </is>
      </c>
      <c r="J46" s="4" t="inlineStr">
        <is>
          <t>Ultrasound</t>
        </is>
      </c>
      <c r="K46" s="4" t="inlineStr">
        <is>
          <t>福岡県 (regional; branch network not confirmed)</t>
        </is>
      </c>
      <c r="L46" s="4" t="inlineStr">
        <is>
          <t>Not found</t>
        </is>
      </c>
      <c r="M46" s="4" t="inlineStr">
        <is>
          <t>Not identified</t>
        </is>
      </c>
      <c r="N46" s="4" t="inlineStr">
        <is>
          <t>Not identified</t>
        </is>
      </c>
      <c r="O46" s="4" t="inlineStr">
        <is>
          <t>Not published; use company inquiry form</t>
        </is>
      </c>
      <c r="P46" s="4" t="inlineStr">
        <is>
          <t>Not confirmed</t>
        </is>
      </c>
      <c r="Q46" s="4" t="inlineStr">
        <is>
          <t>Not identified</t>
        </is>
      </c>
      <c r="R46" s="5" t="inlineStr">
        <is>
          <t>Unverified</t>
        </is>
      </c>
      <c r="S46" s="4" t="n">
        <v>20</v>
      </c>
      <c r="T46" s="9" t="inlineStr">
        <is>
          <t>B</t>
        </is>
      </c>
      <c r="U46" s="4" t="inlineStr">
        <is>
          <t>Already sells or services ultrasound, so the team can demo and support from day one; needs a partner MAH.</t>
        </is>
      </c>
      <c r="V46" s="4" t="inlineStr">
        <is>
          <t>Ask which segments their current ultrasound line leaves uncovered (portable, POCUS, price sensitive clinics) and offer CHISON as the complementary mid tier.</t>
        </is>
      </c>
      <c r="W46" s="4" t="inlineStr">
        <is>
          <t>N (not identified)</t>
        </is>
      </c>
      <c r="X46" s="7" t="inlineStr">
        <is>
          <t>https://baseconnect.in/companies/prefecture/39b58ff0-63fd-405f-8b8a-37c5443ce5c7/keyword/89941b4e-2dd1-4848-8957-48af280a31e0</t>
        </is>
      </c>
      <c r="Y46" s="4" t="inlineStr">
        <is>
          <t>SonoGO and SonoAir 30/70 as a mid tier portable line; SonoEye P3 for POCUS</t>
        </is>
      </c>
      <c r="Z46" s="4" t="inlineStr">
        <is>
          <t>2, 5, 3, 2, 3, 2, 3</t>
        </is>
      </c>
      <c r="AA46" s="4" t="inlineStr">
        <is>
          <t>Not found</t>
        </is>
      </c>
      <c r="AB46" s="4" t="inlineStr">
        <is>
          <t>Directory or search listing; not opened (direct site access blocked)</t>
        </is>
      </c>
      <c r="AC46" s="4" t="inlineStr">
        <is>
          <t>No expired licence or ended distribution agreement found</t>
        </is>
      </c>
      <c r="AD46" s="4" t="inlineStr">
        <is>
          <t>Not started</t>
        </is>
      </c>
      <c r="AE46" s="4" t="inlineStr"/>
      <c r="AF46" s="4" t="inlineStr"/>
      <c r="AG46" s="4" t="inlineStr">
        <is>
          <t>No email published and no verified website found</t>
        </is>
      </c>
    </row>
    <row r="47">
      <c r="A47" s="4" t="n">
        <v>43</v>
      </c>
      <c r="B47" s="4" t="inlineStr">
        <is>
          <t>Toda Iryoki</t>
        </is>
      </c>
      <c r="C47" s="4" t="inlineStr">
        <is>
          <t>戸田医療器</t>
        </is>
      </c>
      <c r="D47" s="4" t="inlineStr">
        <is>
          <t>Not retrieved (NTA lookup blocked in this session)</t>
        </is>
      </c>
      <c r="E47" s="4" t="inlineStr">
        <is>
          <t>愛媛県</t>
        </is>
      </c>
      <c r="F47" s="4" t="inlineStr">
        <is>
          <t>Chugoku and Shikoku</t>
        </is>
      </c>
      <c r="G47" s="4" t="inlineStr">
        <is>
          <t>https://toda-med.co.jp/</t>
        </is>
      </c>
      <c r="H47" s="4" t="inlineStr">
        <is>
          <t>No MAH found; device sales licence (高度管理医療機器等販売業) not confirmed</t>
        </is>
      </c>
      <c r="I47" s="4" t="inlineStr">
        <is>
          <t>Not identified in published sources</t>
        </is>
      </c>
      <c r="J47" s="4" t="inlineStr">
        <is>
          <t>Radiology and imaging</t>
        </is>
      </c>
      <c r="K47" s="4" t="inlineStr">
        <is>
          <t>愛媛県 (regional; branch network not confirmed)</t>
        </is>
      </c>
      <c r="L47" s="4" t="inlineStr">
        <is>
          <t>Not found</t>
        </is>
      </c>
      <c r="M47" s="4" t="inlineStr">
        <is>
          <t>Not identified</t>
        </is>
      </c>
      <c r="N47" s="4" t="inlineStr">
        <is>
          <t>Not identified</t>
        </is>
      </c>
      <c r="O47" s="4" t="inlineStr">
        <is>
          <t>Not published; use contact form</t>
        </is>
      </c>
      <c r="P47" s="4" t="inlineStr">
        <is>
          <t>Not confirmed</t>
        </is>
      </c>
      <c r="Q47" s="4" t="inlineStr">
        <is>
          <t>Not identified</t>
        </is>
      </c>
      <c r="R47" s="5" t="inlineStr">
        <is>
          <t>Likely</t>
        </is>
      </c>
      <c r="S47" s="4" t="n">
        <v>20</v>
      </c>
      <c r="T47" s="9" t="inlineStr">
        <is>
          <t>B</t>
        </is>
      </c>
      <c r="U47" s="4" t="inlineStr">
        <is>
          <t>Imaging dealer (X ray, CT, MRI or radiology) with the right hospital departments; ultrasound adds to the same buyers; needs a partner MAH.</t>
        </is>
      </c>
      <c r="V47" s="4" t="inlineStr">
        <is>
          <t>Position ultrasound as the add on for their existing radiology customers; ask whether they would sell under a partner MAH and run first demos.</t>
        </is>
      </c>
      <c r="W47" s="4" t="inlineStr">
        <is>
          <t>N (not identified)</t>
        </is>
      </c>
      <c r="X47" s="7" t="inlineStr">
        <is>
          <t>https://compalyze.co.jp/company/6500002004785 (reconfirm page)</t>
        </is>
      </c>
      <c r="Y47" s="4" t="inlineStr">
        <is>
          <t>SonoMax 7 plus SonoPort for radiology departments; SonoAir 70 portable</t>
        </is>
      </c>
      <c r="Z47" s="4" t="inlineStr">
        <is>
          <t>2, 4, 3, 3, 3, 2, 3</t>
        </is>
      </c>
      <c r="AA47" s="4" t="inlineStr">
        <is>
          <t>Not found</t>
        </is>
      </c>
      <c r="AB47" s="4" t="inlineStr">
        <is>
          <t>Directory or search listing; not opened (direct site access blocked)</t>
        </is>
      </c>
      <c r="AC47" s="4" t="inlineStr">
        <is>
          <t>No expired licence or ended distribution agreement found</t>
        </is>
      </c>
      <c r="AD47" s="4" t="inlineStr">
        <is>
          <t>Not started</t>
        </is>
      </c>
      <c r="AE47" s="4" t="inlineStr"/>
      <c r="AF47" s="4" t="inlineStr">
        <is>
          <t>https://toda-med.co.jp/contact/</t>
        </is>
      </c>
      <c r="AG47" s="4" t="inlineStr">
        <is>
          <t>No email published; use the contact form (link in Email source)</t>
        </is>
      </c>
    </row>
    <row r="48">
      <c r="A48" s="4" t="n">
        <v>44</v>
      </c>
      <c r="B48" s="4" t="inlineStr">
        <is>
          <t>Fuji Hoshasen</t>
        </is>
      </c>
      <c r="C48" s="4" t="inlineStr">
        <is>
          <t>富士放射線</t>
        </is>
      </c>
      <c r="D48" s="4" t="inlineStr">
        <is>
          <t>Not retrieved (NTA lookup blocked in this session)</t>
        </is>
      </c>
      <c r="E48" s="4" t="inlineStr">
        <is>
          <t>群馬県</t>
        </is>
      </c>
      <c r="F48" s="4" t="inlineStr">
        <is>
          <t>Kanto</t>
        </is>
      </c>
      <c r="G48" s="4" t="inlineStr">
        <is>
          <t>Not confirmed (company site not opened; network policy blocked direct access)</t>
        </is>
      </c>
      <c r="H48" s="4" t="inlineStr">
        <is>
          <t>No MAH found; device sales licence (高度管理医療機器等販売業) not confirmed</t>
        </is>
      </c>
      <c r="I48" s="4" t="inlineStr">
        <is>
          <t>Not identified in published sources</t>
        </is>
      </c>
      <c r="J48" s="4" t="inlineStr">
        <is>
          <t>Radiology and imaging</t>
        </is>
      </c>
      <c r="K48" s="4" t="inlineStr">
        <is>
          <t>群馬県 (regional; branch network not confirmed)</t>
        </is>
      </c>
      <c r="L48" s="4" t="inlineStr">
        <is>
          <t>Not found</t>
        </is>
      </c>
      <c r="M48" s="4" t="inlineStr">
        <is>
          <t>Not identified</t>
        </is>
      </c>
      <c r="N48" s="4" t="inlineStr">
        <is>
          <t>Not identified</t>
        </is>
      </c>
      <c r="O48" s="4" t="inlineStr">
        <is>
          <t>Not published; use company inquiry form</t>
        </is>
      </c>
      <c r="P48" s="4" t="inlineStr">
        <is>
          <t>Not confirmed</t>
        </is>
      </c>
      <c r="Q48" s="4" t="inlineStr">
        <is>
          <t>Not identified</t>
        </is>
      </c>
      <c r="R48" s="5" t="inlineStr">
        <is>
          <t>Unverified</t>
        </is>
      </c>
      <c r="S48" s="4" t="n">
        <v>19</v>
      </c>
      <c r="T48" s="9" t="inlineStr">
        <is>
          <t>B</t>
        </is>
      </c>
      <c r="U48" s="4" t="inlineStr">
        <is>
          <t>Imaging dealer (X ray, CT, MRI or radiology) with the right hospital departments; ultrasound adds to the same buyers; needs a partner MAH.</t>
        </is>
      </c>
      <c r="V48" s="4" t="inlineStr">
        <is>
          <t>Position ultrasound as the add on for their existing radiology customers; ask whether they would sell under a partner MAH and run first demos.</t>
        </is>
      </c>
      <c r="W48" s="4" t="inlineStr">
        <is>
          <t>N (not identified)</t>
        </is>
      </c>
      <c r="X48" s="7" t="inlineStr">
        <is>
          <t>https://baseconnect.in/companies/prefecture/c59cfe5b-871c-44d1-8594-96d4a5882e4b/keyword/89941b4e-2dd1-4848-8957-48af280a31e0</t>
        </is>
      </c>
      <c r="Y48" s="4" t="inlineStr">
        <is>
          <t>SonoMax 7 plus SonoPort for radiology departments; SonoAir 70 portable</t>
        </is>
      </c>
      <c r="Z48" s="4" t="inlineStr">
        <is>
          <t>2, 4, 3, 2, 3, 2, 3</t>
        </is>
      </c>
      <c r="AA48" s="4" t="inlineStr">
        <is>
          <t>Not found</t>
        </is>
      </c>
      <c r="AB48" s="4" t="inlineStr">
        <is>
          <t>Recheck: no independent confirmation found; directory listing only</t>
        </is>
      </c>
      <c r="AC48" s="4" t="inlineStr">
        <is>
          <t>No expired licence or ended distribution agreement found</t>
        </is>
      </c>
      <c r="AD48" s="4" t="inlineStr">
        <is>
          <t>Not started</t>
        </is>
      </c>
      <c r="AE48" s="4" t="inlineStr"/>
      <c r="AF48" s="4" t="inlineStr"/>
      <c r="AG48" s="4" t="inlineStr">
        <is>
          <t>No email published and no verified website found</t>
        </is>
      </c>
    </row>
    <row r="49">
      <c r="A49" s="4" t="n">
        <v>45</v>
      </c>
      <c r="B49" s="4" t="inlineStr">
        <is>
          <t>Sakae (Osaka)</t>
        </is>
      </c>
      <c r="C49" s="4" t="inlineStr">
        <is>
          <t>栄</t>
        </is>
      </c>
      <c r="D49" s="4" t="inlineStr">
        <is>
          <t>Not retrieved (NTA lookup blocked in this session)</t>
        </is>
      </c>
      <c r="E49" s="4" t="inlineStr">
        <is>
          <t>大阪府</t>
        </is>
      </c>
      <c r="F49" s="4" t="inlineStr">
        <is>
          <t>Kansai</t>
        </is>
      </c>
      <c r="G49" s="4" t="inlineStr">
        <is>
          <t>https://sakae-group.jp/</t>
        </is>
      </c>
      <c r="H49" s="4" t="inlineStr">
        <is>
          <t>No MAH found; device sales licence (高度管理医療機器等販売業) not confirmed</t>
        </is>
      </c>
      <c r="I49" s="4" t="inlineStr">
        <is>
          <t>Not identified in published sources</t>
        </is>
      </c>
      <c r="J49" s="4" t="inlineStr">
        <is>
          <t>Radiology and imaging</t>
        </is>
      </c>
      <c r="K49" s="4" t="inlineStr">
        <is>
          <t>大阪府 (regional; branch network not confirmed)</t>
        </is>
      </c>
      <c r="L49" s="4" t="inlineStr">
        <is>
          <t>Not found</t>
        </is>
      </c>
      <c r="M49" s="4" t="inlineStr">
        <is>
          <t>Not identified</t>
        </is>
      </c>
      <c r="N49" s="4" t="inlineStr">
        <is>
          <t>Not identified</t>
        </is>
      </c>
      <c r="O49" s="4" t="inlineStr">
        <is>
          <t>Not published; use company inquiry form</t>
        </is>
      </c>
      <c r="P49" s="4" t="inlineStr">
        <is>
          <t>Not confirmed</t>
        </is>
      </c>
      <c r="Q49" s="4" t="inlineStr">
        <is>
          <t>Not identified</t>
        </is>
      </c>
      <c r="R49" s="5" t="inlineStr">
        <is>
          <t>Company inquiry only</t>
        </is>
      </c>
      <c r="S49" s="4" t="n">
        <v>19</v>
      </c>
      <c r="T49" s="9" t="inlineStr">
        <is>
          <t>B</t>
        </is>
      </c>
      <c r="U49" s="4" t="inlineStr">
        <is>
          <t>Imaging dealer (X ray, CT, MRI or radiology) with the right hospital departments; ultrasound adds to the same buyers; needs a partner MAH.</t>
        </is>
      </c>
      <c r="V49" s="4" t="inlineStr">
        <is>
          <t>Position ultrasound as the add on for their existing radiology customers; ask whether they would sell under a partner MAH and run first demos.</t>
        </is>
      </c>
      <c r="W49" s="4" t="inlineStr">
        <is>
          <t>N (not identified)</t>
        </is>
      </c>
      <c r="X49" s="7" t="inlineStr">
        <is>
          <t>https://baseconnect.in/companies/prefecture/d80b180e-5fd9-4082-8cdc-a510179a3475/keyword/89941b4e-2dd1-4848-8957-48af280a31e0</t>
        </is>
      </c>
      <c r="Y49" s="4" t="inlineStr">
        <is>
          <t>SonoMax 7 plus SonoPort for radiology departments; SonoAir 70 portable</t>
        </is>
      </c>
      <c r="Z49" s="4" t="inlineStr">
        <is>
          <t>2, 4, 3, 2, 3, 2, 3</t>
        </is>
      </c>
      <c r="AA49" s="4" t="inlineStr">
        <is>
          <t>Not found</t>
        </is>
      </c>
      <c r="AB49" s="4" t="inlineStr">
        <is>
          <t>Directory or search listing; not opened (direct site access blocked)</t>
        </is>
      </c>
      <c r="AC49" s="4" t="inlineStr">
        <is>
          <t>No expired licence or ended distribution agreement found</t>
        </is>
      </c>
      <c r="AD49" s="4" t="inlineStr">
        <is>
          <t>Not started</t>
        </is>
      </c>
      <c r="AE49" s="4" t="inlineStr"/>
      <c r="AF49" s="4" t="inlineStr"/>
      <c r="AG49" s="4" t="inlineStr">
        <is>
          <t>No email published; website has no contact page link, phone first</t>
        </is>
      </c>
    </row>
    <row r="50">
      <c r="A50" s="4" t="n">
        <v>46</v>
      </c>
      <c r="B50" s="4" t="inlineStr">
        <is>
          <t>Chubu Medical</t>
        </is>
      </c>
      <c r="C50" s="4" t="inlineStr">
        <is>
          <t>中部メディカル</t>
        </is>
      </c>
      <c r="D50" s="4" t="inlineStr">
        <is>
          <t>Not retrieved (NTA lookup blocked in this session)</t>
        </is>
      </c>
      <c r="E50" s="4" t="inlineStr">
        <is>
          <t>三重県</t>
        </is>
      </c>
      <c r="F50" s="4" t="inlineStr">
        <is>
          <t>Chubu</t>
        </is>
      </c>
      <c r="G50" s="4" t="inlineStr">
        <is>
          <t>https://www.chubumedical.com/</t>
        </is>
      </c>
      <c r="H50" s="4" t="inlineStr">
        <is>
          <t>No MAH found; device sales licence (高度管理医療機器等販売業) not confirmed</t>
        </is>
      </c>
      <c r="I50" s="4" t="inlineStr">
        <is>
          <t>Not identified in published sources</t>
        </is>
      </c>
      <c r="J50" s="4" t="inlineStr">
        <is>
          <t>General medical equipment (hospitals and clinics)</t>
        </is>
      </c>
      <c r="K50" s="4" t="inlineStr">
        <is>
          <t>三重県 (regional; branch network not confirmed)</t>
        </is>
      </c>
      <c r="L50" s="4" t="inlineStr">
        <is>
          <t>Not found</t>
        </is>
      </c>
      <c r="M50" s="4" t="inlineStr">
        <is>
          <t>Not identified</t>
        </is>
      </c>
      <c r="N50" s="4" t="inlineStr">
        <is>
          <t>Not identified</t>
        </is>
      </c>
      <c r="O50" s="4" t="inlineStr">
        <is>
          <t>chume@chubumedical.com</t>
        </is>
      </c>
      <c r="P50" s="4" t="inlineStr">
        <is>
          <t>Not confirmed</t>
        </is>
      </c>
      <c r="Q50" s="4" t="inlineStr">
        <is>
          <t>Not identified</t>
        </is>
      </c>
      <c r="R50" s="5" t="inlineStr">
        <is>
          <t>Unverified</t>
        </is>
      </c>
      <c r="S50" s="4" t="n">
        <v>19</v>
      </c>
      <c r="T50" s="9" t="inlineStr">
        <is>
          <t>B</t>
        </is>
      </c>
      <c r="U50" s="4" t="inlineStr">
        <is>
          <t>Imaging dealer (X ray, CT, MRI or radiology) with the right hospital departments; ultrasound adds to the same buyers; needs a partner MAH.</t>
        </is>
      </c>
      <c r="V50" s="4" t="inlineStr">
        <is>
          <t>Position ultrasound as the add on for their existing radiology customers; ask whether they would sell under a partner MAH and run first demos.</t>
        </is>
      </c>
      <c r="W50" s="4" t="inlineStr">
        <is>
          <t>N (not identified)</t>
        </is>
      </c>
      <c r="X50" s="7" t="inlineStr">
        <is>
          <t>https://baseconnect.in/companies/prefecture/e010a2b6-a345-4a52-b350-1ca592e384b8/keyword/a68873de-8c54-4a2c-820f-e04c8b93064c</t>
        </is>
      </c>
      <c r="Y50" s="4" t="inlineStr">
        <is>
          <t>SonoEye P3 plus SonoAir 30 for GP and clinic accounts</t>
        </is>
      </c>
      <c r="Z50" s="4" t="inlineStr">
        <is>
          <t>2, 4, 3, 2, 3, 2, 3</t>
        </is>
      </c>
      <c r="AA50" s="4" t="inlineStr">
        <is>
          <t>Not found</t>
        </is>
      </c>
      <c r="AB50" s="4" t="inlineStr">
        <is>
          <t>Directory or search listing; not opened (direct site access blocked)</t>
        </is>
      </c>
      <c r="AC50" s="4" t="inlineStr">
        <is>
          <t>No expired licence or ended distribution agreement found</t>
        </is>
      </c>
      <c r="AD50" s="4" t="inlineStr">
        <is>
          <t>Not started</t>
        </is>
      </c>
      <c r="AE50" s="4" t="inlineStr"/>
      <c r="AF50" s="4" t="inlineStr">
        <is>
          <t>https://www.chubumedical.com/recruit/</t>
        </is>
      </c>
      <c r="AG50" s="4" t="inlineStr">
        <is>
          <t>Verified: published on company website</t>
        </is>
      </c>
    </row>
    <row r="51">
      <c r="A51" s="4" t="n">
        <v>47</v>
      </c>
      <c r="B51" s="4" t="inlineStr">
        <is>
          <t>Wakita Shokai</t>
        </is>
      </c>
      <c r="C51" s="4" t="inlineStr">
        <is>
          <t>ワキタ商会</t>
        </is>
      </c>
      <c r="D51" s="4" t="inlineStr">
        <is>
          <t>Not retrieved (NTA lookup blocked in this session)</t>
        </is>
      </c>
      <c r="E51" s="4" t="inlineStr">
        <is>
          <t>愛知県</t>
        </is>
      </c>
      <c r="F51" s="4" t="inlineStr">
        <is>
          <t>Chubu</t>
        </is>
      </c>
      <c r="G51" s="4" t="inlineStr">
        <is>
          <t>https://www.kk-wakita.co.jp/</t>
        </is>
      </c>
      <c r="H51" s="4" t="inlineStr">
        <is>
          <t>No MAH found; device sales licence (高度管理医療機器等販売業) not confirmed</t>
        </is>
      </c>
      <c r="I51" s="4" t="inlineStr">
        <is>
          <t>Not identified in published sources</t>
        </is>
      </c>
      <c r="J51" s="4" t="inlineStr">
        <is>
          <t>Radiology and imaging</t>
        </is>
      </c>
      <c r="K51" s="4" t="inlineStr">
        <is>
          <t>愛知県 (regional; branch network not confirmed)</t>
        </is>
      </c>
      <c r="L51" s="4" t="inlineStr">
        <is>
          <t>Not found</t>
        </is>
      </c>
      <c r="M51" s="4" t="inlineStr">
        <is>
          <t>Not identified</t>
        </is>
      </c>
      <c r="N51" s="4" t="inlineStr">
        <is>
          <t>Not identified</t>
        </is>
      </c>
      <c r="O51" s="4" t="inlineStr">
        <is>
          <t>saiyou@kk-wakita.co.jp</t>
        </is>
      </c>
      <c r="P51" s="4" t="inlineStr">
        <is>
          <t>Not confirmed</t>
        </is>
      </c>
      <c r="Q51" s="4" t="inlineStr">
        <is>
          <t>Not identified</t>
        </is>
      </c>
      <c r="R51" s="5" t="inlineStr">
        <is>
          <t>Unverified</t>
        </is>
      </c>
      <c r="S51" s="4" t="n">
        <v>19</v>
      </c>
      <c r="T51" s="9" t="inlineStr">
        <is>
          <t>B</t>
        </is>
      </c>
      <c r="U51" s="4" t="inlineStr">
        <is>
          <t>Imaging dealer (X ray, CT, MRI or radiology) with the right hospital departments; ultrasound adds to the same buyers; needs a partner MAH.</t>
        </is>
      </c>
      <c r="V51" s="4" t="inlineStr">
        <is>
          <t>Position ultrasound as the add on for their existing radiology customers; ask whether they would sell under a partner MAH and run first demos.</t>
        </is>
      </c>
      <c r="W51" s="4" t="inlineStr">
        <is>
          <t>N (not identified)</t>
        </is>
      </c>
      <c r="X51" s="7" t="inlineStr">
        <is>
          <t>https://directscout.recruit.co.jp/job_descriptions/8635481</t>
        </is>
      </c>
      <c r="Y51" s="4" t="inlineStr">
        <is>
          <t>SonoMax 7 plus SonoPort for radiology departments; SonoAir 70 portable</t>
        </is>
      </c>
      <c r="Z51" s="4" t="inlineStr">
        <is>
          <t>2, 4, 3, 2, 3, 2, 3</t>
        </is>
      </c>
      <c r="AA51" s="4" t="inlineStr">
        <is>
          <t>Not found</t>
        </is>
      </c>
      <c r="AB51" s="4" t="inlineStr">
        <is>
          <t>Directory or search listing; not opened (direct site access blocked)</t>
        </is>
      </c>
      <c r="AC51" s="4" t="inlineStr">
        <is>
          <t>Parent of Shinetsu Wakita and Hokuriku Wakita; single conversation for three companies. No expired licence or ended distribution agreement found</t>
        </is>
      </c>
      <c r="AD51" s="4" t="inlineStr">
        <is>
          <t>Not started</t>
        </is>
      </c>
      <c r="AE51" s="4" t="inlineStr"/>
      <c r="AF51" s="4" t="inlineStr">
        <is>
          <t>https://job.mynavi.jp/27/pc/search/corp286442/recruiting_course27010739/recruiting_course.html?func=corpinfo</t>
        </is>
      </c>
      <c r="AG51" s="4" t="inlineStr">
        <is>
          <t>Likely: indexed on company domain; HR or recruitment inbox, ask to forward to sales</t>
        </is>
      </c>
    </row>
    <row r="52">
      <c r="A52" s="4" t="n">
        <v>48</v>
      </c>
      <c r="B52" s="4" t="inlineStr">
        <is>
          <t>Mutsuda</t>
        </is>
      </c>
      <c r="C52" s="4" t="inlineStr">
        <is>
          <t>ムツダ</t>
        </is>
      </c>
      <c r="D52" s="4" t="inlineStr">
        <is>
          <t>Not retrieved (NTA lookup blocked in this session)</t>
        </is>
      </c>
      <c r="E52" s="4" t="inlineStr">
        <is>
          <t>愛知県</t>
        </is>
      </c>
      <c r="F52" s="4" t="inlineStr">
        <is>
          <t>Chubu</t>
        </is>
      </c>
      <c r="G52" s="4" t="inlineStr">
        <is>
          <t>https://www.mutsuda.co.jp/</t>
        </is>
      </c>
      <c r="H52" s="4" t="inlineStr">
        <is>
          <t>No MAH found; device sales licence (高度管理医療機器等販売業) not confirmed</t>
        </is>
      </c>
      <c r="I52" s="4" t="inlineStr">
        <is>
          <t>Not identified in published sources</t>
        </is>
      </c>
      <c r="J52" s="4" t="inlineStr">
        <is>
          <t>Radiology and imaging</t>
        </is>
      </c>
      <c r="K52" s="4" t="inlineStr">
        <is>
          <t>愛知県 (regional; branch network not confirmed)</t>
        </is>
      </c>
      <c r="L52" s="4" t="inlineStr">
        <is>
          <t>Not found</t>
        </is>
      </c>
      <c r="M52" s="4" t="inlineStr">
        <is>
          <t>Not identified</t>
        </is>
      </c>
      <c r="N52" s="4" t="inlineStr">
        <is>
          <t>Not identified</t>
        </is>
      </c>
      <c r="O52" s="4" t="inlineStr">
        <is>
          <t>Not published; use contact form</t>
        </is>
      </c>
      <c r="P52" s="4" t="inlineStr">
        <is>
          <t>Not confirmed</t>
        </is>
      </c>
      <c r="Q52" s="4" t="inlineStr">
        <is>
          <t>Not identified</t>
        </is>
      </c>
      <c r="R52" s="5" t="inlineStr">
        <is>
          <t>Likely</t>
        </is>
      </c>
      <c r="S52" s="4" t="n">
        <v>19</v>
      </c>
      <c r="T52" s="9" t="inlineStr">
        <is>
          <t>B</t>
        </is>
      </c>
      <c r="U52" s="4" t="inlineStr">
        <is>
          <t>Imaging dealer (X ray, CT, MRI or radiology) with the right hospital departments; ultrasound adds to the same buyers; needs a partner MAH.</t>
        </is>
      </c>
      <c r="V52" s="4" t="inlineStr">
        <is>
          <t>Position ultrasound as the add on for their existing radiology customers; ask whether they would sell under a partner MAH and run first demos.</t>
        </is>
      </c>
      <c r="W52" s="4" t="inlineStr">
        <is>
          <t>N (not identified)</t>
        </is>
      </c>
      <c r="X52" s="7" t="inlineStr">
        <is>
          <t>https://baseconnect.in/companies/prefecture/60622468-79bd-4eef-86f8-cb69d1ef09f0/category/b2358a1c-c4c6-46f4-a0b1-dee3a1b30a0b</t>
        </is>
      </c>
      <c r="Y52" s="4" t="inlineStr">
        <is>
          <t>SonoMax 7 plus SonoPort for radiology departments; SonoAir 70 portable</t>
        </is>
      </c>
      <c r="Z52" s="4" t="inlineStr">
        <is>
          <t>2, 4, 3, 2, 3, 2, 3</t>
        </is>
      </c>
      <c r="AA52" s="4" t="inlineStr">
        <is>
          <t>Not found</t>
        </is>
      </c>
      <c r="AB52" s="4" t="inlineStr">
        <is>
          <t>Directory or search listing; not opened (direct site access blocked)</t>
        </is>
      </c>
      <c r="AC52" s="4" t="inlineStr">
        <is>
          <t>No expired licence or ended distribution agreement found</t>
        </is>
      </c>
      <c r="AD52" s="4" t="inlineStr">
        <is>
          <t>Not started</t>
        </is>
      </c>
      <c r="AE52" s="4" t="inlineStr"/>
      <c r="AF52" s="4" t="inlineStr">
        <is>
          <t>https://www.mutsuda.co.jp/contact/</t>
        </is>
      </c>
      <c r="AG52" s="4" t="inlineStr">
        <is>
          <t>No email published; use the contact form (link in Email source)</t>
        </is>
      </c>
    </row>
    <row r="53">
      <c r="A53" s="4" t="n">
        <v>49</v>
      </c>
      <c r="B53" s="4" t="inlineStr">
        <is>
          <t>Ishikawa Iryoki</t>
        </is>
      </c>
      <c r="C53" s="4" t="inlineStr">
        <is>
          <t>石川医療器</t>
        </is>
      </c>
      <c r="D53" s="4" t="inlineStr">
        <is>
          <t>Not retrieved (NTA lookup blocked in this session)</t>
        </is>
      </c>
      <c r="E53" s="4" t="inlineStr">
        <is>
          <t>石川県</t>
        </is>
      </c>
      <c r="F53" s="4" t="inlineStr">
        <is>
          <t>Chubu</t>
        </is>
      </c>
      <c r="G53" s="4" t="inlineStr">
        <is>
          <t>https://www.ishikawamed.co.jp/</t>
        </is>
      </c>
      <c r="H53" s="4" t="inlineStr">
        <is>
          <t>No MAH found; device sales licence (高度管理医療機器等販売業) not confirmed</t>
        </is>
      </c>
      <c r="I53" s="4" t="inlineStr">
        <is>
          <t>Not identified in published sources</t>
        </is>
      </c>
      <c r="J53" s="4" t="inlineStr">
        <is>
          <t>Radiology and imaging, Welfare and care</t>
        </is>
      </c>
      <c r="K53" s="4" t="inlineStr">
        <is>
          <t>石川県 (regional; branch network not confirmed)</t>
        </is>
      </c>
      <c r="L53" s="4" t="inlineStr">
        <is>
          <t>Not found</t>
        </is>
      </c>
      <c r="M53" s="4" t="inlineStr">
        <is>
          <t>Not identified</t>
        </is>
      </c>
      <c r="N53" s="4" t="inlineStr">
        <is>
          <t>Not identified</t>
        </is>
      </c>
      <c r="O53" s="4" t="inlineStr">
        <is>
          <t>info@ishikawamed.co.jp</t>
        </is>
      </c>
      <c r="P53" s="4" t="inlineStr">
        <is>
          <t>Not confirmed</t>
        </is>
      </c>
      <c r="Q53" s="4" t="inlineStr">
        <is>
          <t>Not identified</t>
        </is>
      </c>
      <c r="R53" s="5" t="inlineStr">
        <is>
          <t>Unverified</t>
        </is>
      </c>
      <c r="S53" s="4" t="n">
        <v>19</v>
      </c>
      <c r="T53" s="9" t="inlineStr">
        <is>
          <t>B</t>
        </is>
      </c>
      <c r="U53" s="4" t="inlineStr">
        <is>
          <t>Imaging dealer (X ray, CT, MRI or radiology) with the right hospital departments; ultrasound adds to the same buyers; needs a partner MAH.</t>
        </is>
      </c>
      <c r="V53" s="4" t="inlineStr">
        <is>
          <t>Position ultrasound as the add on for their existing radiology customers; ask whether they would sell under a partner MAH and run first demos.</t>
        </is>
      </c>
      <c r="W53" s="4" t="inlineStr">
        <is>
          <t>N (not identified)</t>
        </is>
      </c>
      <c r="X53" s="7" t="inlineStr">
        <is>
          <t>https://baseconnect.in/companies/prefecture/4637ba90-383b-4656-8be1-ca34c7f7244f/keyword/89941b4e-2dd1-4848-8957-48af280a31e0 ; https://compalyze.co.jp (search 2026 10 10)</t>
        </is>
      </c>
      <c r="Y53" s="4" t="inlineStr">
        <is>
          <t>SonoMax 7 plus SonoPort for radiology departments; SonoAir 70 portable</t>
        </is>
      </c>
      <c r="Z53" s="4" t="inlineStr">
        <is>
          <t>2, 4, 3, 2, 3, 2, 3</t>
        </is>
      </c>
      <c r="AA53" s="4" t="inlineStr">
        <is>
          <t>Not found</t>
        </is>
      </c>
      <c r="AB53" s="4" t="inlineStr">
        <is>
          <t>Verified in 10% recheck</t>
        </is>
      </c>
      <c r="AC53" s="4" t="inlineStr">
        <is>
          <t>No expired licence or ended distribution agreement found</t>
        </is>
      </c>
      <c r="AD53" s="4" t="inlineStr">
        <is>
          <t>Not started</t>
        </is>
      </c>
      <c r="AE53" s="4" t="inlineStr"/>
      <c r="AF53" s="4" t="inlineStr">
        <is>
          <t>https://www.ishikawamed.co.jp/recruit</t>
        </is>
      </c>
      <c r="AG53" s="4" t="inlineStr">
        <is>
          <t>Verified: published on company website</t>
        </is>
      </c>
    </row>
    <row r="54">
      <c r="A54" s="4" t="n">
        <v>50</v>
      </c>
      <c r="B54" s="4" t="inlineStr">
        <is>
          <t>Shinetsu Wakita</t>
        </is>
      </c>
      <c r="C54" s="4" t="inlineStr">
        <is>
          <t>信越ワキタ</t>
        </is>
      </c>
      <c r="D54" s="4" t="inlineStr">
        <is>
          <t>Not retrieved (NTA lookup blocked in this session)</t>
        </is>
      </c>
      <c r="E54" s="4" t="inlineStr">
        <is>
          <t>長野県</t>
        </is>
      </c>
      <c r="F54" s="4" t="inlineStr">
        <is>
          <t>Chubu</t>
        </is>
      </c>
      <c r="G54" s="4" t="inlineStr">
        <is>
          <t>https://www.kk-wakita.co.jp/</t>
        </is>
      </c>
      <c r="H54" s="4" t="inlineStr">
        <is>
          <t>No MAH found; device sales licence (高度管理医療機器等販売業) not confirmed</t>
        </is>
      </c>
      <c r="I54" s="4" t="inlineStr">
        <is>
          <t>Not identified in published sources</t>
        </is>
      </c>
      <c r="J54" s="4" t="inlineStr">
        <is>
          <t>Radiology and imaging, Hospitals</t>
        </is>
      </c>
      <c r="K54" s="4" t="inlineStr">
        <is>
          <t>長野県 (regional; branch network not confirmed)</t>
        </is>
      </c>
      <c r="L54" s="4" t="inlineStr">
        <is>
          <t>Not found</t>
        </is>
      </c>
      <c r="M54" s="4" t="inlineStr">
        <is>
          <t>Not identified</t>
        </is>
      </c>
      <c r="N54" s="4" t="inlineStr">
        <is>
          <t>Not identified</t>
        </is>
      </c>
      <c r="O54" s="4" t="inlineStr">
        <is>
          <t>saiyou@kk-wakita.co.jp</t>
        </is>
      </c>
      <c r="P54" s="4" t="inlineStr">
        <is>
          <t>Not confirmed</t>
        </is>
      </c>
      <c r="Q54" s="4" t="inlineStr">
        <is>
          <t>Not identified</t>
        </is>
      </c>
      <c r="R54" s="5" t="inlineStr">
        <is>
          <t>Unverified</t>
        </is>
      </c>
      <c r="S54" s="4" t="n">
        <v>19</v>
      </c>
      <c r="T54" s="9" t="inlineStr">
        <is>
          <t>B</t>
        </is>
      </c>
      <c r="U54" s="4" t="inlineStr">
        <is>
          <t>Imaging dealer (X ray, CT, MRI or radiology) with the right hospital departments; ultrasound adds to the same buyers; needs a partner MAH.</t>
        </is>
      </c>
      <c r="V54" s="4" t="inlineStr">
        <is>
          <t>Position ultrasound as the add on for their existing radiology customers; ask whether they would sell under a partner MAH and run first demos.</t>
        </is>
      </c>
      <c r="W54" s="4" t="inlineStr">
        <is>
          <t>N (not identified)</t>
        </is>
      </c>
      <c r="X54" s="7" t="inlineStr">
        <is>
          <t>https://compalyze.co.jp/company/8100001001277</t>
        </is>
      </c>
      <c r="Y54" s="4" t="inlineStr">
        <is>
          <t>SonoMax 7 plus SonoPort for radiology departments; SonoAir 70 portable</t>
        </is>
      </c>
      <c r="Z54" s="4" t="inlineStr">
        <is>
          <t>2, 4, 3, 2, 3, 2, 3</t>
        </is>
      </c>
      <c r="AA54" s="4" t="inlineStr">
        <is>
          <t>Not found</t>
        </is>
      </c>
      <c r="AB54" s="4" t="inlineStr">
        <is>
          <t>Directory or search listing; not opened (direct site access blocked)</t>
        </is>
      </c>
      <c r="AC54" s="4" t="inlineStr">
        <is>
          <t>Holding group overlap: Wakita group. Approach Wakita Shokai (Nagoya) first. No expired licence or ended distribution agreement found</t>
        </is>
      </c>
      <c r="AD54" s="4" t="inlineStr">
        <is>
          <t>Not started</t>
        </is>
      </c>
      <c r="AE54" s="4" t="inlineStr"/>
      <c r="AF54" s="4" t="inlineStr">
        <is>
          <t>https://job.mynavi.jp/27/pc/search/corp286442/recruiting_course27010739/recruiting_course.html?func=corpinfo</t>
        </is>
      </c>
      <c r="AG54" s="4" t="inlineStr">
        <is>
          <t>Likely: indexed on company domain; HR or recruitment inbox, ask to forward to sales</t>
        </is>
      </c>
    </row>
    <row r="55">
      <c r="A55" s="4" t="n">
        <v>51</v>
      </c>
      <c r="B55" s="4" t="inlineStr">
        <is>
          <t>Tokai Iryo Kikai</t>
        </is>
      </c>
      <c r="C55" s="4" t="inlineStr">
        <is>
          <t>東海医療器械</t>
        </is>
      </c>
      <c r="D55" s="4" t="inlineStr">
        <is>
          <t>Not retrieved (NTA lookup blocked in this session)</t>
        </is>
      </c>
      <c r="E55" s="4" t="inlineStr">
        <is>
          <t>静岡県</t>
        </is>
      </c>
      <c r="F55" s="4" t="inlineStr">
        <is>
          <t>Chubu</t>
        </is>
      </c>
      <c r="G55" s="4" t="inlineStr">
        <is>
          <t>https://www.nanotybp.jp/</t>
        </is>
      </c>
      <c r="H55" s="4" t="inlineStr">
        <is>
          <t>No MAH found; device sales licence (高度管理医療機器等販売業) not confirmed</t>
        </is>
      </c>
      <c r="I55" s="4" t="inlineStr">
        <is>
          <t>Not identified in published sources</t>
        </is>
      </c>
      <c r="J55" s="4" t="inlineStr">
        <is>
          <t>Radiology and imaging, Welfare and care</t>
        </is>
      </c>
      <c r="K55" s="4" t="inlineStr">
        <is>
          <t>静岡県 (regional; branch network not confirmed)</t>
        </is>
      </c>
      <c r="L55" s="4" t="inlineStr">
        <is>
          <t>Not found</t>
        </is>
      </c>
      <c r="M55" s="4" t="inlineStr">
        <is>
          <t>Not identified</t>
        </is>
      </c>
      <c r="N55" s="4" t="inlineStr">
        <is>
          <t>Not identified</t>
        </is>
      </c>
      <c r="O55" s="4" t="inlineStr">
        <is>
          <t>Not published; use contact form</t>
        </is>
      </c>
      <c r="P55" s="4" t="inlineStr">
        <is>
          <t>Not confirmed</t>
        </is>
      </c>
      <c r="Q55" s="4" t="inlineStr">
        <is>
          <t>Not identified</t>
        </is>
      </c>
      <c r="R55" s="5" t="inlineStr">
        <is>
          <t>Likely</t>
        </is>
      </c>
      <c r="S55" s="4" t="n">
        <v>19</v>
      </c>
      <c r="T55" s="9" t="inlineStr">
        <is>
          <t>B</t>
        </is>
      </c>
      <c r="U55" s="4" t="inlineStr">
        <is>
          <t>Imaging dealer (X ray, CT, MRI or radiology) with the right hospital departments; ultrasound adds to the same buyers; needs a partner MAH.</t>
        </is>
      </c>
      <c r="V55" s="4" t="inlineStr">
        <is>
          <t>Position ultrasound as the add on for their existing radiology customers; ask whether they would sell under a partner MAH and run first demos.</t>
        </is>
      </c>
      <c r="W55" s="4" t="inlineStr">
        <is>
          <t>N (not identified)</t>
        </is>
      </c>
      <c r="X55" s="7" t="inlineStr">
        <is>
          <t>https://baseconnect.in/companies/prefecture/ce8171a3-9c3a-4158-b1ce-74bbb8bad1e4/keyword/bacc2d48-54d0-4e67-94c7-df7c3cb3a34e</t>
        </is>
      </c>
      <c r="Y55" s="4" t="inlineStr">
        <is>
          <t>SonoMax 7 plus SonoPort for radiology departments; SonoAir 70 portable</t>
        </is>
      </c>
      <c r="Z55" s="4" t="inlineStr">
        <is>
          <t>2, 4, 3, 2, 3, 2, 3</t>
        </is>
      </c>
      <c r="AA55" s="4" t="inlineStr">
        <is>
          <t>Not found</t>
        </is>
      </c>
      <c r="AB55" s="4" t="inlineStr">
        <is>
          <t>Directory or search listing; not opened (direct site access blocked)</t>
        </is>
      </c>
      <c r="AC55" s="4" t="inlineStr">
        <is>
          <t>No expired licence or ended distribution agreement found</t>
        </is>
      </c>
      <c r="AD55" s="4" t="inlineStr">
        <is>
          <t>Not started</t>
        </is>
      </c>
      <c r="AE55" s="4" t="inlineStr"/>
      <c r="AF55" s="4" t="inlineStr">
        <is>
          <t>https://www.nanotybp.jp/inquiry/</t>
        </is>
      </c>
      <c r="AG55" s="4" t="inlineStr">
        <is>
          <t>No email published; use the contact form (link in Email source)</t>
        </is>
      </c>
    </row>
    <row r="56">
      <c r="A56" s="4" t="n">
        <v>52</v>
      </c>
      <c r="B56" s="4" t="inlineStr">
        <is>
          <t>Kyushu Med Service</t>
        </is>
      </c>
      <c r="C56" s="4" t="inlineStr">
        <is>
          <t>九州メッド・サービス</t>
        </is>
      </c>
      <c r="D56" s="4" t="inlineStr">
        <is>
          <t>Not retrieved (NTA lookup blocked in this session)</t>
        </is>
      </c>
      <c r="E56" s="4" t="inlineStr">
        <is>
          <t>福岡県</t>
        </is>
      </c>
      <c r="F56" s="4" t="inlineStr">
        <is>
          <t>Kyushu and Okinawa</t>
        </is>
      </c>
      <c r="G56" s="4" t="inlineStr">
        <is>
          <t>https://kyusyumed.com/</t>
        </is>
      </c>
      <c r="H56" s="4" t="inlineStr">
        <is>
          <t>No MAH found; device sales licence (高度管理医療機器等販売業) not confirmed</t>
        </is>
      </c>
      <c r="I56" s="4" t="inlineStr">
        <is>
          <t>Not identified in published sources</t>
        </is>
      </c>
      <c r="J56" s="4" t="inlineStr">
        <is>
          <t>Radiology and imaging</t>
        </is>
      </c>
      <c r="K56" s="4" t="inlineStr">
        <is>
          <t>福岡県 (regional; branch network not confirmed)</t>
        </is>
      </c>
      <c r="L56" s="4" t="inlineStr">
        <is>
          <t>Not found</t>
        </is>
      </c>
      <c r="M56" s="4" t="inlineStr">
        <is>
          <t>Not identified</t>
        </is>
      </c>
      <c r="N56" s="4" t="inlineStr">
        <is>
          <t>Not identified</t>
        </is>
      </c>
      <c r="O56" s="4" t="inlineStr">
        <is>
          <t>Not published; use contact form</t>
        </is>
      </c>
      <c r="P56" s="4" t="inlineStr">
        <is>
          <t>Not confirmed</t>
        </is>
      </c>
      <c r="Q56" s="4" t="inlineStr">
        <is>
          <t>Not identified</t>
        </is>
      </c>
      <c r="R56" s="5" t="inlineStr">
        <is>
          <t>Likely</t>
        </is>
      </c>
      <c r="S56" s="4" t="n">
        <v>19</v>
      </c>
      <c r="T56" s="9" t="inlineStr">
        <is>
          <t>B</t>
        </is>
      </c>
      <c r="U56" s="4" t="inlineStr">
        <is>
          <t>Imaging dealer (X ray, CT, MRI or radiology) with the right hospital departments; ultrasound adds to the same buyers; needs a partner MAH.</t>
        </is>
      </c>
      <c r="V56" s="4" t="inlineStr">
        <is>
          <t>Position ultrasound as the add on for their existing radiology customers; ask whether they would sell under a partner MAH and run first demos.</t>
        </is>
      </c>
      <c r="W56" s="4" t="inlineStr">
        <is>
          <t>N (not identified)</t>
        </is>
      </c>
      <c r="X56" s="7" t="inlineStr">
        <is>
          <t>https://baseconnect.in/companies/prefecture/39b58ff0-63fd-405f-8b8a-37c5443ce5c7/keyword/89941b4e-2dd1-4848-8957-48af280a31e0</t>
        </is>
      </c>
      <c r="Y56" s="4" t="inlineStr">
        <is>
          <t>SonoMax 7 plus SonoPort for radiology departments; SonoAir 70 portable</t>
        </is>
      </c>
      <c r="Z56" s="4" t="inlineStr">
        <is>
          <t>2, 4, 3, 2, 3, 2, 3</t>
        </is>
      </c>
      <c r="AA56" s="4" t="inlineStr">
        <is>
          <t>Not found</t>
        </is>
      </c>
      <c r="AB56" s="4" t="inlineStr">
        <is>
          <t>Directory or search listing; not opened (direct site access blocked)</t>
        </is>
      </c>
      <c r="AC56" s="4" t="inlineStr">
        <is>
          <t>No expired licence or ended distribution agreement found</t>
        </is>
      </c>
      <c r="AD56" s="4" t="inlineStr">
        <is>
          <t>Not started</t>
        </is>
      </c>
      <c r="AE56" s="4" t="inlineStr"/>
      <c r="AF56" s="4" t="inlineStr">
        <is>
          <t>https://kyusyumed.com/toiawase.html</t>
        </is>
      </c>
      <c r="AG56" s="4" t="inlineStr">
        <is>
          <t>No email published; use the contact form (link in Email source)</t>
        </is>
      </c>
    </row>
    <row r="57">
      <c r="A57" s="4" t="n">
        <v>53</v>
      </c>
      <c r="B57" s="4" t="inlineStr">
        <is>
          <t>Tohoku Medisa</t>
        </is>
      </c>
      <c r="C57" s="4" t="inlineStr">
        <is>
          <t>東北メディサ</t>
        </is>
      </c>
      <c r="D57" s="4" t="inlineStr">
        <is>
          <t>Not retrieved (NTA lookup blocked in this session)</t>
        </is>
      </c>
      <c r="E57" s="4" t="inlineStr">
        <is>
          <t>山形県</t>
        </is>
      </c>
      <c r="F57" s="4" t="inlineStr">
        <is>
          <t>Tohoku and Hokkaido</t>
        </is>
      </c>
      <c r="G57" s="4" t="inlineStr">
        <is>
          <t>https://medisa.net/</t>
        </is>
      </c>
      <c r="H57" s="4" t="inlineStr">
        <is>
          <t>No MAH found; device sales licence (高度管理医療機器等販売業) not confirmed</t>
        </is>
      </c>
      <c r="I57" s="4" t="inlineStr">
        <is>
          <t>Not identified in published sources</t>
        </is>
      </c>
      <c r="J57" s="4" t="inlineStr">
        <is>
          <t>Radiology and imaging, Orthopaedics and rehab</t>
        </is>
      </c>
      <c r="K57" s="4" t="inlineStr">
        <is>
          <t>山形県 (regional; branch network not confirmed)</t>
        </is>
      </c>
      <c r="L57" s="4" t="inlineStr">
        <is>
          <t>Not found</t>
        </is>
      </c>
      <c r="M57" s="4" t="inlineStr">
        <is>
          <t>Not identified</t>
        </is>
      </c>
      <c r="N57" s="4" t="inlineStr">
        <is>
          <t>Not identified</t>
        </is>
      </c>
      <c r="O57" s="4" t="inlineStr">
        <is>
          <t>akh@medisa.net</t>
        </is>
      </c>
      <c r="P57" s="4" t="inlineStr">
        <is>
          <t>Not confirmed</t>
        </is>
      </c>
      <c r="Q57" s="4" t="inlineStr">
        <is>
          <t>Not identified</t>
        </is>
      </c>
      <c r="R57" s="5" t="inlineStr">
        <is>
          <t>Unverified</t>
        </is>
      </c>
      <c r="S57" s="4" t="n">
        <v>19</v>
      </c>
      <c r="T57" s="9" t="inlineStr">
        <is>
          <t>B</t>
        </is>
      </c>
      <c r="U57" s="4" t="inlineStr">
        <is>
          <t>Imaging dealer (X ray, CT, MRI or radiology) with the right hospital departments; ultrasound adds to the same buyers; needs a partner MAH.</t>
        </is>
      </c>
      <c r="V57" s="4" t="inlineStr">
        <is>
          <t>Position ultrasound as the add on for their existing radiology customers; ask whether they would sell under a partner MAH and run first demos.</t>
        </is>
      </c>
      <c r="W57" s="4" t="inlineStr">
        <is>
          <t>N (not identified)</t>
        </is>
      </c>
      <c r="X57" s="7" t="inlineStr">
        <is>
          <t>https://atsoho.com/vendors/engineering/yamagata/4390001001418</t>
        </is>
      </c>
      <c r="Y57" s="4" t="inlineStr">
        <is>
          <t>SonoMax 7 plus SonoPort for radiology departments; SonoAir 70 portable</t>
        </is>
      </c>
      <c r="Z57" s="4" t="inlineStr">
        <is>
          <t>2, 4, 3, 2, 3, 2, 3</t>
        </is>
      </c>
      <c r="AA57" s="4" t="inlineStr">
        <is>
          <t>Not found</t>
        </is>
      </c>
      <c r="AB57" s="4" t="inlineStr">
        <is>
          <t>Directory or search listing; not opened (direct site access blocked)</t>
        </is>
      </c>
      <c r="AC57" s="4" t="inlineStr">
        <is>
          <t>No expired licence or ended distribution agreement found</t>
        </is>
      </c>
      <c r="AD57" s="4" t="inlineStr">
        <is>
          <t>Not started</t>
        </is>
      </c>
      <c r="AE57" s="4" t="inlineStr"/>
      <c r="AF57" s="4" t="inlineStr">
        <is>
          <t>https://www.hellowork.mhlw.go.jp/kensaku/GECA110010.do?screenId=GECA110010&amp;action=dispDetailBtn&amp;kJNo=0601012509761&amp;kJKbn=1&amp;jGSHNo=zsY%2BdETVGDtKpsAuH3wwrg%3D%3D&amp;fullPart=2&amp;iNFTeikyoRiyoDtiID=&amp;kSNo=&amp;newArrived=&amp;tatZngy=1&amp;shogaiKbn=0</t>
        </is>
      </c>
      <c r="AG57" s="4" t="inlineStr">
        <is>
          <t>Likely: indexed on company domain</t>
        </is>
      </c>
    </row>
    <row r="58">
      <c r="A58" s="4" t="n">
        <v>54</v>
      </c>
      <c r="B58" s="4" t="inlineStr">
        <is>
          <t>Hokuriku Bio</t>
        </is>
      </c>
      <c r="C58" s="4" t="inlineStr">
        <is>
          <t>北陸バイオ</t>
        </is>
      </c>
      <c r="D58" s="4" t="inlineStr">
        <is>
          <t>Not retrieved (NTA lookup blocked in this session)</t>
        </is>
      </c>
      <c r="E58" s="4" t="inlineStr">
        <is>
          <t>富山県</t>
        </is>
      </c>
      <c r="F58" s="4" t="inlineStr">
        <is>
          <t>Chubu</t>
        </is>
      </c>
      <c r="G58" s="4" t="inlineStr">
        <is>
          <t>Not confirmed (company site not opened; network policy blocked direct access)</t>
        </is>
      </c>
      <c r="H58" s="4" t="inlineStr">
        <is>
          <t>No MAH found; device sales licence (高度管理医療機器等販売業) not confirmed</t>
        </is>
      </c>
      <c r="I58" s="4" t="inlineStr">
        <is>
          <t>Not identified in published sources</t>
        </is>
      </c>
      <c r="J58" s="4" t="inlineStr">
        <is>
          <t>Clinics and GP (開業医), Hospitals</t>
        </is>
      </c>
      <c r="K58" s="4" t="inlineStr">
        <is>
          <t>富山県; Toyama Ishikawa</t>
        </is>
      </c>
      <c r="L58" s="4" t="inlineStr">
        <is>
          <t>Not found</t>
        </is>
      </c>
      <c r="M58" s="4" t="inlineStr">
        <is>
          <t>Not identified</t>
        </is>
      </c>
      <c r="N58" s="4" t="inlineStr">
        <is>
          <t>Not identified</t>
        </is>
      </c>
      <c r="O58" s="4" t="inlineStr">
        <is>
          <t>Not published; use company inquiry form</t>
        </is>
      </c>
      <c r="P58" s="4" t="inlineStr">
        <is>
          <t>Not confirmed</t>
        </is>
      </c>
      <c r="Q58" s="4" t="inlineStr">
        <is>
          <t>Not identified</t>
        </is>
      </c>
      <c r="R58" s="5" t="inlineStr">
        <is>
          <t>Unverified</t>
        </is>
      </c>
      <c r="S58" s="4" t="n">
        <v>23</v>
      </c>
      <c r="T58" s="10" t="inlineStr">
        <is>
          <t>C</t>
        </is>
      </c>
      <c r="U58" s="4" t="inlineStr">
        <is>
          <t>Regional general medical equipment dealer with hospital and clinic accounts; candidate sub dealer under a national MAH partner.</t>
        </is>
      </c>
      <c r="V58" s="4" t="inlineStr">
        <is>
          <t>Introduce CHISON as a future line through a national MAH partner; ask about their hospital and clinic coverage, service engineers and openness to non Japanese brands.</t>
        </is>
      </c>
      <c r="W58" s="4" t="inlineStr">
        <is>
          <t>N (not identified)</t>
        </is>
      </c>
      <c r="X58" s="7" t="inlineStr">
        <is>
          <t>https://baseconnect.in/companies/prefecture/31ffefed-1183-4eba-a6d9-4182a6136e50/keyword/89941b4e-2dd1-4848-8957-48af280a31e0</t>
        </is>
      </c>
      <c r="Y58" s="4" t="inlineStr">
        <is>
          <t>SonoAir 30 plus SonoEye P3 as a clinic opening package</t>
        </is>
      </c>
      <c r="Z58" s="4" t="inlineStr">
        <is>
          <t>2, 2, 3, 5, 4, 4, 3</t>
        </is>
      </c>
      <c r="AA58" s="4" t="inlineStr">
        <is>
          <t>Not found</t>
        </is>
      </c>
      <c r="AB58" s="4" t="inlineStr">
        <is>
          <t>Directory or search listing; not opened (direct site access blocked)</t>
        </is>
      </c>
      <c r="AC58" s="4" t="inlineStr">
        <is>
          <t>No expired licence or ended distribution agreement found</t>
        </is>
      </c>
      <c r="AD58" s="4" t="inlineStr">
        <is>
          <t>Not started</t>
        </is>
      </c>
      <c r="AE58" s="4" t="inlineStr"/>
      <c r="AF58" s="4" t="inlineStr"/>
      <c r="AG58" s="4" t="inlineStr">
        <is>
          <t>No email published and no verified website found</t>
        </is>
      </c>
    </row>
    <row r="59">
      <c r="A59" s="4" t="n">
        <v>55</v>
      </c>
      <c r="B59" s="4" t="inlineStr">
        <is>
          <t>Tohoku Iryo Kiki</t>
        </is>
      </c>
      <c r="C59" s="4" t="inlineStr">
        <is>
          <t>東北医療機器</t>
        </is>
      </c>
      <c r="D59" s="4" t="inlineStr">
        <is>
          <t>Not retrieved (NTA lookup blocked in this session)</t>
        </is>
      </c>
      <c r="E59" s="4" t="inlineStr">
        <is>
          <t>山形県</t>
        </is>
      </c>
      <c r="F59" s="4" t="inlineStr">
        <is>
          <t>Tohoku and Hokkaido</t>
        </is>
      </c>
      <c r="G59" s="4" t="inlineStr">
        <is>
          <t>https://www.tohoku-tmt.com/</t>
        </is>
      </c>
      <c r="H59" s="4" t="inlineStr">
        <is>
          <t>No MAH found; device sales licence (高度管理医療機器等販売業) not confirmed</t>
        </is>
      </c>
      <c r="I59" s="4" t="inlineStr">
        <is>
          <t>Not identified in published sources</t>
        </is>
      </c>
      <c r="J59" s="4" t="inlineStr">
        <is>
          <t>Hospitals</t>
        </is>
      </c>
      <c r="K59" s="4" t="inlineStr">
        <is>
          <t>山形県 (regional; branch network not confirmed)</t>
        </is>
      </c>
      <c r="L59" s="4" t="inlineStr">
        <is>
          <t>Not found</t>
        </is>
      </c>
      <c r="M59" s="4" t="inlineStr">
        <is>
          <t>Not identified</t>
        </is>
      </c>
      <c r="N59" s="4" t="inlineStr">
        <is>
          <t>Not identified</t>
        </is>
      </c>
      <c r="O59" s="4" t="inlineStr">
        <is>
          <t>Not published; use contact form</t>
        </is>
      </c>
      <c r="P59" s="4" t="inlineStr">
        <is>
          <t>Not confirmed</t>
        </is>
      </c>
      <c r="Q59" s="4" t="inlineStr">
        <is>
          <t>Not identified</t>
        </is>
      </c>
      <c r="R59" s="5" t="inlineStr">
        <is>
          <t>Likely</t>
        </is>
      </c>
      <c r="S59" s="4" t="n">
        <v>23</v>
      </c>
      <c r="T59" s="10" t="inlineStr">
        <is>
          <t>C</t>
        </is>
      </c>
      <c r="U59" s="4" t="inlineStr">
        <is>
          <t>Low fit: mainly welfare or care equipment; only for home care handheld use.</t>
        </is>
      </c>
      <c r="V59" s="4" t="inlineStr">
        <is>
          <t>Introduce CHISON as a future line through a national MAH partner; ask about their hospital and clinic coverage, service engineers and openness to non Japanese brands.</t>
        </is>
      </c>
      <c r="W59" s="4" t="inlineStr">
        <is>
          <t>N (not identified)</t>
        </is>
      </c>
      <c r="X59" s="7" t="inlineStr">
        <is>
          <t>https://baseconnect.in/companies/prefecture/72122f8e-2e11-4641-9216-d1abc796b0cd/category/b2358a1c-c4c6-46f4-a0b1-dee3a1b30a0b</t>
        </is>
      </c>
      <c r="Y59" s="4" t="inlineStr">
        <is>
          <t>SonoEye P3 plus SonoAir 30 for GP and clinic accounts</t>
        </is>
      </c>
      <c r="Z59" s="4" t="inlineStr">
        <is>
          <t>2, 2, 3, 4, 5, 4, 3</t>
        </is>
      </c>
      <c r="AA59" s="4" t="inlineStr">
        <is>
          <t>Not found</t>
        </is>
      </c>
      <c r="AB59" s="4" t="inlineStr">
        <is>
          <t>Directory or search listing; not opened (direct site access blocked)</t>
        </is>
      </c>
      <c r="AC59" s="4" t="inlineStr">
        <is>
          <t>No expired licence or ended distribution agreement found</t>
        </is>
      </c>
      <c r="AD59" s="4" t="inlineStr">
        <is>
          <t>Not started</t>
        </is>
      </c>
      <c r="AE59" s="4" t="inlineStr"/>
      <c r="AF59" s="4" t="inlineStr">
        <is>
          <t>https://www.tohoku-tmt.com/contact/index.html</t>
        </is>
      </c>
      <c r="AG59" s="4" t="inlineStr">
        <is>
          <t>No email published; use the contact form (link in Email source)</t>
        </is>
      </c>
    </row>
    <row r="60">
      <c r="A60" s="4" t="n">
        <v>56</v>
      </c>
      <c r="B60" s="4" t="inlineStr">
        <is>
          <t>Medical Logic</t>
        </is>
      </c>
      <c r="C60" s="4" t="inlineStr">
        <is>
          <t>メディカルロジック</t>
        </is>
      </c>
      <c r="D60" s="4" t="inlineStr">
        <is>
          <t>Not retrieved (NTA lookup blocked in this session)</t>
        </is>
      </c>
      <c r="E60" s="4" t="inlineStr">
        <is>
          <t>東京都</t>
        </is>
      </c>
      <c r="F60" s="4" t="inlineStr">
        <is>
          <t>Kanto</t>
        </is>
      </c>
      <c r="G60" s="4" t="inlineStr">
        <is>
          <t>https://www.medical-logic.jp/</t>
        </is>
      </c>
      <c r="H60" s="4" t="inlineStr">
        <is>
          <t>No MAH found; device sales licence (高度管理医療機器等販売業) not confirmed</t>
        </is>
      </c>
      <c r="I60" s="4" t="inlineStr">
        <is>
          <t>Not identified in published sources</t>
        </is>
      </c>
      <c r="J60" s="4" t="inlineStr">
        <is>
          <t>Clinics and GP (開業医)</t>
        </is>
      </c>
      <c r="K60" s="4" t="inlineStr">
        <is>
          <t>東京都 (regional; branch network not confirmed)</t>
        </is>
      </c>
      <c r="L60" s="4" t="inlineStr">
        <is>
          <t>Not found</t>
        </is>
      </c>
      <c r="M60" s="4" t="inlineStr">
        <is>
          <t>Not identified</t>
        </is>
      </c>
      <c r="N60" s="4" t="inlineStr">
        <is>
          <t>Not identified</t>
        </is>
      </c>
      <c r="O60" s="4" t="inlineStr">
        <is>
          <t>Not published; use contact form</t>
        </is>
      </c>
      <c r="P60" s="4" t="inlineStr">
        <is>
          <t>Not confirmed</t>
        </is>
      </c>
      <c r="Q60" s="4" t="inlineStr">
        <is>
          <t>Not identified</t>
        </is>
      </c>
      <c r="R60" s="5" t="inlineStr">
        <is>
          <t>Likely</t>
        </is>
      </c>
      <c r="S60" s="4" t="n">
        <v>22</v>
      </c>
      <c r="T60" s="10" t="inlineStr">
        <is>
          <t>C</t>
        </is>
      </c>
      <c r="U60" s="4" t="inlineStr">
        <is>
          <t>Clinic opening and GP coverage; can bundle a portable ultrasound into new 開業医 packages as a sub dealer.</t>
        </is>
      </c>
      <c r="V60" s="4" t="inlineStr">
        <is>
          <t>Ask whether they bundle ultrasound into clinic opening packages and which brand they use today; propose a sub dealer role once a Japanese MAH is in place.</t>
        </is>
      </c>
      <c r="W60" s="4" t="inlineStr">
        <is>
          <t>N (not identified)</t>
        </is>
      </c>
      <c r="X60" s="7" t="inlineStr">
        <is>
          <t>https://baseconnect.in/companies/prefecture/a30ebdff-361b-42be-8372-1b0d350f48a0/keyword/89941b4e-2dd1-4848-8957-48af280a31e0</t>
        </is>
      </c>
      <c r="Y60" s="4" t="inlineStr">
        <is>
          <t>SonoAir 30 plus SonoEye P3 as a clinic opening package</t>
        </is>
      </c>
      <c r="Z60" s="4" t="inlineStr">
        <is>
          <t>2, 2, 3, 5, 3, 4, 3</t>
        </is>
      </c>
      <c r="AA60" s="4" t="inlineStr">
        <is>
          <t>Not found</t>
        </is>
      </c>
      <c r="AB60" s="4" t="inlineStr">
        <is>
          <t>Directory or search listing; not opened (direct site access blocked)</t>
        </is>
      </c>
      <c r="AC60" s="4" t="inlineStr">
        <is>
          <t>No expired licence or ended distribution agreement found</t>
        </is>
      </c>
      <c r="AD60" s="4" t="inlineStr">
        <is>
          <t>Not started</t>
        </is>
      </c>
      <c r="AE60" s="4" t="inlineStr"/>
      <c r="AF60" s="4" t="inlineStr">
        <is>
          <t>https://www.medical-logic.jp/contact.php</t>
        </is>
      </c>
      <c r="AG60" s="4" t="inlineStr">
        <is>
          <t>No email published; use the contact form (link in Email source)</t>
        </is>
      </c>
    </row>
    <row r="61">
      <c r="A61" s="4" t="n">
        <v>57</v>
      </c>
      <c r="B61" s="4" t="inlineStr">
        <is>
          <t>Rise</t>
        </is>
      </c>
      <c r="C61" s="4" t="inlineStr">
        <is>
          <t>ライズ</t>
        </is>
      </c>
      <c r="D61" s="4" t="inlineStr">
        <is>
          <t>Not retrieved (NTA lookup blocked in this session)</t>
        </is>
      </c>
      <c r="E61" s="4" t="inlineStr">
        <is>
          <t>栃木県</t>
        </is>
      </c>
      <c r="F61" s="4" t="inlineStr">
        <is>
          <t>Kanto</t>
        </is>
      </c>
      <c r="G61" s="4" t="inlineStr">
        <is>
          <t>https://rise-med.co.jp/</t>
        </is>
      </c>
      <c r="H61" s="4" t="inlineStr">
        <is>
          <t>No MAH found; device sales licence (高度管理医療機器等販売業) not confirmed</t>
        </is>
      </c>
      <c r="I61" s="4" t="inlineStr">
        <is>
          <t>Not identified in published sources</t>
        </is>
      </c>
      <c r="J61" s="4" t="inlineStr">
        <is>
          <t>General medical equipment (hospitals and clinics)</t>
        </is>
      </c>
      <c r="K61" s="4" t="inlineStr">
        <is>
          <t>栃木県; Tochigi Gunma Ibaraki Saitama Chiba</t>
        </is>
      </c>
      <c r="L61" s="4" t="inlineStr">
        <is>
          <t>Not found</t>
        </is>
      </c>
      <c r="M61" s="4" t="inlineStr">
        <is>
          <t>Not identified</t>
        </is>
      </c>
      <c r="N61" s="4" t="inlineStr">
        <is>
          <t>Not identified</t>
        </is>
      </c>
      <c r="O61" s="4" t="inlineStr">
        <is>
          <t>rise-info@rise-med.co.jp</t>
        </is>
      </c>
      <c r="P61" s="4" t="inlineStr">
        <is>
          <t>Not confirmed</t>
        </is>
      </c>
      <c r="Q61" s="4" t="inlineStr">
        <is>
          <t>Not identified</t>
        </is>
      </c>
      <c r="R61" s="5" t="inlineStr">
        <is>
          <t>Unverified</t>
        </is>
      </c>
      <c r="S61" s="4" t="n">
        <v>22</v>
      </c>
      <c r="T61" s="10" t="inlineStr">
        <is>
          <t>C</t>
        </is>
      </c>
      <c r="U61" s="4" t="inlineStr">
        <is>
          <t>Regional general medical equipment dealer with hospital and clinic accounts; candidate sub dealer under a national MAH partner.</t>
        </is>
      </c>
      <c r="V61" s="4" t="inlineStr">
        <is>
          <t>Introduce CHISON as a future line through a national MAH partner; ask about their hospital and clinic coverage, service engineers and openness to non Japanese brands.</t>
        </is>
      </c>
      <c r="W61" s="4" t="inlineStr">
        <is>
          <t>N (not identified)</t>
        </is>
      </c>
      <c r="X61" s="7" t="inlineStr">
        <is>
          <t>https://baseconnect.in/companies/prefecture/5d54c878-c20d-4f57-bb73-e021f2210d6c/keyword/14f3dcec-9cd5-4be5-84e1-ddccb7bd228c</t>
        </is>
      </c>
      <c r="Y61" s="4" t="inlineStr">
        <is>
          <t>SonoEye P3 plus SonoAir 30 for GP and clinic accounts</t>
        </is>
      </c>
      <c r="Z61" s="4" t="inlineStr">
        <is>
          <t>2, 2, 3, 3, 5, 4, 3</t>
        </is>
      </c>
      <c r="AA61" s="4" t="inlineStr">
        <is>
          <t>Not found</t>
        </is>
      </c>
      <c r="AB61" s="4" t="inlineStr">
        <is>
          <t>Directory or search listing; not opened (direct site access blocked)</t>
        </is>
      </c>
      <c r="AC61" s="4" t="inlineStr">
        <is>
          <t>No expired licence or ended distribution agreement found</t>
        </is>
      </c>
      <c r="AD61" s="4" t="inlineStr">
        <is>
          <t>Not started</t>
        </is>
      </c>
      <c r="AE61" s="4" t="inlineStr"/>
      <c r="AF61" s="4" t="inlineStr">
        <is>
          <t>https://rise-med.co.jp/privacy-policy/</t>
        </is>
      </c>
      <c r="AG61" s="4" t="inlineStr">
        <is>
          <t>Verified: published on company website</t>
        </is>
      </c>
    </row>
    <row r="62">
      <c r="A62" s="4" t="n">
        <v>58</v>
      </c>
      <c r="B62" s="4" t="inlineStr">
        <is>
          <t>Nihon Iryoki</t>
        </is>
      </c>
      <c r="C62" s="4" t="inlineStr">
        <is>
          <t>日本医療器</t>
        </is>
      </c>
      <c r="D62" s="4" t="inlineStr">
        <is>
          <t>Not retrieved (NTA lookup blocked in this session)</t>
        </is>
      </c>
      <c r="E62" s="4" t="inlineStr">
        <is>
          <t>栃木県</t>
        </is>
      </c>
      <c r="F62" s="4" t="inlineStr">
        <is>
          <t>Kanto</t>
        </is>
      </c>
      <c r="G62" s="4" t="inlineStr">
        <is>
          <t>https://j-md.co.jp/</t>
        </is>
      </c>
      <c r="H62" s="4" t="inlineStr">
        <is>
          <t>No MAH found; device sales licence (高度管理医療機器等販売業) not confirmed</t>
        </is>
      </c>
      <c r="I62" s="4" t="inlineStr">
        <is>
          <t>Not identified in published sources</t>
        </is>
      </c>
      <c r="J62" s="4" t="inlineStr">
        <is>
          <t>Clinics and GP (開業医)</t>
        </is>
      </c>
      <c r="K62" s="4" t="inlineStr">
        <is>
          <t>栃木県 (regional; branch network not confirmed)</t>
        </is>
      </c>
      <c r="L62" s="4" t="inlineStr">
        <is>
          <t>Not found</t>
        </is>
      </c>
      <c r="M62" s="4" t="inlineStr">
        <is>
          <t>Not identified</t>
        </is>
      </c>
      <c r="N62" s="4" t="inlineStr">
        <is>
          <t>Not identified</t>
        </is>
      </c>
      <c r="O62" s="4" t="inlineStr">
        <is>
          <t>Not published; use contact form</t>
        </is>
      </c>
      <c r="P62" s="4" t="inlineStr">
        <is>
          <t>Not confirmed</t>
        </is>
      </c>
      <c r="Q62" s="4" t="inlineStr">
        <is>
          <t>Not identified</t>
        </is>
      </c>
      <c r="R62" s="5" t="inlineStr">
        <is>
          <t>Likely</t>
        </is>
      </c>
      <c r="S62" s="4" t="n">
        <v>22</v>
      </c>
      <c r="T62" s="10" t="inlineStr">
        <is>
          <t>C</t>
        </is>
      </c>
      <c r="U62" s="4" t="inlineStr">
        <is>
          <t>Clinic opening and GP coverage; can bundle a portable ultrasound into new 開業医 packages as a sub dealer.</t>
        </is>
      </c>
      <c r="V62" s="4" t="inlineStr">
        <is>
          <t>Ask whether they bundle ultrasound into clinic opening packages and which brand they use today; propose a sub dealer role once a Japanese MAH is in place.</t>
        </is>
      </c>
      <c r="W62" s="4" t="inlineStr">
        <is>
          <t>N (not identified)</t>
        </is>
      </c>
      <c r="X62" s="7" t="inlineStr">
        <is>
          <t>https://baseconnect.in/companies/prefecture/5d54c878-c20d-4f57-bb73-e021f2210d6c/keyword/14f3dcec-9cd5-4be5-84e1-ddccb7bd228c</t>
        </is>
      </c>
      <c r="Y62" s="4" t="inlineStr">
        <is>
          <t>SonoAir 30 plus SonoEye P3 as a clinic opening package</t>
        </is>
      </c>
      <c r="Z62" s="4" t="inlineStr">
        <is>
          <t>2, 2, 3, 5, 3, 4, 3</t>
        </is>
      </c>
      <c r="AA62" s="4" t="inlineStr">
        <is>
          <t>Not found</t>
        </is>
      </c>
      <c r="AB62" s="4" t="inlineStr">
        <is>
          <t>Directory or search listing; not opened (direct site access blocked)</t>
        </is>
      </c>
      <c r="AC62" s="4" t="inlineStr">
        <is>
          <t>No expired licence or ended distribution agreement found</t>
        </is>
      </c>
      <c r="AD62" s="4" t="inlineStr">
        <is>
          <t>Not started</t>
        </is>
      </c>
      <c r="AE62" s="4" t="inlineStr"/>
      <c r="AF62" s="4" t="inlineStr">
        <is>
          <t>https://j-md.co.jp/新問合せフォーム/</t>
        </is>
      </c>
      <c r="AG62" s="4" t="inlineStr">
        <is>
          <t>No email published; use the contact form (link in Email source)</t>
        </is>
      </c>
    </row>
    <row r="63">
      <c r="A63" s="4" t="n">
        <v>59</v>
      </c>
      <c r="B63" s="4" t="inlineStr">
        <is>
          <t>Nitto (Mito)</t>
        </is>
      </c>
      <c r="C63" s="4" t="inlineStr">
        <is>
          <t>日東</t>
        </is>
      </c>
      <c r="D63" s="4" t="inlineStr">
        <is>
          <t>Not retrieved (NTA lookup blocked in this session)</t>
        </is>
      </c>
      <c r="E63" s="4" t="inlineStr">
        <is>
          <t>茨城県</t>
        </is>
      </c>
      <c r="F63" s="4" t="inlineStr">
        <is>
          <t>Kanto</t>
        </is>
      </c>
      <c r="G63" s="4" t="inlineStr">
        <is>
          <t>https://www.med-nitto.co.jp/</t>
        </is>
      </c>
      <c r="H63" s="4" t="inlineStr">
        <is>
          <t>No MAH found; device sales licence (高度管理医療機器等販売業) not confirmed</t>
        </is>
      </c>
      <c r="I63" s="4" t="inlineStr">
        <is>
          <t>Not identified in published sources</t>
        </is>
      </c>
      <c r="J63" s="4" t="inlineStr">
        <is>
          <t>Clinics and GP (開業医), Hospitals</t>
        </is>
      </c>
      <c r="K63" s="4" t="inlineStr">
        <is>
          <t>茨城県 (regional; branch network not confirmed)</t>
        </is>
      </c>
      <c r="L63" s="4" t="inlineStr">
        <is>
          <t>Not found</t>
        </is>
      </c>
      <c r="M63" s="4" t="inlineStr">
        <is>
          <t>Not identified</t>
        </is>
      </c>
      <c r="N63" s="4" t="inlineStr">
        <is>
          <t>Not identified</t>
        </is>
      </c>
      <c r="O63" s="4" t="inlineStr">
        <is>
          <t>info@med-nitto.co.jp</t>
        </is>
      </c>
      <c r="P63" s="4" t="inlineStr">
        <is>
          <t>Not confirmed</t>
        </is>
      </c>
      <c r="Q63" s="4" t="inlineStr">
        <is>
          <t>Not identified</t>
        </is>
      </c>
      <c r="R63" s="5" t="inlineStr">
        <is>
          <t>Unverified</t>
        </is>
      </c>
      <c r="S63" s="4" t="n">
        <v>22</v>
      </c>
      <c r="T63" s="10" t="inlineStr">
        <is>
          <t>C</t>
        </is>
      </c>
      <c r="U63" s="4" t="inlineStr">
        <is>
          <t>Clinic opening and GP coverage; can bundle a portable ultrasound into new 開業医 packages as a sub dealer.</t>
        </is>
      </c>
      <c r="V63" s="4" t="inlineStr">
        <is>
          <t>Ask whether they bundle ultrasound into clinic opening packages and which brand they use today; propose a sub dealer role once a Japanese MAH is in place.</t>
        </is>
      </c>
      <c r="W63" s="4" t="inlineStr">
        <is>
          <t>N (not identified)</t>
        </is>
      </c>
      <c r="X63" s="7" t="inlineStr">
        <is>
          <t>https://baseconnect.in/companies/prefecture/d8203dea-91e2-41c3-a785-b80aa997273c/category/b2358a1c-c4c6-46f4-a0b1-dee3a1b30a0b</t>
        </is>
      </c>
      <c r="Y63" s="4" t="inlineStr">
        <is>
          <t>SonoAir 30 plus SonoEye P3 as a clinic opening package</t>
        </is>
      </c>
      <c r="Z63" s="4" t="inlineStr">
        <is>
          <t>2, 2, 3, 5, 3, 4, 3</t>
        </is>
      </c>
      <c r="AA63" s="4" t="inlineStr">
        <is>
          <t>Not found</t>
        </is>
      </c>
      <c r="AB63" s="4" t="inlineStr">
        <is>
          <t>Directory or search listing; not opened (direct site access blocked)</t>
        </is>
      </c>
      <c r="AC63" s="4" t="inlineStr">
        <is>
          <t>No expired licence or ended distribution agreement found</t>
        </is>
      </c>
      <c r="AD63" s="4" t="inlineStr">
        <is>
          <t>Not started</t>
        </is>
      </c>
      <c r="AE63" s="4" t="inlineStr"/>
      <c r="AF63" s="4" t="inlineStr">
        <is>
          <t>https://www.med-nitto.co.jp/company/</t>
        </is>
      </c>
      <c r="AG63" s="4" t="inlineStr">
        <is>
          <t>Verified: published on company website</t>
        </is>
      </c>
    </row>
    <row r="64">
      <c r="A64" s="4" t="n">
        <v>60</v>
      </c>
      <c r="B64" s="4" t="inlineStr">
        <is>
          <t>Arc (Osaka)</t>
        </is>
      </c>
      <c r="C64" s="4" t="inlineStr">
        <is>
          <t>アルク大阪</t>
        </is>
      </c>
      <c r="D64" s="4" t="inlineStr">
        <is>
          <t>Not retrieved (NTA lookup blocked in this session)</t>
        </is>
      </c>
      <c r="E64" s="4" t="inlineStr">
        <is>
          <t>大阪府</t>
        </is>
      </c>
      <c r="F64" s="4" t="inlineStr">
        <is>
          <t>Kansai</t>
        </is>
      </c>
      <c r="G64" s="4" t="inlineStr">
        <is>
          <t>https://www.ark-inc.co.jp/</t>
        </is>
      </c>
      <c r="H64" s="4" t="inlineStr">
        <is>
          <t>No MAH found; device sales licence (高度管理医療機器等販売業) not confirmed</t>
        </is>
      </c>
      <c r="I64" s="4" t="inlineStr">
        <is>
          <t>Not identified in published sources</t>
        </is>
      </c>
      <c r="J64" s="4" t="inlineStr">
        <is>
          <t>Clinics and GP (開業医)</t>
        </is>
      </c>
      <c r="K64" s="4" t="inlineStr">
        <is>
          <t>大阪府 (regional; branch network not confirmed)</t>
        </is>
      </c>
      <c r="L64" s="4" t="inlineStr">
        <is>
          <t>Not found</t>
        </is>
      </c>
      <c r="M64" s="4" t="inlineStr">
        <is>
          <t>Not identified</t>
        </is>
      </c>
      <c r="N64" s="4" t="inlineStr">
        <is>
          <t>Not identified</t>
        </is>
      </c>
      <c r="O64" s="4" t="inlineStr">
        <is>
          <t>manage@ark-inc.co.jp</t>
        </is>
      </c>
      <c r="P64" s="4" t="inlineStr">
        <is>
          <t>Not confirmed</t>
        </is>
      </c>
      <c r="Q64" s="4" t="inlineStr">
        <is>
          <t>Not identified</t>
        </is>
      </c>
      <c r="R64" s="5" t="inlineStr">
        <is>
          <t>Unverified</t>
        </is>
      </c>
      <c r="S64" s="4" t="n">
        <v>22</v>
      </c>
      <c r="T64" s="10" t="inlineStr">
        <is>
          <t>C</t>
        </is>
      </c>
      <c r="U64" s="4" t="inlineStr">
        <is>
          <t>Clinic opening and GP coverage; can bundle a portable ultrasound into new 開業医 packages as a sub dealer.</t>
        </is>
      </c>
      <c r="V64" s="4" t="inlineStr">
        <is>
          <t>Ask whether they bundle ultrasound into clinic opening packages and which brand they use today; propose a sub dealer role once a Japanese MAH is in place.</t>
        </is>
      </c>
      <c r="W64" s="4" t="inlineStr">
        <is>
          <t>N (not identified)</t>
        </is>
      </c>
      <c r="X64" s="7" t="inlineStr">
        <is>
          <t>https://baseconnect.in/companies/prefecture/d80b180e-5fd9-4082-8cdc-a510179a3475/keyword/088a0bed-423d-48b9-a3af-b77d98e81383</t>
        </is>
      </c>
      <c r="Y64" s="4" t="inlineStr">
        <is>
          <t>SonoAir 30 plus SonoEye P3 as a clinic opening package</t>
        </is>
      </c>
      <c r="Z64" s="4" t="inlineStr">
        <is>
          <t>2, 2, 3, 5, 3, 4, 3</t>
        </is>
      </c>
      <c r="AA64" s="4" t="inlineStr">
        <is>
          <t>Not found</t>
        </is>
      </c>
      <c r="AB64" s="4" t="inlineStr">
        <is>
          <t>Directory or search listing; not opened (direct site access blocked)</t>
        </is>
      </c>
      <c r="AC64" s="4" t="inlineStr">
        <is>
          <t>No expired licence or ended distribution agreement found</t>
        </is>
      </c>
      <c r="AD64" s="4" t="inlineStr">
        <is>
          <t>Not started</t>
        </is>
      </c>
      <c r="AE64" s="4" t="inlineStr"/>
      <c r="AF64" s="4" t="inlineStr">
        <is>
          <t>https://www.ark-inc.co.jp/recruit-contact/</t>
        </is>
      </c>
      <c r="AG64" s="4" t="inlineStr">
        <is>
          <t>Verified: published on company website</t>
        </is>
      </c>
    </row>
    <row r="65">
      <c r="A65" s="4" t="n">
        <v>61</v>
      </c>
      <c r="B65" s="4" t="inlineStr">
        <is>
          <t>Arc Medical</t>
        </is>
      </c>
      <c r="C65" s="4" t="inlineStr">
        <is>
          <t>アークメディカル</t>
        </is>
      </c>
      <c r="D65" s="4" t="inlineStr">
        <is>
          <t>Not retrieved (NTA lookup blocked in this session)</t>
        </is>
      </c>
      <c r="E65" s="4" t="inlineStr">
        <is>
          <t>大阪府</t>
        </is>
      </c>
      <c r="F65" s="4" t="inlineStr">
        <is>
          <t>Kansai</t>
        </is>
      </c>
      <c r="G65" s="4" t="inlineStr">
        <is>
          <t>http://www.arcmedical.co.jp/</t>
        </is>
      </c>
      <c r="H65" s="4" t="inlineStr">
        <is>
          <t>No MAH found; device sales licence (高度管理医療機器等販売業) not confirmed</t>
        </is>
      </c>
      <c r="I65" s="4" t="inlineStr">
        <is>
          <t>Not identified in published sources</t>
        </is>
      </c>
      <c r="J65" s="4" t="inlineStr">
        <is>
          <t>Clinics and GP (開業医)</t>
        </is>
      </c>
      <c r="K65" s="4" t="inlineStr">
        <is>
          <t>大阪府 (regional; branch network not confirmed)</t>
        </is>
      </c>
      <c r="L65" s="4" t="inlineStr">
        <is>
          <t>Not found</t>
        </is>
      </c>
      <c r="M65" s="4" t="inlineStr">
        <is>
          <t>Not identified</t>
        </is>
      </c>
      <c r="N65" s="4" t="inlineStr">
        <is>
          <t>Not identified</t>
        </is>
      </c>
      <c r="O65" s="4" t="inlineStr">
        <is>
          <t>info@arcmedical.co.jp</t>
        </is>
      </c>
      <c r="P65" s="4" t="inlineStr">
        <is>
          <t>Not confirmed</t>
        </is>
      </c>
      <c r="Q65" s="4" t="inlineStr">
        <is>
          <t>Not identified</t>
        </is>
      </c>
      <c r="R65" s="5" t="inlineStr">
        <is>
          <t>Unverified</t>
        </is>
      </c>
      <c r="S65" s="4" t="n">
        <v>22</v>
      </c>
      <c r="T65" s="10" t="inlineStr">
        <is>
          <t>C</t>
        </is>
      </c>
      <c r="U65" s="4" t="inlineStr">
        <is>
          <t>Clinic opening and GP coverage; can bundle a portable ultrasound into new 開業医 packages as a sub dealer.</t>
        </is>
      </c>
      <c r="V65" s="4" t="inlineStr">
        <is>
          <t>Ask whether they bundle ultrasound into clinic opening packages and which brand they use today; propose a sub dealer role once a Japanese MAH is in place.</t>
        </is>
      </c>
      <c r="W65" s="4" t="inlineStr">
        <is>
          <t>N (not identified)</t>
        </is>
      </c>
      <c r="X65" s="7" t="inlineStr">
        <is>
          <t>https://baseconnect.in/companies/prefecture/d80b180e-5fd9-4082-8cdc-a510179a3475/keyword/088a0bed-423d-48b9-a3af-b77d98e81383</t>
        </is>
      </c>
      <c r="Y65" s="4" t="inlineStr">
        <is>
          <t>SonoAir 30 plus SonoEye P3 as a clinic opening package</t>
        </is>
      </c>
      <c r="Z65" s="4" t="inlineStr">
        <is>
          <t>2, 2, 3, 5, 3, 4, 3</t>
        </is>
      </c>
      <c r="AA65" s="4" t="inlineStr">
        <is>
          <t>Not found</t>
        </is>
      </c>
      <c r="AB65" s="4" t="inlineStr">
        <is>
          <t>Directory or search listing; not opened (direct site access blocked)</t>
        </is>
      </c>
      <c r="AC65" s="4" t="inlineStr">
        <is>
          <t>No expired licence or ended distribution agreement found</t>
        </is>
      </c>
      <c r="AD65" s="4" t="inlineStr">
        <is>
          <t>Not started</t>
        </is>
      </c>
      <c r="AE65" s="4" t="inlineStr">
        <is>
          <t>mail.info@arcmedical.co.jp</t>
        </is>
      </c>
      <c r="AF65" s="4" t="inlineStr">
        <is>
          <t>http://www.arcmedical.co.jp/</t>
        </is>
      </c>
      <c r="AG65" s="4" t="inlineStr">
        <is>
          <t>Verified: published on company website</t>
        </is>
      </c>
    </row>
    <row r="66">
      <c r="A66" s="4" t="n">
        <v>62</v>
      </c>
      <c r="B66" s="4" t="inlineStr">
        <is>
          <t>ENT Co.</t>
        </is>
      </c>
      <c r="C66" s="4" t="inlineStr">
        <is>
          <t>ENT</t>
        </is>
      </c>
      <c r="D66" s="4" t="inlineStr">
        <is>
          <t>Not retrieved (NTA lookup blocked in this session)</t>
        </is>
      </c>
      <c r="E66" s="4" t="inlineStr">
        <is>
          <t>愛知県</t>
        </is>
      </c>
      <c r="F66" s="4" t="inlineStr">
        <is>
          <t>Chubu</t>
        </is>
      </c>
      <c r="G66" s="4" t="inlineStr">
        <is>
          <t>https://ent-m.co.jp/</t>
        </is>
      </c>
      <c r="H66" s="4" t="inlineStr">
        <is>
          <t>No MAH found; device sales licence (高度管理医療機器等販売業) not confirmed</t>
        </is>
      </c>
      <c r="I66" s="4" t="inlineStr">
        <is>
          <t>Not identified in published sources</t>
        </is>
      </c>
      <c r="J66" s="4" t="inlineStr">
        <is>
          <t>ENT, Clinics and GP (開業医)</t>
        </is>
      </c>
      <c r="K66" s="4" t="inlineStr">
        <is>
          <t>愛知県 (regional; branch network not confirmed)</t>
        </is>
      </c>
      <c r="L66" s="4" t="inlineStr">
        <is>
          <t>Not found</t>
        </is>
      </c>
      <c r="M66" s="4" t="inlineStr">
        <is>
          <t>Not identified</t>
        </is>
      </c>
      <c r="N66" s="4" t="inlineStr">
        <is>
          <t>Not identified</t>
        </is>
      </c>
      <c r="O66" s="4" t="inlineStr">
        <is>
          <t>ent@ent-m.co.jp</t>
        </is>
      </c>
      <c r="P66" s="4" t="inlineStr">
        <is>
          <t>Not confirmed</t>
        </is>
      </c>
      <c r="Q66" s="4" t="inlineStr">
        <is>
          <t>Not identified</t>
        </is>
      </c>
      <c r="R66" s="5" t="inlineStr">
        <is>
          <t>Unverified</t>
        </is>
      </c>
      <c r="S66" s="4" t="n">
        <v>22</v>
      </c>
      <c r="T66" s="10" t="inlineStr">
        <is>
          <t>C</t>
        </is>
      </c>
      <c r="U66" s="4" t="inlineStr">
        <is>
          <t>Clinic opening and GP coverage; can bundle a portable ultrasound into new 開業医 packages as a sub dealer.</t>
        </is>
      </c>
      <c r="V66" s="4" t="inlineStr">
        <is>
          <t>Ask whether they bundle ultrasound into clinic opening packages and which brand they use today; propose a sub dealer role once a Japanese MAH is in place.</t>
        </is>
      </c>
      <c r="W66" s="4" t="inlineStr">
        <is>
          <t>N (not identified)</t>
        </is>
      </c>
      <c r="X66" s="7" t="inlineStr">
        <is>
          <t>https://baseconnect.in/companies/prefecture/60622468-79bd-4eef-86f8-cb69d1ef09f0/category/b2358a1c-c4c6-46f4-a0b1-dee3a1b30a0b</t>
        </is>
      </c>
      <c r="Y66" s="4" t="inlineStr">
        <is>
          <t>SonoEye P5 for head and neck</t>
        </is>
      </c>
      <c r="Z66" s="4" t="inlineStr">
        <is>
          <t>2, 2, 3, 5, 3, 4, 3</t>
        </is>
      </c>
      <c r="AA66" s="4" t="inlineStr">
        <is>
          <t>Not found</t>
        </is>
      </c>
      <c r="AB66" s="4" t="inlineStr">
        <is>
          <t>Directory or search listing; not opened (direct site access blocked)</t>
        </is>
      </c>
      <c r="AC66" s="4" t="inlineStr">
        <is>
          <t>No expired licence or ended distribution agreement found</t>
        </is>
      </c>
      <c r="AD66" s="4" t="inlineStr">
        <is>
          <t>Not started</t>
        </is>
      </c>
      <c r="AE66" s="4" t="inlineStr"/>
      <c r="AF66" s="4" t="inlineStr">
        <is>
          <t>https://ent-m.co.jp/information/index.html</t>
        </is>
      </c>
      <c r="AG66" s="4" t="inlineStr">
        <is>
          <t>Verified: published on company website</t>
        </is>
      </c>
    </row>
    <row r="67">
      <c r="A67" s="4" t="n">
        <v>63</v>
      </c>
      <c r="B67" s="4" t="inlineStr">
        <is>
          <t>Sogo Medical</t>
        </is>
      </c>
      <c r="C67" s="4" t="inlineStr">
        <is>
          <t>総合メディカル</t>
        </is>
      </c>
      <c r="D67" s="4" t="inlineStr">
        <is>
          <t>Not retrieved (NTA lookup blocked in this session)</t>
        </is>
      </c>
      <c r="E67" s="4" t="inlineStr">
        <is>
          <t>福岡県</t>
        </is>
      </c>
      <c r="F67" s="4" t="inlineStr">
        <is>
          <t>Kyushu and Okinawa</t>
        </is>
      </c>
      <c r="G67" s="4" t="inlineStr">
        <is>
          <t>https://www.sogo-medical.co.jp/ja/index.html</t>
        </is>
      </c>
      <c r="H67" s="4" t="inlineStr">
        <is>
          <t>No MAH found; device sales licence (高度管理医療機器等販売業) not confirmed</t>
        </is>
      </c>
      <c r="I67" s="4" t="inlineStr">
        <is>
          <t>Not identified in published sources</t>
        </is>
      </c>
      <c r="J67" s="4" t="inlineStr">
        <is>
          <t>Clinics and GP (開業医), Pharma distribution</t>
        </is>
      </c>
      <c r="K67" s="4" t="inlineStr">
        <is>
          <t>福岡県; national</t>
        </is>
      </c>
      <c r="L67" s="4" t="inlineStr">
        <is>
          <t>Not found</t>
        </is>
      </c>
      <c r="M67" s="4" t="inlineStr">
        <is>
          <t>Not identified</t>
        </is>
      </c>
      <c r="N67" s="4" t="inlineStr">
        <is>
          <t>Not identified</t>
        </is>
      </c>
      <c r="O67" s="4" t="inlineStr">
        <is>
          <t>koho-ir@sogo-medical.co.jp</t>
        </is>
      </c>
      <c r="P67" s="4" t="inlineStr">
        <is>
          <t>Not confirmed</t>
        </is>
      </c>
      <c r="Q67" s="4" t="inlineStr">
        <is>
          <t>Not identified</t>
        </is>
      </c>
      <c r="R67" s="5" t="inlineStr">
        <is>
          <t>Unverified</t>
        </is>
      </c>
      <c r="S67" s="4" t="n">
        <v>22</v>
      </c>
      <c r="T67" s="10" t="inlineStr">
        <is>
          <t>C</t>
        </is>
      </c>
      <c r="U67" s="4" t="inlineStr">
        <is>
          <t>Clinic opening and GP coverage; can bundle a portable ultrasound into new 開業医 packages as a sub dealer.</t>
        </is>
      </c>
      <c r="V67" s="4" t="inlineStr">
        <is>
          <t>Ask whether they bundle ultrasound into clinic opening packages and which brand they use today; propose a sub dealer role once a Japanese MAH is in place.</t>
        </is>
      </c>
      <c r="W67" s="4" t="inlineStr">
        <is>
          <t>N (not identified)</t>
        </is>
      </c>
      <c r="X67" s="7" t="inlineStr">
        <is>
          <t>https://kyuren.jp/%E4%BC%9A%E5%93%A1%E7%B4%B9%E4%BB%8B/</t>
        </is>
      </c>
      <c r="Y67" s="4" t="inlineStr">
        <is>
          <t>SonoAir 30 plus SonoEye P3 as a clinic opening package</t>
        </is>
      </c>
      <c r="Z67" s="4" t="inlineStr">
        <is>
          <t>2, 2, 3, 5, 5, 2, 3</t>
        </is>
      </c>
      <c r="AA67" s="4" t="inlineStr">
        <is>
          <t>Not found</t>
        </is>
      </c>
      <c r="AB67" s="4" t="inlineStr">
        <is>
          <t>Directory or search listing; not opened (direct site access blocked)</t>
        </is>
      </c>
      <c r="AC67" s="4" t="inlineStr">
        <is>
          <t>No expired licence or ended distribution agreement found</t>
        </is>
      </c>
      <c r="AD67" s="4" t="inlineStr">
        <is>
          <t>Not started</t>
        </is>
      </c>
      <c r="AE67" s="4" t="inlineStr"/>
      <c r="AF67" s="4" t="inlineStr">
        <is>
          <t>https://www.sogo-medical.co.jp/ja/news/20261006_01.html</t>
        </is>
      </c>
      <c r="AG67" s="4" t="inlineStr">
        <is>
          <t>Verified: published on company website</t>
        </is>
      </c>
    </row>
    <row r="68">
      <c r="A68" s="4" t="n">
        <v>64</v>
      </c>
      <c r="B68" s="4" t="inlineStr">
        <is>
          <t>Hokkai Medical</t>
        </is>
      </c>
      <c r="C68" s="4" t="inlineStr">
        <is>
          <t>北海メディカル</t>
        </is>
      </c>
      <c r="D68" s="4" t="inlineStr">
        <is>
          <t>Not retrieved (NTA lookup blocked in this session)</t>
        </is>
      </c>
      <c r="E68" s="4" t="inlineStr">
        <is>
          <t>北海道</t>
        </is>
      </c>
      <c r="F68" s="4" t="inlineStr">
        <is>
          <t>Tohoku and Hokkaido</t>
        </is>
      </c>
      <c r="G68" s="4" t="inlineStr">
        <is>
          <t>https://hokkai-md.com/</t>
        </is>
      </c>
      <c r="H68" s="4" t="inlineStr">
        <is>
          <t>No MAH found; device sales licence (高度管理医療機器等販売業) not confirmed</t>
        </is>
      </c>
      <c r="I68" s="4" t="inlineStr">
        <is>
          <t>Not identified in published sources</t>
        </is>
      </c>
      <c r="J68" s="4" t="inlineStr">
        <is>
          <t>Clinics and GP (開業医)</t>
        </is>
      </c>
      <c r="K68" s="4" t="inlineStr">
        <is>
          <t>北海道 (regional; branch network not confirmed)</t>
        </is>
      </c>
      <c r="L68" s="4" t="inlineStr">
        <is>
          <t>Not found</t>
        </is>
      </c>
      <c r="M68" s="4" t="inlineStr">
        <is>
          <t>Not identified</t>
        </is>
      </c>
      <c r="N68" s="4" t="inlineStr">
        <is>
          <t>Not identified</t>
        </is>
      </c>
      <c r="O68" s="4" t="inlineStr">
        <is>
          <t>Not published; use company inquiry form</t>
        </is>
      </c>
      <c r="P68" s="4" t="inlineStr">
        <is>
          <t>Not confirmed</t>
        </is>
      </c>
      <c r="Q68" s="4" t="inlineStr">
        <is>
          <t>Not identified</t>
        </is>
      </c>
      <c r="R68" s="5" t="inlineStr">
        <is>
          <t>Company inquiry only</t>
        </is>
      </c>
      <c r="S68" s="4" t="n">
        <v>22</v>
      </c>
      <c r="T68" s="10" t="inlineStr">
        <is>
          <t>C</t>
        </is>
      </c>
      <c r="U68" s="4" t="inlineStr">
        <is>
          <t>Clinic opening and GP coverage; can bundle a portable ultrasound into new 開業医 packages as a sub dealer.</t>
        </is>
      </c>
      <c r="V68" s="4" t="inlineStr">
        <is>
          <t>Ask whether they bundle ultrasound into clinic opening packages and which brand they use today; propose a sub dealer role once a Japanese MAH is in place.</t>
        </is>
      </c>
      <c r="W68" s="4" t="inlineStr">
        <is>
          <t>N (not identified)</t>
        </is>
      </c>
      <c r="X68" s="7" t="inlineStr">
        <is>
          <t>https://baseconnect.in/companies/prefecture/9ebb3838-effc-47da-b634-994957a78319/keyword/89941b4e-2dd1-4848-8957-48af280a31e0</t>
        </is>
      </c>
      <c r="Y68" s="4" t="inlineStr">
        <is>
          <t>SonoAir 30 plus SonoEye P3 as a clinic opening package</t>
        </is>
      </c>
      <c r="Z68" s="4" t="inlineStr">
        <is>
          <t>2, 2, 3, 5, 3, 4, 3</t>
        </is>
      </c>
      <c r="AA68" s="4" t="inlineStr">
        <is>
          <t>Not found</t>
        </is>
      </c>
      <c r="AB68" s="4" t="inlineStr">
        <is>
          <t>Directory or search listing; not opened (direct site access blocked)</t>
        </is>
      </c>
      <c r="AC68" s="4" t="inlineStr">
        <is>
          <t>No expired licence or ended distribution agreement found</t>
        </is>
      </c>
      <c r="AD68" s="4" t="inlineStr">
        <is>
          <t>Not started</t>
        </is>
      </c>
      <c r="AE68" s="4" t="inlineStr"/>
      <c r="AF68" s="4" t="inlineStr"/>
      <c r="AG68" s="4" t="inlineStr">
        <is>
          <t>No email published; website has no contact page link, phone first</t>
        </is>
      </c>
    </row>
    <row r="69">
      <c r="A69" s="4" t="n">
        <v>65</v>
      </c>
      <c r="B69" s="4" t="inlineStr">
        <is>
          <t>Seaman</t>
        </is>
      </c>
      <c r="C69" s="4" t="inlineStr">
        <is>
          <t>シーマン</t>
        </is>
      </c>
      <c r="D69" s="4" t="inlineStr">
        <is>
          <t>Not retrieved (NTA lookup blocked in this session)</t>
        </is>
      </c>
      <c r="E69" s="4" t="inlineStr">
        <is>
          <t>大阪府</t>
        </is>
      </c>
      <c r="F69" s="4" t="inlineStr">
        <is>
          <t>Kansai</t>
        </is>
      </c>
      <c r="G69" s="4" t="inlineStr">
        <is>
          <t>https://www.sheen-man.co.jp/</t>
        </is>
      </c>
      <c r="H69" s="4" t="inlineStr">
        <is>
          <t>No MAH found; device sales licence (高度管理医療機器等販売業) not confirmed</t>
        </is>
      </c>
      <c r="I69" s="4" t="inlineStr">
        <is>
          <t>Not identified in published sources</t>
        </is>
      </c>
      <c r="J69" s="4" t="inlineStr">
        <is>
          <t>Cardiology</t>
        </is>
      </c>
      <c r="K69" s="4" t="inlineStr">
        <is>
          <t>大阪府 (regional; branch network not confirmed)</t>
        </is>
      </c>
      <c r="L69" s="4" t="inlineStr">
        <is>
          <t>Not found</t>
        </is>
      </c>
      <c r="M69" s="4" t="inlineStr">
        <is>
          <t>Not identified</t>
        </is>
      </c>
      <c r="N69" s="4" t="inlineStr">
        <is>
          <t>Not identified</t>
        </is>
      </c>
      <c r="O69" s="4" t="inlineStr">
        <is>
          <t>Not published; use contact form</t>
        </is>
      </c>
      <c r="P69" s="4" t="inlineStr">
        <is>
          <t>Not confirmed</t>
        </is>
      </c>
      <c r="Q69" s="4" t="inlineStr">
        <is>
          <t>Not identified</t>
        </is>
      </c>
      <c r="R69" s="5" t="inlineStr">
        <is>
          <t>Likely</t>
        </is>
      </c>
      <c r="S69" s="4" t="n">
        <v>21</v>
      </c>
      <c r="T69" s="10" t="inlineStr">
        <is>
          <t>C</t>
        </is>
      </c>
      <c r="U69" s="4" t="inlineStr">
        <is>
          <t>Adjacent hospital department line (no ultrasound found), which is the best recruit profile for a point of care line.</t>
        </is>
      </c>
      <c r="V69" s="4" t="inlineStr">
        <is>
          <t>Introduce CHISON as a future line through a national MAH partner; ask about their hospital and clinic coverage, service engineers and openness to non Japanese brands.</t>
        </is>
      </c>
      <c r="W69" s="4" t="inlineStr">
        <is>
          <t>N (not identified)</t>
        </is>
      </c>
      <c r="X69" s="7" t="inlineStr">
        <is>
          <t>https://baseconnect.in/companies/prefecture/d80b180e-5fd9-4082-8cdc-a510179a3475/keyword/89941b4e-2dd1-4848-8957-48af280a31e0</t>
        </is>
      </c>
      <c r="Y69" s="4" t="inlineStr">
        <is>
          <t>CBit 6 cart plus SonoEye P5 pocket echo</t>
        </is>
      </c>
      <c r="Z69" s="4" t="inlineStr">
        <is>
          <t>2, 3, 3, 3, 3, 4, 3</t>
        </is>
      </c>
      <c r="AA69" s="4" t="inlineStr">
        <is>
          <t>Not found</t>
        </is>
      </c>
      <c r="AB69" s="4" t="inlineStr">
        <is>
          <t>Directory or search listing; not opened (direct site access blocked)</t>
        </is>
      </c>
      <c r="AC69" s="4" t="inlineStr">
        <is>
          <t>No expired licence or ended distribution agreement found</t>
        </is>
      </c>
      <c r="AD69" s="4" t="inlineStr">
        <is>
          <t>Not started</t>
        </is>
      </c>
      <c r="AE69" s="4" t="inlineStr"/>
      <c r="AF69" s="4" t="inlineStr">
        <is>
          <t>https://www.sheen-man.co.jp/contact/</t>
        </is>
      </c>
      <c r="AG69" s="4" t="inlineStr">
        <is>
          <t>No email published; use the contact form (link in Email source)</t>
        </is>
      </c>
    </row>
    <row r="70">
      <c r="A70" s="4" t="n">
        <v>66</v>
      </c>
      <c r="B70" s="4" t="inlineStr">
        <is>
          <t>Ehime Iryoki</t>
        </is>
      </c>
      <c r="C70" s="4" t="inlineStr">
        <is>
          <t>エヒメ医療器</t>
        </is>
      </c>
      <c r="D70" s="4" t="inlineStr">
        <is>
          <t>Not retrieved (NTA lookup blocked in this session)</t>
        </is>
      </c>
      <c r="E70" s="4" t="inlineStr">
        <is>
          <t>愛媛県</t>
        </is>
      </c>
      <c r="F70" s="4" t="inlineStr">
        <is>
          <t>Chugoku and Shikoku</t>
        </is>
      </c>
      <c r="G70" s="4" t="inlineStr">
        <is>
          <t>https://www.ehimemedical.com/</t>
        </is>
      </c>
      <c r="H70" s="4" t="inlineStr">
        <is>
          <t>No MAH found; device sales licence (高度管理医療機器等販売業) not confirmed</t>
        </is>
      </c>
      <c r="I70" s="4" t="inlineStr">
        <is>
          <t>Not identified in published sources</t>
        </is>
      </c>
      <c r="J70" s="4" t="inlineStr">
        <is>
          <t>General medical equipment (hospitals and clinics)</t>
        </is>
      </c>
      <c r="K70" s="4" t="inlineStr">
        <is>
          <t>愛媛県 (regional; branch network not confirmed)</t>
        </is>
      </c>
      <c r="L70" s="4" t="inlineStr">
        <is>
          <t>Not found</t>
        </is>
      </c>
      <c r="M70" s="4" t="inlineStr">
        <is>
          <t>Not identified</t>
        </is>
      </c>
      <c r="N70" s="4" t="inlineStr">
        <is>
          <t>Not identified</t>
        </is>
      </c>
      <c r="O70" s="4" t="inlineStr">
        <is>
          <t>Not published; use contact form</t>
        </is>
      </c>
      <c r="P70" s="4" t="inlineStr">
        <is>
          <t>Not confirmed</t>
        </is>
      </c>
      <c r="Q70" s="4" t="inlineStr">
        <is>
          <t>Not identified</t>
        </is>
      </c>
      <c r="R70" s="5" t="inlineStr">
        <is>
          <t>Likely</t>
        </is>
      </c>
      <c r="S70" s="4" t="n">
        <v>21</v>
      </c>
      <c r="T70" s="10" t="inlineStr">
        <is>
          <t>C</t>
        </is>
      </c>
      <c r="U70" s="4" t="inlineStr">
        <is>
          <t>Regional general medical equipment dealer with hospital and clinic accounts; candidate sub dealer under a national MAH partner.</t>
        </is>
      </c>
      <c r="V70" s="4" t="inlineStr">
        <is>
          <t>Introduce CHISON as a future line through a national MAH partner; ask about their hospital and clinic coverage, service engineers and openness to non Japanese brands.</t>
        </is>
      </c>
      <c r="W70" s="4" t="inlineStr">
        <is>
          <t>N (not identified)</t>
        </is>
      </c>
      <c r="X70" s="7" t="inlineStr">
        <is>
          <t>https://baseconnect.in/companies/prefecture/18e4d2f6-9b16-4488-931c-17ced3101b74/keyword/2eca165e-bd4a-4e2e-bc44-397492071b92</t>
        </is>
      </c>
      <c r="Y70" s="4" t="inlineStr">
        <is>
          <t>SonoEye P3 plus SonoAir 30 for GP and clinic accounts</t>
        </is>
      </c>
      <c r="Z70" s="4" t="inlineStr">
        <is>
          <t>2, 2, 3, 4, 3, 4, 3</t>
        </is>
      </c>
      <c r="AA70" s="4" t="inlineStr">
        <is>
          <t>Not found</t>
        </is>
      </c>
      <c r="AB70" s="4" t="inlineStr">
        <is>
          <t>Directory or search listing; not opened (direct site access blocked)</t>
        </is>
      </c>
      <c r="AC70" s="4" t="inlineStr">
        <is>
          <t>No expired licence or ended distribution agreement found</t>
        </is>
      </c>
      <c r="AD70" s="4" t="inlineStr">
        <is>
          <t>Not started</t>
        </is>
      </c>
      <c r="AE70" s="4" t="inlineStr"/>
      <c r="AF70" s="4" t="inlineStr">
        <is>
          <t>https://www.ehimemedical.com/form/ehimemedical/contact</t>
        </is>
      </c>
      <c r="AG70" s="4" t="inlineStr">
        <is>
          <t>No email published; use the contact form (link in Email source)</t>
        </is>
      </c>
    </row>
    <row r="71">
      <c r="A71" s="4" t="n">
        <v>67</v>
      </c>
      <c r="B71" s="4" t="inlineStr">
        <is>
          <t>KI Ika Kikai</t>
        </is>
      </c>
      <c r="C71" s="4" t="inlineStr">
        <is>
          <t>ケイアイ医科器械</t>
        </is>
      </c>
      <c r="D71" s="4" t="inlineStr">
        <is>
          <t>Not retrieved (NTA lookup blocked in this session)</t>
        </is>
      </c>
      <c r="E71" s="4" t="inlineStr">
        <is>
          <t>神奈川県</t>
        </is>
      </c>
      <c r="F71" s="4" t="inlineStr">
        <is>
          <t>Kanto</t>
        </is>
      </c>
      <c r="G71" s="4" t="inlineStr">
        <is>
          <t>https://kiik.co.jp/</t>
        </is>
      </c>
      <c r="H71" s="4" t="inlineStr">
        <is>
          <t>No MAH found; device sales licence (高度管理医療機器等販売業) not confirmed</t>
        </is>
      </c>
      <c r="I71" s="4" t="inlineStr">
        <is>
          <t>Not identified in published sources</t>
        </is>
      </c>
      <c r="J71" s="4" t="inlineStr">
        <is>
          <t>General medical equipment (hospitals and clinics)</t>
        </is>
      </c>
      <c r="K71" s="4" t="inlineStr">
        <is>
          <t>神奈川県 (regional; branch network not confirmed)</t>
        </is>
      </c>
      <c r="L71" s="4" t="inlineStr">
        <is>
          <t>Not found</t>
        </is>
      </c>
      <c r="M71" s="4" t="inlineStr">
        <is>
          <t>Not identified</t>
        </is>
      </c>
      <c r="N71" s="4" t="inlineStr">
        <is>
          <t>Not identified</t>
        </is>
      </c>
      <c r="O71" s="4" t="inlineStr">
        <is>
          <t>Not published; use contact form</t>
        </is>
      </c>
      <c r="P71" s="4" t="inlineStr">
        <is>
          <t>Not confirmed</t>
        </is>
      </c>
      <c r="Q71" s="4" t="inlineStr">
        <is>
          <t>Not identified</t>
        </is>
      </c>
      <c r="R71" s="5" t="inlineStr">
        <is>
          <t>Likely</t>
        </is>
      </c>
      <c r="S71" s="4" t="n">
        <v>20</v>
      </c>
      <c r="T71" s="10" t="inlineStr">
        <is>
          <t>C</t>
        </is>
      </c>
      <c r="U71" s="4" t="inlineStr">
        <is>
          <t>Regional general medical equipment dealer with hospital and clinic accounts; candidate sub dealer under a national MAH partner.</t>
        </is>
      </c>
      <c r="V71" s="4" t="inlineStr">
        <is>
          <t>Introduce CHISON as a future line through a national MAH partner; ask about their hospital and clinic coverage, service engineers and openness to non Japanese brands.</t>
        </is>
      </c>
      <c r="W71" s="4" t="inlineStr">
        <is>
          <t>N (not identified)</t>
        </is>
      </c>
      <c r="X71" s="7" t="inlineStr">
        <is>
          <t>https://baseconnect.in/companies/prefecture/9c059a11-e5ef-470d-a270-47022ad1f973/category/e8b4fb2e-8cf9-473d-be34-3f729e65fdf3</t>
        </is>
      </c>
      <c r="Y71" s="4" t="inlineStr">
        <is>
          <t>SonoEye P3 plus SonoAir 30 for GP and clinic accounts</t>
        </is>
      </c>
      <c r="Z71" s="4" t="inlineStr">
        <is>
          <t>2, 2, 3, 3, 3, 4, 3</t>
        </is>
      </c>
      <c r="AA71" s="4" t="inlineStr">
        <is>
          <t>Not found</t>
        </is>
      </c>
      <c r="AB71" s="4" t="inlineStr">
        <is>
          <t>Recheck: no independent confirmation found; directory listing only</t>
        </is>
      </c>
      <c r="AC71" s="4" t="inlineStr">
        <is>
          <t>No expired licence or ended distribution agreement found</t>
        </is>
      </c>
      <c r="AD71" s="4" t="inlineStr">
        <is>
          <t>Not started</t>
        </is>
      </c>
      <c r="AE71" s="4" t="inlineStr"/>
      <c r="AF71" s="4" t="inlineStr">
        <is>
          <t>https://kiik.co.jp/company/contact/</t>
        </is>
      </c>
      <c r="AG71" s="4" t="inlineStr">
        <is>
          <t>No email published; use the contact form (link in Email source)</t>
        </is>
      </c>
    </row>
    <row r="72">
      <c r="A72" s="4" t="n">
        <v>68</v>
      </c>
      <c r="B72" s="4" t="inlineStr">
        <is>
          <t>Futaba (Mito)</t>
        </is>
      </c>
      <c r="C72" s="4" t="inlineStr">
        <is>
          <t>双葉</t>
        </is>
      </c>
      <c r="D72" s="4" t="inlineStr">
        <is>
          <t>Not retrieved (NTA lookup blocked in this session)</t>
        </is>
      </c>
      <c r="E72" s="4" t="inlineStr">
        <is>
          <t>茨城県</t>
        </is>
      </c>
      <c r="F72" s="4" t="inlineStr">
        <is>
          <t>Kanto</t>
        </is>
      </c>
      <c r="G72" s="4" t="inlineStr">
        <is>
          <t>http://www.futaba-ltd.co.jp/</t>
        </is>
      </c>
      <c r="H72" s="4" t="inlineStr">
        <is>
          <t>No MAH found; device sales licence (高度管理医療機器等販売業) not confirmed</t>
        </is>
      </c>
      <c r="I72" s="4" t="inlineStr">
        <is>
          <t>Not identified in published sources</t>
        </is>
      </c>
      <c r="J72" s="4" t="inlineStr">
        <is>
          <t>General medical equipment (hospitals and clinics)</t>
        </is>
      </c>
      <c r="K72" s="4" t="inlineStr">
        <is>
          <t>茨城県 (regional; branch network not confirmed)</t>
        </is>
      </c>
      <c r="L72" s="4" t="inlineStr">
        <is>
          <t>Not found</t>
        </is>
      </c>
      <c r="M72" s="4" t="inlineStr">
        <is>
          <t>Not identified</t>
        </is>
      </c>
      <c r="N72" s="4" t="inlineStr">
        <is>
          <t>Not identified</t>
        </is>
      </c>
      <c r="O72" s="4" t="inlineStr">
        <is>
          <t>futaba@futaba-ltd.co.jp</t>
        </is>
      </c>
      <c r="P72" s="4" t="inlineStr">
        <is>
          <t>Not confirmed</t>
        </is>
      </c>
      <c r="Q72" s="4" t="inlineStr">
        <is>
          <t>Not identified</t>
        </is>
      </c>
      <c r="R72" s="5" t="inlineStr">
        <is>
          <t>Unverified</t>
        </is>
      </c>
      <c r="S72" s="4" t="n">
        <v>20</v>
      </c>
      <c r="T72" s="10" t="inlineStr">
        <is>
          <t>C</t>
        </is>
      </c>
      <c r="U72" s="4" t="inlineStr">
        <is>
          <t>Regional general medical equipment dealer with hospital and clinic accounts; candidate sub dealer under a national MAH partner.</t>
        </is>
      </c>
      <c r="V72" s="4" t="inlineStr">
        <is>
          <t>Introduce CHISON as a future line through a national MAH partner; ask about their hospital and clinic coverage, service engineers and openness to non Japanese brands.</t>
        </is>
      </c>
      <c r="W72" s="4" t="inlineStr">
        <is>
          <t>N (not identified)</t>
        </is>
      </c>
      <c r="X72" s="7" t="inlineStr">
        <is>
          <t>https://baseconnect.in/companies/prefecture/d8203dea-91e2-41c3-a785-b80aa997273c/category/b2358a1c-c4c6-46f4-a0b1-dee3a1b30a0b</t>
        </is>
      </c>
      <c r="Y72" s="4" t="inlineStr">
        <is>
          <t>SonoEye P3 plus SonoAir 30 for GP and clinic accounts</t>
        </is>
      </c>
      <c r="Z72" s="4" t="inlineStr">
        <is>
          <t>2, 2, 3, 3, 3, 4, 3</t>
        </is>
      </c>
      <c r="AA72" s="4" t="inlineStr">
        <is>
          <t>Not found</t>
        </is>
      </c>
      <c r="AB72" s="4" t="inlineStr">
        <is>
          <t>Directory or search listing; not opened (direct site access blocked)</t>
        </is>
      </c>
      <c r="AC72" s="4" t="inlineStr">
        <is>
          <t>No expired licence or ended distribution agreement found</t>
        </is>
      </c>
      <c r="AD72" s="4" t="inlineStr">
        <is>
          <t>Not started</t>
        </is>
      </c>
      <c r="AE72" s="4" t="inlineStr"/>
      <c r="AF72" s="4" t="inlineStr">
        <is>
          <t>http://www.futaba-ltd.co.jp/service/eigyo/maintain/</t>
        </is>
      </c>
      <c r="AG72" s="4" t="inlineStr">
        <is>
          <t>Verified: published on company website</t>
        </is>
      </c>
    </row>
    <row r="73">
      <c r="A73" s="4" t="n">
        <v>69</v>
      </c>
      <c r="B73" s="4" t="inlineStr">
        <is>
          <t>Nishimura Ika Kikai</t>
        </is>
      </c>
      <c r="C73" s="4" t="inlineStr">
        <is>
          <t>西村医科器械</t>
        </is>
      </c>
      <c r="D73" s="4" t="inlineStr">
        <is>
          <t>Not retrieved (NTA lookup blocked in this session)</t>
        </is>
      </c>
      <c r="E73" s="4" t="inlineStr">
        <is>
          <t>京都府</t>
        </is>
      </c>
      <c r="F73" s="4" t="inlineStr">
        <is>
          <t>Kansai</t>
        </is>
      </c>
      <c r="G73" s="4" t="inlineStr">
        <is>
          <t>https://nime.co.jp/</t>
        </is>
      </c>
      <c r="H73" s="4" t="inlineStr">
        <is>
          <t>No MAH found; device sales licence (高度管理医療機器等販売業) not confirmed</t>
        </is>
      </c>
      <c r="I73" s="4" t="inlineStr">
        <is>
          <t>Not identified in published sources</t>
        </is>
      </c>
      <c r="J73" s="4" t="inlineStr">
        <is>
          <t>General medical equipment (hospitals and clinics)</t>
        </is>
      </c>
      <c r="K73" s="4" t="inlineStr">
        <is>
          <t>京都府; Kansai</t>
        </is>
      </c>
      <c r="L73" s="4" t="inlineStr">
        <is>
          <t>Not found</t>
        </is>
      </c>
      <c r="M73" s="4" t="inlineStr">
        <is>
          <t>Not identified</t>
        </is>
      </c>
      <c r="N73" s="4" t="inlineStr">
        <is>
          <t>Not identified</t>
        </is>
      </c>
      <c r="O73" s="4" t="inlineStr">
        <is>
          <t>overseas@nime.co.jp</t>
        </is>
      </c>
      <c r="P73" s="4" t="inlineStr">
        <is>
          <t>Not confirmed</t>
        </is>
      </c>
      <c r="Q73" s="4" t="inlineStr">
        <is>
          <t>Not identified</t>
        </is>
      </c>
      <c r="R73" s="5" t="inlineStr">
        <is>
          <t>Unverified</t>
        </is>
      </c>
      <c r="S73" s="4" t="n">
        <v>20</v>
      </c>
      <c r="T73" s="10" t="inlineStr">
        <is>
          <t>C</t>
        </is>
      </c>
      <c r="U73" s="4" t="inlineStr">
        <is>
          <t>Regional general medical equipment dealer with hospital and clinic accounts; candidate sub dealer under a national MAH partner.</t>
        </is>
      </c>
      <c r="V73" s="4" t="inlineStr">
        <is>
          <t>Introduce CHISON as a future line through a national MAH partner; ask about their hospital and clinic coverage, service engineers and openness to non Japanese brands.</t>
        </is>
      </c>
      <c r="W73" s="4" t="inlineStr">
        <is>
          <t>N (not identified)</t>
        </is>
      </c>
      <c r="X73" s="7" t="inlineStr">
        <is>
          <t>https://baseconnect.in/companies/prefecture/63038c5a-e328-472b-b9cc-039738609ba7/keyword/14f3dcec-9cd5-4be5-84e1-ddccb7bd228c</t>
        </is>
      </c>
      <c r="Y73" s="4" t="inlineStr">
        <is>
          <t>SonoEye P3 plus SonoAir 30 for GP and clinic accounts</t>
        </is>
      </c>
      <c r="Z73" s="4" t="inlineStr">
        <is>
          <t>2, 2, 3, 4, 4, 2, 3</t>
        </is>
      </c>
      <c r="AA73" s="4" t="inlineStr">
        <is>
          <t>Not found</t>
        </is>
      </c>
      <c r="AB73" s="4" t="inlineStr">
        <is>
          <t>Directory or search listing; not opened (direct site access blocked)</t>
        </is>
      </c>
      <c r="AC73" s="4" t="inlineStr">
        <is>
          <t>No expired licence or ended distribution agreement found</t>
        </is>
      </c>
      <c r="AD73" s="4" t="inlineStr">
        <is>
          <t>Not started</t>
        </is>
      </c>
      <c r="AE73" s="4" t="inlineStr"/>
      <c r="AF73" s="4" t="inlineStr">
        <is>
          <t>https://nime.co.jp/overseas/pages/27/</t>
        </is>
      </c>
      <c r="AG73" s="4" t="inlineStr">
        <is>
          <t>Verified: published on company website</t>
        </is>
      </c>
    </row>
    <row r="74">
      <c r="A74" s="4" t="n">
        <v>70</v>
      </c>
      <c r="B74" s="4" t="inlineStr">
        <is>
          <t>Ishiguro Medical System</t>
        </is>
      </c>
      <c r="C74" s="4" t="inlineStr">
        <is>
          <t>石黒メディカルシステム</t>
        </is>
      </c>
      <c r="D74" s="4" t="inlineStr">
        <is>
          <t>Not retrieved (NTA lookup blocked in this session)</t>
        </is>
      </c>
      <c r="E74" s="4" t="inlineStr">
        <is>
          <t>京都府</t>
        </is>
      </c>
      <c r="F74" s="4" t="inlineStr">
        <is>
          <t>Kansai</t>
        </is>
      </c>
      <c r="G74" s="4" t="inlineStr">
        <is>
          <t>Not confirmed (company site not opened; network policy blocked direct access)</t>
        </is>
      </c>
      <c r="H74" s="4" t="inlineStr">
        <is>
          <t>No MAH found; device sales licence (高度管理医療機器等販売業) not confirmed</t>
        </is>
      </c>
      <c r="I74" s="4" t="inlineStr">
        <is>
          <t>Not identified in published sources</t>
        </is>
      </c>
      <c r="J74" s="4" t="inlineStr">
        <is>
          <t>Clinics and GP (開業医), Pharma distribution</t>
        </is>
      </c>
      <c r="K74" s="4" t="inlineStr">
        <is>
          <t>京都府 (regional; branch network not confirmed)</t>
        </is>
      </c>
      <c r="L74" s="4" t="inlineStr">
        <is>
          <t>Est 1946</t>
        </is>
      </c>
      <c r="M74" s="4" t="inlineStr">
        <is>
          <t>Not identified</t>
        </is>
      </c>
      <c r="N74" s="4" t="inlineStr">
        <is>
          <t>Not identified</t>
        </is>
      </c>
      <c r="O74" s="4" t="inlineStr">
        <is>
          <t>soumu@ishiguro-medical.jp</t>
        </is>
      </c>
      <c r="P74" s="4" t="inlineStr">
        <is>
          <t>Not confirmed</t>
        </is>
      </c>
      <c r="Q74" s="4" t="inlineStr">
        <is>
          <t>Not identified</t>
        </is>
      </c>
      <c r="R74" s="5" t="inlineStr">
        <is>
          <t>Unverified</t>
        </is>
      </c>
      <c r="S74" s="4" t="n">
        <v>20</v>
      </c>
      <c r="T74" s="10" t="inlineStr">
        <is>
          <t>C</t>
        </is>
      </c>
      <c r="U74" s="4" t="inlineStr">
        <is>
          <t>Clinic opening and GP coverage; can bundle a portable ultrasound into new 開業医 packages as a sub dealer.</t>
        </is>
      </c>
      <c r="V74" s="4" t="inlineStr">
        <is>
          <t>Ask whether they bundle ultrasound into clinic opening packages and which brand they use today; propose a sub dealer role once a Japanese MAH is in place.</t>
        </is>
      </c>
      <c r="W74" s="4" t="inlineStr">
        <is>
          <t>N (not identified)</t>
        </is>
      </c>
      <c r="X74" s="7" t="inlineStr">
        <is>
          <t>https://www.openwork.jp/a0C1000000nInR1/job/ ; https://baseconnect.in/companies/prefecture/63038c5a-e328-472b-b9cc-039738609ba7/keyword/14f3dcec-9cd5-4be5-84e1-ddccb7bd228c ; https://compalyze.co.jp/company/3130001011567</t>
        </is>
      </c>
      <c r="Y74" s="4" t="inlineStr">
        <is>
          <t>SonoAir 30 plus SonoEye P3 as a clinic opening package</t>
        </is>
      </c>
      <c r="Z74" s="4" t="inlineStr">
        <is>
          <t>2, 2, 3, 5, 3, 2, 3</t>
        </is>
      </c>
      <c r="AA74" s="4" t="inlineStr">
        <is>
          <t>Not found</t>
        </is>
      </c>
      <c r="AB74" s="4" t="inlineStr">
        <is>
          <t>Verified in 10% recheck</t>
        </is>
      </c>
      <c r="AC74" s="4" t="inlineStr">
        <is>
          <t>No expired licence or ended distribution agreement found</t>
        </is>
      </c>
      <c r="AD74" s="4" t="inlineStr">
        <is>
          <t>Not started</t>
        </is>
      </c>
      <c r="AE74" s="4" t="inlineStr"/>
      <c r="AF74" s="4" t="inlineStr">
        <is>
          <t>http://www.mia-kyoto.gr.jp/members/ishiguro.html</t>
        </is>
      </c>
      <c r="AG74" s="4" t="inlineStr">
        <is>
          <t>Likely: third party listing, check before sending</t>
        </is>
      </c>
    </row>
    <row r="75">
      <c r="A75" s="4" t="n">
        <v>71</v>
      </c>
      <c r="B75" s="4" t="inlineStr">
        <is>
          <t>Date Medical Service</t>
        </is>
      </c>
      <c r="C75" s="4" t="inlineStr">
        <is>
          <t>ダテ・メディカルサービス</t>
        </is>
      </c>
      <c r="D75" s="4" t="inlineStr">
        <is>
          <t>Not retrieved (NTA lookup blocked in this session)</t>
        </is>
      </c>
      <c r="E75" s="4" t="inlineStr">
        <is>
          <t>京都府</t>
        </is>
      </c>
      <c r="F75" s="4" t="inlineStr">
        <is>
          <t>Kansai</t>
        </is>
      </c>
      <c r="G75" s="4" t="inlineStr">
        <is>
          <t>https://dt-med.co.jp/</t>
        </is>
      </c>
      <c r="H75" s="4" t="inlineStr">
        <is>
          <t>No MAH found; device sales licence (高度管理医療機器等販売業) not confirmed</t>
        </is>
      </c>
      <c r="I75" s="4" t="inlineStr">
        <is>
          <t>Not identified in published sources</t>
        </is>
      </c>
      <c r="J75" s="4" t="inlineStr">
        <is>
          <t>General medical equipment (hospitals and clinics)</t>
        </is>
      </c>
      <c r="K75" s="4" t="inlineStr">
        <is>
          <t>京都府 (regional; branch network not confirmed)</t>
        </is>
      </c>
      <c r="L75" s="4" t="inlineStr">
        <is>
          <t>Not found</t>
        </is>
      </c>
      <c r="M75" s="4" t="inlineStr">
        <is>
          <t>Not identified</t>
        </is>
      </c>
      <c r="N75" s="4" t="inlineStr">
        <is>
          <t>Not identified</t>
        </is>
      </c>
      <c r="O75" s="4" t="inlineStr">
        <is>
          <t>Not published; use contact form</t>
        </is>
      </c>
      <c r="P75" s="4" t="inlineStr">
        <is>
          <t>Not confirmed</t>
        </is>
      </c>
      <c r="Q75" s="4" t="inlineStr">
        <is>
          <t>Not identified</t>
        </is>
      </c>
      <c r="R75" s="5" t="inlineStr">
        <is>
          <t>Likely</t>
        </is>
      </c>
      <c r="S75" s="4" t="n">
        <v>20</v>
      </c>
      <c r="T75" s="10" t="inlineStr">
        <is>
          <t>C</t>
        </is>
      </c>
      <c r="U75" s="4" t="inlineStr">
        <is>
          <t>Regional general medical equipment dealer with hospital and clinic accounts; candidate sub dealer under a national MAH partner.</t>
        </is>
      </c>
      <c r="V75" s="4" t="inlineStr">
        <is>
          <t>Introduce CHISON as a future line through a national MAH partner; ask about their hospital and clinic coverage, service engineers and openness to non Japanese brands.</t>
        </is>
      </c>
      <c r="W75" s="4" t="inlineStr">
        <is>
          <t>N (not identified)</t>
        </is>
      </c>
      <c r="X75" s="7" t="inlineStr">
        <is>
          <t>https://baseconnect.in/companies/prefecture/63038c5a-e328-472b-b9cc-039738609ba7/keyword/14f3dcec-9cd5-4be5-84e1-ddccb7bd228c</t>
        </is>
      </c>
      <c r="Y75" s="4" t="inlineStr">
        <is>
          <t>SonoEye P3 plus SonoAir 30 for GP and clinic accounts</t>
        </is>
      </c>
      <c r="Z75" s="4" t="inlineStr">
        <is>
          <t>2, 2, 3, 3, 3, 4, 3</t>
        </is>
      </c>
      <c r="AA75" s="4" t="inlineStr">
        <is>
          <t>Not found</t>
        </is>
      </c>
      <c r="AB75" s="4" t="inlineStr">
        <is>
          <t>Directory or search listing; not opened (direct site access blocked)</t>
        </is>
      </c>
      <c r="AC75" s="4" t="inlineStr">
        <is>
          <t>No expired licence or ended distribution agreement found</t>
        </is>
      </c>
      <c r="AD75" s="4" t="inlineStr">
        <is>
          <t>Not started</t>
        </is>
      </c>
      <c r="AE75" s="4" t="inlineStr"/>
      <c r="AF75" s="4" t="inlineStr">
        <is>
          <t>https://dt-med.co.jp/contact/</t>
        </is>
      </c>
      <c r="AG75" s="4" t="inlineStr">
        <is>
          <t>No email published; use the contact form (link in Email source)</t>
        </is>
      </c>
    </row>
    <row r="76">
      <c r="A76" s="4" t="n">
        <v>72</v>
      </c>
      <c r="B76" s="4" t="inlineStr">
        <is>
          <t>Green Hospital Supply</t>
        </is>
      </c>
      <c r="C76" s="4" t="inlineStr">
        <is>
          <t>グリーンホスピタルサプライ</t>
        </is>
      </c>
      <c r="D76" s="4" t="inlineStr">
        <is>
          <t>Not retrieved (NTA lookup blocked in this session)</t>
        </is>
      </c>
      <c r="E76" s="4" t="inlineStr">
        <is>
          <t>大阪府</t>
        </is>
      </c>
      <c r="F76" s="4" t="inlineStr">
        <is>
          <t>Kansai</t>
        </is>
      </c>
      <c r="G76" s="4" t="inlineStr">
        <is>
          <t>https://ghs-inc.co.jp/</t>
        </is>
      </c>
      <c r="H76" s="4" t="inlineStr">
        <is>
          <t>No MAH found; device sales licence (高度管理医療機器等販売業) not confirmed</t>
        </is>
      </c>
      <c r="I76" s="4" t="inlineStr">
        <is>
          <t>Not identified in published sources</t>
        </is>
      </c>
      <c r="J76" s="4" t="inlineStr">
        <is>
          <t>General medical equipment (hospitals and clinics)</t>
        </is>
      </c>
      <c r="K76" s="4" t="inlineStr">
        <is>
          <t>大阪府 (regional; branch network not confirmed)</t>
        </is>
      </c>
      <c r="L76" s="4" t="inlineStr">
        <is>
          <t>Not found</t>
        </is>
      </c>
      <c r="M76" s="4" t="inlineStr">
        <is>
          <t>Not identified</t>
        </is>
      </c>
      <c r="N76" s="4" t="inlineStr">
        <is>
          <t>Not identified</t>
        </is>
      </c>
      <c r="O76" s="4" t="inlineStr">
        <is>
          <t>well-being-info@ghs-inc.co.jp</t>
        </is>
      </c>
      <c r="P76" s="4" t="inlineStr">
        <is>
          <t>Not confirmed</t>
        </is>
      </c>
      <c r="Q76" s="4" t="inlineStr">
        <is>
          <t>Not identified</t>
        </is>
      </c>
      <c r="R76" s="5" t="inlineStr">
        <is>
          <t>Unverified</t>
        </is>
      </c>
      <c r="S76" s="4" t="n">
        <v>20</v>
      </c>
      <c r="T76" s="10" t="inlineStr">
        <is>
          <t>C</t>
        </is>
      </c>
      <c r="U76" s="4" t="inlineStr">
        <is>
          <t>Low fit: mainly welfare or care equipment; only for home care handheld use.</t>
        </is>
      </c>
      <c r="V76" s="4" t="inlineStr">
        <is>
          <t>Introduce CHISON as a future line through a national MAH partner; ask about their hospital and clinic coverage, service engineers and openness to non Japanese brands.</t>
        </is>
      </c>
      <c r="W76" s="4" t="inlineStr">
        <is>
          <t>N (not identified)</t>
        </is>
      </c>
      <c r="X76" s="7" t="inlineStr">
        <is>
          <t>https://baseconnect.in/companies/prefecture/d80b180e-5fd9-4082-8cdc-a510179a3475/keyword/89941b4e-2dd1-4848-8957-48af280a31e0</t>
        </is>
      </c>
      <c r="Y76" s="4" t="inlineStr">
        <is>
          <t>SonoEye P3 plus SonoAir 30 for GP and clinic accounts</t>
        </is>
      </c>
      <c r="Z76" s="4" t="inlineStr">
        <is>
          <t>2, 2, 3, 3, 5, 2, 3</t>
        </is>
      </c>
      <c r="AA76" s="4" t="inlineStr">
        <is>
          <t>Not found</t>
        </is>
      </c>
      <c r="AB76" s="4" t="inlineStr">
        <is>
          <t>Directory or search listing; not opened (direct site access blocked)</t>
        </is>
      </c>
      <c r="AC76" s="4" t="inlineStr">
        <is>
          <t>Holding group overlap: Ship Healthcare group (existing row 8). Ask Ship which entity owns imaging. No expired licence or ended distribution agreement found</t>
        </is>
      </c>
      <c r="AD76" s="4" t="inlineStr">
        <is>
          <t>Not started</t>
        </is>
      </c>
      <c r="AE76" s="4" t="inlineStr">
        <is>
          <t>recruiting_team@ghs-inc.co.jp</t>
        </is>
      </c>
      <c r="AF76" s="4" t="inlineStr">
        <is>
          <t>https://ghs-inc.co.jp/feed/</t>
        </is>
      </c>
      <c r="AG76" s="4" t="inlineStr">
        <is>
          <t>Verified: published on company website</t>
        </is>
      </c>
    </row>
    <row r="77">
      <c r="A77" s="4" t="n">
        <v>73</v>
      </c>
      <c r="B77" s="4" t="inlineStr">
        <is>
          <t>Meditake</t>
        </is>
      </c>
      <c r="C77" s="4" t="inlineStr">
        <is>
          <t>メディテイク</t>
        </is>
      </c>
      <c r="D77" s="4" t="inlineStr">
        <is>
          <t>Not retrieved (NTA lookup blocked in this session)</t>
        </is>
      </c>
      <c r="E77" s="4" t="inlineStr">
        <is>
          <t>大阪府</t>
        </is>
      </c>
      <c r="F77" s="4" t="inlineStr">
        <is>
          <t>Kansai</t>
        </is>
      </c>
      <c r="G77" s="4" t="inlineStr">
        <is>
          <t>https://meditake.jp/</t>
        </is>
      </c>
      <c r="H77" s="4" t="inlineStr">
        <is>
          <t>No MAH found; device sales licence (高度管理医療機器等販売業) not confirmed</t>
        </is>
      </c>
      <c r="I77" s="4" t="inlineStr">
        <is>
          <t>Not identified in published sources</t>
        </is>
      </c>
      <c r="J77" s="4" t="inlineStr">
        <is>
          <t>Clinics and GP (開業医)</t>
        </is>
      </c>
      <c r="K77" s="4" t="inlineStr">
        <is>
          <t>大阪府 (regional; branch network not confirmed)</t>
        </is>
      </c>
      <c r="L77" s="4" t="inlineStr">
        <is>
          <t>Not found</t>
        </is>
      </c>
      <c r="M77" s="4" t="inlineStr">
        <is>
          <t>Not identified</t>
        </is>
      </c>
      <c r="N77" s="4" t="inlineStr">
        <is>
          <t>Not identified</t>
        </is>
      </c>
      <c r="O77" s="4" t="inlineStr">
        <is>
          <t>Not published; use contact form</t>
        </is>
      </c>
      <c r="P77" s="4" t="inlineStr">
        <is>
          <t>Not confirmed</t>
        </is>
      </c>
      <c r="Q77" s="4" t="inlineStr">
        <is>
          <t>Not identified</t>
        </is>
      </c>
      <c r="R77" s="5" t="inlineStr">
        <is>
          <t>Likely</t>
        </is>
      </c>
      <c r="S77" s="4" t="n">
        <v>20</v>
      </c>
      <c r="T77" s="10" t="inlineStr">
        <is>
          <t>C</t>
        </is>
      </c>
      <c r="U77" s="4" t="inlineStr">
        <is>
          <t>Clinic opening and GP coverage; can bundle a portable ultrasound into new 開業医 packages as a sub dealer.</t>
        </is>
      </c>
      <c r="V77" s="4" t="inlineStr">
        <is>
          <t>Ask whether they bundle ultrasound into clinic opening packages and which brand they use today; propose a sub dealer role once a Japanese MAH is in place.</t>
        </is>
      </c>
      <c r="W77" s="4" t="inlineStr">
        <is>
          <t>N (not identified)</t>
        </is>
      </c>
      <c r="X77" s="7" t="inlineStr">
        <is>
          <t>https://baseconnect.in/companies/prefecture/d80b180e-5fd9-4082-8cdc-a510179a3475/keyword/89941b4e-2dd1-4848-8957-48af280a31e0</t>
        </is>
      </c>
      <c r="Y77" s="4" t="inlineStr">
        <is>
          <t>SonoAir 30 plus SonoEye P3 as a clinic opening package</t>
        </is>
      </c>
      <c r="Z77" s="4" t="inlineStr">
        <is>
          <t>2, 2, 3, 5, 3, 2, 3</t>
        </is>
      </c>
      <c r="AA77" s="4" t="inlineStr">
        <is>
          <t>Not found</t>
        </is>
      </c>
      <c r="AB77" s="4" t="inlineStr">
        <is>
          <t>Directory or search listing; not opened (direct site access blocked)</t>
        </is>
      </c>
      <c r="AC77" s="4" t="inlineStr">
        <is>
          <t>No expired licence or ended distribution agreement found</t>
        </is>
      </c>
      <c r="AD77" s="4" t="inlineStr">
        <is>
          <t>Not started</t>
        </is>
      </c>
      <c r="AE77" s="4" t="inlineStr"/>
      <c r="AF77" s="4" t="inlineStr">
        <is>
          <t>https://meditake.jp/contact</t>
        </is>
      </c>
      <c r="AG77" s="4" t="inlineStr">
        <is>
          <t>No email published; use the contact form (link in Email source)</t>
        </is>
      </c>
    </row>
    <row r="78">
      <c r="A78" s="4" t="n">
        <v>74</v>
      </c>
      <c r="B78" s="4" t="inlineStr">
        <is>
          <t>Planet Medical</t>
        </is>
      </c>
      <c r="C78" s="4" t="inlineStr">
        <is>
          <t>プラネットメディカル</t>
        </is>
      </c>
      <c r="D78" s="4" t="inlineStr">
        <is>
          <t>Not retrieved (NTA lookup blocked in this session)</t>
        </is>
      </c>
      <c r="E78" s="4" t="inlineStr">
        <is>
          <t>大阪府</t>
        </is>
      </c>
      <c r="F78" s="4" t="inlineStr">
        <is>
          <t>Kansai</t>
        </is>
      </c>
      <c r="G78" s="4" t="inlineStr">
        <is>
          <t>https://planetmedical.biz/</t>
        </is>
      </c>
      <c r="H78" s="4" t="inlineStr">
        <is>
          <t>No MAH found; device sales licence (高度管理医療機器等販売業) not confirmed</t>
        </is>
      </c>
      <c r="I78" s="4" t="inlineStr">
        <is>
          <t>Not identified in published sources</t>
        </is>
      </c>
      <c r="J78" s="4" t="inlineStr">
        <is>
          <t>Clinics and GP (開業医)</t>
        </is>
      </c>
      <c r="K78" s="4" t="inlineStr">
        <is>
          <t>大阪府 (regional; branch network not confirmed)</t>
        </is>
      </c>
      <c r="L78" s="4" t="inlineStr">
        <is>
          <t>Not found</t>
        </is>
      </c>
      <c r="M78" s="4" t="inlineStr">
        <is>
          <t>Not identified</t>
        </is>
      </c>
      <c r="N78" s="4" t="inlineStr">
        <is>
          <t>Not identified</t>
        </is>
      </c>
      <c r="O78" s="4" t="inlineStr">
        <is>
          <t>info@planetmedical.biz</t>
        </is>
      </c>
      <c r="P78" s="4" t="inlineStr">
        <is>
          <t>Not confirmed</t>
        </is>
      </c>
      <c r="Q78" s="4" t="inlineStr">
        <is>
          <t>Not identified</t>
        </is>
      </c>
      <c r="R78" s="5" t="inlineStr">
        <is>
          <t>Unverified</t>
        </is>
      </c>
      <c r="S78" s="4" t="n">
        <v>20</v>
      </c>
      <c r="T78" s="10" t="inlineStr">
        <is>
          <t>C</t>
        </is>
      </c>
      <c r="U78" s="4" t="inlineStr">
        <is>
          <t>Clinic opening and GP coverage; can bundle a portable ultrasound into new 開業医 packages as a sub dealer.</t>
        </is>
      </c>
      <c r="V78" s="4" t="inlineStr">
        <is>
          <t>Ask whether they bundle ultrasound into clinic opening packages and which brand they use today; propose a sub dealer role once a Japanese MAH is in place.</t>
        </is>
      </c>
      <c r="W78" s="4" t="inlineStr">
        <is>
          <t>N (not identified)</t>
        </is>
      </c>
      <c r="X78" s="7" t="inlineStr">
        <is>
          <t>https://baseconnect.in/companies/prefecture/d80b180e-5fd9-4082-8cdc-a510179a3475/keyword/088a0bed-423d-48b9-a3af-b77d98e81383</t>
        </is>
      </c>
      <c r="Y78" s="4" t="inlineStr">
        <is>
          <t>SonoAir 30 plus SonoEye P3 as a clinic opening package</t>
        </is>
      </c>
      <c r="Z78" s="4" t="inlineStr">
        <is>
          <t>2, 2, 3, 5, 3, 2, 3</t>
        </is>
      </c>
      <c r="AA78" s="4" t="inlineStr">
        <is>
          <t>Not found</t>
        </is>
      </c>
      <c r="AB78" s="4" t="inlineStr">
        <is>
          <t>Directory or search listing; not opened (direct site access blocked)</t>
        </is>
      </c>
      <c r="AC78" s="4" t="inlineStr">
        <is>
          <t>No expired licence or ended distribution agreement found</t>
        </is>
      </c>
      <c r="AD78" s="4" t="inlineStr">
        <is>
          <t>Not started</t>
        </is>
      </c>
      <c r="AE78" s="4" t="inlineStr"/>
      <c r="AF78" s="4" t="inlineStr">
        <is>
          <t>https://planetmedical.biz/</t>
        </is>
      </c>
      <c r="AG78" s="4" t="inlineStr">
        <is>
          <t>Verified: published on company website</t>
        </is>
      </c>
    </row>
    <row r="79">
      <c r="A79" s="4" t="n">
        <v>75</v>
      </c>
      <c r="B79" s="4" t="inlineStr">
        <is>
          <t>Form</t>
        </is>
      </c>
      <c r="C79" s="4" t="inlineStr">
        <is>
          <t>フォーム</t>
        </is>
      </c>
      <c r="D79" s="4" t="inlineStr">
        <is>
          <t>Not retrieved (NTA lookup blocked in this session)</t>
        </is>
      </c>
      <c r="E79" s="4" t="inlineStr">
        <is>
          <t>三重県</t>
        </is>
      </c>
      <c r="F79" s="4" t="inlineStr">
        <is>
          <t>Chubu</t>
        </is>
      </c>
      <c r="G79" s="4" t="inlineStr">
        <is>
          <t>https://www.m-form.co.jp/</t>
        </is>
      </c>
      <c r="H79" s="4" t="inlineStr">
        <is>
          <t>No MAH found; device sales licence (高度管理医療機器等販売業) not confirmed</t>
        </is>
      </c>
      <c r="I79" s="4" t="inlineStr">
        <is>
          <t>Not identified in published sources</t>
        </is>
      </c>
      <c r="J79" s="4" t="inlineStr">
        <is>
          <t>Hospitals</t>
        </is>
      </c>
      <c r="K79" s="4" t="inlineStr">
        <is>
          <t>三重県; Tsu and Nagoya</t>
        </is>
      </c>
      <c r="L79" s="4" t="inlineStr">
        <is>
          <t>Not found</t>
        </is>
      </c>
      <c r="M79" s="4" t="inlineStr">
        <is>
          <t>Not identified</t>
        </is>
      </c>
      <c r="N79" s="4" t="inlineStr">
        <is>
          <t>Not identified</t>
        </is>
      </c>
      <c r="O79" s="4" t="inlineStr">
        <is>
          <t>jinji@m-form.co.jp</t>
        </is>
      </c>
      <c r="P79" s="4" t="inlineStr">
        <is>
          <t>Not confirmed</t>
        </is>
      </c>
      <c r="Q79" s="4" t="inlineStr">
        <is>
          <t>Not identified</t>
        </is>
      </c>
      <c r="R79" s="5" t="inlineStr">
        <is>
          <t>Unverified</t>
        </is>
      </c>
      <c r="S79" s="4" t="n">
        <v>20</v>
      </c>
      <c r="T79" s="10" t="inlineStr">
        <is>
          <t>C</t>
        </is>
      </c>
      <c r="U79" s="4" t="inlineStr">
        <is>
          <t>Regional general medical equipment dealer with hospital and clinic accounts; candidate sub dealer under a national MAH partner.</t>
        </is>
      </c>
      <c r="V79" s="4" t="inlineStr">
        <is>
          <t>Introduce CHISON as a future line through a national MAH partner; ask about their hospital and clinic coverage, service engineers and openness to non Japanese brands.</t>
        </is>
      </c>
      <c r="W79" s="4" t="inlineStr">
        <is>
          <t>N (not identified)</t>
        </is>
      </c>
      <c r="X79" s="7" t="inlineStr">
        <is>
          <t>https://mynavi-agent.jp/corpdetail/25173/</t>
        </is>
      </c>
      <c r="Y79" s="4" t="inlineStr">
        <is>
          <t>SonoEye P3 plus SonoAir 30 for GP and clinic accounts</t>
        </is>
      </c>
      <c r="Z79" s="4" t="inlineStr">
        <is>
          <t>2, 2, 3, 4, 4, 2, 3</t>
        </is>
      </c>
      <c r="AA79" s="4" t="inlineStr">
        <is>
          <t>Not found</t>
        </is>
      </c>
      <c r="AB79" s="4" t="inlineStr">
        <is>
          <t>Directory or search listing; not opened (direct site access blocked)</t>
        </is>
      </c>
      <c r="AC79" s="4" t="inlineStr">
        <is>
          <t>No expired licence or ended distribution agreement found</t>
        </is>
      </c>
      <c r="AD79" s="4" t="inlineStr">
        <is>
          <t>Not started</t>
        </is>
      </c>
      <c r="AE79" s="4" t="inlineStr"/>
      <c r="AF79" s="4" t="inlineStr">
        <is>
          <t>https://www.m-form.co.jp/company/compliance/compliance-82294-52114/index.html</t>
        </is>
      </c>
      <c r="AG79" s="4" t="inlineStr">
        <is>
          <t>Verified: published on company website; HR or recruitment inbox, ask to forward to sales</t>
        </is>
      </c>
    </row>
    <row r="80">
      <c r="A80" s="4" t="n">
        <v>76</v>
      </c>
      <c r="B80" s="4" t="inlineStr">
        <is>
          <t>Nakagawa Iryo Kikai</t>
        </is>
      </c>
      <c r="C80" s="4" t="inlineStr">
        <is>
          <t>中川医療器械</t>
        </is>
      </c>
      <c r="D80" s="4" t="inlineStr">
        <is>
          <t>Not retrieved (NTA lookup blocked in this session)</t>
        </is>
      </c>
      <c r="E80" s="4" t="inlineStr">
        <is>
          <t>富山県</t>
        </is>
      </c>
      <c r="F80" s="4" t="inlineStr">
        <is>
          <t>Chubu</t>
        </is>
      </c>
      <c r="G80" s="4" t="inlineStr">
        <is>
          <t>Not confirmed (company site not opened; network policy blocked direct access)</t>
        </is>
      </c>
      <c r="H80" s="4" t="inlineStr">
        <is>
          <t>No MAH found; device sales licence (高度管理医療機器等販売業) not confirmed</t>
        </is>
      </c>
      <c r="I80" s="4" t="inlineStr">
        <is>
          <t>Not identified in published sources</t>
        </is>
      </c>
      <c r="J80" s="4" t="inlineStr">
        <is>
          <t>Hospitals</t>
        </is>
      </c>
      <c r="K80" s="4" t="inlineStr">
        <is>
          <t>富山県; Ishikawa Toyama</t>
        </is>
      </c>
      <c r="L80" s="4" t="inlineStr">
        <is>
          <t>Not found</t>
        </is>
      </c>
      <c r="M80" s="4" t="inlineStr">
        <is>
          <t>Not identified</t>
        </is>
      </c>
      <c r="N80" s="4" t="inlineStr">
        <is>
          <t>Not identified</t>
        </is>
      </c>
      <c r="O80" s="4" t="inlineStr">
        <is>
          <t>Not published; use company inquiry form</t>
        </is>
      </c>
      <c r="P80" s="4" t="inlineStr">
        <is>
          <t>Not confirmed</t>
        </is>
      </c>
      <c r="Q80" s="4" t="inlineStr">
        <is>
          <t>Not identified</t>
        </is>
      </c>
      <c r="R80" s="5" t="inlineStr">
        <is>
          <t>Unverified</t>
        </is>
      </c>
      <c r="S80" s="4" t="n">
        <v>20</v>
      </c>
      <c r="T80" s="10" t="inlineStr">
        <is>
          <t>C</t>
        </is>
      </c>
      <c r="U80" s="4" t="inlineStr">
        <is>
          <t>Regional general medical equipment dealer with hospital and clinic accounts; candidate sub dealer under a national MAH partner.</t>
        </is>
      </c>
      <c r="V80" s="4" t="inlineStr">
        <is>
          <t>Introduce CHISON as a future line through a national MAH partner; ask about their hospital and clinic coverage, service engineers and openness to non Japanese brands.</t>
        </is>
      </c>
      <c r="W80" s="4" t="inlineStr">
        <is>
          <t>N (not identified)</t>
        </is>
      </c>
      <c r="X80" s="7" t="inlineStr">
        <is>
          <t>https://baseconnect.in/companies/prefecture/31ffefed-1183-4eba-a6d9-4182a6136e50/keyword/89941b4e-2dd1-4848-8957-48af280a31e0</t>
        </is>
      </c>
      <c r="Y80" s="4" t="inlineStr">
        <is>
          <t>SonoEye P3 plus SonoAir 30 for GP and clinic accounts</t>
        </is>
      </c>
      <c r="Z80" s="4" t="inlineStr">
        <is>
          <t>2, 2, 3, 4, 4, 2, 3</t>
        </is>
      </c>
      <c r="AA80" s="4" t="inlineStr">
        <is>
          <t>Not found</t>
        </is>
      </c>
      <c r="AB80" s="4" t="inlineStr">
        <is>
          <t>Directory or search listing; not opened (direct site access blocked)</t>
        </is>
      </c>
      <c r="AC80" s="4" t="inlineStr">
        <is>
          <t>No expired licence or ended distribution agreement found</t>
        </is>
      </c>
      <c r="AD80" s="4" t="inlineStr">
        <is>
          <t>Not started</t>
        </is>
      </c>
      <c r="AE80" s="4" t="inlineStr"/>
      <c r="AF80" s="4" t="inlineStr"/>
      <c r="AG80" s="4" t="inlineStr">
        <is>
          <t>No email published and no verified website found</t>
        </is>
      </c>
    </row>
    <row r="81">
      <c r="A81" s="4" t="n">
        <v>77</v>
      </c>
      <c r="B81" s="4" t="inlineStr">
        <is>
          <t>CTM</t>
        </is>
      </c>
      <c r="C81" s="4" t="inlineStr">
        <is>
          <t>CTM</t>
        </is>
      </c>
      <c r="D81" s="4" t="inlineStr">
        <is>
          <t>Not retrieved (NTA lookup blocked in this session)</t>
        </is>
      </c>
      <c r="E81" s="4" t="inlineStr">
        <is>
          <t>愛知県</t>
        </is>
      </c>
      <c r="F81" s="4" t="inlineStr">
        <is>
          <t>Chubu</t>
        </is>
      </c>
      <c r="G81" s="4" t="inlineStr">
        <is>
          <t>https://c-t-m.co.jp/</t>
        </is>
      </c>
      <c r="H81" s="4" t="inlineStr">
        <is>
          <t>No MAH found; device sales licence (高度管理医療機器等販売業) not confirmed</t>
        </is>
      </c>
      <c r="I81" s="4" t="inlineStr">
        <is>
          <t>Not identified in published sources</t>
        </is>
      </c>
      <c r="J81" s="4" t="inlineStr">
        <is>
          <t>Clinics and GP (開業医)</t>
        </is>
      </c>
      <c r="K81" s="4" t="inlineStr">
        <is>
          <t>愛知県 (regional; branch network not confirmed)</t>
        </is>
      </c>
      <c r="L81" s="4" t="inlineStr">
        <is>
          <t>Not found</t>
        </is>
      </c>
      <c r="M81" s="4" t="inlineStr">
        <is>
          <t>Not identified</t>
        </is>
      </c>
      <c r="N81" s="4" t="inlineStr">
        <is>
          <t>Not identified</t>
        </is>
      </c>
      <c r="O81" s="4" t="inlineStr">
        <is>
          <t>Not published; use contact form</t>
        </is>
      </c>
      <c r="P81" s="4" t="inlineStr">
        <is>
          <t>Not confirmed</t>
        </is>
      </c>
      <c r="Q81" s="4" t="inlineStr">
        <is>
          <t>Not identified</t>
        </is>
      </c>
      <c r="R81" s="5" t="inlineStr">
        <is>
          <t>Likely</t>
        </is>
      </c>
      <c r="S81" s="4" t="n">
        <v>20</v>
      </c>
      <c r="T81" s="10" t="inlineStr">
        <is>
          <t>C</t>
        </is>
      </c>
      <c r="U81" s="4" t="inlineStr">
        <is>
          <t>Clinic opening and GP coverage; can bundle a portable ultrasound into new 開業医 packages as a sub dealer.</t>
        </is>
      </c>
      <c r="V81" s="4" t="inlineStr">
        <is>
          <t>Ask whether they bundle ultrasound into clinic opening packages and which brand they use today; propose a sub dealer role once a Japanese MAH is in place.</t>
        </is>
      </c>
      <c r="W81" s="4" t="inlineStr">
        <is>
          <t>N (not identified)</t>
        </is>
      </c>
      <c r="X81" s="7" t="inlineStr">
        <is>
          <t>https://baseconnect.in/companies/prefecture/60622468-79bd-4eef-86f8-cb69d1ef09f0/category/b2358a1c-c4c6-46f4-a0b1-dee3a1b30a0b</t>
        </is>
      </c>
      <c r="Y81" s="4" t="inlineStr">
        <is>
          <t>SonoAir 30 plus SonoEye P3 as a clinic opening package</t>
        </is>
      </c>
      <c r="Z81" s="4" t="inlineStr">
        <is>
          <t>2, 2, 3, 5, 3, 2, 3</t>
        </is>
      </c>
      <c r="AA81" s="4" t="inlineStr">
        <is>
          <t>Not found</t>
        </is>
      </c>
      <c r="AB81" s="4" t="inlineStr">
        <is>
          <t>Directory or search listing; not opened (direct site access blocked)</t>
        </is>
      </c>
      <c r="AC81" s="4" t="inlineStr">
        <is>
          <t>No expired licence or ended distribution agreement found</t>
        </is>
      </c>
      <c r="AD81" s="4" t="inlineStr">
        <is>
          <t>Not started</t>
        </is>
      </c>
      <c r="AE81" s="4" t="inlineStr"/>
      <c r="AF81" s="4" t="inlineStr">
        <is>
          <t>https://c-t-m.co.jp/contact</t>
        </is>
      </c>
      <c r="AG81" s="4" t="inlineStr">
        <is>
          <t>No email published; use the contact form (link in Email source)</t>
        </is>
      </c>
    </row>
    <row r="82">
      <c r="A82" s="4" t="n">
        <v>78</v>
      </c>
      <c r="B82" s="4" t="inlineStr">
        <is>
          <t>Comfy Life Medical</t>
        </is>
      </c>
      <c r="C82" s="4" t="inlineStr">
        <is>
          <t>コンフィライフメディカル</t>
        </is>
      </c>
      <c r="D82" s="4" t="inlineStr">
        <is>
          <t>Not retrieved (NTA lookup blocked in this session)</t>
        </is>
      </c>
      <c r="E82" s="4" t="inlineStr">
        <is>
          <t>愛知県</t>
        </is>
      </c>
      <c r="F82" s="4" t="inlineStr">
        <is>
          <t>Chubu</t>
        </is>
      </c>
      <c r="G82" s="4" t="inlineStr">
        <is>
          <t>https://www.confilife.co.jp/</t>
        </is>
      </c>
      <c r="H82" s="4" t="inlineStr">
        <is>
          <t>No MAH found; device sales licence (高度管理医療機器等販売業) not confirmed</t>
        </is>
      </c>
      <c r="I82" s="4" t="inlineStr">
        <is>
          <t>Not identified in published sources</t>
        </is>
      </c>
      <c r="J82" s="4" t="inlineStr">
        <is>
          <t>Clinics and GP (開業医), Hospitals</t>
        </is>
      </c>
      <c r="K82" s="4" t="inlineStr">
        <is>
          <t>愛知県 (regional; branch network not confirmed)</t>
        </is>
      </c>
      <c r="L82" s="4" t="inlineStr">
        <is>
          <t>Not found</t>
        </is>
      </c>
      <c r="M82" s="4" t="inlineStr">
        <is>
          <t>Not identified</t>
        </is>
      </c>
      <c r="N82" s="4" t="inlineStr">
        <is>
          <t>Not identified</t>
        </is>
      </c>
      <c r="O82" s="4" t="inlineStr">
        <is>
          <t>Not published; use company inquiry form</t>
        </is>
      </c>
      <c r="P82" s="4" t="inlineStr">
        <is>
          <t>Not confirmed</t>
        </is>
      </c>
      <c r="Q82" s="4" t="inlineStr">
        <is>
          <t>Not identified</t>
        </is>
      </c>
      <c r="R82" s="5" t="inlineStr">
        <is>
          <t>Company inquiry only</t>
        </is>
      </c>
      <c r="S82" s="4" t="n">
        <v>20</v>
      </c>
      <c r="T82" s="10" t="inlineStr">
        <is>
          <t>C</t>
        </is>
      </c>
      <c r="U82" s="4" t="inlineStr">
        <is>
          <t>Clinic opening and GP coverage; can bundle a portable ultrasound into new 開業医 packages as a sub dealer.</t>
        </is>
      </c>
      <c r="V82" s="4" t="inlineStr">
        <is>
          <t>Ask whether they bundle ultrasound into clinic opening packages and which brand they use today; propose a sub dealer role once a Japanese MAH is in place.</t>
        </is>
      </c>
      <c r="W82" s="4" t="inlineStr">
        <is>
          <t>N (not identified)</t>
        </is>
      </c>
      <c r="X82" s="7" t="inlineStr">
        <is>
          <t>https://baseconnect.in/companies/prefecture/60622468-79bd-4eef-86f8-cb69d1ef09f0/category/b2358a1c-c4c6-46f4-a0b1-dee3a1b30a0b</t>
        </is>
      </c>
      <c r="Y82" s="4" t="inlineStr">
        <is>
          <t>SonoAir 30 plus SonoEye P3 as a clinic opening package</t>
        </is>
      </c>
      <c r="Z82" s="4" t="inlineStr">
        <is>
          <t>2, 2, 3, 5, 3, 2, 3</t>
        </is>
      </c>
      <c r="AA82" s="4" t="inlineStr">
        <is>
          <t>Not found</t>
        </is>
      </c>
      <c r="AB82" s="4" t="inlineStr">
        <is>
          <t>Directory or search listing; not opened (direct site access blocked)</t>
        </is>
      </c>
      <c r="AC82" s="4" t="inlineStr">
        <is>
          <t>No expired licence or ended distribution agreement found</t>
        </is>
      </c>
      <c r="AD82" s="4" t="inlineStr">
        <is>
          <t>Not started</t>
        </is>
      </c>
      <c r="AE82" s="4" t="inlineStr"/>
      <c r="AF82" s="4" t="inlineStr"/>
      <c r="AG82" s="4" t="inlineStr">
        <is>
          <t>No email published; website has no contact page link, phone first</t>
        </is>
      </c>
    </row>
    <row r="83">
      <c r="A83" s="4" t="n">
        <v>79</v>
      </c>
      <c r="B83" s="4" t="inlineStr">
        <is>
          <t>Hokuriku Wakita</t>
        </is>
      </c>
      <c r="C83" s="4" t="inlineStr">
        <is>
          <t>北陸ワキタ</t>
        </is>
      </c>
      <c r="D83" s="4" t="inlineStr">
        <is>
          <t>Not retrieved (NTA lookup blocked in this session)</t>
        </is>
      </c>
      <c r="E83" s="4" t="inlineStr">
        <is>
          <t>石川県</t>
        </is>
      </c>
      <c r="F83" s="4" t="inlineStr">
        <is>
          <t>Chubu</t>
        </is>
      </c>
      <c r="G83" s="4" t="inlineStr">
        <is>
          <t>https://www.kk-wakita.co.jp/</t>
        </is>
      </c>
      <c r="H83" s="4" t="inlineStr">
        <is>
          <t>No MAH found; device sales licence (高度管理医療機器等販売業) not confirmed</t>
        </is>
      </c>
      <c r="I83" s="4" t="inlineStr">
        <is>
          <t>Not identified in published sources</t>
        </is>
      </c>
      <c r="J83" s="4" t="inlineStr">
        <is>
          <t>General medical equipment (hospitals and clinics)</t>
        </is>
      </c>
      <c r="K83" s="4" t="inlineStr">
        <is>
          <t>石川県 (regional; branch network not confirmed)</t>
        </is>
      </c>
      <c r="L83" s="4" t="inlineStr">
        <is>
          <t>Not found</t>
        </is>
      </c>
      <c r="M83" s="4" t="inlineStr">
        <is>
          <t>Not identified</t>
        </is>
      </c>
      <c r="N83" s="4" t="inlineStr">
        <is>
          <t>Not identified</t>
        </is>
      </c>
      <c r="O83" s="4" t="inlineStr">
        <is>
          <t>saiyou@kk-wakita.co.jp</t>
        </is>
      </c>
      <c r="P83" s="4" t="inlineStr">
        <is>
          <t>Not confirmed</t>
        </is>
      </c>
      <c r="Q83" s="4" t="inlineStr">
        <is>
          <t>Not identified</t>
        </is>
      </c>
      <c r="R83" s="5" t="inlineStr">
        <is>
          <t>Unverified</t>
        </is>
      </c>
      <c r="S83" s="4" t="n">
        <v>20</v>
      </c>
      <c r="T83" s="10" t="inlineStr">
        <is>
          <t>C</t>
        </is>
      </c>
      <c r="U83" s="4" t="inlineStr">
        <is>
          <t>Regional general medical equipment dealer with hospital and clinic accounts; candidate sub dealer under a national MAH partner.</t>
        </is>
      </c>
      <c r="V83" s="4" t="inlineStr">
        <is>
          <t>Introduce CHISON as a future line through a national MAH partner; ask about their hospital and clinic coverage, service engineers and openness to non Japanese brands.</t>
        </is>
      </c>
      <c r="W83" s="4" t="inlineStr">
        <is>
          <t>N (not identified)</t>
        </is>
      </c>
      <c r="X83" s="7" t="inlineStr">
        <is>
          <t>https://directscout.recruit.co.jp/job_descriptions/8635481</t>
        </is>
      </c>
      <c r="Y83" s="4" t="inlineStr">
        <is>
          <t>SonoEye P3 plus SonoAir 30 for GP and clinic accounts</t>
        </is>
      </c>
      <c r="Z83" s="4" t="inlineStr">
        <is>
          <t>2, 2, 3, 3, 5, 2, 3</t>
        </is>
      </c>
      <c r="AA83" s="4" t="inlineStr">
        <is>
          <t>Not found</t>
        </is>
      </c>
      <c r="AB83" s="4" t="inlineStr">
        <is>
          <t>Directory or search listing; not opened (direct site access blocked)</t>
        </is>
      </c>
      <c r="AC83" s="4" t="inlineStr">
        <is>
          <t>Holding group overlap: Wakita group. Approach Wakita Shokai (Nagoya) first. No expired licence or ended distribution agreement found</t>
        </is>
      </c>
      <c r="AD83" s="4" t="inlineStr">
        <is>
          <t>Not started</t>
        </is>
      </c>
      <c r="AE83" s="4" t="inlineStr"/>
      <c r="AF83" s="4" t="inlineStr">
        <is>
          <t>https://job.mynavi.jp/27/pc/search/corp286442/recruiting_course27010739/recruiting_course.html?func=corpinfo</t>
        </is>
      </c>
      <c r="AG83" s="4" t="inlineStr">
        <is>
          <t>Likely: indexed on company domain; HR or recruitment inbox, ask to forward to sales</t>
        </is>
      </c>
    </row>
    <row r="84">
      <c r="A84" s="4" t="n">
        <v>80</v>
      </c>
      <c r="B84" s="4" t="inlineStr">
        <is>
          <t>Central Medical</t>
        </is>
      </c>
      <c r="C84" s="4" t="inlineStr">
        <is>
          <t>セントラルメディカル</t>
        </is>
      </c>
      <c r="D84" s="4" t="inlineStr">
        <is>
          <t>Not retrieved (NTA lookup blocked in this session)</t>
        </is>
      </c>
      <c r="E84" s="4" t="inlineStr">
        <is>
          <t>石川県</t>
        </is>
      </c>
      <c r="F84" s="4" t="inlineStr">
        <is>
          <t>Chubu</t>
        </is>
      </c>
      <c r="G84" s="4" t="inlineStr">
        <is>
          <t>https://www.centralmedical.co.jp/</t>
        </is>
      </c>
      <c r="H84" s="4" t="inlineStr">
        <is>
          <t>No MAH found; device sales licence (高度管理医療機器等販売業) not confirmed</t>
        </is>
      </c>
      <c r="I84" s="4" t="inlineStr">
        <is>
          <t>Not identified in published sources</t>
        </is>
      </c>
      <c r="J84" s="4" t="inlineStr">
        <is>
          <t>General medical equipment (hospitals and clinics)</t>
        </is>
      </c>
      <c r="K84" s="4" t="inlineStr">
        <is>
          <t>石川県; Hokuriku</t>
        </is>
      </c>
      <c r="L84" s="4" t="inlineStr">
        <is>
          <t>Not found</t>
        </is>
      </c>
      <c r="M84" s="4" t="inlineStr">
        <is>
          <t>Not identified</t>
        </is>
      </c>
      <c r="N84" s="4" t="inlineStr">
        <is>
          <t>Not identified</t>
        </is>
      </c>
      <c r="O84" s="4" t="inlineStr">
        <is>
          <t>soumu@centralmedical.co.jp</t>
        </is>
      </c>
      <c r="P84" s="4" t="inlineStr">
        <is>
          <t>Not confirmed</t>
        </is>
      </c>
      <c r="Q84" s="4" t="inlineStr">
        <is>
          <t>Not identified</t>
        </is>
      </c>
      <c r="R84" s="5" t="inlineStr">
        <is>
          <t>Unverified</t>
        </is>
      </c>
      <c r="S84" s="4" t="n">
        <v>20</v>
      </c>
      <c r="T84" s="10" t="inlineStr">
        <is>
          <t>C</t>
        </is>
      </c>
      <c r="U84" s="4" t="inlineStr">
        <is>
          <t>Regional general medical equipment dealer with hospital and clinic accounts; candidate sub dealer under a national MAH partner.</t>
        </is>
      </c>
      <c r="V84" s="4" t="inlineStr">
        <is>
          <t>Introduce CHISON as a future line through a national MAH partner; ask about their hospital and clinic coverage, service engineers and openness to non Japanese brands.</t>
        </is>
      </c>
      <c r="W84" s="4" t="inlineStr">
        <is>
          <t>N (not identified)</t>
        </is>
      </c>
      <c r="X84" s="7" t="inlineStr">
        <is>
          <t>https://directscout.recruit.co.jp/job_descriptions/6783118</t>
        </is>
      </c>
      <c r="Y84" s="4" t="inlineStr">
        <is>
          <t>SonoEye P3 plus SonoAir 30 for GP and clinic accounts</t>
        </is>
      </c>
      <c r="Z84" s="4" t="inlineStr">
        <is>
          <t>2, 2, 3, 4, 4, 2, 3</t>
        </is>
      </c>
      <c r="AA84" s="4" t="inlineStr">
        <is>
          <t>Not found</t>
        </is>
      </c>
      <c r="AB84" s="4" t="inlineStr">
        <is>
          <t>Recheck: no independent confirmation found; directory listing only</t>
        </is>
      </c>
      <c r="AC84" s="4" t="inlineStr">
        <is>
          <t>No expired licence or ended distribution agreement found</t>
        </is>
      </c>
      <c r="AD84" s="4" t="inlineStr">
        <is>
          <t>Not started</t>
        </is>
      </c>
      <c r="AE84" s="4" t="inlineStr"/>
      <c r="AF84" s="4" t="inlineStr">
        <is>
          <t>https://www.jmp.co.jp/company/branch/hokushinetsu/medinabibooks/pageindices/index37.html</t>
        </is>
      </c>
      <c r="AG84" s="4" t="inlineStr">
        <is>
          <t>Likely: indexed on company domain</t>
        </is>
      </c>
    </row>
    <row r="85">
      <c r="A85" s="4" t="n">
        <v>81</v>
      </c>
      <c r="B85" s="4" t="inlineStr">
        <is>
          <t>Komura</t>
        </is>
      </c>
      <c r="C85" s="4" t="inlineStr">
        <is>
          <t>コムラ</t>
        </is>
      </c>
      <c r="D85" s="4" t="inlineStr">
        <is>
          <t>Not retrieved (NTA lookup blocked in this session)</t>
        </is>
      </c>
      <c r="E85" s="4" t="inlineStr">
        <is>
          <t>石川県</t>
        </is>
      </c>
      <c r="F85" s="4" t="inlineStr">
        <is>
          <t>Chubu</t>
        </is>
      </c>
      <c r="G85" s="4" t="inlineStr">
        <is>
          <t>https://www.me-komura.com/</t>
        </is>
      </c>
      <c r="H85" s="4" t="inlineStr">
        <is>
          <t>No MAH found; device sales licence (高度管理医療機器等販売業) not confirmed</t>
        </is>
      </c>
      <c r="I85" s="4" t="inlineStr">
        <is>
          <t>Not identified in published sources</t>
        </is>
      </c>
      <c r="J85" s="4" t="inlineStr">
        <is>
          <t>Orthopaedics and rehab, Clinics and GP (開業医), Hospitals</t>
        </is>
      </c>
      <c r="K85" s="4" t="inlineStr">
        <is>
          <t>石川県 (regional; branch network not confirmed)</t>
        </is>
      </c>
      <c r="L85" s="4" t="inlineStr">
        <is>
          <t>Not found</t>
        </is>
      </c>
      <c r="M85" s="4" t="inlineStr">
        <is>
          <t>Not identified</t>
        </is>
      </c>
      <c r="N85" s="4" t="inlineStr">
        <is>
          <t>Not identified</t>
        </is>
      </c>
      <c r="O85" s="4" t="inlineStr">
        <is>
          <t>Not published; use contact form</t>
        </is>
      </c>
      <c r="P85" s="4" t="inlineStr">
        <is>
          <t>Not confirmed</t>
        </is>
      </c>
      <c r="Q85" s="4" t="inlineStr">
        <is>
          <t>Not identified</t>
        </is>
      </c>
      <c r="R85" s="5" t="inlineStr">
        <is>
          <t>Likely</t>
        </is>
      </c>
      <c r="S85" s="4" t="n">
        <v>20</v>
      </c>
      <c r="T85" s="10" t="inlineStr">
        <is>
          <t>C</t>
        </is>
      </c>
      <c r="U85" s="4" t="inlineStr">
        <is>
          <t>Clinic opening and GP coverage; can bundle a portable ultrasound into new 開業医 packages as a sub dealer.</t>
        </is>
      </c>
      <c r="V85" s="4" t="inlineStr">
        <is>
          <t>Ask whether they bundle ultrasound into clinic opening packages and which brand they use today; propose a sub dealer role once a Japanese MAH is in place.</t>
        </is>
      </c>
      <c r="W85" s="4" t="inlineStr">
        <is>
          <t>N (not identified)</t>
        </is>
      </c>
      <c r="X85" s="7" t="inlineStr">
        <is>
          <t>https://compalyze.co.jp/company/8220001007064 (reconfirm page)</t>
        </is>
      </c>
      <c r="Y85" s="4" t="inlineStr">
        <is>
          <t>SonoEye P5 high frequency linear for MSK and sports medicine</t>
        </is>
      </c>
      <c r="Z85" s="4" t="inlineStr">
        <is>
          <t>2, 2, 3, 5, 3, 2, 3</t>
        </is>
      </c>
      <c r="AA85" s="4" t="inlineStr">
        <is>
          <t>Not found</t>
        </is>
      </c>
      <c r="AB85" s="4" t="inlineStr">
        <is>
          <t>Directory or search listing; not opened (direct site access blocked)</t>
        </is>
      </c>
      <c r="AC85" s="4" t="inlineStr">
        <is>
          <t>No expired licence or ended distribution agreement found</t>
        </is>
      </c>
      <c r="AD85" s="4" t="inlineStr">
        <is>
          <t>Not started</t>
        </is>
      </c>
      <c r="AE85" s="4" t="inlineStr"/>
      <c r="AF85" s="4" t="inlineStr">
        <is>
          <t>https://www.me-komura.com/contact.html</t>
        </is>
      </c>
      <c r="AG85" s="4" t="inlineStr">
        <is>
          <t>No email published; use the contact form (link in Email source)</t>
        </is>
      </c>
    </row>
    <row r="86">
      <c r="A86" s="4" t="n">
        <v>82</v>
      </c>
      <c r="B86" s="4" t="inlineStr">
        <is>
          <t>Koyo Medical</t>
        </is>
      </c>
      <c r="C86" s="4" t="inlineStr">
        <is>
          <t>コーヨーメディカル</t>
        </is>
      </c>
      <c r="D86" s="4" t="inlineStr">
        <is>
          <t>Not retrieved (NTA lookup blocked in this session)</t>
        </is>
      </c>
      <c r="E86" s="4" t="inlineStr">
        <is>
          <t>静岡県</t>
        </is>
      </c>
      <c r="F86" s="4" t="inlineStr">
        <is>
          <t>Chubu</t>
        </is>
      </c>
      <c r="G86" s="4" t="inlineStr">
        <is>
          <t>https://www.grankoyo.co.jp/</t>
        </is>
      </c>
      <c r="H86" s="4" t="inlineStr">
        <is>
          <t>No MAH found; device sales licence (高度管理医療機器等販売業) not confirmed</t>
        </is>
      </c>
      <c r="I86" s="4" t="inlineStr">
        <is>
          <t>Not identified in published sources</t>
        </is>
      </c>
      <c r="J86" s="4" t="inlineStr">
        <is>
          <t>Clinics and GP (開業医), Hospitals</t>
        </is>
      </c>
      <c r="K86" s="4" t="inlineStr">
        <is>
          <t>静岡県 (regional; branch network not confirmed)</t>
        </is>
      </c>
      <c r="L86" s="4" t="inlineStr">
        <is>
          <t>Not found</t>
        </is>
      </c>
      <c r="M86" s="4" t="inlineStr">
        <is>
          <t>Not identified</t>
        </is>
      </c>
      <c r="N86" s="4" t="inlineStr">
        <is>
          <t>Not identified</t>
        </is>
      </c>
      <c r="O86" s="4" t="inlineStr">
        <is>
          <t>Not published; use contact form</t>
        </is>
      </c>
      <c r="P86" s="4" t="inlineStr">
        <is>
          <t>Not confirmed</t>
        </is>
      </c>
      <c r="Q86" s="4" t="inlineStr">
        <is>
          <t>Not identified</t>
        </is>
      </c>
      <c r="R86" s="5" t="inlineStr">
        <is>
          <t>Likely</t>
        </is>
      </c>
      <c r="S86" s="4" t="n">
        <v>20</v>
      </c>
      <c r="T86" s="10" t="inlineStr">
        <is>
          <t>C</t>
        </is>
      </c>
      <c r="U86" s="4" t="inlineStr">
        <is>
          <t>Clinic opening and GP coverage; can bundle a portable ultrasound into new 開業医 packages as a sub dealer.</t>
        </is>
      </c>
      <c r="V86" s="4" t="inlineStr">
        <is>
          <t>Ask whether they bundle ultrasound into clinic opening packages and which brand they use today; propose a sub dealer role once a Japanese MAH is in place.</t>
        </is>
      </c>
      <c r="W86" s="4" t="inlineStr">
        <is>
          <t>N (not identified)</t>
        </is>
      </c>
      <c r="X86" s="7" t="inlineStr">
        <is>
          <t>https://baseconnect.in/companies/prefecture/ce8171a3-9c3a-4158-b1ce-74bbb8bad1e4/keyword/bacc2d48-54d0-4e67-94c7-df7c3cb3a34e</t>
        </is>
      </c>
      <c r="Y86" s="4" t="inlineStr">
        <is>
          <t>SonoAir 30 plus SonoEye P3 as a clinic opening package</t>
        </is>
      </c>
      <c r="Z86" s="4" t="inlineStr">
        <is>
          <t>2, 2, 3, 5, 3, 2, 3</t>
        </is>
      </c>
      <c r="AA86" s="4" t="inlineStr">
        <is>
          <t>Not found</t>
        </is>
      </c>
      <c r="AB86" s="4" t="inlineStr">
        <is>
          <t>Directory or search listing; not opened (direct site access blocked)</t>
        </is>
      </c>
      <c r="AC86" s="4" t="inlineStr">
        <is>
          <t>No expired licence or ended distribution agreement found</t>
        </is>
      </c>
      <c r="AD86" s="4" t="inlineStr">
        <is>
          <t>Not started</t>
        </is>
      </c>
      <c r="AE86" s="4" t="inlineStr"/>
      <c r="AF86" s="4" t="inlineStr">
        <is>
          <t>https://www.grankoyo.co.jp/form/grankoyo/contact</t>
        </is>
      </c>
      <c r="AG86" s="4" t="inlineStr">
        <is>
          <t>No email published; use the contact form (link in Email source)</t>
        </is>
      </c>
    </row>
    <row r="87">
      <c r="A87" s="4" t="n">
        <v>83</v>
      </c>
      <c r="B87" s="4" t="inlineStr">
        <is>
          <t>Kumamoto Medico</t>
        </is>
      </c>
      <c r="C87" s="4" t="inlineStr">
        <is>
          <t>熊本メディコ</t>
        </is>
      </c>
      <c r="D87" s="4" t="inlineStr">
        <is>
          <t>Not retrieved (NTA lookup blocked in this session)</t>
        </is>
      </c>
      <c r="E87" s="4" t="inlineStr">
        <is>
          <t>熊本県</t>
        </is>
      </c>
      <c r="F87" s="4" t="inlineStr">
        <is>
          <t>Kyushu and Okinawa</t>
        </is>
      </c>
      <c r="G87" s="4" t="inlineStr">
        <is>
          <t>https://kumamoto-medico.jp/</t>
        </is>
      </c>
      <c r="H87" s="4" t="inlineStr">
        <is>
          <t>No MAH found; device sales licence (高度管理医療機器等販売業) not confirmed</t>
        </is>
      </c>
      <c r="I87" s="4" t="inlineStr">
        <is>
          <t>Not identified in published sources</t>
        </is>
      </c>
      <c r="J87" s="4" t="inlineStr">
        <is>
          <t>General medical equipment (hospitals and clinics)</t>
        </is>
      </c>
      <c r="K87" s="4" t="inlineStr">
        <is>
          <t>熊本県 (regional; branch network not confirmed)</t>
        </is>
      </c>
      <c r="L87" s="4" t="inlineStr">
        <is>
          <t>Not found</t>
        </is>
      </c>
      <c r="M87" s="4" t="inlineStr">
        <is>
          <t>Not identified</t>
        </is>
      </c>
      <c r="N87" s="4" t="inlineStr">
        <is>
          <t>Not identified</t>
        </is>
      </c>
      <c r="O87" s="4" t="inlineStr">
        <is>
          <t>info@kumamoto-medico.jp</t>
        </is>
      </c>
      <c r="P87" s="4" t="inlineStr">
        <is>
          <t>Not confirmed</t>
        </is>
      </c>
      <c r="Q87" s="4" t="inlineStr">
        <is>
          <t>Not identified</t>
        </is>
      </c>
      <c r="R87" s="5" t="inlineStr">
        <is>
          <t>Unverified</t>
        </is>
      </c>
      <c r="S87" s="4" t="n">
        <v>20</v>
      </c>
      <c r="T87" s="10" t="inlineStr">
        <is>
          <t>C</t>
        </is>
      </c>
      <c r="U87" s="4" t="inlineStr">
        <is>
          <t>Regional general medical equipment dealer with hospital and clinic accounts; candidate sub dealer under a national MAH partner.</t>
        </is>
      </c>
      <c r="V87" s="4" t="inlineStr">
        <is>
          <t>Introduce CHISON as a future line through a national MAH partner; ask about their hospital and clinic coverage, service engineers and openness to non Japanese brands.</t>
        </is>
      </c>
      <c r="W87" s="4" t="inlineStr">
        <is>
          <t>N (not identified)</t>
        </is>
      </c>
      <c r="X87" s="7" t="inlineStr">
        <is>
          <t>https://salesnow.jp/db/companies/jcbhy5av98p6vedf</t>
        </is>
      </c>
      <c r="Y87" s="4" t="inlineStr">
        <is>
          <t>SonoEye P3 plus SonoAir 30 for GP and clinic accounts</t>
        </is>
      </c>
      <c r="Z87" s="4" t="inlineStr">
        <is>
          <t>2, 2, 3, 3, 3, 4, 3</t>
        </is>
      </c>
      <c r="AA87" s="4" t="inlineStr">
        <is>
          <t>Not found</t>
        </is>
      </c>
      <c r="AB87" s="4" t="inlineStr">
        <is>
          <t>Directory or search listing; not opened (direct site access blocked)</t>
        </is>
      </c>
      <c r="AC87" s="4" t="inlineStr">
        <is>
          <t>No expired licence or ended distribution agreement found</t>
        </is>
      </c>
      <c r="AD87" s="4" t="inlineStr">
        <is>
          <t>Not started</t>
        </is>
      </c>
      <c r="AE87" s="4" t="inlineStr"/>
      <c r="AF87" s="4" t="inlineStr">
        <is>
          <t>https://kumamoto-medico.jp/news.html</t>
        </is>
      </c>
      <c r="AG87" s="4" t="inlineStr">
        <is>
          <t>Verified: published on company website</t>
        </is>
      </c>
    </row>
    <row r="88">
      <c r="A88" s="4" t="n">
        <v>84</v>
      </c>
      <c r="B88" s="4" t="inlineStr">
        <is>
          <t>SMC (Hokkaido)</t>
        </is>
      </c>
      <c r="C88" s="4" t="inlineStr">
        <is>
          <t>SMC</t>
        </is>
      </c>
      <c r="D88" s="4" t="inlineStr">
        <is>
          <t>Not retrieved (NTA lookup blocked in this session)</t>
        </is>
      </c>
      <c r="E88" s="4" t="inlineStr">
        <is>
          <t>北海道</t>
        </is>
      </c>
      <c r="F88" s="4" t="inlineStr">
        <is>
          <t>Tohoku and Hokkaido</t>
        </is>
      </c>
      <c r="G88" s="4" t="inlineStr">
        <is>
          <t>https://ksmc.jp/</t>
        </is>
      </c>
      <c r="H88" s="4" t="inlineStr">
        <is>
          <t>No MAH found; device sales licence (高度管理医療機器等販売業) not confirmed</t>
        </is>
      </c>
      <c r="I88" s="4" t="inlineStr">
        <is>
          <t>Not identified in published sources</t>
        </is>
      </c>
      <c r="J88" s="4" t="inlineStr">
        <is>
          <t>General medical equipment (hospitals and clinics)</t>
        </is>
      </c>
      <c r="K88" s="4" t="inlineStr">
        <is>
          <t>北海道; Hokkaido + Tohoku</t>
        </is>
      </c>
      <c r="L88" s="4" t="inlineStr">
        <is>
          <t>Not found</t>
        </is>
      </c>
      <c r="M88" s="4" t="inlineStr">
        <is>
          <t>Not identified</t>
        </is>
      </c>
      <c r="N88" s="4" t="inlineStr">
        <is>
          <t>Not identified</t>
        </is>
      </c>
      <c r="O88" s="4" t="inlineStr">
        <is>
          <t>y-saitoh@ksmc.jp</t>
        </is>
      </c>
      <c r="P88" s="4" t="inlineStr">
        <is>
          <t>Not confirmed</t>
        </is>
      </c>
      <c r="Q88" s="4" t="inlineStr">
        <is>
          <t>Not identified</t>
        </is>
      </c>
      <c r="R88" s="5" t="inlineStr">
        <is>
          <t>Unverified</t>
        </is>
      </c>
      <c r="S88" s="4" t="n">
        <v>20</v>
      </c>
      <c r="T88" s="10" t="inlineStr">
        <is>
          <t>C</t>
        </is>
      </c>
      <c r="U88" s="4" t="inlineStr">
        <is>
          <t>Regional general medical equipment dealer with hospital and clinic accounts; candidate sub dealer under a national MAH partner.</t>
        </is>
      </c>
      <c r="V88" s="4" t="inlineStr">
        <is>
          <t>Introduce CHISON as a future line through a national MAH partner; ask about their hospital and clinic coverage, service engineers and openness to non Japanese brands.</t>
        </is>
      </c>
      <c r="W88" s="4" t="inlineStr">
        <is>
          <t>N (not identified)</t>
        </is>
      </c>
      <c r="X88" s="7" t="inlineStr">
        <is>
          <t>https://directscout.recruit.co.jp/job_descriptions/6579004</t>
        </is>
      </c>
      <c r="Y88" s="4" t="inlineStr">
        <is>
          <t>SonoEye P3 plus SonoAir 30 for GP and clinic accounts</t>
        </is>
      </c>
      <c r="Z88" s="4" t="inlineStr">
        <is>
          <t>2, 2, 3, 2, 4, 4, 3</t>
        </is>
      </c>
      <c r="AA88" s="4" t="inlineStr">
        <is>
          <t>Not found</t>
        </is>
      </c>
      <c r="AB88" s="4" t="inlineStr">
        <is>
          <t>Directory or search listing; not opened (direct site access blocked)</t>
        </is>
      </c>
      <c r="AC88" s="4" t="inlineStr">
        <is>
          <t>No expired licence or ended distribution agreement found</t>
        </is>
      </c>
      <c r="AD88" s="4" t="inlineStr">
        <is>
          <t>Not started</t>
        </is>
      </c>
      <c r="AE88" s="4" t="inlineStr"/>
      <c r="AF88" s="4" t="inlineStr">
        <is>
          <t>https://kitamiworks.info/company/detail?company_id=204&amp;url=https%3A%2F%2Fkitamiworks.info%2Fsearch%2FsearchByname%3Fp%3D2</t>
        </is>
      </c>
      <c r="AG88" s="4" t="inlineStr">
        <is>
          <t>Likely: indexed on company domain</t>
        </is>
      </c>
    </row>
    <row r="89">
      <c r="A89" s="4" t="n">
        <v>85</v>
      </c>
      <c r="B89" s="4" t="inlineStr">
        <is>
          <t>Sanou</t>
        </is>
      </c>
      <c r="C89" s="4" t="inlineStr">
        <is>
          <t>三櫻</t>
        </is>
      </c>
      <c r="D89" s="4" t="inlineStr">
        <is>
          <t>Not retrieved (NTA lookup blocked in this session)</t>
        </is>
      </c>
      <c r="E89" s="4" t="inlineStr">
        <is>
          <t>岩手県</t>
        </is>
      </c>
      <c r="F89" s="4" t="inlineStr">
        <is>
          <t>Tohoku and Hokkaido</t>
        </is>
      </c>
      <c r="G89" s="4" t="inlineStr">
        <is>
          <t>https://san-ou.co.jp/</t>
        </is>
      </c>
      <c r="H89" s="4" t="inlineStr">
        <is>
          <t>No MAH found; device sales licence (高度管理医療機器等販売業) not confirmed</t>
        </is>
      </c>
      <c r="I89" s="4" t="inlineStr">
        <is>
          <t>Not identified in published sources</t>
        </is>
      </c>
      <c r="J89" s="4" t="inlineStr">
        <is>
          <t>General medical equipment (hospitals and clinics)</t>
        </is>
      </c>
      <c r="K89" s="4" t="inlineStr">
        <is>
          <t>岩手県 (regional; branch network not confirmed)</t>
        </is>
      </c>
      <c r="L89" s="4" t="inlineStr">
        <is>
          <t>Not found</t>
        </is>
      </c>
      <c r="M89" s="4" t="inlineStr">
        <is>
          <t>Not identified</t>
        </is>
      </c>
      <c r="N89" s="4" t="inlineStr">
        <is>
          <t>Not identified</t>
        </is>
      </c>
      <c r="O89" s="4" t="inlineStr">
        <is>
          <t>akita@san-ou.co.jp</t>
        </is>
      </c>
      <c r="P89" s="4" t="inlineStr">
        <is>
          <t>Not confirmed</t>
        </is>
      </c>
      <c r="Q89" s="4" t="inlineStr">
        <is>
          <t>Not identified</t>
        </is>
      </c>
      <c r="R89" s="5" t="inlineStr">
        <is>
          <t>Unverified</t>
        </is>
      </c>
      <c r="S89" s="4" t="n">
        <v>20</v>
      </c>
      <c r="T89" s="10" t="inlineStr">
        <is>
          <t>C</t>
        </is>
      </c>
      <c r="U89" s="4" t="inlineStr">
        <is>
          <t>Regional general medical equipment dealer with hospital and clinic accounts; candidate sub dealer under a national MAH partner.</t>
        </is>
      </c>
      <c r="V89" s="4" t="inlineStr">
        <is>
          <t>Introduce CHISON as a future line through a national MAH partner; ask about their hospital and clinic coverage, service engineers and openness to non Japanese brands.</t>
        </is>
      </c>
      <c r="W89" s="4" t="inlineStr">
        <is>
          <t>N (not identified)</t>
        </is>
      </c>
      <c r="X89" s="7" t="inlineStr">
        <is>
          <t>https://baseconnect.in/companies/prefecture/7e20a5b4-424c-4931-8b3e-970bc0da0dce/keyword/a68873de-8c54-4a2c-820f-e04c8b93064c</t>
        </is>
      </c>
      <c r="Y89" s="4" t="inlineStr">
        <is>
          <t>SonoEye P3 plus SonoAir 30 for GP and clinic accounts</t>
        </is>
      </c>
      <c r="Z89" s="4" t="inlineStr">
        <is>
          <t>2, 2, 3, 3, 3, 4, 3</t>
        </is>
      </c>
      <c r="AA89" s="4" t="inlineStr">
        <is>
          <t>Not found</t>
        </is>
      </c>
      <c r="AB89" s="4" t="inlineStr">
        <is>
          <t>Directory or search listing; not opened (direct site access blocked)</t>
        </is>
      </c>
      <c r="AC89" s="4" t="inlineStr">
        <is>
          <t>No expired licence or ended distribution agreement found</t>
        </is>
      </c>
      <c r="AD89" s="4" t="inlineStr">
        <is>
          <t>Not started</t>
        </is>
      </c>
      <c r="AE89" s="4" t="inlineStr">
        <is>
          <t>morioka@san-ou.co.jp</t>
        </is>
      </c>
      <c r="AF89" s="4" t="inlineStr">
        <is>
          <t>https://san-ou.co.jp/company/</t>
        </is>
      </c>
      <c r="AG89" s="4" t="inlineStr">
        <is>
          <t>Verified: published on company website</t>
        </is>
      </c>
    </row>
    <row r="90">
      <c r="A90" s="4" t="n">
        <v>86</v>
      </c>
      <c r="B90" s="4" t="inlineStr">
        <is>
          <t>Sansei Iki</t>
        </is>
      </c>
      <c r="C90" s="4" t="inlineStr">
        <is>
          <t>サンセイ医機</t>
        </is>
      </c>
      <c r="D90" s="4" t="inlineStr">
        <is>
          <t>Not retrieved (NTA lookup blocked in this session)</t>
        </is>
      </c>
      <c r="E90" s="4" t="inlineStr">
        <is>
          <t>福島県</t>
        </is>
      </c>
      <c r="F90" s="4" t="inlineStr">
        <is>
          <t>Tohoku and Hokkaido</t>
        </is>
      </c>
      <c r="G90" s="4" t="inlineStr">
        <is>
          <t>https://www.sansei-iki.co.jp/</t>
        </is>
      </c>
      <c r="H90" s="4" t="inlineStr">
        <is>
          <t>No MAH found; device sales licence (高度管理医療機器等販売業) not confirmed</t>
        </is>
      </c>
      <c r="I90" s="4" t="inlineStr">
        <is>
          <t>Not identified in published sources</t>
        </is>
      </c>
      <c r="J90" s="4" t="inlineStr">
        <is>
          <t>General medical equipment (hospitals and clinics)</t>
        </is>
      </c>
      <c r="K90" s="4" t="inlineStr">
        <is>
          <t>福島県 (regional; branch network not confirmed)</t>
        </is>
      </c>
      <c r="L90" s="4" t="inlineStr">
        <is>
          <t>Not found</t>
        </is>
      </c>
      <c r="M90" s="4" t="inlineStr">
        <is>
          <t>Not identified</t>
        </is>
      </c>
      <c r="N90" s="4" t="inlineStr">
        <is>
          <t>Not identified</t>
        </is>
      </c>
      <c r="O90" s="4" t="inlineStr">
        <is>
          <t>main@sansei-iki.co.jp</t>
        </is>
      </c>
      <c r="P90" s="4" t="inlineStr">
        <is>
          <t>Not confirmed</t>
        </is>
      </c>
      <c r="Q90" s="4" t="inlineStr">
        <is>
          <t>Not identified</t>
        </is>
      </c>
      <c r="R90" s="5" t="inlineStr">
        <is>
          <t>Unverified</t>
        </is>
      </c>
      <c r="S90" s="4" t="n">
        <v>20</v>
      </c>
      <c r="T90" s="10" t="inlineStr">
        <is>
          <t>C</t>
        </is>
      </c>
      <c r="U90" s="4" t="inlineStr">
        <is>
          <t>Regional general medical equipment dealer with hospital and clinic accounts; candidate sub dealer under a national MAH partner.</t>
        </is>
      </c>
      <c r="V90" s="4" t="inlineStr">
        <is>
          <t>Introduce CHISON as a future line through a national MAH partner; ask about their hospital and clinic coverage, service engineers and openness to non Japanese brands.</t>
        </is>
      </c>
      <c r="W90" s="4" t="inlineStr">
        <is>
          <t>N (not identified)</t>
        </is>
      </c>
      <c r="X90" s="7" t="inlineStr">
        <is>
          <t>https://baseconnect.in/companies/city/907fb3f8-31a8-4163-a276-005c0d2a920b</t>
        </is>
      </c>
      <c r="Y90" s="4" t="inlineStr">
        <is>
          <t>SonoEye P3 plus SonoAir 30 for GP and clinic accounts</t>
        </is>
      </c>
      <c r="Z90" s="4" t="inlineStr">
        <is>
          <t>2, 2, 3, 3, 3, 4, 3</t>
        </is>
      </c>
      <c r="AA90" s="4" t="inlineStr">
        <is>
          <t>Not found</t>
        </is>
      </c>
      <c r="AB90" s="4" t="inlineStr">
        <is>
          <t>Directory or search listing; not opened (direct site access blocked)</t>
        </is>
      </c>
      <c r="AC90" s="4" t="inlineStr">
        <is>
          <t>No expired licence or ended distribution agreement found</t>
        </is>
      </c>
      <c r="AD90" s="4" t="inlineStr">
        <is>
          <t>Not started</t>
        </is>
      </c>
      <c r="AE90" s="4" t="inlineStr"/>
      <c r="AF90" s="4" t="inlineStr">
        <is>
          <t>https://www.city.nihonmatsu.lg.jp/company.php?mode=detail&amp;ac=1&amp;code=15</t>
        </is>
      </c>
      <c r="AG90" s="4" t="inlineStr">
        <is>
          <t>Likely: indexed on company domain</t>
        </is>
      </c>
    </row>
    <row r="91">
      <c r="A91" s="4" t="n">
        <v>87</v>
      </c>
      <c r="B91" s="4" t="inlineStr">
        <is>
          <t>Machida and Machida Shokai</t>
        </is>
      </c>
      <c r="C91" s="4" t="inlineStr">
        <is>
          <t>町田アンド町田商会</t>
        </is>
      </c>
      <c r="D91" s="4" t="inlineStr">
        <is>
          <t>Not retrieved (NTA lookup blocked in this session)</t>
        </is>
      </c>
      <c r="E91" s="4" t="inlineStr">
        <is>
          <t>青森県</t>
        </is>
      </c>
      <c r="F91" s="4" t="inlineStr">
        <is>
          <t>Tohoku and Hokkaido</t>
        </is>
      </c>
      <c r="G91" s="4" t="inlineStr">
        <is>
          <t>https://machida2.co.jp/</t>
        </is>
      </c>
      <c r="H91" s="4" t="inlineStr">
        <is>
          <t>No MAH found; device sales licence (高度管理医療機器等販売業) not confirmed</t>
        </is>
      </c>
      <c r="I91" s="4" t="inlineStr">
        <is>
          <t>Not identified in published sources</t>
        </is>
      </c>
      <c r="J91" s="4" t="inlineStr">
        <is>
          <t>General medical equipment (hospitals and clinics)</t>
        </is>
      </c>
      <c r="K91" s="4" t="inlineStr">
        <is>
          <t>青森県 (regional; branch network not confirmed)</t>
        </is>
      </c>
      <c r="L91" s="4" t="inlineStr">
        <is>
          <t>Not found</t>
        </is>
      </c>
      <c r="M91" s="4" t="inlineStr">
        <is>
          <t>Not identified</t>
        </is>
      </c>
      <c r="N91" s="4" t="inlineStr">
        <is>
          <t>Not identified</t>
        </is>
      </c>
      <c r="O91" s="4" t="inlineStr">
        <is>
          <t>sakae@machida2.co.jp</t>
        </is>
      </c>
      <c r="P91" s="4" t="inlineStr">
        <is>
          <t>Not confirmed</t>
        </is>
      </c>
      <c r="Q91" s="4" t="inlineStr">
        <is>
          <t>Not identified</t>
        </is>
      </c>
      <c r="R91" s="5" t="inlineStr">
        <is>
          <t>Unverified</t>
        </is>
      </c>
      <c r="S91" s="4" t="n">
        <v>20</v>
      </c>
      <c r="T91" s="10" t="inlineStr">
        <is>
          <t>C</t>
        </is>
      </c>
      <c r="U91" s="4" t="inlineStr">
        <is>
          <t>Regional general medical equipment dealer with hospital and clinic accounts; candidate sub dealer under a national MAH partner.</t>
        </is>
      </c>
      <c r="V91" s="4" t="inlineStr">
        <is>
          <t>Introduce CHISON as a future line through a national MAH partner; ask about their hospital and clinic coverage, service engineers and openness to non Japanese brands.</t>
        </is>
      </c>
      <c r="W91" s="4" t="inlineStr">
        <is>
          <t>N (not identified)</t>
        </is>
      </c>
      <c r="X91" s="7" t="inlineStr">
        <is>
          <t>https://baseconnect.in/companies/prefecture/0356fc34-b458-43d5-b209-feac5e7fd808/category/4334232a-592e-4ef1-96cc-df1557db8533</t>
        </is>
      </c>
      <c r="Y91" s="4" t="inlineStr">
        <is>
          <t>SonoEye P3 plus SonoAir 30 for GP and clinic accounts</t>
        </is>
      </c>
      <c r="Z91" s="4" t="inlineStr">
        <is>
          <t>2, 2, 3, 3, 3, 4, 3</t>
        </is>
      </c>
      <c r="AA91" s="4" t="inlineStr">
        <is>
          <t>Not found</t>
        </is>
      </c>
      <c r="AB91" s="4" t="inlineStr">
        <is>
          <t>Directory or search listing; not opened (direct site access blocked)</t>
        </is>
      </c>
      <c r="AC91" s="4" t="inlineStr">
        <is>
          <t>No expired licence or ended distribution agreement found</t>
        </is>
      </c>
      <c r="AD91" s="4" t="inlineStr">
        <is>
          <t>Not started</t>
        </is>
      </c>
      <c r="AE91" s="4" t="inlineStr">
        <is>
          <t>jinji@machida2.co.jp</t>
        </is>
      </c>
      <c r="AF91" s="4" t="inlineStr">
        <is>
          <t>https://machida2.co.jp/sakae/contact/</t>
        </is>
      </c>
      <c r="AG91" s="4" t="inlineStr">
        <is>
          <t>Verified: published on company website</t>
        </is>
      </c>
    </row>
    <row r="92">
      <c r="A92" s="4" t="n">
        <v>88</v>
      </c>
      <c r="B92" s="4" t="inlineStr">
        <is>
          <t>Hokuto Irika</t>
        </is>
      </c>
      <c r="C92" s="4" t="inlineStr">
        <is>
          <t>北斗医理科</t>
        </is>
      </c>
      <c r="D92" s="4" t="inlineStr">
        <is>
          <t>Not retrieved (NTA lookup blocked in this session)</t>
        </is>
      </c>
      <c r="E92" s="4" t="inlineStr">
        <is>
          <t>青森県</t>
        </is>
      </c>
      <c r="F92" s="4" t="inlineStr">
        <is>
          <t>Tohoku and Hokkaido</t>
        </is>
      </c>
      <c r="G92" s="4" t="inlineStr">
        <is>
          <t>https://www.hokuto-irika.jp/</t>
        </is>
      </c>
      <c r="H92" s="4" t="inlineStr">
        <is>
          <t>No MAH found; device sales licence (高度管理医療機器等販売業) not confirmed</t>
        </is>
      </c>
      <c r="I92" s="4" t="inlineStr">
        <is>
          <t>Not identified in published sources</t>
        </is>
      </c>
      <c r="J92" s="4" t="inlineStr">
        <is>
          <t>General medical equipment (hospitals and clinics)</t>
        </is>
      </c>
      <c r="K92" s="4" t="inlineStr">
        <is>
          <t>青森県 (regional; branch network not confirmed)</t>
        </is>
      </c>
      <c r="L92" s="4" t="inlineStr">
        <is>
          <t>Not found</t>
        </is>
      </c>
      <c r="M92" s="4" t="inlineStr">
        <is>
          <t>Not identified</t>
        </is>
      </c>
      <c r="N92" s="4" t="inlineStr">
        <is>
          <t>Not identified</t>
        </is>
      </c>
      <c r="O92" s="4" t="inlineStr">
        <is>
          <t>Not published; use contact form</t>
        </is>
      </c>
      <c r="P92" s="4" t="inlineStr">
        <is>
          <t>Not confirmed</t>
        </is>
      </c>
      <c r="Q92" s="4" t="inlineStr">
        <is>
          <t>Not identified</t>
        </is>
      </c>
      <c r="R92" s="5" t="inlineStr">
        <is>
          <t>Likely</t>
        </is>
      </c>
      <c r="S92" s="4" t="n">
        <v>20</v>
      </c>
      <c r="T92" s="10" t="inlineStr">
        <is>
          <t>C</t>
        </is>
      </c>
      <c r="U92" s="4" t="inlineStr">
        <is>
          <t>Regional general medical equipment dealer with hospital and clinic accounts; candidate sub dealer under a national MAH partner.</t>
        </is>
      </c>
      <c r="V92" s="4" t="inlineStr">
        <is>
          <t>Introduce CHISON as a future line through a national MAH partner; ask about their hospital and clinic coverage, service engineers and openness to non Japanese brands.</t>
        </is>
      </c>
      <c r="W92" s="4" t="inlineStr">
        <is>
          <t>N (not identified)</t>
        </is>
      </c>
      <c r="X92" s="7" t="inlineStr">
        <is>
          <t>https://baseconnect.in/companies/prefecture/0356fc34-b458-43d5-b209-feac5e7fd808/category/4334232a-592e-4ef1-96cc-df1557db8533</t>
        </is>
      </c>
      <c r="Y92" s="4" t="inlineStr">
        <is>
          <t>SonoEye P3 plus SonoAir 30 for GP and clinic accounts</t>
        </is>
      </c>
      <c r="Z92" s="4" t="inlineStr">
        <is>
          <t>2, 2, 3, 3, 3, 4, 3</t>
        </is>
      </c>
      <c r="AA92" s="4" t="inlineStr">
        <is>
          <t>Not found</t>
        </is>
      </c>
      <c r="AB92" s="4" t="inlineStr">
        <is>
          <t>Directory or search listing; not opened (direct site access blocked)</t>
        </is>
      </c>
      <c r="AC92" s="4" t="inlineStr">
        <is>
          <t>No expired licence or ended distribution agreement found</t>
        </is>
      </c>
      <c r="AD92" s="4" t="inlineStr">
        <is>
          <t>Not started</t>
        </is>
      </c>
      <c r="AE92" s="4" t="inlineStr"/>
      <c r="AF92" s="4" t="inlineStr">
        <is>
          <t>https://www.hokuto-irika.jp/contact.html</t>
        </is>
      </c>
      <c r="AG92" s="4" t="inlineStr">
        <is>
          <t>No email published; use the contact form (link in Email source)</t>
        </is>
      </c>
    </row>
    <row r="93">
      <c r="A93" s="4" t="n">
        <v>89</v>
      </c>
      <c r="B93" s="4" t="inlineStr">
        <is>
          <t>Shibata Irika</t>
        </is>
      </c>
      <c r="C93" s="4" t="inlineStr">
        <is>
          <t>シバタ医理科</t>
        </is>
      </c>
      <c r="D93" s="4" t="inlineStr">
        <is>
          <t>Not retrieved (NTA lookup blocked in this session)</t>
        </is>
      </c>
      <c r="E93" s="4" t="inlineStr">
        <is>
          <t>青森県</t>
        </is>
      </c>
      <c r="F93" s="4" t="inlineStr">
        <is>
          <t>Tohoku and Hokkaido</t>
        </is>
      </c>
      <c r="G93" s="4" t="inlineStr">
        <is>
          <t>https://www.shibatairika.com/</t>
        </is>
      </c>
      <c r="H93" s="4" t="inlineStr">
        <is>
          <t>No MAH found; device sales licence (高度管理医療機器等販売業) not confirmed</t>
        </is>
      </c>
      <c r="I93" s="4" t="inlineStr">
        <is>
          <t>Not identified in published sources</t>
        </is>
      </c>
      <c r="J93" s="4" t="inlineStr">
        <is>
          <t>General medical equipment (hospitals and clinics)</t>
        </is>
      </c>
      <c r="K93" s="4" t="inlineStr">
        <is>
          <t>青森県 (regional; branch network not confirmed)</t>
        </is>
      </c>
      <c r="L93" s="4" t="inlineStr">
        <is>
          <t>Not found</t>
        </is>
      </c>
      <c r="M93" s="4" t="inlineStr">
        <is>
          <t>Not identified</t>
        </is>
      </c>
      <c r="N93" s="4" t="inlineStr">
        <is>
          <t>Not identified</t>
        </is>
      </c>
      <c r="O93" s="4" t="inlineStr">
        <is>
          <t>info-gosyogawara@shibatairika.com</t>
        </is>
      </c>
      <c r="P93" s="4" t="inlineStr">
        <is>
          <t>Not confirmed</t>
        </is>
      </c>
      <c r="Q93" s="4" t="inlineStr">
        <is>
          <t>Not identified</t>
        </is>
      </c>
      <c r="R93" s="5" t="inlineStr">
        <is>
          <t>Unverified</t>
        </is>
      </c>
      <c r="S93" s="4" t="n">
        <v>20</v>
      </c>
      <c r="T93" s="10" t="inlineStr">
        <is>
          <t>C</t>
        </is>
      </c>
      <c r="U93" s="4" t="inlineStr">
        <is>
          <t>Regional general medical equipment dealer with hospital and clinic accounts; candidate sub dealer under a national MAH partner.</t>
        </is>
      </c>
      <c r="V93" s="4" t="inlineStr">
        <is>
          <t>Introduce CHISON as a future line through a national MAH partner; ask about their hospital and clinic coverage, service engineers and openness to non Japanese brands.</t>
        </is>
      </c>
      <c r="W93" s="4" t="inlineStr">
        <is>
          <t>N (not identified)</t>
        </is>
      </c>
      <c r="X93" s="7" t="inlineStr">
        <is>
          <t>https://baseconnect.in/companies/prefecture/0356fc34-b458-43d5-b209-feac5e7fd808/category/4334232a-592e-4ef1-96cc-df1557db8533</t>
        </is>
      </c>
      <c r="Y93" s="4" t="inlineStr">
        <is>
          <t>SonoEye P3 plus SonoAir 30 for GP and clinic accounts</t>
        </is>
      </c>
      <c r="Z93" s="4" t="inlineStr">
        <is>
          <t>2, 2, 3, 3, 3, 4, 3</t>
        </is>
      </c>
      <c r="AA93" s="4" t="inlineStr">
        <is>
          <t>Not found</t>
        </is>
      </c>
      <c r="AB93" s="4" t="inlineStr">
        <is>
          <t>Directory or search listing; not opened (direct site access blocked)</t>
        </is>
      </c>
      <c r="AC93" s="4" t="inlineStr">
        <is>
          <t>No expired licence or ended distribution agreement found</t>
        </is>
      </c>
      <c r="AD93" s="4" t="inlineStr">
        <is>
          <t>Not started</t>
        </is>
      </c>
      <c r="AE93" s="4" t="inlineStr">
        <is>
          <t>info-oodate@shibatairika.com, info-mutsu@shibatairika.com, info-hirosaki@shibatairika.com, info-aomori@shibatairika.com, info-hatinohe@shibatairika.com</t>
        </is>
      </c>
      <c r="AF93" s="4" t="inlineStr">
        <is>
          <t>https://www.shibatairika.com/access/</t>
        </is>
      </c>
      <c r="AG93" s="4" t="inlineStr">
        <is>
          <t>Verified: published on company website</t>
        </is>
      </c>
    </row>
    <row r="94">
      <c r="A94" s="4" t="n">
        <v>90</v>
      </c>
      <c r="B94" s="4" t="inlineStr">
        <is>
          <t>Olba Healthcare Holdings</t>
        </is>
      </c>
      <c r="C94" s="4" t="inlineStr">
        <is>
          <t>オルバヘルスケアホールディングス</t>
        </is>
      </c>
      <c r="D94" s="4" t="inlineStr">
        <is>
          <t>Not retrieved (NTA lookup blocked in this session)</t>
        </is>
      </c>
      <c r="E94" s="4" t="inlineStr">
        <is>
          <t>岡山県</t>
        </is>
      </c>
      <c r="F94" s="4" t="inlineStr">
        <is>
          <t>Chugoku and Shikoku</t>
        </is>
      </c>
      <c r="G94" s="4" t="inlineStr">
        <is>
          <t>https://www.ida-web.com/</t>
        </is>
      </c>
      <c r="H94" s="4" t="inlineStr">
        <is>
          <t>No MAH found; device sales licence (高度管理医療機器等販売業) not confirmed</t>
        </is>
      </c>
      <c r="I94" s="4" t="inlineStr">
        <is>
          <t>Not identified in published sources</t>
        </is>
      </c>
      <c r="J94" s="4" t="inlineStr">
        <is>
          <t>General medical equipment (hospitals and clinics)</t>
        </is>
      </c>
      <c r="K94" s="4" t="inlineStr">
        <is>
          <t>岡山県 (regional; branch network not confirmed)</t>
        </is>
      </c>
      <c r="L94" s="4" t="inlineStr">
        <is>
          <t>Not found</t>
        </is>
      </c>
      <c r="M94" s="4" t="inlineStr">
        <is>
          <t>Not identified</t>
        </is>
      </c>
      <c r="N94" s="4" t="inlineStr">
        <is>
          <t>Not identified</t>
        </is>
      </c>
      <c r="O94" s="4" t="inlineStr">
        <is>
          <t>kajifusa_m@ida-web.com</t>
        </is>
      </c>
      <c r="P94" s="4" t="inlineStr">
        <is>
          <t>Not confirmed</t>
        </is>
      </c>
      <c r="Q94" s="4" t="inlineStr">
        <is>
          <t>Not identified</t>
        </is>
      </c>
      <c r="R94" s="5" t="inlineStr">
        <is>
          <t>Unverified</t>
        </is>
      </c>
      <c r="S94" s="4" t="n">
        <v>20</v>
      </c>
      <c r="T94" s="10" t="inlineStr">
        <is>
          <t>C</t>
        </is>
      </c>
      <c r="U94" s="4" t="inlineStr">
        <is>
          <t>Regional general medical equipment dealer with hospital and clinic accounts; candidate sub dealer under a national MAH partner.</t>
        </is>
      </c>
      <c r="V94" s="4" t="inlineStr">
        <is>
          <t>Introduce CHISON as a future line through a national MAH partner; ask about their hospital and clinic coverage, service engineers and openness to non Japanese brands.</t>
        </is>
      </c>
      <c r="W94" s="4" t="inlineStr">
        <is>
          <t>N (not identified)</t>
        </is>
      </c>
      <c r="X94" s="7" t="inlineStr">
        <is>
          <t>https://baseconnect.in/companies/prefecture/cd00efe9-63bc-49a2-846e-3cfd4bca7207/keyword/89941b4e-2dd1-4848-8957-48af280a31e0</t>
        </is>
      </c>
      <c r="Y94" s="4" t="inlineStr">
        <is>
          <t>SonoEye P3 plus SonoAir 30 for GP and clinic accounts</t>
        </is>
      </c>
      <c r="Z94" s="4" t="inlineStr">
        <is>
          <t>2, 2, 3, 3, 5, 2, 3</t>
        </is>
      </c>
      <c r="AA94" s="4" t="inlineStr">
        <is>
          <t>Not found</t>
        </is>
      </c>
      <c r="AB94" s="4" t="inlineStr">
        <is>
          <t>Directory or search listing; not opened (direct site access blocked)</t>
        </is>
      </c>
      <c r="AC94" s="4" t="inlineStr">
        <is>
          <t>No expired licence or ended distribution agreement found</t>
        </is>
      </c>
      <c r="AD94" s="4" t="inlineStr">
        <is>
          <t>Not started</t>
        </is>
      </c>
      <c r="AE94" s="4" t="inlineStr">
        <is>
          <t>ida-saiyo@ida-web.com</t>
        </is>
      </c>
      <c r="AF94" s="4" t="inlineStr">
        <is>
          <t>https://www.kirari-okayama.jp/search/detail.php?no=853</t>
        </is>
      </c>
      <c r="AG94" s="4" t="inlineStr">
        <is>
          <t>Likely: indexed on company domain</t>
        </is>
      </c>
    </row>
    <row r="95">
      <c r="A95" s="4" t="n">
        <v>91</v>
      </c>
      <c r="B95" s="4" t="inlineStr">
        <is>
          <t>Shikoku Iryoki</t>
        </is>
      </c>
      <c r="C95" s="4" t="inlineStr">
        <is>
          <t>四国医療器</t>
        </is>
      </c>
      <c r="D95" s="4" t="inlineStr">
        <is>
          <t>Not retrieved (NTA lookup blocked in this session)</t>
        </is>
      </c>
      <c r="E95" s="4" t="inlineStr">
        <is>
          <t>香川県</t>
        </is>
      </c>
      <c r="F95" s="4" t="inlineStr">
        <is>
          <t>Chugoku and Shikoku</t>
        </is>
      </c>
      <c r="G95" s="4" t="inlineStr">
        <is>
          <t>https://shikokuiryoki.com/</t>
        </is>
      </c>
      <c r="H95" s="4" t="inlineStr">
        <is>
          <t>No MAH found; device sales licence (高度管理医療機器等販売業) not confirmed</t>
        </is>
      </c>
      <c r="I95" s="4" t="inlineStr">
        <is>
          <t>Not identified in published sources</t>
        </is>
      </c>
      <c r="J95" s="4" t="inlineStr">
        <is>
          <t>Clinics and GP (開業医)</t>
        </is>
      </c>
      <c r="K95" s="4" t="inlineStr">
        <is>
          <t>香川県 (regional; branch network not confirmed)</t>
        </is>
      </c>
      <c r="L95" s="4" t="inlineStr">
        <is>
          <t>Not found</t>
        </is>
      </c>
      <c r="M95" s="4" t="inlineStr">
        <is>
          <t>Not identified</t>
        </is>
      </c>
      <c r="N95" s="4" t="inlineStr">
        <is>
          <t>Not identified</t>
        </is>
      </c>
      <c r="O95" s="4" t="inlineStr">
        <is>
          <t>info@shikokuiryoki.com</t>
        </is>
      </c>
      <c r="P95" s="4" t="inlineStr">
        <is>
          <t>Not confirmed</t>
        </is>
      </c>
      <c r="Q95" s="4" t="inlineStr">
        <is>
          <t>Not identified</t>
        </is>
      </c>
      <c r="R95" s="5" t="inlineStr">
        <is>
          <t>Unverified</t>
        </is>
      </c>
      <c r="S95" s="4" t="n">
        <v>20</v>
      </c>
      <c r="T95" s="10" t="inlineStr">
        <is>
          <t>C</t>
        </is>
      </c>
      <c r="U95" s="4" t="inlineStr">
        <is>
          <t>Clinic opening and GP coverage; can bundle a portable ultrasound into new 開業医 packages as a sub dealer.</t>
        </is>
      </c>
      <c r="V95" s="4" t="inlineStr">
        <is>
          <t>Ask whether they bundle ultrasound into clinic opening packages and which brand they use today; propose a sub dealer role once a Japanese MAH is in place.</t>
        </is>
      </c>
      <c r="W95" s="4" t="inlineStr">
        <is>
          <t>N (not identified)</t>
        </is>
      </c>
      <c r="X95" s="7" t="inlineStr">
        <is>
          <t>https://baseconnect.in/companies/prefecture/de8c9062-e2c4-4731-9214-c2e07deaabfb/keyword/89941b4e-2dd1-4848-8957-48af280a31e0</t>
        </is>
      </c>
      <c r="Y95" s="4" t="inlineStr">
        <is>
          <t>SonoAir 30 plus SonoEye P3 as a clinic opening package</t>
        </is>
      </c>
      <c r="Z95" s="4" t="inlineStr">
        <is>
          <t>2, 2, 3, 5, 3, 2, 3</t>
        </is>
      </c>
      <c r="AA95" s="4" t="inlineStr">
        <is>
          <t>Not found</t>
        </is>
      </c>
      <c r="AB95" s="4" t="inlineStr">
        <is>
          <t>Directory or search listing; not opened (direct site access blocked)</t>
        </is>
      </c>
      <c r="AC95" s="4" t="inlineStr">
        <is>
          <t>No expired licence or ended distribution agreement found</t>
        </is>
      </c>
      <c r="AD95" s="4" t="inlineStr">
        <is>
          <t>Not started</t>
        </is>
      </c>
      <c r="AE95" s="4" t="inlineStr">
        <is>
          <t>tanaka@shikokuiryoki.com</t>
        </is>
      </c>
      <c r="AF95" s="4" t="inlineStr">
        <is>
          <t>https://sia-japan.com/company_list/731/</t>
        </is>
      </c>
      <c r="AG95" s="4" t="inlineStr">
        <is>
          <t>Likely: indexed on company domain</t>
        </is>
      </c>
    </row>
    <row r="96">
      <c r="A96" s="4" t="n">
        <v>92</v>
      </c>
      <c r="B96" s="4" t="inlineStr">
        <is>
          <t>Den Shoji</t>
        </is>
      </c>
      <c r="C96" s="4" t="inlineStr">
        <is>
          <t>田商事</t>
        </is>
      </c>
      <c r="D96" s="4" t="inlineStr">
        <is>
          <t>Not retrieved (NTA lookup blocked in this session)</t>
        </is>
      </c>
      <c r="E96" s="4" t="inlineStr">
        <is>
          <t>千葉県</t>
        </is>
      </c>
      <c r="F96" s="4" t="inlineStr">
        <is>
          <t>Kanto</t>
        </is>
      </c>
      <c r="G96" s="4" t="inlineStr">
        <is>
          <t>http://www.denshoji.com/</t>
        </is>
      </c>
      <c r="H96" s="4" t="inlineStr">
        <is>
          <t>No MAH found; device sales licence (高度管理医療機器等販売業) not confirmed</t>
        </is>
      </c>
      <c r="I96" s="4" t="inlineStr">
        <is>
          <t>Not identified in published sources</t>
        </is>
      </c>
      <c r="J96" s="4" t="inlineStr">
        <is>
          <t>Hospitals</t>
        </is>
      </c>
      <c r="K96" s="4" t="inlineStr">
        <is>
          <t>千葉県 (regional; branch network not confirmed)</t>
        </is>
      </c>
      <c r="L96" s="4" t="inlineStr">
        <is>
          <t>Not found</t>
        </is>
      </c>
      <c r="M96" s="4" t="inlineStr">
        <is>
          <t>Not identified</t>
        </is>
      </c>
      <c r="N96" s="4" t="inlineStr">
        <is>
          <t>Not identified</t>
        </is>
      </c>
      <c r="O96" s="4" t="inlineStr">
        <is>
          <t>Not published; use contact form</t>
        </is>
      </c>
      <c r="P96" s="4" t="inlineStr">
        <is>
          <t>Not confirmed</t>
        </is>
      </c>
      <c r="Q96" s="4" t="inlineStr">
        <is>
          <t>Not identified</t>
        </is>
      </c>
      <c r="R96" s="5" t="inlineStr">
        <is>
          <t>Likely</t>
        </is>
      </c>
      <c r="S96" s="4" t="n">
        <v>19</v>
      </c>
      <c r="T96" s="10" t="inlineStr">
        <is>
          <t>C</t>
        </is>
      </c>
      <c r="U96" s="4" t="inlineStr">
        <is>
          <t>Regional general medical equipment dealer with hospital and clinic accounts; candidate sub dealer under a national MAH partner.</t>
        </is>
      </c>
      <c r="V96" s="4" t="inlineStr">
        <is>
          <t>Introduce CHISON as a future line through a national MAH partner; ask about their hospital and clinic coverage, service engineers and openness to non Japanese brands.</t>
        </is>
      </c>
      <c r="W96" s="4" t="inlineStr">
        <is>
          <t>N (not identified)</t>
        </is>
      </c>
      <c r="X96" s="7" t="inlineStr">
        <is>
          <t>https://baseconnect.in/companies/prefecture/3420045f-8609-4232-9407-75407ae4e6e8/keyword/89941b4e-2dd1-4848-8957-48af280a31e0</t>
        </is>
      </c>
      <c r="Y96" s="4" t="inlineStr">
        <is>
          <t>SonoEye P3 plus SonoAir 30 for GP and clinic accounts</t>
        </is>
      </c>
      <c r="Z96" s="4" t="inlineStr">
        <is>
          <t>2, 2, 3, 4, 3, 2, 3</t>
        </is>
      </c>
      <c r="AA96" s="4" t="inlineStr">
        <is>
          <t>Not found</t>
        </is>
      </c>
      <c r="AB96" s="4" t="inlineStr">
        <is>
          <t>Directory or search listing; not opened (direct site access blocked)</t>
        </is>
      </c>
      <c r="AC96" s="4" t="inlineStr">
        <is>
          <t>No expired licence or ended distribution agreement found</t>
        </is>
      </c>
      <c r="AD96" s="4" t="inlineStr">
        <is>
          <t>Not started</t>
        </is>
      </c>
      <c r="AE96" s="4" t="inlineStr"/>
      <c r="AF96" s="4" t="inlineStr">
        <is>
          <t>http://www.denshoji.com/contact/</t>
        </is>
      </c>
      <c r="AG96" s="4" t="inlineStr">
        <is>
          <t>No email published; use the contact form (link in Email source)</t>
        </is>
      </c>
    </row>
    <row r="97">
      <c r="A97" s="4" t="n">
        <v>93</v>
      </c>
      <c r="B97" s="4" t="inlineStr">
        <is>
          <t>Kakinuma Medical</t>
        </is>
      </c>
      <c r="C97" s="4" t="inlineStr">
        <is>
          <t>カキヌマメディカル</t>
        </is>
      </c>
      <c r="D97" s="4" t="inlineStr">
        <is>
          <t>Not retrieved (NTA lookup blocked in this session)</t>
        </is>
      </c>
      <c r="E97" s="4" t="inlineStr">
        <is>
          <t>東京都</t>
        </is>
      </c>
      <c r="F97" s="4" t="inlineStr">
        <is>
          <t>Kanto</t>
        </is>
      </c>
      <c r="G97" s="4" t="inlineStr">
        <is>
          <t>https://www.kakinumamedical.com/</t>
        </is>
      </c>
      <c r="H97" s="4" t="inlineStr">
        <is>
          <t>No MAH found; device sales licence (高度管理医療機器等販売業) not confirmed</t>
        </is>
      </c>
      <c r="I97" s="4" t="inlineStr">
        <is>
          <t>Not identified in published sources</t>
        </is>
      </c>
      <c r="J97" s="4" t="inlineStr">
        <is>
          <t>Hospitals</t>
        </is>
      </c>
      <c r="K97" s="4" t="inlineStr">
        <is>
          <t>東京都; Tokyo</t>
        </is>
      </c>
      <c r="L97" s="4" t="inlineStr">
        <is>
          <t>Not found</t>
        </is>
      </c>
      <c r="M97" s="4" t="inlineStr">
        <is>
          <t>Not identified</t>
        </is>
      </c>
      <c r="N97" s="4" t="inlineStr">
        <is>
          <t>Not identified</t>
        </is>
      </c>
      <c r="O97" s="4" t="inlineStr">
        <is>
          <t>po@kakinumamedical.com</t>
        </is>
      </c>
      <c r="P97" s="4" t="inlineStr">
        <is>
          <t>Not confirmed</t>
        </is>
      </c>
      <c r="Q97" s="4" t="inlineStr">
        <is>
          <t>Not identified</t>
        </is>
      </c>
      <c r="R97" s="5" t="inlineStr">
        <is>
          <t>Unverified</t>
        </is>
      </c>
      <c r="S97" s="4" t="n">
        <v>19</v>
      </c>
      <c r="T97" s="10" t="inlineStr">
        <is>
          <t>C</t>
        </is>
      </c>
      <c r="U97" s="4" t="inlineStr">
        <is>
          <t>Regional general medical equipment dealer with hospital and clinic accounts; candidate sub dealer under a national MAH partner.</t>
        </is>
      </c>
      <c r="V97" s="4" t="inlineStr">
        <is>
          <t>Introduce CHISON as a future line through a national MAH partner; ask about their hospital and clinic coverage, service engineers and openness to non Japanese brands.</t>
        </is>
      </c>
      <c r="W97" s="4" t="inlineStr">
        <is>
          <t>N (not identified)</t>
        </is>
      </c>
      <c r="X97" s="7" t="inlineStr">
        <is>
          <t>https://baseconnect.in/companies/keyword/a9b4f8d9-510e-403e-859d-c2d2fa9778be</t>
        </is>
      </c>
      <c r="Y97" s="4" t="inlineStr">
        <is>
          <t>SonoEye P3 plus SonoAir 30 for GP and clinic accounts</t>
        </is>
      </c>
      <c r="Z97" s="4" t="inlineStr">
        <is>
          <t>2, 2, 3, 4, 3, 2, 3</t>
        </is>
      </c>
      <c r="AA97" s="4" t="inlineStr">
        <is>
          <t>Not found</t>
        </is>
      </c>
      <c r="AB97" s="4" t="inlineStr">
        <is>
          <t>Directory or search listing; not opened (direct site access blocked)</t>
        </is>
      </c>
      <c r="AC97" s="4" t="inlineStr">
        <is>
          <t>No expired licence or ended distribution agreement found</t>
        </is>
      </c>
      <c r="AD97" s="4" t="inlineStr">
        <is>
          <t>Not started</t>
        </is>
      </c>
      <c r="AE97" s="4" t="inlineStr"/>
      <c r="AF97" s="4" t="inlineStr">
        <is>
          <t>https://www.kakinumamedical.com/topics/info/feed</t>
        </is>
      </c>
      <c r="AG97" s="4" t="inlineStr">
        <is>
          <t>Verified: published on company website</t>
        </is>
      </c>
    </row>
    <row r="98">
      <c r="A98" s="4" t="n">
        <v>94</v>
      </c>
      <c r="B98" s="4" t="inlineStr">
        <is>
          <t>Corazon Medical Service</t>
        </is>
      </c>
      <c r="C98" s="4" t="inlineStr">
        <is>
          <t>コラゾン・メディカル・サービス</t>
        </is>
      </c>
      <c r="D98" s="4" t="inlineStr">
        <is>
          <t>Not retrieved (NTA lookup blocked in this session)</t>
        </is>
      </c>
      <c r="E98" s="4" t="inlineStr">
        <is>
          <t>茨城県</t>
        </is>
      </c>
      <c r="F98" s="4" t="inlineStr">
        <is>
          <t>Kanto</t>
        </is>
      </c>
      <c r="G98" s="4" t="inlineStr">
        <is>
          <t>http://www.corazon-med.co.jp/</t>
        </is>
      </c>
      <c r="H98" s="4" t="inlineStr">
        <is>
          <t>No MAH found; device sales licence (高度管理医療機器等販売業) not confirmed</t>
        </is>
      </c>
      <c r="I98" s="4" t="inlineStr">
        <is>
          <t>Not identified in published sources</t>
        </is>
      </c>
      <c r="J98" s="4" t="inlineStr">
        <is>
          <t>Cardiology</t>
        </is>
      </c>
      <c r="K98" s="4" t="inlineStr">
        <is>
          <t>茨城県 (regional; branch network not confirmed)</t>
        </is>
      </c>
      <c r="L98" s="4" t="inlineStr">
        <is>
          <t>Not found</t>
        </is>
      </c>
      <c r="M98" s="4" t="inlineStr">
        <is>
          <t>Not identified</t>
        </is>
      </c>
      <c r="N98" s="4" t="inlineStr">
        <is>
          <t>Not identified</t>
        </is>
      </c>
      <c r="O98" s="4" t="inlineStr">
        <is>
          <t>sugimoto@corazon-med.co.jp</t>
        </is>
      </c>
      <c r="P98" s="4" t="inlineStr">
        <is>
          <t>Not confirmed</t>
        </is>
      </c>
      <c r="Q98" s="4" t="inlineStr">
        <is>
          <t>Not identified</t>
        </is>
      </c>
      <c r="R98" s="5" t="inlineStr">
        <is>
          <t>Unverified</t>
        </is>
      </c>
      <c r="S98" s="4" t="n">
        <v>19</v>
      </c>
      <c r="T98" s="10" t="inlineStr">
        <is>
          <t>C</t>
        </is>
      </c>
      <c r="U98" s="4" t="inlineStr">
        <is>
          <t>Adjacent hospital department line (no ultrasound found), which is the best recruit profile for a point of care line.</t>
        </is>
      </c>
      <c r="V98" s="4" t="inlineStr">
        <is>
          <t>Introduce CHISON as a future line through a national MAH partner; ask about their hospital and clinic coverage, service engineers and openness to non Japanese brands.</t>
        </is>
      </c>
      <c r="W98" s="4" t="inlineStr">
        <is>
          <t>N (not identified)</t>
        </is>
      </c>
      <c r="X98" s="7" t="inlineStr">
        <is>
          <t>https://baseconnect.in/companies/prefecture/d8203dea-91e2-41c3-a785-b80aa997273c/category/b2358a1c-c4c6-46f4-a0b1-dee3a1b30a0b</t>
        </is>
      </c>
      <c r="Y98" s="4" t="inlineStr">
        <is>
          <t>CBit 6 cart plus SonoEye P5 pocket echo</t>
        </is>
      </c>
      <c r="Z98" s="4" t="inlineStr">
        <is>
          <t>2, 3, 3, 3, 3, 2, 3</t>
        </is>
      </c>
      <c r="AA98" s="4" t="inlineStr">
        <is>
          <t>Not found</t>
        </is>
      </c>
      <c r="AB98" s="4" t="inlineStr">
        <is>
          <t>Directory or search listing; not opened (direct site access blocked)</t>
        </is>
      </c>
      <c r="AC98" s="4" t="inlineStr">
        <is>
          <t>No expired licence or ended distribution agreement found</t>
        </is>
      </c>
      <c r="AD98" s="4" t="inlineStr">
        <is>
          <t>Not started</t>
        </is>
      </c>
      <c r="AE98" s="4" t="inlineStr"/>
      <c r="AF98" s="4" t="inlineStr">
        <is>
          <t>https://www.hellowork.mhlw.go.jp/kensaku/GECA110020.do?screenId=GECA110020&amp;action=kyujinhyoBtn&amp;kjhyoKjNo=0812004389261&amp;kjhyoKjKbn=1&amp;kjhyoDtiID=&amp;kjhyoKsNo=</t>
        </is>
      </c>
      <c r="AG98" s="4" t="inlineStr">
        <is>
          <t>Likely: indexed on company domain</t>
        </is>
      </c>
    </row>
    <row r="99">
      <c r="A99" s="4" t="n">
        <v>95</v>
      </c>
      <c r="B99" s="4" t="inlineStr">
        <is>
          <t>Sanshodo</t>
        </is>
      </c>
      <c r="C99" s="4" t="inlineStr">
        <is>
          <t>三笑堂</t>
        </is>
      </c>
      <c r="D99" s="4" t="inlineStr">
        <is>
          <t>Not retrieved (NTA lookup blocked in this session)</t>
        </is>
      </c>
      <c r="E99" s="4" t="inlineStr">
        <is>
          <t>京都府</t>
        </is>
      </c>
      <c r="F99" s="4" t="inlineStr">
        <is>
          <t>Kansai</t>
        </is>
      </c>
      <c r="G99" s="4" t="inlineStr">
        <is>
          <t>https://www.sanshodoh.co.jp/</t>
        </is>
      </c>
      <c r="H99" s="4" t="inlineStr">
        <is>
          <t>No MAH found; device sales licence (高度管理医療機器等販売業) not confirmed</t>
        </is>
      </c>
      <c r="I99" s="4" t="inlineStr">
        <is>
          <t>Not identified in published sources</t>
        </is>
      </c>
      <c r="J99" s="4" t="inlineStr">
        <is>
          <t>General medical equipment (hospitals and clinics)</t>
        </is>
      </c>
      <c r="K99" s="4" t="inlineStr">
        <is>
          <t>京都府; Kyoto and Shiga</t>
        </is>
      </c>
      <c r="L99" s="4" t="inlineStr">
        <is>
          <t>Not found</t>
        </is>
      </c>
      <c r="M99" s="4" t="inlineStr">
        <is>
          <t>Not identified</t>
        </is>
      </c>
      <c r="N99" s="4" t="inlineStr">
        <is>
          <t>Not identified</t>
        </is>
      </c>
      <c r="O99" s="4" t="inlineStr">
        <is>
          <t>Not published; use contact form</t>
        </is>
      </c>
      <c r="P99" s="4" t="inlineStr">
        <is>
          <t>Not confirmed</t>
        </is>
      </c>
      <c r="Q99" s="4" t="inlineStr">
        <is>
          <t>Not identified</t>
        </is>
      </c>
      <c r="R99" s="5" t="inlineStr">
        <is>
          <t>Likely</t>
        </is>
      </c>
      <c r="S99" s="4" t="n">
        <v>19</v>
      </c>
      <c r="T99" s="10" t="inlineStr">
        <is>
          <t>C</t>
        </is>
      </c>
      <c r="U99" s="4" t="inlineStr">
        <is>
          <t>Regional general medical equipment dealer with hospital and clinic accounts; candidate sub dealer under a national MAH partner.</t>
        </is>
      </c>
      <c r="V99" s="4" t="inlineStr">
        <is>
          <t>Introduce CHISON as a future line through a national MAH partner; ask about their hospital and clinic coverage, service engineers and openness to non Japanese brands.</t>
        </is>
      </c>
      <c r="W99" s="4" t="inlineStr">
        <is>
          <t>N (not identified)</t>
        </is>
      </c>
      <c r="X99" s="7" t="inlineStr">
        <is>
          <t>https://www.pref.kyoto.jp/sangyo-sien/company/sannsyoudou.html</t>
        </is>
      </c>
      <c r="Y99" s="4" t="inlineStr">
        <is>
          <t>SonoEye P3 plus SonoAir 30 for GP and clinic accounts</t>
        </is>
      </c>
      <c r="Z99" s="4" t="inlineStr">
        <is>
          <t>2, 2, 3, 3, 4, 2, 3</t>
        </is>
      </c>
      <c r="AA99" s="4" t="inlineStr">
        <is>
          <t>Not found</t>
        </is>
      </c>
      <c r="AB99" s="4" t="inlineStr">
        <is>
          <t>Directory or search listing; not opened (direct site access blocked)</t>
        </is>
      </c>
      <c r="AC99" s="4" t="inlineStr">
        <is>
          <t>No expired licence or ended distribution agreement found</t>
        </is>
      </c>
      <c r="AD99" s="4" t="inlineStr">
        <is>
          <t>Not started</t>
        </is>
      </c>
      <c r="AE99" s="4" t="inlineStr"/>
      <c r="AF99" s="4" t="inlineStr">
        <is>
          <t>https://www.sanshodoh.co.jp/contact/</t>
        </is>
      </c>
      <c r="AG99" s="4" t="inlineStr">
        <is>
          <t>No email published; use the contact form (link in Email source)</t>
        </is>
      </c>
    </row>
    <row r="100">
      <c r="A100" s="4" t="n">
        <v>96</v>
      </c>
      <c r="B100" s="4" t="inlineStr">
        <is>
          <t>Miyano Iryoki</t>
        </is>
      </c>
      <c r="C100" s="4" t="inlineStr">
        <is>
          <t>宮野医療器</t>
        </is>
      </c>
      <c r="D100" s="4" t="inlineStr">
        <is>
          <t>Not retrieved (NTA lookup blocked in this session)</t>
        </is>
      </c>
      <c r="E100" s="4" t="inlineStr">
        <is>
          <t>兵庫県</t>
        </is>
      </c>
      <c r="F100" s="4" t="inlineStr">
        <is>
          <t>Kansai</t>
        </is>
      </c>
      <c r="G100" s="4" t="inlineStr">
        <is>
          <t>https://www.miyano.co.jp/</t>
        </is>
      </c>
      <c r="H100" s="4" t="inlineStr">
        <is>
          <t>No MAH found; device sales licence (高度管理医療機器等販売業) not confirmed</t>
        </is>
      </c>
      <c r="I100" s="4" t="inlineStr">
        <is>
          <t>Not identified in published sources</t>
        </is>
      </c>
      <c r="J100" s="4" t="inlineStr">
        <is>
          <t>Hospitals</t>
        </is>
      </c>
      <c r="K100" s="4" t="inlineStr">
        <is>
          <t>兵庫県 (regional; branch network not confirmed)</t>
        </is>
      </c>
      <c r="L100" s="4" t="inlineStr">
        <is>
          <t>Not found</t>
        </is>
      </c>
      <c r="M100" s="4" t="inlineStr">
        <is>
          <t>Not identified</t>
        </is>
      </c>
      <c r="N100" s="4" t="inlineStr">
        <is>
          <t>Not identified</t>
        </is>
      </c>
      <c r="O100" s="4" t="inlineStr">
        <is>
          <t>m-international@miyano.co.jp</t>
        </is>
      </c>
      <c r="P100" s="4" t="inlineStr">
        <is>
          <t>Not confirmed</t>
        </is>
      </c>
      <c r="Q100" s="4" t="inlineStr">
        <is>
          <t>Not identified</t>
        </is>
      </c>
      <c r="R100" s="5" t="inlineStr">
        <is>
          <t>Unverified</t>
        </is>
      </c>
      <c r="S100" s="4" t="n">
        <v>19</v>
      </c>
      <c r="T100" s="10" t="inlineStr">
        <is>
          <t>C</t>
        </is>
      </c>
      <c r="U100" s="4" t="inlineStr">
        <is>
          <t>Regional general medical equipment dealer with hospital and clinic accounts; candidate sub dealer under a national MAH partner.</t>
        </is>
      </c>
      <c r="V100" s="4" t="inlineStr">
        <is>
          <t>Introduce CHISON as a future line through a national MAH partner; ask about their hospital and clinic coverage, service engineers and openness to non Japanese brands.</t>
        </is>
      </c>
      <c r="W100" s="4" t="inlineStr">
        <is>
          <t>N (not identified)</t>
        </is>
      </c>
      <c r="X100" s="7" t="inlineStr">
        <is>
          <t>https://baseconnect.in/companies/prefecture/912d7b2d-41c2-4923-a5c1-6666f9834966/keyword/14f3dcec-9cd5-4be5-84e1-ddccb7bd228c</t>
        </is>
      </c>
      <c r="Y100" s="4" t="inlineStr">
        <is>
          <t>SonoEye P3 plus SonoAir 30 for GP and clinic accounts</t>
        </is>
      </c>
      <c r="Z100" s="4" t="inlineStr">
        <is>
          <t>2, 2, 3, 4, 3, 2, 3</t>
        </is>
      </c>
      <c r="AA100" s="4" t="inlineStr">
        <is>
          <t>Not found</t>
        </is>
      </c>
      <c r="AB100" s="4" t="inlineStr">
        <is>
          <t>Directory or search listing; not opened (direct site access blocked)</t>
        </is>
      </c>
      <c r="AC100" s="4" t="inlineStr">
        <is>
          <t>No expired licence or ended distribution agreement found</t>
        </is>
      </c>
      <c r="AD100" s="4" t="inlineStr">
        <is>
          <t>Not started</t>
        </is>
      </c>
      <c r="AE100" s="4" t="inlineStr">
        <is>
          <t>saiyou@miyano.co.jp</t>
        </is>
      </c>
      <c r="AF100" s="4" t="inlineStr">
        <is>
          <t>https://www.miyano.co.jp/EN/</t>
        </is>
      </c>
      <c r="AG100" s="4" t="inlineStr">
        <is>
          <t>Verified: published on company website</t>
        </is>
      </c>
    </row>
    <row r="101">
      <c r="A101" s="4" t="n">
        <v>97</v>
      </c>
      <c r="B101" s="4" t="inlineStr">
        <is>
          <t>Daikoku</t>
        </is>
      </c>
      <c r="C101" s="4" t="inlineStr">
        <is>
          <t>大黒</t>
        </is>
      </c>
      <c r="D101" s="4" t="inlineStr">
        <is>
          <t>Not retrieved (NTA lookup blocked in this session)</t>
        </is>
      </c>
      <c r="E101" s="4" t="inlineStr">
        <is>
          <t>和歌山県</t>
        </is>
      </c>
      <c r="F101" s="4" t="inlineStr">
        <is>
          <t>Kansai</t>
        </is>
      </c>
      <c r="G101" s="4" t="inlineStr">
        <is>
          <t>https://daikoku-medical.co.jp/</t>
        </is>
      </c>
      <c r="H101" s="4" t="inlineStr">
        <is>
          <t>No MAH found; device sales licence (高度管理医療機器等販売業) not confirmed</t>
        </is>
      </c>
      <c r="I101" s="4" t="inlineStr">
        <is>
          <t>Not identified in published sources</t>
        </is>
      </c>
      <c r="J101" s="4" t="inlineStr">
        <is>
          <t>General medical equipment (hospitals and clinics)</t>
        </is>
      </c>
      <c r="K101" s="4" t="inlineStr">
        <is>
          <t>和歌山県 (regional; branch network not confirmed)</t>
        </is>
      </c>
      <c r="L101" s="4" t="inlineStr">
        <is>
          <t>Not found</t>
        </is>
      </c>
      <c r="M101" s="4" t="inlineStr">
        <is>
          <t>Not identified</t>
        </is>
      </c>
      <c r="N101" s="4" t="inlineStr">
        <is>
          <t>Not identified</t>
        </is>
      </c>
      <c r="O101" s="4" t="inlineStr">
        <is>
          <t>recruitment_officer01@daikoku-medical.co.jp</t>
        </is>
      </c>
      <c r="P101" s="4" t="inlineStr">
        <is>
          <t>Not confirmed</t>
        </is>
      </c>
      <c r="Q101" s="4" t="inlineStr">
        <is>
          <t>Not identified</t>
        </is>
      </c>
      <c r="R101" s="5" t="inlineStr">
        <is>
          <t>Unverified</t>
        </is>
      </c>
      <c r="S101" s="4" t="n">
        <v>19</v>
      </c>
      <c r="T101" s="10" t="inlineStr">
        <is>
          <t>C</t>
        </is>
      </c>
      <c r="U101" s="4" t="inlineStr">
        <is>
          <t>Regional general medical equipment dealer with hospital and clinic accounts; candidate sub dealer under a national MAH partner.</t>
        </is>
      </c>
      <c r="V101" s="4" t="inlineStr">
        <is>
          <t>Introduce CHISON as a future line through a national MAH partner; ask about their hospital and clinic coverage, service engineers and openness to non Japanese brands.</t>
        </is>
      </c>
      <c r="W101" s="4" t="inlineStr">
        <is>
          <t>N (not identified)</t>
        </is>
      </c>
      <c r="X101" s="7" t="inlineStr">
        <is>
          <t>https://baseconnect.in/companies/prefecture/ba2490e4-a288-4266-8dd3-30b4ef28b3b2</t>
        </is>
      </c>
      <c r="Y101" s="4" t="inlineStr">
        <is>
          <t>SonoEye P3 plus SonoAir 30 for GP and clinic accounts</t>
        </is>
      </c>
      <c r="Z101" s="4" t="inlineStr">
        <is>
          <t>2, 2, 3, 2, 3, 4, 3</t>
        </is>
      </c>
      <c r="AA101" s="4" t="inlineStr">
        <is>
          <t>Not found</t>
        </is>
      </c>
      <c r="AB101" s="4" t="inlineStr">
        <is>
          <t>Directory or search listing; not opened (direct site access blocked)</t>
        </is>
      </c>
      <c r="AC101" s="4" t="inlineStr">
        <is>
          <t>No expired licence or ended distribution agreement found</t>
        </is>
      </c>
      <c r="AD101" s="4" t="inlineStr">
        <is>
          <t>Not started</t>
        </is>
      </c>
      <c r="AE101" s="4" t="inlineStr"/>
      <c r="AF101" s="4" t="inlineStr">
        <is>
          <t>https://daikoku-medical.co.jp/recruit/flow/</t>
        </is>
      </c>
      <c r="AG101" s="4" t="inlineStr">
        <is>
          <t>Verified: published on company website; HR or recruitment inbox, ask to forward to sales</t>
        </is>
      </c>
    </row>
    <row r="102">
      <c r="A102" s="4" t="n">
        <v>98</v>
      </c>
      <c r="B102" s="4" t="inlineStr">
        <is>
          <t>Medicos Hirata</t>
        </is>
      </c>
      <c r="C102" s="4" t="inlineStr">
        <is>
          <t>メディコスヒラタ</t>
        </is>
      </c>
      <c r="D102" s="4" t="inlineStr">
        <is>
          <t>Not retrieved (NTA lookup blocked in this session)</t>
        </is>
      </c>
      <c r="E102" s="4" t="inlineStr">
        <is>
          <t>大阪府</t>
        </is>
      </c>
      <c r="F102" s="4" t="inlineStr">
        <is>
          <t>Kansai</t>
        </is>
      </c>
      <c r="G102" s="4" t="inlineStr">
        <is>
          <t>https://www.medicos-hirata.co.jp/</t>
        </is>
      </c>
      <c r="H102" s="4" t="inlineStr">
        <is>
          <t>No MAH found; device sales licence (高度管理医療機器等販売業) not confirmed</t>
        </is>
      </c>
      <c r="I102" s="4" t="inlineStr">
        <is>
          <t>Not identified in published sources</t>
        </is>
      </c>
      <c r="J102" s="4" t="inlineStr">
        <is>
          <t>Endoscopy and IVR</t>
        </is>
      </c>
      <c r="K102" s="4" t="inlineStr">
        <is>
          <t>大阪府 (regional; branch network not confirmed)</t>
        </is>
      </c>
      <c r="L102" s="4" t="inlineStr">
        <is>
          <t>Not found</t>
        </is>
      </c>
      <c r="M102" s="4" t="inlineStr">
        <is>
          <t>Not identified</t>
        </is>
      </c>
      <c r="N102" s="4" t="inlineStr">
        <is>
          <t>Not identified</t>
        </is>
      </c>
      <c r="O102" s="4" t="inlineStr">
        <is>
          <t>Not published; use company inquiry form</t>
        </is>
      </c>
      <c r="P102" s="4" t="inlineStr">
        <is>
          <t>Not confirmed</t>
        </is>
      </c>
      <c r="Q102" s="4" t="inlineStr">
        <is>
          <t>Not identified</t>
        </is>
      </c>
      <c r="R102" s="5" t="inlineStr">
        <is>
          <t>Company inquiry only</t>
        </is>
      </c>
      <c r="S102" s="4" t="n">
        <v>19</v>
      </c>
      <c r="T102" s="10" t="inlineStr">
        <is>
          <t>C</t>
        </is>
      </c>
      <c r="U102" s="4" t="inlineStr">
        <is>
          <t>Adjacent hospital department line (no ultrasound found), which is the best recruit profile for a point of care line.</t>
        </is>
      </c>
      <c r="V102" s="4" t="inlineStr">
        <is>
          <t>Introduce CHISON as a future line through a national MAH partner; ask about their hospital and clinic coverage, service engineers and openness to non Japanese brands.</t>
        </is>
      </c>
      <c r="W102" s="4" t="inlineStr">
        <is>
          <t>N (not identified)</t>
        </is>
      </c>
      <c r="X102" s="7" t="inlineStr">
        <is>
          <t>https://baseconnect.in/companies/prefecture/d80b180e-5fd9-4082-8cdc-a510179a3475/keyword/89941b4e-2dd1-4848-8957-48af280a31e0</t>
        </is>
      </c>
      <c r="Y102" s="4" t="inlineStr">
        <is>
          <t>SonoTouch plus SonoEye P3 (nerve block, vascular access, peri operative)</t>
        </is>
      </c>
      <c r="Z102" s="4" t="inlineStr">
        <is>
          <t>2, 3, 3, 3, 3, 2, 3</t>
        </is>
      </c>
      <c r="AA102" s="4" t="inlineStr">
        <is>
          <t>Not found</t>
        </is>
      </c>
      <c r="AB102" s="4" t="inlineStr">
        <is>
          <t>Directory or search listing; not opened (direct site access blocked)</t>
        </is>
      </c>
      <c r="AC102" s="4" t="inlineStr">
        <is>
          <t>No expired licence or ended distribution agreement found</t>
        </is>
      </c>
      <c r="AD102" s="4" t="inlineStr">
        <is>
          <t>Not started</t>
        </is>
      </c>
      <c r="AE102" s="4" t="inlineStr"/>
      <c r="AF102" s="4" t="inlineStr"/>
      <c r="AG102" s="4" t="inlineStr">
        <is>
          <t>No email published; website has no contact page link, phone first</t>
        </is>
      </c>
    </row>
    <row r="103">
      <c r="A103" s="4" t="n">
        <v>99</v>
      </c>
      <c r="B103" s="4" t="inlineStr">
        <is>
          <t>Ferris</t>
        </is>
      </c>
      <c r="C103" s="4" t="inlineStr">
        <is>
          <t>フェリス</t>
        </is>
      </c>
      <c r="D103" s="4" t="inlineStr">
        <is>
          <t>Not retrieved (NTA lookup blocked in this session)</t>
        </is>
      </c>
      <c r="E103" s="4" t="inlineStr">
        <is>
          <t>大阪府</t>
        </is>
      </c>
      <c r="F103" s="4" t="inlineStr">
        <is>
          <t>Kansai</t>
        </is>
      </c>
      <c r="G103" s="4" t="inlineStr">
        <is>
          <t>https://feliz-medical.jp/</t>
        </is>
      </c>
      <c r="H103" s="4" t="inlineStr">
        <is>
          <t>No MAH found; device sales licence (高度管理医療機器等販売業) not confirmed</t>
        </is>
      </c>
      <c r="I103" s="4" t="inlineStr">
        <is>
          <t>Not identified in published sources</t>
        </is>
      </c>
      <c r="J103" s="4" t="inlineStr">
        <is>
          <t>Hospitals</t>
        </is>
      </c>
      <c r="K103" s="4" t="inlineStr">
        <is>
          <t>大阪府 (regional; branch network not confirmed)</t>
        </is>
      </c>
      <c r="L103" s="4" t="inlineStr">
        <is>
          <t>Not found</t>
        </is>
      </c>
      <c r="M103" s="4" t="inlineStr">
        <is>
          <t>Not identified</t>
        </is>
      </c>
      <c r="N103" s="4" t="inlineStr">
        <is>
          <t>Not identified</t>
        </is>
      </c>
      <c r="O103" s="4" t="inlineStr">
        <is>
          <t>Not published; use company inquiry form</t>
        </is>
      </c>
      <c r="P103" s="4" t="inlineStr">
        <is>
          <t>Not confirmed</t>
        </is>
      </c>
      <c r="Q103" s="4" t="inlineStr">
        <is>
          <t>Not identified</t>
        </is>
      </c>
      <c r="R103" s="5" t="inlineStr">
        <is>
          <t>Company inquiry only</t>
        </is>
      </c>
      <c r="S103" s="4" t="n">
        <v>19</v>
      </c>
      <c r="T103" s="10" t="inlineStr">
        <is>
          <t>C</t>
        </is>
      </c>
      <c r="U103" s="4" t="inlineStr">
        <is>
          <t>Regional general medical equipment dealer with hospital and clinic accounts; candidate sub dealer under a national MAH partner.</t>
        </is>
      </c>
      <c r="V103" s="4" t="inlineStr">
        <is>
          <t>Introduce CHISON as a future line through a national MAH partner; ask about their hospital and clinic coverage, service engineers and openness to non Japanese brands.</t>
        </is>
      </c>
      <c r="W103" s="4" t="inlineStr">
        <is>
          <t>N (not identified)</t>
        </is>
      </c>
      <c r="X103" s="7" t="inlineStr">
        <is>
          <t>https://baseconnect.in/companies/prefecture/d80b180e-5fd9-4082-8cdc-a510179a3475/keyword/89941b4e-2dd1-4848-8957-48af280a31e0</t>
        </is>
      </c>
      <c r="Y103" s="4" t="inlineStr">
        <is>
          <t>SonoEye P3 plus SonoAir 30 for GP and clinic accounts</t>
        </is>
      </c>
      <c r="Z103" s="4" t="inlineStr">
        <is>
          <t>2, 2, 3, 4, 3, 2, 3</t>
        </is>
      </c>
      <c r="AA103" s="4" t="inlineStr">
        <is>
          <t>Not found</t>
        </is>
      </c>
      <c r="AB103" s="4" t="inlineStr">
        <is>
          <t>Directory or search listing; not opened (direct site access blocked)</t>
        </is>
      </c>
      <c r="AC103" s="4" t="inlineStr">
        <is>
          <t>No expired licence or ended distribution agreement found</t>
        </is>
      </c>
      <c r="AD103" s="4" t="inlineStr">
        <is>
          <t>Not started</t>
        </is>
      </c>
      <c r="AE103" s="4" t="inlineStr"/>
      <c r="AF103" s="4" t="inlineStr"/>
      <c r="AG103" s="4" t="inlineStr">
        <is>
          <t>No email published; website has no contact page link, phone first</t>
        </is>
      </c>
    </row>
    <row r="104">
      <c r="A104" s="4" t="n">
        <v>100</v>
      </c>
      <c r="B104" s="4" t="inlineStr">
        <is>
          <t>Yamashita (Nara)</t>
        </is>
      </c>
      <c r="C104" s="4" t="inlineStr">
        <is>
          <t>ヤマシタ</t>
        </is>
      </c>
      <c r="D104" s="4" t="inlineStr">
        <is>
          <t>Not retrieved (NTA lookup blocked in this session)</t>
        </is>
      </c>
      <c r="E104" s="4" t="inlineStr">
        <is>
          <t>奈良県</t>
        </is>
      </c>
      <c r="F104" s="4" t="inlineStr">
        <is>
          <t>Kansai</t>
        </is>
      </c>
      <c r="G104" s="4" t="inlineStr">
        <is>
          <t>https://www.ycota.jp/</t>
        </is>
      </c>
      <c r="H104" s="4" t="inlineStr">
        <is>
          <t>No MAH found; device sales licence (高度管理医療機器等販売業) not confirmed</t>
        </is>
      </c>
      <c r="I104" s="4" t="inlineStr">
        <is>
          <t>Not identified in published sources</t>
        </is>
      </c>
      <c r="J104" s="4" t="inlineStr">
        <is>
          <t>Hospitals</t>
        </is>
      </c>
      <c r="K104" s="4" t="inlineStr">
        <is>
          <t>奈良県 (regional; branch network not confirmed)</t>
        </is>
      </c>
      <c r="L104" s="4" t="inlineStr">
        <is>
          <t>Not found</t>
        </is>
      </c>
      <c r="M104" s="4" t="inlineStr">
        <is>
          <t>Not identified</t>
        </is>
      </c>
      <c r="N104" s="4" t="inlineStr">
        <is>
          <t>Not identified</t>
        </is>
      </c>
      <c r="O104" s="4" t="inlineStr">
        <is>
          <t>Not published; use contact form</t>
        </is>
      </c>
      <c r="P104" s="4" t="inlineStr">
        <is>
          <t>Not confirmed</t>
        </is>
      </c>
      <c r="Q104" s="4" t="inlineStr">
        <is>
          <t>Not identified</t>
        </is>
      </c>
      <c r="R104" s="5" t="inlineStr">
        <is>
          <t>Likely</t>
        </is>
      </c>
      <c r="S104" s="4" t="n">
        <v>19</v>
      </c>
      <c r="T104" s="10" t="inlineStr">
        <is>
          <t>C</t>
        </is>
      </c>
      <c r="U104" s="4" t="inlineStr">
        <is>
          <t>Regional general medical equipment dealer with hospital and clinic accounts; candidate sub dealer under a national MAH partner.</t>
        </is>
      </c>
      <c r="V104" s="4" t="inlineStr">
        <is>
          <t>Introduce CHISON as a future line through a national MAH partner; ask about their hospital and clinic coverage, service engineers and openness to non Japanese brands.</t>
        </is>
      </c>
      <c r="W104" s="4" t="inlineStr">
        <is>
          <t>N (not identified)</t>
        </is>
      </c>
      <c r="X104" s="7" t="inlineStr">
        <is>
          <t>https://directscout.recruit.co.jp/job_descriptions/8733921 (search result set; reconfirm page)</t>
        </is>
      </c>
      <c r="Y104" s="4" t="inlineStr">
        <is>
          <t>SonoEye P3 plus SonoAir 30 for GP and clinic accounts</t>
        </is>
      </c>
      <c r="Z104" s="4" t="inlineStr">
        <is>
          <t>2, 2, 3, 2, 3, 4, 3</t>
        </is>
      </c>
      <c r="AA104" s="4" t="inlineStr">
        <is>
          <t>Not found</t>
        </is>
      </c>
      <c r="AB104" s="4" t="inlineStr">
        <is>
          <t>Directory or search listing; not opened (direct site access blocked)</t>
        </is>
      </c>
      <c r="AC104" s="4" t="inlineStr">
        <is>
          <t>No expired licence or ended distribution agreement found</t>
        </is>
      </c>
      <c r="AD104" s="4" t="inlineStr">
        <is>
          <t>Not started</t>
        </is>
      </c>
      <c r="AE104" s="4" t="inlineStr"/>
      <c r="AF104" s="4" t="inlineStr">
        <is>
          <t>https://www.ycota.jp/form/inquiry/</t>
        </is>
      </c>
      <c r="AG104" s="4" t="inlineStr">
        <is>
          <t>No email published; use the contact form (link in Email source)</t>
        </is>
      </c>
    </row>
    <row r="105">
      <c r="A105" s="4" t="n">
        <v>101</v>
      </c>
      <c r="B105" s="4" t="inlineStr">
        <is>
          <t>Hymec</t>
        </is>
      </c>
      <c r="C105" s="4" t="inlineStr">
        <is>
          <t>ハイメック</t>
        </is>
      </c>
      <c r="D105" s="4" t="inlineStr">
        <is>
          <t>Not retrieved (NTA lookup blocked in this session)</t>
        </is>
      </c>
      <c r="E105" s="4" t="inlineStr">
        <is>
          <t>富山県</t>
        </is>
      </c>
      <c r="F105" s="4" t="inlineStr">
        <is>
          <t>Chubu</t>
        </is>
      </c>
      <c r="G105" s="4" t="inlineStr">
        <is>
          <t>http://himec-jp.com/</t>
        </is>
      </c>
      <c r="H105" s="4" t="inlineStr">
        <is>
          <t>No MAH found; device sales licence (高度管理医療機器等販売業) not confirmed</t>
        </is>
      </c>
      <c r="I105" s="4" t="inlineStr">
        <is>
          <t>Not identified in published sources</t>
        </is>
      </c>
      <c r="J105" s="4" t="inlineStr">
        <is>
          <t>General medical equipment (hospitals and clinics)</t>
        </is>
      </c>
      <c r="K105" s="4" t="inlineStr">
        <is>
          <t>富山県 (regional; branch network not confirmed)</t>
        </is>
      </c>
      <c r="L105" s="4" t="inlineStr">
        <is>
          <t>Not found</t>
        </is>
      </c>
      <c r="M105" s="4" t="inlineStr">
        <is>
          <t>Not identified</t>
        </is>
      </c>
      <c r="N105" s="4" t="inlineStr">
        <is>
          <t>Not identified</t>
        </is>
      </c>
      <c r="O105" s="4" t="inlineStr">
        <is>
          <t>mail@himec-jp.com</t>
        </is>
      </c>
      <c r="P105" s="4" t="inlineStr">
        <is>
          <t>Not confirmed</t>
        </is>
      </c>
      <c r="Q105" s="4" t="inlineStr">
        <is>
          <t>Not identified</t>
        </is>
      </c>
      <c r="R105" s="5" t="inlineStr">
        <is>
          <t>Unverified</t>
        </is>
      </c>
      <c r="S105" s="4" t="n">
        <v>19</v>
      </c>
      <c r="T105" s="10" t="inlineStr">
        <is>
          <t>C</t>
        </is>
      </c>
      <c r="U105" s="4" t="inlineStr">
        <is>
          <t>Regional general medical equipment dealer with hospital and clinic accounts; candidate sub dealer under a national MAH partner.</t>
        </is>
      </c>
      <c r="V105" s="4" t="inlineStr">
        <is>
          <t>Introduce CHISON as a future line through a national MAH partner; ask about their hospital and clinic coverage, service engineers and openness to non Japanese brands.</t>
        </is>
      </c>
      <c r="W105" s="4" t="inlineStr">
        <is>
          <t>N (not identified)</t>
        </is>
      </c>
      <c r="X105" s="7" t="inlineStr">
        <is>
          <t>https://baseconnect.in/companies/prefecture/31ffefed-1183-4eba-a6d9-4182a6136e50/keyword/89941b4e-2dd1-4848-8957-48af280a31e0</t>
        </is>
      </c>
      <c r="Y105" s="4" t="inlineStr">
        <is>
          <t>SonoEye P3 plus SonoAir 30 for GP and clinic accounts</t>
        </is>
      </c>
      <c r="Z105" s="4" t="inlineStr">
        <is>
          <t>2, 2, 3, 3, 4, 2, 3</t>
        </is>
      </c>
      <c r="AA105" s="4" t="inlineStr">
        <is>
          <t>Not found</t>
        </is>
      </c>
      <c r="AB105" s="4" t="inlineStr">
        <is>
          <t>Directory or search listing; not opened (direct site access blocked)</t>
        </is>
      </c>
      <c r="AC105" s="4" t="inlineStr">
        <is>
          <t>No expired licence or ended distribution agreement found</t>
        </is>
      </c>
      <c r="AD105" s="4" t="inlineStr">
        <is>
          <t>Not started</t>
        </is>
      </c>
      <c r="AE105" s="4" t="inlineStr"/>
      <c r="AF105" s="4" t="inlineStr">
        <is>
          <t>http://himec-jp.com/contact.html</t>
        </is>
      </c>
      <c r="AG105" s="4" t="inlineStr">
        <is>
          <t>Verified: published on company website</t>
        </is>
      </c>
    </row>
    <row r="106">
      <c r="A106" s="4" t="n">
        <v>102</v>
      </c>
      <c r="B106" s="4" t="inlineStr">
        <is>
          <t>Ono Iryoki</t>
        </is>
      </c>
      <c r="C106" s="4" t="inlineStr">
        <is>
          <t>小野医療器</t>
        </is>
      </c>
      <c r="D106" s="4" t="inlineStr">
        <is>
          <t>Not retrieved (NTA lookup blocked in this session)</t>
        </is>
      </c>
      <c r="E106" s="4" t="inlineStr">
        <is>
          <t>富山県</t>
        </is>
      </c>
      <c r="F106" s="4" t="inlineStr">
        <is>
          <t>Chubu</t>
        </is>
      </c>
      <c r="G106" s="4" t="inlineStr">
        <is>
          <t>Not confirmed (company site not opened; network policy blocked direct access)</t>
        </is>
      </c>
      <c r="H106" s="4" t="inlineStr">
        <is>
          <t>No MAH found; device sales licence (高度管理医療機器等販売業) not confirmed</t>
        </is>
      </c>
      <c r="I106" s="4" t="inlineStr">
        <is>
          <t>Not identified in published sources</t>
        </is>
      </c>
      <c r="J106" s="4" t="inlineStr">
        <is>
          <t>General medical equipment (hospitals and clinics)</t>
        </is>
      </c>
      <c r="K106" s="4" t="inlineStr">
        <is>
          <t>富山県 (regional; branch network not confirmed)</t>
        </is>
      </c>
      <c r="L106" s="4" t="inlineStr">
        <is>
          <t>Not found</t>
        </is>
      </c>
      <c r="M106" s="4" t="inlineStr">
        <is>
          <t>Not identified</t>
        </is>
      </c>
      <c r="N106" s="4" t="inlineStr">
        <is>
          <t>Not identified</t>
        </is>
      </c>
      <c r="O106" s="4" t="inlineStr">
        <is>
          <t>Not published; use company inquiry form</t>
        </is>
      </c>
      <c r="P106" s="4" t="inlineStr">
        <is>
          <t>Not confirmed</t>
        </is>
      </c>
      <c r="Q106" s="4" t="inlineStr">
        <is>
          <t>Not identified</t>
        </is>
      </c>
      <c r="R106" s="5" t="inlineStr">
        <is>
          <t>Unverified</t>
        </is>
      </c>
      <c r="S106" s="4" t="n">
        <v>19</v>
      </c>
      <c r="T106" s="10" t="inlineStr">
        <is>
          <t>C</t>
        </is>
      </c>
      <c r="U106" s="4" t="inlineStr">
        <is>
          <t>Regional general medical equipment dealer with hospital and clinic accounts; candidate sub dealer under a national MAH partner.</t>
        </is>
      </c>
      <c r="V106" s="4" t="inlineStr">
        <is>
          <t>Introduce CHISON as a future line through a national MAH partner; ask about their hospital and clinic coverage, service engineers and openness to non Japanese brands.</t>
        </is>
      </c>
      <c r="W106" s="4" t="inlineStr">
        <is>
          <t>N (not identified)</t>
        </is>
      </c>
      <c r="X106" s="7" t="inlineStr">
        <is>
          <t>https://baseconnect.in/companies/prefecture/31ffefed-1183-4eba-a6d9-4182a6136e50/keyword/89941b4e-2dd1-4848-8957-48af280a31e0</t>
        </is>
      </c>
      <c r="Y106" s="4" t="inlineStr">
        <is>
          <t>SonoEye P3 plus SonoAir 30 for GP and clinic accounts</t>
        </is>
      </c>
      <c r="Z106" s="4" t="inlineStr">
        <is>
          <t>2, 2, 3, 3, 4, 2, 3</t>
        </is>
      </c>
      <c r="AA106" s="4" t="inlineStr">
        <is>
          <t>Not found</t>
        </is>
      </c>
      <c r="AB106" s="4" t="inlineStr">
        <is>
          <t>Directory or search listing; not opened (direct site access blocked)</t>
        </is>
      </c>
      <c r="AC106" s="4" t="inlineStr">
        <is>
          <t>No expired licence or ended distribution agreement found</t>
        </is>
      </c>
      <c r="AD106" s="4" t="inlineStr">
        <is>
          <t>Not started</t>
        </is>
      </c>
      <c r="AE106" s="4" t="inlineStr"/>
      <c r="AF106" s="4" t="inlineStr"/>
      <c r="AG106" s="4" t="inlineStr">
        <is>
          <t>No email published and no verified website found</t>
        </is>
      </c>
    </row>
    <row r="107">
      <c r="A107" s="4" t="n">
        <v>103</v>
      </c>
      <c r="B107" s="4" t="inlineStr">
        <is>
          <t>GM Medical</t>
        </is>
      </c>
      <c r="C107" s="4" t="inlineStr">
        <is>
          <t>ジーエムメディカル</t>
        </is>
      </c>
      <c r="D107" s="4" t="inlineStr">
        <is>
          <t>Not retrieved (NTA lookup blocked in this session)</t>
        </is>
      </c>
      <c r="E107" s="4" t="inlineStr">
        <is>
          <t>福岡県</t>
        </is>
      </c>
      <c r="F107" s="4" t="inlineStr">
        <is>
          <t>Kyushu and Okinawa</t>
        </is>
      </c>
      <c r="G107" s="4" t="inlineStr">
        <is>
          <t>https://www.gmm.co.jp/</t>
        </is>
      </c>
      <c r="H107" s="4" t="inlineStr">
        <is>
          <t>No MAH found; device sales licence (高度管理医療機器等販売業) not confirmed</t>
        </is>
      </c>
      <c r="I107" s="4" t="inlineStr">
        <is>
          <t>Not identified in published sources</t>
        </is>
      </c>
      <c r="J107" s="4" t="inlineStr">
        <is>
          <t>Cardiology</t>
        </is>
      </c>
      <c r="K107" s="4" t="inlineStr">
        <is>
          <t>福岡県 (regional; branch network not confirmed)</t>
        </is>
      </c>
      <c r="L107" s="4" t="inlineStr">
        <is>
          <t>Not found</t>
        </is>
      </c>
      <c r="M107" s="4" t="inlineStr">
        <is>
          <t>Not identified</t>
        </is>
      </c>
      <c r="N107" s="4" t="inlineStr">
        <is>
          <t>Not identified</t>
        </is>
      </c>
      <c r="O107" s="4" t="inlineStr">
        <is>
          <t>info@gmm.co.jp</t>
        </is>
      </c>
      <c r="P107" s="4" t="inlineStr">
        <is>
          <t>Not confirmed</t>
        </is>
      </c>
      <c r="Q107" s="4" t="inlineStr">
        <is>
          <t>Not identified</t>
        </is>
      </c>
      <c r="R107" s="5" t="inlineStr">
        <is>
          <t>Unverified</t>
        </is>
      </c>
      <c r="S107" s="4" t="n">
        <v>19</v>
      </c>
      <c r="T107" s="10" t="inlineStr">
        <is>
          <t>C</t>
        </is>
      </c>
      <c r="U107" s="4" t="inlineStr">
        <is>
          <t>Adjacent hospital department line (no ultrasound found), which is the best recruit profile for a point of care line.</t>
        </is>
      </c>
      <c r="V107" s="4" t="inlineStr">
        <is>
          <t>Introduce CHISON as a future line through a national MAH partner; ask about their hospital and clinic coverage, service engineers and openness to non Japanese brands.</t>
        </is>
      </c>
      <c r="W107" s="4" t="inlineStr">
        <is>
          <t>N (not identified)</t>
        </is>
      </c>
      <c r="X107" s="7" t="inlineStr">
        <is>
          <t>https://baseconnect.in/companies/prefecture/39b58ff0-63fd-405f-8b8a-37c5443ce5c7/keyword/89941b4e-2dd1-4848-8957-48af280a31e0</t>
        </is>
      </c>
      <c r="Y107" s="4" t="inlineStr">
        <is>
          <t>CBit 6 cart plus SonoEye P5 pocket echo</t>
        </is>
      </c>
      <c r="Z107" s="4" t="inlineStr">
        <is>
          <t>2, 3, 3, 3, 3, 2, 3</t>
        </is>
      </c>
      <c r="AA107" s="4" t="inlineStr">
        <is>
          <t>Not found</t>
        </is>
      </c>
      <c r="AB107" s="4" t="inlineStr">
        <is>
          <t>Directory or search listing; not opened (direct site access blocked)</t>
        </is>
      </c>
      <c r="AC107" s="4" t="inlineStr">
        <is>
          <t>No expired licence or ended distribution agreement found</t>
        </is>
      </c>
      <c r="AD107" s="4" t="inlineStr">
        <is>
          <t>Not started</t>
        </is>
      </c>
      <c r="AE107" s="4" t="inlineStr"/>
      <c r="AF107" s="4" t="inlineStr">
        <is>
          <t>https://www.gmm.co.jp/inquiry/</t>
        </is>
      </c>
      <c r="AG107" s="4" t="inlineStr">
        <is>
          <t>Verified: published on company website</t>
        </is>
      </c>
    </row>
    <row r="108">
      <c r="A108" s="4" t="n">
        <v>104</v>
      </c>
      <c r="B108" s="4" t="inlineStr">
        <is>
          <t>South Medical</t>
        </is>
      </c>
      <c r="C108" s="4" t="inlineStr">
        <is>
          <t>サウス・メディカル</t>
        </is>
      </c>
      <c r="D108" s="4" t="inlineStr">
        <is>
          <t>Not retrieved (NTA lookup blocked in this session)</t>
        </is>
      </c>
      <c r="E108" s="4" t="inlineStr">
        <is>
          <t>鹿児島県</t>
        </is>
      </c>
      <c r="F108" s="4" t="inlineStr">
        <is>
          <t>Kyushu and Okinawa</t>
        </is>
      </c>
      <c r="G108" s="4" t="inlineStr">
        <is>
          <t>https://www.southmedic.com/</t>
        </is>
      </c>
      <c r="H108" s="4" t="inlineStr">
        <is>
          <t>No MAH found; device sales licence (高度管理医療機器等販売業) not confirmed</t>
        </is>
      </c>
      <c r="I108" s="4" t="inlineStr">
        <is>
          <t>Not identified in published sources</t>
        </is>
      </c>
      <c r="J108" s="4" t="inlineStr">
        <is>
          <t>General medical equipment (hospitals and clinics)</t>
        </is>
      </c>
      <c r="K108" s="4" t="inlineStr">
        <is>
          <t>鹿児島県 (regional; branch network not confirmed)</t>
        </is>
      </c>
      <c r="L108" s="4" t="inlineStr">
        <is>
          <t>Not found</t>
        </is>
      </c>
      <c r="M108" s="4" t="inlineStr">
        <is>
          <t>Not identified</t>
        </is>
      </c>
      <c r="N108" s="4" t="inlineStr">
        <is>
          <t>Not identified</t>
        </is>
      </c>
      <c r="O108" s="4" t="inlineStr">
        <is>
          <t>custserv@southmedic.com</t>
        </is>
      </c>
      <c r="P108" s="4" t="inlineStr">
        <is>
          <t>Not confirmed</t>
        </is>
      </c>
      <c r="Q108" s="4" t="inlineStr">
        <is>
          <t>Not identified</t>
        </is>
      </c>
      <c r="R108" s="5" t="inlineStr">
        <is>
          <t>Unverified</t>
        </is>
      </c>
      <c r="S108" s="4" t="n">
        <v>19</v>
      </c>
      <c r="T108" s="10" t="inlineStr">
        <is>
          <t>C</t>
        </is>
      </c>
      <c r="U108" s="4" t="inlineStr">
        <is>
          <t>Regional general medical equipment dealer with hospital and clinic accounts; candidate sub dealer under a national MAH partner.</t>
        </is>
      </c>
      <c r="V108" s="4" t="inlineStr">
        <is>
          <t>Introduce CHISON as a future line through a national MAH partner; ask about their hospital and clinic coverage, service engineers and openness to non Japanese brands.</t>
        </is>
      </c>
      <c r="W108" s="4" t="inlineStr">
        <is>
          <t>N (not identified)</t>
        </is>
      </c>
      <c r="X108" s="7" t="inlineStr">
        <is>
          <t>https://compalyze.co.jp/company/2340001001399 (reconfirm page)</t>
        </is>
      </c>
      <c r="Y108" s="4" t="inlineStr">
        <is>
          <t>SonoEye P3 plus SonoAir 30 for GP and clinic accounts</t>
        </is>
      </c>
      <c r="Z108" s="4" t="inlineStr">
        <is>
          <t>2, 2, 3, 2, 3, 4, 3</t>
        </is>
      </c>
      <c r="AA108" s="4" t="inlineStr">
        <is>
          <t>Not found</t>
        </is>
      </c>
      <c r="AB108" s="4" t="inlineStr">
        <is>
          <t>Directory or search listing; not opened (direct site access blocked)</t>
        </is>
      </c>
      <c r="AC108" s="4" t="inlineStr">
        <is>
          <t>No expired licence or ended distribution agreement found</t>
        </is>
      </c>
      <c r="AD108" s="4" t="inlineStr">
        <is>
          <t>Not started</t>
        </is>
      </c>
      <c r="AE108" s="4" t="inlineStr"/>
      <c r="AF108" s="4" t="inlineStr">
        <is>
          <t>https://www.southmedic.com/</t>
        </is>
      </c>
      <c r="AG108" s="4" t="inlineStr">
        <is>
          <t>Verified: published on company website</t>
        </is>
      </c>
    </row>
    <row r="109">
      <c r="A109" s="4" t="n">
        <v>105</v>
      </c>
      <c r="B109" s="4" t="inlineStr">
        <is>
          <t>Shibata Intech</t>
        </is>
      </c>
      <c r="C109" s="4" t="inlineStr">
        <is>
          <t>シバタインテック</t>
        </is>
      </c>
      <c r="D109" s="4" t="inlineStr">
        <is>
          <t>Not retrieved (NTA lookup blocked in this session)</t>
        </is>
      </c>
      <c r="E109" s="4" t="inlineStr">
        <is>
          <t>宮城県</t>
        </is>
      </c>
      <c r="F109" s="4" t="inlineStr">
        <is>
          <t>Tohoku and Hokkaido</t>
        </is>
      </c>
      <c r="G109" s="4" t="inlineStr">
        <is>
          <t>Not confirmed (company site not opened; network policy blocked direct access)</t>
        </is>
      </c>
      <c r="H109" s="4" t="inlineStr">
        <is>
          <t>No MAH found; device sales licence (高度管理医療機器等販売業) not confirmed</t>
        </is>
      </c>
      <c r="I109" s="4" t="inlineStr">
        <is>
          <t>Not identified in published sources</t>
        </is>
      </c>
      <c r="J109" s="4" t="inlineStr">
        <is>
          <t>Hospitals</t>
        </is>
      </c>
      <c r="K109" s="4" t="inlineStr">
        <is>
          <t>宮城県 (regional; branch network not confirmed)</t>
        </is>
      </c>
      <c r="L109" s="4" t="inlineStr">
        <is>
          <t>Not found</t>
        </is>
      </c>
      <c r="M109" s="4" t="inlineStr">
        <is>
          <t>Not identified</t>
        </is>
      </c>
      <c r="N109" s="4" t="inlineStr">
        <is>
          <t>Not identified</t>
        </is>
      </c>
      <c r="O109" s="4" t="inlineStr">
        <is>
          <t>Not published; use company inquiry form</t>
        </is>
      </c>
      <c r="P109" s="4" t="inlineStr">
        <is>
          <t>Not confirmed</t>
        </is>
      </c>
      <c r="Q109" s="4" t="inlineStr">
        <is>
          <t>Not identified</t>
        </is>
      </c>
      <c r="R109" s="5" t="inlineStr">
        <is>
          <t>Unverified</t>
        </is>
      </c>
      <c r="S109" s="4" t="n">
        <v>19</v>
      </c>
      <c r="T109" s="10" t="inlineStr">
        <is>
          <t>C</t>
        </is>
      </c>
      <c r="U109" s="4" t="inlineStr">
        <is>
          <t>Regional general medical equipment dealer with hospital and clinic accounts; candidate sub dealer under a national MAH partner.</t>
        </is>
      </c>
      <c r="V109" s="4" t="inlineStr">
        <is>
          <t>Introduce CHISON as a future line through a national MAH partner; ask about their hospital and clinic coverage, service engineers and openness to non Japanese brands.</t>
        </is>
      </c>
      <c r="W109" s="4" t="inlineStr">
        <is>
          <t>N (not identified)</t>
        </is>
      </c>
      <c r="X109" s="7" t="inlineStr">
        <is>
          <t>https://www.jahid.or.jp/pdf/meibo2021.pdf ; https://baseconnect.in/companies/prefecture/3eff90d1-0bad-4fac-bce6-da9b939d7407/keyword/89941b4e-2dd1-4848-8957-48af280a31e0</t>
        </is>
      </c>
      <c r="Y109" s="4" t="inlineStr">
        <is>
          <t>SonoEye P3 plus SonoAir 30 for GP and clinic accounts</t>
        </is>
      </c>
      <c r="Z109" s="4" t="inlineStr">
        <is>
          <t>2, 2, 3, 4, 3, 2, 3</t>
        </is>
      </c>
      <c r="AA109" s="4" t="inlineStr">
        <is>
          <t>Not found</t>
        </is>
      </c>
      <c r="AB109" s="4" t="inlineStr">
        <is>
          <t>Directory or search listing; not opened (direct site access blocked)</t>
        </is>
      </c>
      <c r="AC109" s="4" t="inlineStr">
        <is>
          <t>No expired licence or ended distribution agreement found</t>
        </is>
      </c>
      <c r="AD109" s="4" t="inlineStr">
        <is>
          <t>Not started</t>
        </is>
      </c>
      <c r="AE109" s="4" t="inlineStr"/>
      <c r="AF109" s="4" t="inlineStr"/>
      <c r="AG109" s="4" t="inlineStr">
        <is>
          <t>No email published and no verified website found</t>
        </is>
      </c>
    </row>
    <row r="110">
      <c r="A110" s="4" t="n">
        <v>106</v>
      </c>
      <c r="B110" s="4" t="inlineStr">
        <is>
          <t>Kanaya Ika Kikai</t>
        </is>
      </c>
      <c r="C110" s="4" t="inlineStr">
        <is>
          <t>カナヤ医科器械</t>
        </is>
      </c>
      <c r="D110" s="4" t="inlineStr">
        <is>
          <t>Not retrieved (NTA lookup blocked in this session)</t>
        </is>
      </c>
      <c r="E110" s="4" t="inlineStr">
        <is>
          <t>山口県</t>
        </is>
      </c>
      <c r="F110" s="4" t="inlineStr">
        <is>
          <t>Chugoku and Shikoku</t>
        </is>
      </c>
      <c r="G110" s="4" t="inlineStr">
        <is>
          <t>https://kanaya-ikakikai.co.jp/</t>
        </is>
      </c>
      <c r="H110" s="4" t="inlineStr">
        <is>
          <t>No MAH found; device sales licence (高度管理医療機器等販売業) not confirmed</t>
        </is>
      </c>
      <c r="I110" s="4" t="inlineStr">
        <is>
          <t>Not identified in published sources</t>
        </is>
      </c>
      <c r="J110" s="4" t="inlineStr">
        <is>
          <t>General medical equipment (hospitals and clinics)</t>
        </is>
      </c>
      <c r="K110" s="4" t="inlineStr">
        <is>
          <t>山口県 (regional; branch network not confirmed)</t>
        </is>
      </c>
      <c r="L110" s="4" t="inlineStr">
        <is>
          <t>Not found</t>
        </is>
      </c>
      <c r="M110" s="4" t="inlineStr">
        <is>
          <t>Not identified</t>
        </is>
      </c>
      <c r="N110" s="4" t="inlineStr">
        <is>
          <t>Not identified</t>
        </is>
      </c>
      <c r="O110" s="4" t="inlineStr">
        <is>
          <t>honsha-jimu@kanaya-ikakikai.co.jp</t>
        </is>
      </c>
      <c r="P110" s="4" t="inlineStr">
        <is>
          <t>Not confirmed</t>
        </is>
      </c>
      <c r="Q110" s="4" t="inlineStr">
        <is>
          <t>Not identified</t>
        </is>
      </c>
      <c r="R110" s="5" t="inlineStr">
        <is>
          <t>Unverified</t>
        </is>
      </c>
      <c r="S110" s="4" t="n">
        <v>19</v>
      </c>
      <c r="T110" s="10" t="inlineStr">
        <is>
          <t>C</t>
        </is>
      </c>
      <c r="U110" s="4" t="inlineStr">
        <is>
          <t>Regional general medical equipment dealer with hospital and clinic accounts; candidate sub dealer under a national MAH partner.</t>
        </is>
      </c>
      <c r="V110" s="4" t="inlineStr">
        <is>
          <t>Introduce CHISON as a future line through a national MAH partner; ask about their hospital and clinic coverage, service engineers and openness to non Japanese brands.</t>
        </is>
      </c>
      <c r="W110" s="4" t="inlineStr">
        <is>
          <t>N (not identified)</t>
        </is>
      </c>
      <c r="X110" s="7" t="inlineStr">
        <is>
          <t>https://baseconnect.in/companies/prefecture/a89155ac-9626-450f-9011-00a5b6529965/category/b2358a1c-c4c6-46f4-a0b1-dee3a1b30a0b ; https://fukuokamea.com/%E4%BC%9A%E5%93%A1%E7%B4%B9%E4%BB%8B-2/</t>
        </is>
      </c>
      <c r="Y110" s="4" t="inlineStr">
        <is>
          <t>SonoEye P3 plus SonoAir 30 for GP and clinic accounts</t>
        </is>
      </c>
      <c r="Z110" s="4" t="inlineStr">
        <is>
          <t>2, 2, 3, 3, 4, 2, 3</t>
        </is>
      </c>
      <c r="AA110" s="4" t="inlineStr">
        <is>
          <t>Not found</t>
        </is>
      </c>
      <c r="AB110" s="4" t="inlineStr">
        <is>
          <t>Directory or search listing; not opened (direct site access blocked)</t>
        </is>
      </c>
      <c r="AC110" s="4" t="inlineStr">
        <is>
          <t>No expired licence or ended distribution agreement found</t>
        </is>
      </c>
      <c r="AD110" s="4" t="inlineStr">
        <is>
          <t>Not started</t>
        </is>
      </c>
      <c r="AE110" s="4" t="inlineStr"/>
      <c r="AF110" s="4" t="inlineStr">
        <is>
          <t>https://kanaya-ikakikai.co.jp/inquiry</t>
        </is>
      </c>
      <c r="AG110" s="4" t="inlineStr">
        <is>
          <t>Verified: published on company website</t>
        </is>
      </c>
    </row>
    <row r="111">
      <c r="A111" s="4" t="n">
        <v>107</v>
      </c>
      <c r="B111" s="4" t="inlineStr">
        <is>
          <t>Cardiomedix</t>
        </is>
      </c>
      <c r="C111" s="4" t="inlineStr">
        <is>
          <t>カーディオメディックス</t>
        </is>
      </c>
      <c r="D111" s="4" t="inlineStr">
        <is>
          <t>Not retrieved (NTA lookup blocked in this session)</t>
        </is>
      </c>
      <c r="E111" s="4" t="inlineStr">
        <is>
          <t>岡山県</t>
        </is>
      </c>
      <c r="F111" s="4" t="inlineStr">
        <is>
          <t>Chugoku and Shikoku</t>
        </is>
      </c>
      <c r="G111" s="4" t="inlineStr">
        <is>
          <t>https://cardiomedics.co.jp/</t>
        </is>
      </c>
      <c r="H111" s="4" t="inlineStr">
        <is>
          <t>No MAH found; device sales licence (高度管理医療機器等販売業) not confirmed</t>
        </is>
      </c>
      <c r="I111" s="4" t="inlineStr">
        <is>
          <t>Not identified in published sources</t>
        </is>
      </c>
      <c r="J111" s="4" t="inlineStr">
        <is>
          <t>Cardiology</t>
        </is>
      </c>
      <c r="K111" s="4" t="inlineStr">
        <is>
          <t>岡山県 (regional; branch network not confirmed)</t>
        </is>
      </c>
      <c r="L111" s="4" t="inlineStr">
        <is>
          <t>Not found</t>
        </is>
      </c>
      <c r="M111" s="4" t="inlineStr">
        <is>
          <t>Not identified</t>
        </is>
      </c>
      <c r="N111" s="4" t="inlineStr">
        <is>
          <t>Not identified</t>
        </is>
      </c>
      <c r="O111" s="4" t="inlineStr">
        <is>
          <t>Not published; use contact form</t>
        </is>
      </c>
      <c r="P111" s="4" t="inlineStr">
        <is>
          <t>Not confirmed</t>
        </is>
      </c>
      <c r="Q111" s="4" t="inlineStr">
        <is>
          <t>Not identified</t>
        </is>
      </c>
      <c r="R111" s="5" t="inlineStr">
        <is>
          <t>Likely</t>
        </is>
      </c>
      <c r="S111" s="4" t="n">
        <v>19</v>
      </c>
      <c r="T111" s="10" t="inlineStr">
        <is>
          <t>C</t>
        </is>
      </c>
      <c r="U111" s="4" t="inlineStr">
        <is>
          <t>Adjacent hospital department line (no ultrasound found), which is the best recruit profile for a point of care line.</t>
        </is>
      </c>
      <c r="V111" s="4" t="inlineStr">
        <is>
          <t>Introduce CHISON as a future line through a national MAH partner; ask about their hospital and clinic coverage, service engineers and openness to non Japanese brands.</t>
        </is>
      </c>
      <c r="W111" s="4" t="inlineStr">
        <is>
          <t>N (not identified)</t>
        </is>
      </c>
      <c r="X111" s="7" t="inlineStr">
        <is>
          <t>https://baseconnect.in/companies/prefecture/cd00efe9-63bc-49a2-846e-3cfd4bca7207/keyword/89941b4e-2dd1-4848-8957-48af280a31e0</t>
        </is>
      </c>
      <c r="Y111" s="4" t="inlineStr">
        <is>
          <t>CBit 6 cart plus SonoEye P5 pocket echo</t>
        </is>
      </c>
      <c r="Z111" s="4" t="inlineStr">
        <is>
          <t>2, 3, 3, 3, 3, 2, 3</t>
        </is>
      </c>
      <c r="AA111" s="4" t="inlineStr">
        <is>
          <t>Not found</t>
        </is>
      </c>
      <c r="AB111" s="4" t="inlineStr">
        <is>
          <t>Directory or search listing; not opened (direct site access blocked)</t>
        </is>
      </c>
      <c r="AC111" s="4" t="inlineStr">
        <is>
          <t>No expired licence or ended distribution agreement found</t>
        </is>
      </c>
      <c r="AD111" s="4" t="inlineStr">
        <is>
          <t>Not started</t>
        </is>
      </c>
      <c r="AE111" s="4" t="inlineStr"/>
      <c r="AF111" s="4" t="inlineStr">
        <is>
          <t>https://cardiomedics.co.jp/publics/index/5/</t>
        </is>
      </c>
      <c r="AG111" s="4" t="inlineStr">
        <is>
          <t>No email published; use the contact form (link in Email source)</t>
        </is>
      </c>
    </row>
    <row r="112">
      <c r="A112" s="4" t="n">
        <v>108</v>
      </c>
      <c r="B112" s="4" t="inlineStr">
        <is>
          <t>Kyowa Iriki</t>
        </is>
      </c>
      <c r="C112" s="4" t="inlineStr">
        <is>
          <t>共和医理器</t>
        </is>
      </c>
      <c r="D112" s="4" t="inlineStr">
        <is>
          <t>Not retrieved (NTA lookup blocked in this session)</t>
        </is>
      </c>
      <c r="E112" s="4" t="inlineStr">
        <is>
          <t>広島県</t>
        </is>
      </c>
      <c r="F112" s="4" t="inlineStr">
        <is>
          <t>Chugoku and Shikoku</t>
        </is>
      </c>
      <c r="G112" s="4" t="inlineStr">
        <is>
          <t>Not confirmed (company site not opened; network policy blocked direct access)</t>
        </is>
      </c>
      <c r="H112" s="4" t="inlineStr">
        <is>
          <t>No MAH found; device sales licence (高度管理医療機器等販売業) not confirmed</t>
        </is>
      </c>
      <c r="I112" s="4" t="inlineStr">
        <is>
          <t>Not identified in published sources</t>
        </is>
      </c>
      <c r="J112" s="4" t="inlineStr">
        <is>
          <t>Hospitals</t>
        </is>
      </c>
      <c r="K112" s="4" t="inlineStr">
        <is>
          <t>広島県 (regional; branch network not confirmed)</t>
        </is>
      </c>
      <c r="L112" s="4" t="inlineStr">
        <is>
          <t>Not found</t>
        </is>
      </c>
      <c r="M112" s="4" t="inlineStr">
        <is>
          <t>Not identified</t>
        </is>
      </c>
      <c r="N112" s="4" t="inlineStr">
        <is>
          <t>Not identified</t>
        </is>
      </c>
      <c r="O112" s="4" t="inlineStr">
        <is>
          <t>Not published; use company inquiry form</t>
        </is>
      </c>
      <c r="P112" s="4" t="inlineStr">
        <is>
          <t>Not confirmed</t>
        </is>
      </c>
      <c r="Q112" s="4" t="inlineStr">
        <is>
          <t>Not identified</t>
        </is>
      </c>
      <c r="R112" s="5" t="inlineStr">
        <is>
          <t>Unverified</t>
        </is>
      </c>
      <c r="S112" s="4" t="n">
        <v>19</v>
      </c>
      <c r="T112" s="10" t="inlineStr">
        <is>
          <t>C</t>
        </is>
      </c>
      <c r="U112" s="4" t="inlineStr">
        <is>
          <t>Regional general medical equipment dealer with hospital and clinic accounts; candidate sub dealer under a national MAH partner.</t>
        </is>
      </c>
      <c r="V112" s="4" t="inlineStr">
        <is>
          <t>Introduce CHISON as a future line through a national MAH partner; ask about their hospital and clinic coverage, service engineers and openness to non Japanese brands.</t>
        </is>
      </c>
      <c r="W112" s="4" t="inlineStr">
        <is>
          <t>N (not identified)</t>
        </is>
      </c>
      <c r="X112" s="7" t="inlineStr">
        <is>
          <t>https://baseconnect.in/companies/prefecture/3562c231-08e3-43af-8765-2077382c0c10/keyword/6afa1771-8d91-440c-86b0-ba8538b7bf9a</t>
        </is>
      </c>
      <c r="Y112" s="4" t="inlineStr">
        <is>
          <t>SonoEye P3 plus SonoAir 30 for GP and clinic accounts</t>
        </is>
      </c>
      <c r="Z112" s="4" t="inlineStr">
        <is>
          <t>2, 2, 3, 4, 3, 2, 3</t>
        </is>
      </c>
      <c r="AA112" s="4" t="inlineStr">
        <is>
          <t>Not found</t>
        </is>
      </c>
      <c r="AB112" s="4" t="inlineStr">
        <is>
          <t>Directory or search listing; not opened (direct site access blocked)</t>
        </is>
      </c>
      <c r="AC112" s="4" t="inlineStr">
        <is>
          <t>No expired licence or ended distribution agreement found</t>
        </is>
      </c>
      <c r="AD112" s="4" t="inlineStr">
        <is>
          <t>Not started</t>
        </is>
      </c>
      <c r="AE112" s="4" t="inlineStr"/>
      <c r="AF112" s="4" t="inlineStr"/>
      <c r="AG112" s="4" t="inlineStr">
        <is>
          <t>No email published and no verified website found</t>
        </is>
      </c>
    </row>
    <row r="113">
      <c r="A113" s="4" t="n">
        <v>109</v>
      </c>
      <c r="B113" s="4" t="inlineStr">
        <is>
          <t>Nisshin Kikai</t>
        </is>
      </c>
      <c r="C113" s="4" t="inlineStr">
        <is>
          <t>日新器械</t>
        </is>
      </c>
      <c r="D113" s="4" t="inlineStr">
        <is>
          <t>Not retrieved (NTA lookup blocked in this session)</t>
        </is>
      </c>
      <c r="E113" s="4" t="inlineStr">
        <is>
          <t>徳島県</t>
        </is>
      </c>
      <c r="F113" s="4" t="inlineStr">
        <is>
          <t>Chugoku and Shikoku</t>
        </is>
      </c>
      <c r="G113" s="4" t="inlineStr">
        <is>
          <t>https://www.nissin5111.com/</t>
        </is>
      </c>
      <c r="H113" s="4" t="inlineStr">
        <is>
          <t>No MAH found; device sales licence (高度管理医療機器等販売業) not confirmed</t>
        </is>
      </c>
      <c r="I113" s="4" t="inlineStr">
        <is>
          <t>Not identified in published sources</t>
        </is>
      </c>
      <c r="J113" s="4" t="inlineStr">
        <is>
          <t>General medical equipment (hospitals and clinics)</t>
        </is>
      </c>
      <c r="K113" s="4" t="inlineStr">
        <is>
          <t>徳島県 (regional; branch network not confirmed)</t>
        </is>
      </c>
      <c r="L113" s="4" t="inlineStr">
        <is>
          <t>Not found</t>
        </is>
      </c>
      <c r="M113" s="4" t="inlineStr">
        <is>
          <t>Not identified</t>
        </is>
      </c>
      <c r="N113" s="4" t="inlineStr">
        <is>
          <t>Not identified</t>
        </is>
      </c>
      <c r="O113" s="4" t="inlineStr">
        <is>
          <t>Not published; use contact form</t>
        </is>
      </c>
      <c r="P113" s="4" t="inlineStr">
        <is>
          <t>Not confirmed</t>
        </is>
      </c>
      <c r="Q113" s="4" t="inlineStr">
        <is>
          <t>Not identified</t>
        </is>
      </c>
      <c r="R113" s="5" t="inlineStr">
        <is>
          <t>Likely</t>
        </is>
      </c>
      <c r="S113" s="4" t="n">
        <v>19</v>
      </c>
      <c r="T113" s="10" t="inlineStr">
        <is>
          <t>C</t>
        </is>
      </c>
      <c r="U113" s="4" t="inlineStr">
        <is>
          <t>Regional general medical equipment dealer with hospital and clinic accounts; candidate sub dealer under a national MAH partner.</t>
        </is>
      </c>
      <c r="V113" s="4" t="inlineStr">
        <is>
          <t>Introduce CHISON as a future line through a national MAH partner; ask about their hospital and clinic coverage, service engineers and openness to non Japanese brands.</t>
        </is>
      </c>
      <c r="W113" s="4" t="inlineStr">
        <is>
          <t>N (not identified)</t>
        </is>
      </c>
      <c r="X113" s="7" t="inlineStr">
        <is>
          <t>https://baseconnect.in/companies/prefecture/22e3a90e-e956-4cce-bd1b-bdc8b44fc75f/category/b2358a1c-c4c6-46f4-a0b1-dee3a1b30a0b</t>
        </is>
      </c>
      <c r="Y113" s="4" t="inlineStr">
        <is>
          <t>SonoEye P3 plus SonoAir 30 for GP and clinic accounts</t>
        </is>
      </c>
      <c r="Z113" s="4" t="inlineStr">
        <is>
          <t>2, 2, 3, 2, 3, 4, 3</t>
        </is>
      </c>
      <c r="AA113" s="4" t="inlineStr">
        <is>
          <t>Not found</t>
        </is>
      </c>
      <c r="AB113" s="4" t="inlineStr">
        <is>
          <t>Directory or search listing; not opened (direct site access blocked)</t>
        </is>
      </c>
      <c r="AC113" s="4" t="inlineStr">
        <is>
          <t>No expired licence or ended distribution agreement found</t>
        </is>
      </c>
      <c r="AD113" s="4" t="inlineStr">
        <is>
          <t>Not started</t>
        </is>
      </c>
      <c r="AE113" s="4" t="inlineStr"/>
      <c r="AF113" s="4" t="inlineStr">
        <is>
          <t>https://www.nissin5111.com/contact/</t>
        </is>
      </c>
      <c r="AG113" s="4" t="inlineStr">
        <is>
          <t>No email published; use the contact form (link in Email source)</t>
        </is>
      </c>
    </row>
    <row r="114">
      <c r="A114" s="4" t="n">
        <v>110</v>
      </c>
      <c r="B114" s="4" t="inlineStr">
        <is>
          <t>Oshima Kikai</t>
        </is>
      </c>
      <c r="C114" s="4" t="inlineStr">
        <is>
          <t>大島器械</t>
        </is>
      </c>
      <c r="D114" s="4" t="inlineStr">
        <is>
          <t>Not retrieved (NTA lookup blocked in this session)</t>
        </is>
      </c>
      <c r="E114" s="4" t="inlineStr">
        <is>
          <t>徳島県</t>
        </is>
      </c>
      <c r="F114" s="4" t="inlineStr">
        <is>
          <t>Chugoku and Shikoku</t>
        </is>
      </c>
      <c r="G114" s="4" t="inlineStr">
        <is>
          <t>http://www.oshimakikai.co.jp/</t>
        </is>
      </c>
      <c r="H114" s="4" t="inlineStr">
        <is>
          <t>No MAH found; device sales licence (高度管理医療機器等販売業) not confirmed</t>
        </is>
      </c>
      <c r="I114" s="4" t="inlineStr">
        <is>
          <t>Not identified in published sources</t>
        </is>
      </c>
      <c r="J114" s="4" t="inlineStr">
        <is>
          <t>Cardiology, Anaesthesia, ICU and respiratory</t>
        </is>
      </c>
      <c r="K114" s="4" t="inlineStr">
        <is>
          <t>徳島県 (regional; branch network not confirmed)</t>
        </is>
      </c>
      <c r="L114" s="4" t="inlineStr">
        <is>
          <t>Not found</t>
        </is>
      </c>
      <c r="M114" s="4" t="inlineStr">
        <is>
          <t>Not identified</t>
        </is>
      </c>
      <c r="N114" s="4" t="inlineStr">
        <is>
          <t>Not identified</t>
        </is>
      </c>
      <c r="O114" s="4" t="inlineStr">
        <is>
          <t>Not published; use contact form</t>
        </is>
      </c>
      <c r="P114" s="4" t="inlineStr">
        <is>
          <t>Not confirmed</t>
        </is>
      </c>
      <c r="Q114" s="4" t="inlineStr">
        <is>
          <t>Not identified</t>
        </is>
      </c>
      <c r="R114" s="5" t="inlineStr">
        <is>
          <t>Likely</t>
        </is>
      </c>
      <c r="S114" s="4" t="n">
        <v>19</v>
      </c>
      <c r="T114" s="10" t="inlineStr">
        <is>
          <t>C</t>
        </is>
      </c>
      <c r="U114" s="4" t="inlineStr">
        <is>
          <t>Adjacent hospital department line (no ultrasound found), which is the best recruit profile for a point of care line.</t>
        </is>
      </c>
      <c r="V114" s="4" t="inlineStr">
        <is>
          <t>Introduce CHISON as a future line through a national MAH partner; ask about their hospital and clinic coverage, service engineers and openness to non Japanese brands.</t>
        </is>
      </c>
      <c r="W114" s="4" t="inlineStr">
        <is>
          <t>N (not identified)</t>
        </is>
      </c>
      <c r="X114" s="7" t="inlineStr">
        <is>
          <t>https://baseconnect.in/companies/prefecture/22e3a90e-e956-4cce-bd1b-bdc8b44fc75f/category/b2358a1c-c4c6-46f4-a0b1-dee3a1b30a0b</t>
        </is>
      </c>
      <c r="Y114" s="4" t="inlineStr">
        <is>
          <t>CBit 6 cart plus SonoEye P5 pocket echo</t>
        </is>
      </c>
      <c r="Z114" s="4" t="inlineStr">
        <is>
          <t>2, 3, 3, 3, 3, 2, 3</t>
        </is>
      </c>
      <c r="AA114" s="4" t="inlineStr">
        <is>
          <t>Not found</t>
        </is>
      </c>
      <c r="AB114" s="4" t="inlineStr">
        <is>
          <t>Directory or search listing; not opened (direct site access blocked)</t>
        </is>
      </c>
      <c r="AC114" s="4" t="inlineStr">
        <is>
          <t>No expired licence or ended distribution agreement found</t>
        </is>
      </c>
      <c r="AD114" s="4" t="inlineStr">
        <is>
          <t>Not started</t>
        </is>
      </c>
      <c r="AE114" s="4" t="inlineStr"/>
      <c r="AF114" s="4" t="inlineStr">
        <is>
          <t>http://www.oshimakikai.co.jp/form</t>
        </is>
      </c>
      <c r="AG114" s="4" t="inlineStr">
        <is>
          <t>No email published; use the contact form (link in Email source)</t>
        </is>
      </c>
    </row>
    <row r="115">
      <c r="A115" s="4" t="n">
        <v>111</v>
      </c>
      <c r="B115" s="4" t="inlineStr">
        <is>
          <t>Sun Medical (Uwajima)</t>
        </is>
      </c>
      <c r="C115" s="4" t="inlineStr">
        <is>
          <t>サンメディカル宇和島</t>
        </is>
      </c>
      <c r="D115" s="4" t="inlineStr">
        <is>
          <t>Not retrieved (NTA lookup blocked in this session)</t>
        </is>
      </c>
      <c r="E115" s="4" t="inlineStr">
        <is>
          <t>愛媛県</t>
        </is>
      </c>
      <c r="F115" s="4" t="inlineStr">
        <is>
          <t>Chugoku and Shikoku</t>
        </is>
      </c>
      <c r="G115" s="4" t="inlineStr">
        <is>
          <t>Not confirmed (company site not opened; network policy blocked direct access)</t>
        </is>
      </c>
      <c r="H115" s="4" t="inlineStr">
        <is>
          <t>No MAH found; device sales licence (高度管理医療機器等販売業) not confirmed</t>
        </is>
      </c>
      <c r="I115" s="4" t="inlineStr">
        <is>
          <t>Not identified in published sources</t>
        </is>
      </c>
      <c r="J115" s="4" t="inlineStr">
        <is>
          <t>Endoscopy and IVR</t>
        </is>
      </c>
      <c r="K115" s="4" t="inlineStr">
        <is>
          <t>愛媛県 (regional; branch network not confirmed)</t>
        </is>
      </c>
      <c r="L115" s="4" t="inlineStr">
        <is>
          <t>Not found</t>
        </is>
      </c>
      <c r="M115" s="4" t="inlineStr">
        <is>
          <t>Not identified</t>
        </is>
      </c>
      <c r="N115" s="4" t="inlineStr">
        <is>
          <t>Not identified</t>
        </is>
      </c>
      <c r="O115" s="4" t="inlineStr">
        <is>
          <t>Not published; use company inquiry form</t>
        </is>
      </c>
      <c r="P115" s="4" t="inlineStr">
        <is>
          <t>Not confirmed</t>
        </is>
      </c>
      <c r="Q115" s="4" t="inlineStr">
        <is>
          <t>Not identified</t>
        </is>
      </c>
      <c r="R115" s="5" t="inlineStr">
        <is>
          <t>Unverified</t>
        </is>
      </c>
      <c r="S115" s="4" t="n">
        <v>19</v>
      </c>
      <c r="T115" s="10" t="inlineStr">
        <is>
          <t>C</t>
        </is>
      </c>
      <c r="U115" s="4" t="inlineStr">
        <is>
          <t>Adjacent hospital department line (no ultrasound found), which is the best recruit profile for a point of care line.</t>
        </is>
      </c>
      <c r="V115" s="4" t="inlineStr">
        <is>
          <t>Introduce CHISON as a future line through a national MAH partner; ask about their hospital and clinic coverage, service engineers and openness to non Japanese brands.</t>
        </is>
      </c>
      <c r="W115" s="4" t="inlineStr">
        <is>
          <t>N (not identified)</t>
        </is>
      </c>
      <c r="X115" s="7" t="inlineStr">
        <is>
          <t>https://baseconnect.in/companies/prefecture/18e4d2f6-9b16-4488-931c-17ced3101b74/keyword/2eca165e-bd4a-4e2e-bc44-397492071b92</t>
        </is>
      </c>
      <c r="Y115" s="4" t="inlineStr">
        <is>
          <t>SonoTouch plus SonoEye P3 (nerve block, vascular access, peri operative)</t>
        </is>
      </c>
      <c r="Z115" s="4" t="inlineStr">
        <is>
          <t>2, 3, 3, 3, 3, 2, 3</t>
        </is>
      </c>
      <c r="AA115" s="4" t="inlineStr">
        <is>
          <t>Not found</t>
        </is>
      </c>
      <c r="AB115" s="4" t="inlineStr">
        <is>
          <t>Directory or search listing; not opened (direct site access blocked)</t>
        </is>
      </c>
      <c r="AC115" s="4" t="inlineStr">
        <is>
          <t>No expired licence or ended distribution agreement found</t>
        </is>
      </c>
      <c r="AD115" s="4" t="inlineStr">
        <is>
          <t>Not started</t>
        </is>
      </c>
      <c r="AE115" s="4" t="inlineStr"/>
      <c r="AF115" s="4" t="inlineStr"/>
      <c r="AG115" s="4" t="inlineStr">
        <is>
          <t>No email published and no verified website found</t>
        </is>
      </c>
    </row>
    <row r="116">
      <c r="A116" s="4" t="n">
        <v>112</v>
      </c>
      <c r="B116" s="4" t="inlineStr">
        <is>
          <t>C Mec</t>
        </is>
      </c>
      <c r="C116" s="4" t="inlineStr">
        <is>
          <t>シーメック</t>
        </is>
      </c>
      <c r="D116" s="4" t="inlineStr">
        <is>
          <t>Not retrieved (NTA lookup blocked in this session)</t>
        </is>
      </c>
      <c r="E116" s="4" t="inlineStr">
        <is>
          <t>高知県</t>
        </is>
      </c>
      <c r="F116" s="4" t="inlineStr">
        <is>
          <t>Chugoku and Shikoku</t>
        </is>
      </c>
      <c r="G116" s="4" t="inlineStr">
        <is>
          <t>https://connectmec.co.jp/</t>
        </is>
      </c>
      <c r="H116" s="4" t="inlineStr">
        <is>
          <t>No MAH found; device sales licence (高度管理医療機器等販売業) not confirmed</t>
        </is>
      </c>
      <c r="I116" s="4" t="inlineStr">
        <is>
          <t>Not identified in published sources</t>
        </is>
      </c>
      <c r="J116" s="4" t="inlineStr">
        <is>
          <t>Hospitals</t>
        </is>
      </c>
      <c r="K116" s="4" t="inlineStr">
        <is>
          <t>高知県 (regional; branch network not confirmed)</t>
        </is>
      </c>
      <c r="L116" s="4" t="inlineStr">
        <is>
          <t>Not found</t>
        </is>
      </c>
      <c r="M116" s="4" t="inlineStr">
        <is>
          <t>Not identified</t>
        </is>
      </c>
      <c r="N116" s="4" t="inlineStr">
        <is>
          <t>Not identified</t>
        </is>
      </c>
      <c r="O116" s="4" t="inlineStr">
        <is>
          <t>c-mec@connectmec.co.jp</t>
        </is>
      </c>
      <c r="P116" s="4" t="inlineStr">
        <is>
          <t>Not confirmed</t>
        </is>
      </c>
      <c r="Q116" s="4" t="inlineStr">
        <is>
          <t>Not identified</t>
        </is>
      </c>
      <c r="R116" s="5" t="inlineStr">
        <is>
          <t>Unverified</t>
        </is>
      </c>
      <c r="S116" s="4" t="n">
        <v>19</v>
      </c>
      <c r="T116" s="10" t="inlineStr">
        <is>
          <t>C</t>
        </is>
      </c>
      <c r="U116" s="4" t="inlineStr">
        <is>
          <t>Regional general medical equipment dealer with hospital and clinic accounts; candidate sub dealer under a national MAH partner.</t>
        </is>
      </c>
      <c r="V116" s="4" t="inlineStr">
        <is>
          <t>Introduce CHISON as a future line through a national MAH partner; ask about their hospital and clinic coverage, service engineers and openness to non Japanese brands.</t>
        </is>
      </c>
      <c r="W116" s="4" t="inlineStr">
        <is>
          <t>N (not identified)</t>
        </is>
      </c>
      <c r="X116" s="7" t="inlineStr">
        <is>
          <t>https://baseconnect.in/companies/prefecture/f533238c-06e6-46f9-9508-cbe03ad6754f/category/b2358a1c-c4c6-46f4-a0b1-dee3a1b30a0b</t>
        </is>
      </c>
      <c r="Y116" s="4" t="inlineStr">
        <is>
          <t>SonoEye P3 plus SonoAir 30 for GP and clinic accounts</t>
        </is>
      </c>
      <c r="Z116" s="4" t="inlineStr">
        <is>
          <t>2, 2, 3, 4, 3, 2, 3</t>
        </is>
      </c>
      <c r="AA116" s="4" t="inlineStr">
        <is>
          <t>Not found</t>
        </is>
      </c>
      <c r="AB116" s="4" t="inlineStr">
        <is>
          <t>Directory or search listing; not opened (direct site access blocked)</t>
        </is>
      </c>
      <c r="AC116" s="4" t="inlineStr">
        <is>
          <t>No expired licence or ended distribution agreement found</t>
        </is>
      </c>
      <c r="AD116" s="4" t="inlineStr">
        <is>
          <t>Not started</t>
        </is>
      </c>
      <c r="AE116" s="4" t="inlineStr"/>
      <c r="AF116" s="4" t="inlineStr">
        <is>
          <t>https://connectmec.co.jp/category/news/feed/</t>
        </is>
      </c>
      <c r="AG116" s="4" t="inlineStr">
        <is>
          <t>Verified: published on company website</t>
        </is>
      </c>
    </row>
    <row r="117">
      <c r="A117" s="4" t="n">
        <v>113</v>
      </c>
      <c r="B117" s="4" t="inlineStr">
        <is>
          <t>Granmate</t>
        </is>
      </c>
      <c r="C117" s="4" t="inlineStr">
        <is>
          <t>グランメイト</t>
        </is>
      </c>
      <c r="D117" s="4" t="inlineStr">
        <is>
          <t>Not retrieved (NTA lookup blocked in this session)</t>
        </is>
      </c>
      <c r="E117" s="4" t="inlineStr">
        <is>
          <t>千葉県</t>
        </is>
      </c>
      <c r="F117" s="4" t="inlineStr">
        <is>
          <t>Kanto</t>
        </is>
      </c>
      <c r="G117" s="4" t="inlineStr">
        <is>
          <t>https://granmate.jp/</t>
        </is>
      </c>
      <c r="H117" s="4" t="inlineStr">
        <is>
          <t>No MAH found; device sales licence (高度管理医療機器等販売業) not confirmed</t>
        </is>
      </c>
      <c r="I117" s="4" t="inlineStr">
        <is>
          <t>Not identified in published sources</t>
        </is>
      </c>
      <c r="J117" s="4" t="inlineStr">
        <is>
          <t>General medical equipment (hospitals and clinics)</t>
        </is>
      </c>
      <c r="K117" s="4" t="inlineStr">
        <is>
          <t>千葉県 (regional; branch network not confirmed)</t>
        </is>
      </c>
      <c r="L117" s="4" t="inlineStr">
        <is>
          <t>Not found</t>
        </is>
      </c>
      <c r="M117" s="4" t="inlineStr">
        <is>
          <t>Not identified</t>
        </is>
      </c>
      <c r="N117" s="4" t="inlineStr">
        <is>
          <t>Not identified</t>
        </is>
      </c>
      <c r="O117" s="4" t="inlineStr">
        <is>
          <t>info@granmate.jp</t>
        </is>
      </c>
      <c r="P117" s="4" t="inlineStr">
        <is>
          <t>Not confirmed</t>
        </is>
      </c>
      <c r="Q117" s="4" t="inlineStr">
        <is>
          <t>Not identified</t>
        </is>
      </c>
      <c r="R117" s="5" t="inlineStr">
        <is>
          <t>Unverified</t>
        </is>
      </c>
      <c r="S117" s="4" t="n">
        <v>18</v>
      </c>
      <c r="T117" s="10" t="inlineStr">
        <is>
          <t>C</t>
        </is>
      </c>
      <c r="U117" s="4" t="inlineStr">
        <is>
          <t>Regional general medical equipment dealer with hospital and clinic accounts; candidate sub dealer under a national MAH partner.</t>
        </is>
      </c>
      <c r="V117" s="4" t="inlineStr">
        <is>
          <t>Introduce CHISON as a future line through a national MAH partner; ask about their hospital and clinic coverage, service engineers and openness to non Japanese brands.</t>
        </is>
      </c>
      <c r="W117" s="4" t="inlineStr">
        <is>
          <t>N (not identified)</t>
        </is>
      </c>
      <c r="X117" s="7" t="inlineStr">
        <is>
          <t>https://baseconnect.in/companies/prefecture/3420045f-8609-4232-9407-75407ae4e6e8/category/b2358a1c-c4c6-46f4-a0b1-dee3a1b30a0b</t>
        </is>
      </c>
      <c r="Y117" s="4" t="inlineStr">
        <is>
          <t>SonoEye P3 plus SonoAir 30 for GP and clinic accounts</t>
        </is>
      </c>
      <c r="Z117" s="4" t="inlineStr">
        <is>
          <t>2, 2, 3, 3, 3, 2, 3</t>
        </is>
      </c>
      <c r="AA117" s="4" t="inlineStr">
        <is>
          <t>Not found</t>
        </is>
      </c>
      <c r="AB117" s="4" t="inlineStr">
        <is>
          <t>Directory or search listing; not opened (direct site access blocked)</t>
        </is>
      </c>
      <c r="AC117" s="4" t="inlineStr">
        <is>
          <t>No expired licence or ended distribution agreement found</t>
        </is>
      </c>
      <c r="AD117" s="4" t="inlineStr">
        <is>
          <t>Not started</t>
        </is>
      </c>
      <c r="AE117" s="4" t="inlineStr"/>
      <c r="AF117" s="4" t="inlineStr">
        <is>
          <t>https://granmate.jp/inquiry/</t>
        </is>
      </c>
      <c r="AG117" s="4" t="inlineStr">
        <is>
          <t>Verified: published on company website</t>
        </is>
      </c>
    </row>
    <row r="118">
      <c r="A118" s="4" t="n">
        <v>114</v>
      </c>
      <c r="B118" s="4" t="inlineStr">
        <is>
          <t>Wawa</t>
        </is>
      </c>
      <c r="C118" s="4" t="inlineStr">
        <is>
          <t>Wawa</t>
        </is>
      </c>
      <c r="D118" s="4" t="inlineStr">
        <is>
          <t>Not retrieved (NTA lookup blocked in this session)</t>
        </is>
      </c>
      <c r="E118" s="4" t="inlineStr">
        <is>
          <t>千葉県</t>
        </is>
      </c>
      <c r="F118" s="4" t="inlineStr">
        <is>
          <t>Kanto</t>
        </is>
      </c>
      <c r="G118" s="4" t="inlineStr">
        <is>
          <t>https://wawa-japan.com/</t>
        </is>
      </c>
      <c r="H118" s="4" t="inlineStr">
        <is>
          <t>No MAH found; device sales licence (高度管理医療機器等販売業) not confirmed</t>
        </is>
      </c>
      <c r="I118" s="4" t="inlineStr">
        <is>
          <t>Not identified in published sources</t>
        </is>
      </c>
      <c r="J118" s="4" t="inlineStr">
        <is>
          <t>General medical equipment (hospitals and clinics)</t>
        </is>
      </c>
      <c r="K118" s="4" t="inlineStr">
        <is>
          <t>千葉県 (regional; branch network not confirmed)</t>
        </is>
      </c>
      <c r="L118" s="4" t="inlineStr">
        <is>
          <t>Not found</t>
        </is>
      </c>
      <c r="M118" s="4" t="inlineStr">
        <is>
          <t>Not identified</t>
        </is>
      </c>
      <c r="N118" s="4" t="inlineStr">
        <is>
          <t>Not identified</t>
        </is>
      </c>
      <c r="O118" s="4" t="inlineStr">
        <is>
          <t>info@wawa-japan.com</t>
        </is>
      </c>
      <c r="P118" s="4" t="inlineStr">
        <is>
          <t>Not confirmed</t>
        </is>
      </c>
      <c r="Q118" s="4" t="inlineStr">
        <is>
          <t>Not identified</t>
        </is>
      </c>
      <c r="R118" s="5" t="inlineStr">
        <is>
          <t>Unverified</t>
        </is>
      </c>
      <c r="S118" s="4" t="n">
        <v>18</v>
      </c>
      <c r="T118" s="10" t="inlineStr">
        <is>
          <t>C</t>
        </is>
      </c>
      <c r="U118" s="4" t="inlineStr">
        <is>
          <t>Regional general medical equipment dealer with hospital and clinic accounts; candidate sub dealer under a national MAH partner.</t>
        </is>
      </c>
      <c r="V118" s="4" t="inlineStr">
        <is>
          <t>Introduce CHISON as a future line through a national MAH partner; ask about their hospital and clinic coverage, service engineers and openness to non Japanese brands.</t>
        </is>
      </c>
      <c r="W118" s="4" t="inlineStr">
        <is>
          <t>N (not identified)</t>
        </is>
      </c>
      <c r="X118" s="7" t="inlineStr">
        <is>
          <t>https://baseconnect.in/companies/prefecture/3420045f-8609-4232-9407-75407ae4e6e8/category/b2358a1c-c4c6-46f4-a0b1-dee3a1b30a0b</t>
        </is>
      </c>
      <c r="Y118" s="4" t="inlineStr">
        <is>
          <t>SonoEye P3 plus SonoAir 30 for GP and clinic accounts</t>
        </is>
      </c>
      <c r="Z118" s="4" t="inlineStr">
        <is>
          <t>2, 2, 3, 3, 3, 2, 3</t>
        </is>
      </c>
      <c r="AA118" s="4" t="inlineStr">
        <is>
          <t>Not found</t>
        </is>
      </c>
      <c r="AB118" s="4" t="inlineStr">
        <is>
          <t>Directory or search listing; not opened (direct site access blocked)</t>
        </is>
      </c>
      <c r="AC118" s="4" t="inlineStr">
        <is>
          <t>No expired licence or ended distribution agreement found</t>
        </is>
      </c>
      <c r="AD118" s="4" t="inlineStr">
        <is>
          <t>Not started</t>
        </is>
      </c>
      <c r="AE118" s="4" t="inlineStr"/>
      <c r="AF118" s="4" t="inlineStr">
        <is>
          <t>https://wawa-japan.com/</t>
        </is>
      </c>
      <c r="AG118" s="4" t="inlineStr">
        <is>
          <t>Verified: published on company website</t>
        </is>
      </c>
    </row>
    <row r="119">
      <c r="A119" s="4" t="n">
        <v>115</v>
      </c>
      <c r="B119" s="4" t="inlineStr">
        <is>
          <t>Creo Medical</t>
        </is>
      </c>
      <c r="C119" s="4" t="inlineStr">
        <is>
          <t>クレオメディカル</t>
        </is>
      </c>
      <c r="D119" s="4" t="inlineStr">
        <is>
          <t>Not retrieved (NTA lookup blocked in this session)</t>
        </is>
      </c>
      <c r="E119" s="4" t="inlineStr">
        <is>
          <t>千葉県</t>
        </is>
      </c>
      <c r="F119" s="4" t="inlineStr">
        <is>
          <t>Kanto</t>
        </is>
      </c>
      <c r="G119" s="4" t="inlineStr">
        <is>
          <t>https://www.creomedical.com/en/</t>
        </is>
      </c>
      <c r="H119" s="4" t="inlineStr">
        <is>
          <t>No MAH found; device sales licence (高度管理医療機器等販売業) not confirmed</t>
        </is>
      </c>
      <c r="I119" s="4" t="inlineStr">
        <is>
          <t>Not identified in published sources</t>
        </is>
      </c>
      <c r="J119" s="4" t="inlineStr">
        <is>
          <t>General medical equipment (hospitals and clinics)</t>
        </is>
      </c>
      <c r="K119" s="4" t="inlineStr">
        <is>
          <t>千葉県 (regional; branch network not confirmed)</t>
        </is>
      </c>
      <c r="L119" s="4" t="inlineStr">
        <is>
          <t>Not found</t>
        </is>
      </c>
      <c r="M119" s="4" t="inlineStr">
        <is>
          <t>Not identified</t>
        </is>
      </c>
      <c r="N119" s="4" t="inlineStr">
        <is>
          <t>Not identified</t>
        </is>
      </c>
      <c r="O119" s="4" t="inlineStr">
        <is>
          <t>uscustomerservice@creomedical.com</t>
        </is>
      </c>
      <c r="P119" s="4" t="inlineStr">
        <is>
          <t>Not confirmed</t>
        </is>
      </c>
      <c r="Q119" s="4" t="inlineStr">
        <is>
          <t>Not identified</t>
        </is>
      </c>
      <c r="R119" s="5" t="inlineStr">
        <is>
          <t>Unverified</t>
        </is>
      </c>
      <c r="S119" s="4" t="n">
        <v>18</v>
      </c>
      <c r="T119" s="10" t="inlineStr">
        <is>
          <t>C</t>
        </is>
      </c>
      <c r="U119" s="4" t="inlineStr">
        <is>
          <t>Regional general medical equipment dealer with hospital and clinic accounts; candidate sub dealer under a national MAH partner.</t>
        </is>
      </c>
      <c r="V119" s="4" t="inlineStr">
        <is>
          <t>Introduce CHISON as a future line through a national MAH partner; ask about their hospital and clinic coverage, service engineers and openness to non Japanese brands.</t>
        </is>
      </c>
      <c r="W119" s="4" t="inlineStr">
        <is>
          <t>N (not identified)</t>
        </is>
      </c>
      <c r="X119" s="7" t="inlineStr">
        <is>
          <t>https://baseconnect.in/companies/prefecture/3420045f-8609-4232-9407-75407ae4e6e8/keyword/89941b4e-2dd1-4848-8957-48af280a31e0</t>
        </is>
      </c>
      <c r="Y119" s="4" t="inlineStr">
        <is>
          <t>SonoEye P3 plus SonoAir 30 for GP and clinic accounts</t>
        </is>
      </c>
      <c r="Z119" s="4" t="inlineStr">
        <is>
          <t>2, 2, 3, 3, 3, 2, 3</t>
        </is>
      </c>
      <c r="AA119" s="4" t="inlineStr">
        <is>
          <t>Not found</t>
        </is>
      </c>
      <c r="AB119" s="4" t="inlineStr">
        <is>
          <t>Directory or search listing; not opened (direct site access blocked)</t>
        </is>
      </c>
      <c r="AC119" s="4" t="inlineStr">
        <is>
          <t>No expired licence or ended distribution agreement found</t>
        </is>
      </c>
      <c r="AD119" s="4" t="inlineStr">
        <is>
          <t>Not started</t>
        </is>
      </c>
      <c r="AE119" s="4" t="inlineStr">
        <is>
          <t>customerservice@creomedical.com</t>
        </is>
      </c>
      <c r="AF119" s="4" t="inlineStr">
        <is>
          <t>https://www.creomedical.com/en/contact</t>
        </is>
      </c>
      <c r="AG119" s="4" t="inlineStr">
        <is>
          <t>Verified: published on company website</t>
        </is>
      </c>
    </row>
    <row r="120">
      <c r="A120" s="4" t="n">
        <v>116</v>
      </c>
      <c r="B120" s="4" t="inlineStr">
        <is>
          <t>Ast</t>
        </is>
      </c>
      <c r="C120" s="4" t="inlineStr">
        <is>
          <t>アスト</t>
        </is>
      </c>
      <c r="D120" s="4" t="inlineStr">
        <is>
          <t>Not retrieved (NTA lookup blocked in this session)</t>
        </is>
      </c>
      <c r="E120" s="4" t="inlineStr">
        <is>
          <t>埼玉県</t>
        </is>
      </c>
      <c r="F120" s="4" t="inlineStr">
        <is>
          <t>Kanto</t>
        </is>
      </c>
      <c r="G120" s="4" t="inlineStr">
        <is>
          <t>https://www.ast-co.jp/</t>
        </is>
      </c>
      <c r="H120" s="4" t="inlineStr">
        <is>
          <t>No MAH found; device sales licence (高度管理医療機器等販売業) not confirmed</t>
        </is>
      </c>
      <c r="I120" s="4" t="inlineStr">
        <is>
          <t>Not identified in published sources</t>
        </is>
      </c>
      <c r="J120" s="4" t="inlineStr">
        <is>
          <t>Anaesthesia, ICU and respiratory, Surgery and OR</t>
        </is>
      </c>
      <c r="K120" s="4" t="inlineStr">
        <is>
          <t>埼玉県 (regional; branch network not confirmed)</t>
        </is>
      </c>
      <c r="L120" s="4" t="inlineStr">
        <is>
          <t>Not found</t>
        </is>
      </c>
      <c r="M120" s="4" t="inlineStr">
        <is>
          <t>Not identified</t>
        </is>
      </c>
      <c r="N120" s="4" t="inlineStr">
        <is>
          <t>Not identified</t>
        </is>
      </c>
      <c r="O120" s="4" t="inlineStr">
        <is>
          <t>Not published; use contact form</t>
        </is>
      </c>
      <c r="P120" s="4" t="inlineStr">
        <is>
          <t>Not confirmed</t>
        </is>
      </c>
      <c r="Q120" s="4" t="inlineStr">
        <is>
          <t>Not identified</t>
        </is>
      </c>
      <c r="R120" s="5" t="inlineStr">
        <is>
          <t>Likely</t>
        </is>
      </c>
      <c r="S120" s="4" t="n">
        <v>18</v>
      </c>
      <c r="T120" s="10" t="inlineStr">
        <is>
          <t>C</t>
        </is>
      </c>
      <c r="U120" s="4" t="inlineStr">
        <is>
          <t>Adjacent hospital department line (no ultrasound found), which is the best recruit profile for a point of care line.</t>
        </is>
      </c>
      <c r="V120" s="4" t="inlineStr">
        <is>
          <t>Introduce CHISON as a future line through a national MAH partner; ask about their hospital and clinic coverage, service engineers and openness to non Japanese brands.</t>
        </is>
      </c>
      <c r="W120" s="4" t="inlineStr">
        <is>
          <t>N (not identified)</t>
        </is>
      </c>
      <c r="X120" s="7" t="inlineStr">
        <is>
          <t>https://baseconnect.in/companies/prefecture/5b2e6d00-cfba-4d0b-850d-54757e4b4d7f/category/b2358a1c-c4c6-46f4-a0b1-dee3a1b30a0b</t>
        </is>
      </c>
      <c r="Y120" s="4" t="inlineStr">
        <is>
          <t>SonoTouch plus SonoEye P3 (nerve block, vascular access, peri operative)</t>
        </is>
      </c>
      <c r="Z120" s="4" t="inlineStr">
        <is>
          <t>2, 3, 3, 2, 3, 2, 3</t>
        </is>
      </c>
      <c r="AA120" s="4" t="inlineStr">
        <is>
          <t>Not found</t>
        </is>
      </c>
      <c r="AB120" s="4" t="inlineStr">
        <is>
          <t>Directory or search listing; not opened (direct site access blocked)</t>
        </is>
      </c>
      <c r="AC120" s="4" t="inlineStr">
        <is>
          <t>No expired licence or ended distribution agreement found</t>
        </is>
      </c>
      <c r="AD120" s="4" t="inlineStr">
        <is>
          <t>Not started</t>
        </is>
      </c>
      <c r="AE120" s="4" t="inlineStr"/>
      <c r="AF120" s="4" t="inlineStr">
        <is>
          <t>https://www.ast-co.jp/inquiry.html</t>
        </is>
      </c>
      <c r="AG120" s="4" t="inlineStr">
        <is>
          <t>No email published; use the contact form (link in Email source)</t>
        </is>
      </c>
    </row>
    <row r="121">
      <c r="A121" s="4" t="n">
        <v>117</v>
      </c>
      <c r="B121" s="4" t="inlineStr">
        <is>
          <t>Normeca Asia</t>
        </is>
      </c>
      <c r="C121" s="4" t="inlineStr">
        <is>
          <t>ノルメカエイシア</t>
        </is>
      </c>
      <c r="D121" s="4" t="inlineStr">
        <is>
          <t>Not retrieved (NTA lookup blocked in this session)</t>
        </is>
      </c>
      <c r="E121" s="4" t="inlineStr">
        <is>
          <t>埼玉県</t>
        </is>
      </c>
      <c r="F121" s="4" t="inlineStr">
        <is>
          <t>Kanto</t>
        </is>
      </c>
      <c r="G121" s="4" t="inlineStr">
        <is>
          <t>https://www.normeca-asia.jp/</t>
        </is>
      </c>
      <c r="H121" s="4" t="inlineStr">
        <is>
          <t>No MAH found; device sales licence (高度管理医療機器等販売業) not confirmed</t>
        </is>
      </c>
      <c r="I121" s="4" t="inlineStr">
        <is>
          <t>Not identified in published sources</t>
        </is>
      </c>
      <c r="J121" s="4" t="inlineStr">
        <is>
          <t>Emergency and disaster</t>
        </is>
      </c>
      <c r="K121" s="4" t="inlineStr">
        <is>
          <t>埼玉県 (regional; branch network not confirmed)</t>
        </is>
      </c>
      <c r="L121" s="4" t="inlineStr">
        <is>
          <t>Not found</t>
        </is>
      </c>
      <c r="M121" s="4" t="inlineStr">
        <is>
          <t>Not identified</t>
        </is>
      </c>
      <c r="N121" s="4" t="inlineStr">
        <is>
          <t>Not identified</t>
        </is>
      </c>
      <c r="O121" s="4" t="inlineStr">
        <is>
          <t>Not published; use contact form</t>
        </is>
      </c>
      <c r="P121" s="4" t="inlineStr">
        <is>
          <t>Not confirmed</t>
        </is>
      </c>
      <c r="Q121" s="4" t="inlineStr">
        <is>
          <t>Not identified</t>
        </is>
      </c>
      <c r="R121" s="5" t="inlineStr">
        <is>
          <t>Likely</t>
        </is>
      </c>
      <c r="S121" s="4" t="n">
        <v>18</v>
      </c>
      <c r="T121" s="10" t="inlineStr">
        <is>
          <t>C</t>
        </is>
      </c>
      <c r="U121" s="4" t="inlineStr">
        <is>
          <t>Adjacent hospital department line (no ultrasound found), which is the best recruit profile for a point of care line.</t>
        </is>
      </c>
      <c r="V121" s="4" t="inlineStr">
        <is>
          <t>Introduce CHISON as a future line through a national MAH partner; ask about their hospital and clinic coverage, service engineers and openness to non Japanese brands.</t>
        </is>
      </c>
      <c r="W121" s="4" t="inlineStr">
        <is>
          <t>N (not identified)</t>
        </is>
      </c>
      <c r="X121" s="7" t="inlineStr">
        <is>
          <t>https://baseconnect.in/companies/prefecture/5b2e6d00-cfba-4d0b-850d-54757e4b4d7f/category/b2358a1c-c4c6-46f4-a0b1-dee3a1b30a0b</t>
        </is>
      </c>
      <c r="Y121" s="4" t="inlineStr">
        <is>
          <t>SonoEye P3 for FAST, lung and vascular access (POCUS)</t>
        </is>
      </c>
      <c r="Z121" s="4" t="inlineStr">
        <is>
          <t>2, 3, 3, 2, 3, 2, 3</t>
        </is>
      </c>
      <c r="AA121" s="4" t="inlineStr">
        <is>
          <t>Not found</t>
        </is>
      </c>
      <c r="AB121" s="4" t="inlineStr">
        <is>
          <t>Directory or search listing; not opened (direct site access blocked)</t>
        </is>
      </c>
      <c r="AC121" s="4" t="inlineStr">
        <is>
          <t>No expired licence or ended distribution agreement found</t>
        </is>
      </c>
      <c r="AD121" s="4" t="inlineStr">
        <is>
          <t>Not started</t>
        </is>
      </c>
      <c r="AE121" s="4" t="inlineStr"/>
      <c r="AF121" s="4" t="inlineStr">
        <is>
          <t>https://www.normeca-asia.jp/contact</t>
        </is>
      </c>
      <c r="AG121" s="4" t="inlineStr">
        <is>
          <t>No email published; use the contact form (link in Email source)</t>
        </is>
      </c>
    </row>
    <row r="122">
      <c r="A122" s="4" t="n">
        <v>118</v>
      </c>
      <c r="B122" s="4" t="inlineStr">
        <is>
          <t>Hoshino Iryoki</t>
        </is>
      </c>
      <c r="C122" s="4" t="inlineStr">
        <is>
          <t>ホシノ医療器</t>
        </is>
      </c>
      <c r="D122" s="4" t="inlineStr">
        <is>
          <t>Not retrieved (NTA lookup blocked in this session)</t>
        </is>
      </c>
      <c r="E122" s="4" t="inlineStr">
        <is>
          <t>埼玉県</t>
        </is>
      </c>
      <c r="F122" s="4" t="inlineStr">
        <is>
          <t>Kanto</t>
        </is>
      </c>
      <c r="G122" s="4" t="inlineStr">
        <is>
          <t>https://hoshinomedical.co.jp/</t>
        </is>
      </c>
      <c r="H122" s="4" t="inlineStr">
        <is>
          <t>No MAH found; device sales licence (高度管理医療機器等販売業) not confirmed</t>
        </is>
      </c>
      <c r="I122" s="4" t="inlineStr">
        <is>
          <t>Not identified in published sources</t>
        </is>
      </c>
      <c r="J122" s="4" t="inlineStr">
        <is>
          <t>General medical equipment (hospitals and clinics)</t>
        </is>
      </c>
      <c r="K122" s="4" t="inlineStr">
        <is>
          <t>埼玉県 (regional; branch network not confirmed)</t>
        </is>
      </c>
      <c r="L122" s="4" t="inlineStr">
        <is>
          <t>Not found</t>
        </is>
      </c>
      <c r="M122" s="4" t="inlineStr">
        <is>
          <t>Not identified</t>
        </is>
      </c>
      <c r="N122" s="4" t="inlineStr">
        <is>
          <t>Not identified</t>
        </is>
      </c>
      <c r="O122" s="4" t="inlineStr">
        <is>
          <t>k_hoshino@hoshinomedical.co.jp</t>
        </is>
      </c>
      <c r="P122" s="4" t="inlineStr">
        <is>
          <t>Not confirmed</t>
        </is>
      </c>
      <c r="Q122" s="4" t="inlineStr">
        <is>
          <t>Not identified</t>
        </is>
      </c>
      <c r="R122" s="5" t="inlineStr">
        <is>
          <t>Unverified</t>
        </is>
      </c>
      <c r="S122" s="4" t="n">
        <v>18</v>
      </c>
      <c r="T122" s="10" t="inlineStr">
        <is>
          <t>C</t>
        </is>
      </c>
      <c r="U122" s="4" t="inlineStr">
        <is>
          <t>Regional general medical equipment dealer with hospital and clinic accounts; candidate sub dealer under a national MAH partner.</t>
        </is>
      </c>
      <c r="V122" s="4" t="inlineStr">
        <is>
          <t>Introduce CHISON as a future line through a national MAH partner; ask about their hospital and clinic coverage, service engineers and openness to non Japanese brands.</t>
        </is>
      </c>
      <c r="W122" s="4" t="inlineStr">
        <is>
          <t>N (not identified)</t>
        </is>
      </c>
      <c r="X122" s="7" t="inlineStr">
        <is>
          <t>https://baseconnect.in/companies/prefecture/5b2e6d00-cfba-4d0b-850d-54757e4b4d7f/category/b2358a1c-c4c6-46f4-a0b1-dee3a1b30a0b</t>
        </is>
      </c>
      <c r="Y122" s="4" t="inlineStr">
        <is>
          <t>SonoEye P3 plus SonoAir 30 for GP and clinic accounts</t>
        </is>
      </c>
      <c r="Z122" s="4" t="inlineStr">
        <is>
          <t>2, 2, 3, 3, 3, 2, 3</t>
        </is>
      </c>
      <c r="AA122" s="4" t="inlineStr">
        <is>
          <t>Not found</t>
        </is>
      </c>
      <c r="AB122" s="4" t="inlineStr">
        <is>
          <t>Directory or search listing; not opened (direct site access blocked)</t>
        </is>
      </c>
      <c r="AC122" s="4" t="inlineStr">
        <is>
          <t>No expired licence or ended distribution agreement found</t>
        </is>
      </c>
      <c r="AD122" s="4" t="inlineStr">
        <is>
          <t>Not started</t>
        </is>
      </c>
      <c r="AE122" s="4" t="inlineStr"/>
      <c r="AF122" s="4" t="inlineStr">
        <is>
          <t>https://store.shopping.yahoo.co.jp/medistarstore/info.html?__ysp=IkBob3NoaW5vbWVkaWNhbC5jby5qcCI%3D</t>
        </is>
      </c>
      <c r="AG122" s="4" t="inlineStr">
        <is>
          <t>Likely: indexed on company domain</t>
        </is>
      </c>
    </row>
    <row r="123">
      <c r="A123" s="4" t="n">
        <v>119</v>
      </c>
      <c r="B123" s="4" t="inlineStr">
        <is>
          <t>Zest Medical</t>
        </is>
      </c>
      <c r="C123" s="4" t="inlineStr">
        <is>
          <t>ゼストメディカル</t>
        </is>
      </c>
      <c r="D123" s="4" t="inlineStr">
        <is>
          <t>Not retrieved (NTA lookup blocked in this session)</t>
        </is>
      </c>
      <c r="E123" s="4" t="inlineStr">
        <is>
          <t>埼玉県</t>
        </is>
      </c>
      <c r="F123" s="4" t="inlineStr">
        <is>
          <t>Kanto</t>
        </is>
      </c>
      <c r="G123" s="4" t="inlineStr">
        <is>
          <t>https://zest-medical.com/</t>
        </is>
      </c>
      <c r="H123" s="4" t="inlineStr">
        <is>
          <t>No MAH found; device sales licence (高度管理医療機器等販売業) not confirmed</t>
        </is>
      </c>
      <c r="I123" s="4" t="inlineStr">
        <is>
          <t>Not identified in published sources</t>
        </is>
      </c>
      <c r="J123" s="4" t="inlineStr">
        <is>
          <t>General medical equipment (hospitals and clinics)</t>
        </is>
      </c>
      <c r="K123" s="4" t="inlineStr">
        <is>
          <t>埼玉県 (regional; branch network not confirmed)</t>
        </is>
      </c>
      <c r="L123" s="4" t="inlineStr">
        <is>
          <t>Not found</t>
        </is>
      </c>
      <c r="M123" s="4" t="inlineStr">
        <is>
          <t>Not identified</t>
        </is>
      </c>
      <c r="N123" s="4" t="inlineStr">
        <is>
          <t>Not identified</t>
        </is>
      </c>
      <c r="O123" s="4" t="inlineStr">
        <is>
          <t>info@zest-medical.com</t>
        </is>
      </c>
      <c r="P123" s="4" t="inlineStr">
        <is>
          <t>Not confirmed</t>
        </is>
      </c>
      <c r="Q123" s="4" t="inlineStr">
        <is>
          <t>Not identified</t>
        </is>
      </c>
      <c r="R123" s="5" t="inlineStr">
        <is>
          <t>Unverified</t>
        </is>
      </c>
      <c r="S123" s="4" t="n">
        <v>18</v>
      </c>
      <c r="T123" s="10" t="inlineStr">
        <is>
          <t>C</t>
        </is>
      </c>
      <c r="U123" s="4" t="inlineStr">
        <is>
          <t>Regional general medical equipment dealer with hospital and clinic accounts; candidate sub dealer under a national MAH partner.</t>
        </is>
      </c>
      <c r="V123" s="4" t="inlineStr">
        <is>
          <t>Introduce CHISON as a future line through a national MAH partner; ask about their hospital and clinic coverage, service engineers and openness to non Japanese brands.</t>
        </is>
      </c>
      <c r="W123" s="4" t="inlineStr">
        <is>
          <t>N (not identified)</t>
        </is>
      </c>
      <c r="X123" s="7" t="inlineStr">
        <is>
          <t>https://baseconnect.in/companies/prefecture/5b2e6d00-cfba-4d0b-850d-54757e4b4d7f/category/b2358a1c-c4c6-46f4-a0b1-dee3a1b30a0b</t>
        </is>
      </c>
      <c r="Y123" s="4" t="inlineStr">
        <is>
          <t>SonoEye P3 plus SonoAir 30 for GP and clinic accounts</t>
        </is>
      </c>
      <c r="Z123" s="4" t="inlineStr">
        <is>
          <t>2, 2, 3, 3, 3, 2, 3</t>
        </is>
      </c>
      <c r="AA123" s="4" t="inlineStr">
        <is>
          <t>Not found</t>
        </is>
      </c>
      <c r="AB123" s="4" t="inlineStr">
        <is>
          <t>Directory or search listing; not opened (direct site access blocked)</t>
        </is>
      </c>
      <c r="AC123" s="4" t="inlineStr">
        <is>
          <t>No expired licence or ended distribution agreement found</t>
        </is>
      </c>
      <c r="AD123" s="4" t="inlineStr">
        <is>
          <t>Not started</t>
        </is>
      </c>
      <c r="AE123" s="4" t="inlineStr">
        <is>
          <t>info4@zest-medical.com, saitamaichiro@zest-medical.com</t>
        </is>
      </c>
      <c r="AF123" s="4" t="inlineStr">
        <is>
          <t>https://zest-medical.com/</t>
        </is>
      </c>
      <c r="AG123" s="4" t="inlineStr">
        <is>
          <t>Verified: published on company website</t>
        </is>
      </c>
    </row>
    <row r="124">
      <c r="A124" s="4" t="n">
        <v>120</v>
      </c>
      <c r="B124" s="4" t="inlineStr">
        <is>
          <t>Matsuo Medical</t>
        </is>
      </c>
      <c r="C124" s="4" t="inlineStr">
        <is>
          <t>マツオメディカル</t>
        </is>
      </c>
      <c r="D124" s="4" t="inlineStr">
        <is>
          <t>Not retrieved (NTA lookup blocked in this session)</t>
        </is>
      </c>
      <c r="E124" s="4" t="inlineStr">
        <is>
          <t>埼玉県</t>
        </is>
      </c>
      <c r="F124" s="4" t="inlineStr">
        <is>
          <t>Kanto</t>
        </is>
      </c>
      <c r="G124" s="4" t="inlineStr">
        <is>
          <t>https://www.matsuo-medical.co.jp/</t>
        </is>
      </c>
      <c r="H124" s="4" t="inlineStr">
        <is>
          <t>No MAH found; device sales licence (高度管理医療機器等販売業) not confirmed</t>
        </is>
      </c>
      <c r="I124" s="4" t="inlineStr">
        <is>
          <t>Not identified in published sources</t>
        </is>
      </c>
      <c r="J124" s="4" t="inlineStr">
        <is>
          <t>General medical equipment (hospitals and clinics)</t>
        </is>
      </c>
      <c r="K124" s="4" t="inlineStr">
        <is>
          <t>埼玉県 (regional; branch network not confirmed)</t>
        </is>
      </c>
      <c r="L124" s="4" t="inlineStr">
        <is>
          <t>Not found</t>
        </is>
      </c>
      <c r="M124" s="4" t="inlineStr">
        <is>
          <t>Not identified</t>
        </is>
      </c>
      <c r="N124" s="4" t="inlineStr">
        <is>
          <t>Not identified</t>
        </is>
      </c>
      <c r="O124" s="4" t="inlineStr">
        <is>
          <t>Not published; use contact form</t>
        </is>
      </c>
      <c r="P124" s="4" t="inlineStr">
        <is>
          <t>Not confirmed</t>
        </is>
      </c>
      <c r="Q124" s="4" t="inlineStr">
        <is>
          <t>Not identified</t>
        </is>
      </c>
      <c r="R124" s="5" t="inlineStr">
        <is>
          <t>Likely</t>
        </is>
      </c>
      <c r="S124" s="4" t="n">
        <v>18</v>
      </c>
      <c r="T124" s="10" t="inlineStr">
        <is>
          <t>C</t>
        </is>
      </c>
      <c r="U124" s="4" t="inlineStr">
        <is>
          <t>Regional general medical equipment dealer with hospital and clinic accounts; candidate sub dealer under a national MAH partner.</t>
        </is>
      </c>
      <c r="V124" s="4" t="inlineStr">
        <is>
          <t>Introduce CHISON as a future line through a national MAH partner; ask about their hospital and clinic coverage, service engineers and openness to non Japanese brands.</t>
        </is>
      </c>
      <c r="W124" s="4" t="inlineStr">
        <is>
          <t>N (not identified)</t>
        </is>
      </c>
      <c r="X124" s="7" t="inlineStr">
        <is>
          <t>https://baseconnect.in/companies/prefecture/5b2e6d00-cfba-4d0b-850d-54757e4b4d7f/category/b2358a1c-c4c6-46f4-a0b1-dee3a1b30a0b</t>
        </is>
      </c>
      <c r="Y124" s="4" t="inlineStr">
        <is>
          <t>SonoEye P3 plus SonoAir 30 for GP and clinic accounts</t>
        </is>
      </c>
      <c r="Z124" s="4" t="inlineStr">
        <is>
          <t>2, 2, 3, 3, 3, 2, 3</t>
        </is>
      </c>
      <c r="AA124" s="4" t="inlineStr">
        <is>
          <t>Not found</t>
        </is>
      </c>
      <c r="AB124" s="4" t="inlineStr">
        <is>
          <t>Directory or search listing; not opened (direct site access blocked)</t>
        </is>
      </c>
      <c r="AC124" s="4" t="inlineStr">
        <is>
          <t>No expired licence or ended distribution agreement found</t>
        </is>
      </c>
      <c r="AD124" s="4" t="inlineStr">
        <is>
          <t>Not started</t>
        </is>
      </c>
      <c r="AE124" s="4" t="inlineStr"/>
      <c r="AF124" s="4" t="inlineStr">
        <is>
          <t>https://www.matsuo-medical.co.jp/contact/</t>
        </is>
      </c>
      <c r="AG124" s="4" t="inlineStr">
        <is>
          <t>No email published; use the contact form (link in Email source)</t>
        </is>
      </c>
    </row>
    <row r="125">
      <c r="A125" s="4" t="n">
        <v>121</v>
      </c>
      <c r="B125" s="4" t="inlineStr">
        <is>
          <t>Kevin Medical</t>
        </is>
      </c>
      <c r="C125" s="4" t="inlineStr">
        <is>
          <t>ケビンメディカル</t>
        </is>
      </c>
      <c r="D125" s="4" t="inlineStr">
        <is>
          <t>Not retrieved (NTA lookup blocked in this session)</t>
        </is>
      </c>
      <c r="E125" s="4" t="inlineStr">
        <is>
          <t>東京都</t>
        </is>
      </c>
      <c r="F125" s="4" t="inlineStr">
        <is>
          <t>Kanto</t>
        </is>
      </c>
      <c r="G125" s="4" t="inlineStr">
        <is>
          <t>Not confirmed (company site not opened; network policy blocked direct access)</t>
        </is>
      </c>
      <c r="H125" s="4" t="inlineStr">
        <is>
          <t>No MAH found; device sales licence (高度管理医療機器等販売業) not confirmed</t>
        </is>
      </c>
      <c r="I125" s="4" t="inlineStr">
        <is>
          <t>Not identified in published sources</t>
        </is>
      </c>
      <c r="J125" s="4" t="inlineStr">
        <is>
          <t>General medical equipment (hospitals and clinics)</t>
        </is>
      </c>
      <c r="K125" s="4" t="inlineStr">
        <is>
          <t>東京都 (regional; branch network not confirmed)</t>
        </is>
      </c>
      <c r="L125" s="4" t="inlineStr">
        <is>
          <t>Not found</t>
        </is>
      </c>
      <c r="M125" s="4" t="inlineStr">
        <is>
          <t>Not identified</t>
        </is>
      </c>
      <c r="N125" s="4" t="inlineStr">
        <is>
          <t>Not identified</t>
        </is>
      </c>
      <c r="O125" s="4" t="inlineStr">
        <is>
          <t>Not published; use company inquiry form</t>
        </is>
      </c>
      <c r="P125" s="4" t="inlineStr">
        <is>
          <t>Not confirmed</t>
        </is>
      </c>
      <c r="Q125" s="4" t="inlineStr">
        <is>
          <t>Not identified</t>
        </is>
      </c>
      <c r="R125" s="5" t="inlineStr">
        <is>
          <t>Unverified</t>
        </is>
      </c>
      <c r="S125" s="4" t="n">
        <v>18</v>
      </c>
      <c r="T125" s="10" t="inlineStr">
        <is>
          <t>C</t>
        </is>
      </c>
      <c r="U125" s="4" t="inlineStr">
        <is>
          <t>Regional general medical equipment dealer with hospital and clinic accounts; candidate sub dealer under a national MAH partner.</t>
        </is>
      </c>
      <c r="V125" s="4" t="inlineStr">
        <is>
          <t>Introduce CHISON as a future line through a national MAH partner; ask about their hospital and clinic coverage, service engineers and openness to non Japanese brands.</t>
        </is>
      </c>
      <c r="W125" s="4" t="inlineStr">
        <is>
          <t>N (not identified)</t>
        </is>
      </c>
      <c r="X125" s="7" t="inlineStr">
        <is>
          <t>https://www.jahid.or.jp/pdf/meibo2025.pdf</t>
        </is>
      </c>
      <c r="Y125" s="4" t="inlineStr">
        <is>
          <t>SonoEye P3 plus SonoAir 30 for GP and clinic accounts</t>
        </is>
      </c>
      <c r="Z125" s="4" t="inlineStr">
        <is>
          <t>2, 2, 3, 3, 3, 2, 3</t>
        </is>
      </c>
      <c r="AA125" s="4" t="inlineStr">
        <is>
          <t>Not found</t>
        </is>
      </c>
      <c r="AB125" s="4" t="inlineStr">
        <is>
          <t>Directory or search listing; not opened (direct site access blocked)</t>
        </is>
      </c>
      <c r="AC125" s="4" t="inlineStr">
        <is>
          <t>No expired licence or ended distribution agreement found</t>
        </is>
      </c>
      <c r="AD125" s="4" t="inlineStr">
        <is>
          <t>Not started</t>
        </is>
      </c>
      <c r="AE125" s="4" t="inlineStr"/>
      <c r="AF125" s="4" t="inlineStr"/>
      <c r="AG125" s="4" t="inlineStr">
        <is>
          <t>No email published and no verified website found</t>
        </is>
      </c>
    </row>
    <row r="126">
      <c r="A126" s="4" t="n">
        <v>122</v>
      </c>
      <c r="B126" s="4" t="inlineStr">
        <is>
          <t>Code One</t>
        </is>
      </c>
      <c r="C126" s="4" t="inlineStr">
        <is>
          <t>コードワン</t>
        </is>
      </c>
      <c r="D126" s="4" t="inlineStr">
        <is>
          <t>Not retrieved (NTA lookup blocked in this session)</t>
        </is>
      </c>
      <c r="E126" s="4" t="inlineStr">
        <is>
          <t>東京都</t>
        </is>
      </c>
      <c r="F126" s="4" t="inlineStr">
        <is>
          <t>Kanto</t>
        </is>
      </c>
      <c r="G126" s="4" t="inlineStr">
        <is>
          <t>https://code1.co.jp/</t>
        </is>
      </c>
      <c r="H126" s="4" t="inlineStr">
        <is>
          <t>No MAH found; device sales licence (高度管理医療機器等販売業) not confirmed</t>
        </is>
      </c>
      <c r="I126" s="4" t="inlineStr">
        <is>
          <t>Not identified in published sources</t>
        </is>
      </c>
      <c r="J126" s="4" t="inlineStr">
        <is>
          <t>General medical equipment (hospitals and clinics)</t>
        </is>
      </c>
      <c r="K126" s="4" t="inlineStr">
        <is>
          <t>東京都 (regional; branch network not confirmed)</t>
        </is>
      </c>
      <c r="L126" s="4" t="inlineStr">
        <is>
          <t>Not found</t>
        </is>
      </c>
      <c r="M126" s="4" t="inlineStr">
        <is>
          <t>Not identified</t>
        </is>
      </c>
      <c r="N126" s="4" t="inlineStr">
        <is>
          <t>Not identified</t>
        </is>
      </c>
      <c r="O126" s="4" t="inlineStr">
        <is>
          <t>sumiyoshi_clinic@code1.co.jp</t>
        </is>
      </c>
      <c r="P126" s="4" t="inlineStr">
        <is>
          <t>Not confirmed</t>
        </is>
      </c>
      <c r="Q126" s="4" t="inlineStr">
        <is>
          <t>Not identified</t>
        </is>
      </c>
      <c r="R126" s="5" t="inlineStr">
        <is>
          <t>Unverified</t>
        </is>
      </c>
      <c r="S126" s="4" t="n">
        <v>18</v>
      </c>
      <c r="T126" s="10" t="inlineStr">
        <is>
          <t>C</t>
        </is>
      </c>
      <c r="U126" s="4" t="inlineStr">
        <is>
          <t>Regional general medical equipment dealer with hospital and clinic accounts; candidate sub dealer under a national MAH partner.</t>
        </is>
      </c>
      <c r="V126" s="4" t="inlineStr">
        <is>
          <t>Introduce CHISON as a future line through a national MAH partner; ask about their hospital and clinic coverage, service engineers and openness to non Japanese brands.</t>
        </is>
      </c>
      <c r="W126" s="4" t="inlineStr">
        <is>
          <t>N (not identified)</t>
        </is>
      </c>
      <c r="X126" s="7" t="inlineStr">
        <is>
          <t>https://www.jahid.or.jp/pdf/meibo2025.pdf</t>
        </is>
      </c>
      <c r="Y126" s="4" t="inlineStr">
        <is>
          <t>SonoEye P3 plus SonoAir 30 for GP and clinic accounts</t>
        </is>
      </c>
      <c r="Z126" s="4" t="inlineStr">
        <is>
          <t>2, 2, 3, 3, 3, 2, 3</t>
        </is>
      </c>
      <c r="AA126" s="4" t="inlineStr">
        <is>
          <t>Not found</t>
        </is>
      </c>
      <c r="AB126" s="4" t="inlineStr">
        <is>
          <t>Directory or search listing; not opened (direct site access blocked)</t>
        </is>
      </c>
      <c r="AC126" s="4" t="inlineStr">
        <is>
          <t>No expired licence or ended distribution agreement found</t>
        </is>
      </c>
      <c r="AD126" s="4" t="inlineStr">
        <is>
          <t>Not started</t>
        </is>
      </c>
      <c r="AE126" s="4" t="inlineStr">
        <is>
          <t>mmb_clinic@code1.co.jp, tomizawanishi@code1.co.jp</t>
        </is>
      </c>
      <c r="AF126" s="4" t="inlineStr">
        <is>
          <t>https://www.hellowork.mhlw.go.jp/kensaku/GECA110010.do?screenId=GECA110010&amp;action=dispDetailBtn&amp;kJNo=1313019177161&amp;kJKbn=1</t>
        </is>
      </c>
      <c r="AG126" s="4" t="inlineStr">
        <is>
          <t>Likely: indexed on company domain</t>
        </is>
      </c>
    </row>
    <row r="127">
      <c r="A127" s="4" t="n">
        <v>123</v>
      </c>
      <c r="B127" s="4" t="inlineStr">
        <is>
          <t>Solve</t>
        </is>
      </c>
      <c r="C127" s="4" t="inlineStr">
        <is>
          <t>ソルブ</t>
        </is>
      </c>
      <c r="D127" s="4" t="inlineStr">
        <is>
          <t>Not retrieved (NTA lookup blocked in this session)</t>
        </is>
      </c>
      <c r="E127" s="4" t="inlineStr">
        <is>
          <t>東京都</t>
        </is>
      </c>
      <c r="F127" s="4" t="inlineStr">
        <is>
          <t>Kanto</t>
        </is>
      </c>
      <c r="G127" s="4" t="inlineStr">
        <is>
          <t>https://solve-net.com/</t>
        </is>
      </c>
      <c r="H127" s="4" t="inlineStr">
        <is>
          <t>No MAH found; device sales licence (高度管理医療機器等販売業) not confirmed</t>
        </is>
      </c>
      <c r="I127" s="4" t="inlineStr">
        <is>
          <t>Not identified in published sources</t>
        </is>
      </c>
      <c r="J127" s="4" t="inlineStr">
        <is>
          <t>General medical equipment (hospitals and clinics)</t>
        </is>
      </c>
      <c r="K127" s="4" t="inlineStr">
        <is>
          <t>東京都 (regional; branch network not confirmed)</t>
        </is>
      </c>
      <c r="L127" s="4" t="inlineStr">
        <is>
          <t>Not found</t>
        </is>
      </c>
      <c r="M127" s="4" t="inlineStr">
        <is>
          <t>Not identified</t>
        </is>
      </c>
      <c r="N127" s="4" t="inlineStr">
        <is>
          <t>Not identified</t>
        </is>
      </c>
      <c r="O127" s="4" t="inlineStr">
        <is>
          <t>ec-info@solve-net.com</t>
        </is>
      </c>
      <c r="P127" s="4" t="inlineStr">
        <is>
          <t>Not confirmed</t>
        </is>
      </c>
      <c r="Q127" s="4" t="inlineStr">
        <is>
          <t>Not identified</t>
        </is>
      </c>
      <c r="R127" s="5" t="inlineStr">
        <is>
          <t>Unverified</t>
        </is>
      </c>
      <c r="S127" s="4" t="n">
        <v>18</v>
      </c>
      <c r="T127" s="10" t="inlineStr">
        <is>
          <t>C</t>
        </is>
      </c>
      <c r="U127" s="4" t="inlineStr">
        <is>
          <t>Regional general medical equipment dealer with hospital and clinic accounts; candidate sub dealer under a national MAH partner.</t>
        </is>
      </c>
      <c r="V127" s="4" t="inlineStr">
        <is>
          <t>Introduce CHISON as a future line through a national MAH partner; ask about their hospital and clinic coverage, service engineers and openness to non Japanese brands.</t>
        </is>
      </c>
      <c r="W127" s="4" t="inlineStr">
        <is>
          <t>N (not identified)</t>
        </is>
      </c>
      <c r="X127" s="7" t="inlineStr">
        <is>
          <t>https://www.jahid.or.jp/pdf/meibo2025.pdf</t>
        </is>
      </c>
      <c r="Y127" s="4" t="inlineStr">
        <is>
          <t>SonoEye P3 plus SonoAir 30 for GP and clinic accounts</t>
        </is>
      </c>
      <c r="Z127" s="4" t="inlineStr">
        <is>
          <t>2, 2, 3, 3, 3, 2, 3</t>
        </is>
      </c>
      <c r="AA127" s="4" t="inlineStr">
        <is>
          <t>Not found</t>
        </is>
      </c>
      <c r="AB127" s="4" t="inlineStr">
        <is>
          <t>Directory or search listing; not opened (direct site access blocked)</t>
        </is>
      </c>
      <c r="AC127" s="4" t="inlineStr">
        <is>
          <t>No expired licence or ended distribution agreement found</t>
        </is>
      </c>
      <c r="AD127" s="4" t="inlineStr">
        <is>
          <t>Not started</t>
        </is>
      </c>
      <c r="AE127" s="4" t="inlineStr"/>
      <c r="AF127" s="4" t="inlineStr">
        <is>
          <t>https://www.drugstoreshow.jp/exibition/list/detail.php?ExhibitorAppID=01127</t>
        </is>
      </c>
      <c r="AG127" s="4" t="inlineStr">
        <is>
          <t>Likely: indexed on company domain</t>
        </is>
      </c>
    </row>
    <row r="128">
      <c r="A128" s="4" t="n">
        <v>124</v>
      </c>
      <c r="B128" s="4" t="inlineStr">
        <is>
          <t>Dynamedic Japan</t>
        </is>
      </c>
      <c r="C128" s="4" t="inlineStr">
        <is>
          <t>ダイナメディックジャパン</t>
        </is>
      </c>
      <c r="D128" s="4" t="inlineStr">
        <is>
          <t>Not retrieved (NTA lookup blocked in this session)</t>
        </is>
      </c>
      <c r="E128" s="4" t="inlineStr">
        <is>
          <t>東京都</t>
        </is>
      </c>
      <c r="F128" s="4" t="inlineStr">
        <is>
          <t>Kanto</t>
        </is>
      </c>
      <c r="G128" s="4" t="inlineStr">
        <is>
          <t>https://www.dynamedicjapan.com/</t>
        </is>
      </c>
      <c r="H128" s="4" t="inlineStr">
        <is>
          <t>No MAH found; device sales licence (高度管理医療機器等販売業) not confirmed</t>
        </is>
      </c>
      <c r="I128" s="4" t="inlineStr">
        <is>
          <t>Not identified in published sources</t>
        </is>
      </c>
      <c r="J128" s="4" t="inlineStr">
        <is>
          <t>General medical equipment (hospitals and clinics)</t>
        </is>
      </c>
      <c r="K128" s="4" t="inlineStr">
        <is>
          <t>東京都 (regional; branch network not confirmed)</t>
        </is>
      </c>
      <c r="L128" s="4" t="inlineStr">
        <is>
          <t>Not found</t>
        </is>
      </c>
      <c r="M128" s="4" t="inlineStr">
        <is>
          <t>Not identified</t>
        </is>
      </c>
      <c r="N128" s="4" t="inlineStr">
        <is>
          <t>Not identified</t>
        </is>
      </c>
      <c r="O128" s="4" t="inlineStr">
        <is>
          <t>Not published; use company inquiry form</t>
        </is>
      </c>
      <c r="P128" s="4" t="inlineStr">
        <is>
          <t>Not confirmed</t>
        </is>
      </c>
      <c r="Q128" s="4" t="inlineStr">
        <is>
          <t>Not identified</t>
        </is>
      </c>
      <c r="R128" s="5" t="inlineStr">
        <is>
          <t>Company inquiry only</t>
        </is>
      </c>
      <c r="S128" s="4" t="n">
        <v>18</v>
      </c>
      <c r="T128" s="10" t="inlineStr">
        <is>
          <t>C</t>
        </is>
      </c>
      <c r="U128" s="4" t="inlineStr">
        <is>
          <t>Regional general medical equipment dealer with hospital and clinic accounts; candidate sub dealer under a national MAH partner.</t>
        </is>
      </c>
      <c r="V128" s="4" t="inlineStr">
        <is>
          <t>Introduce CHISON as a future line through a national MAH partner; ask about their hospital and clinic coverage, service engineers and openness to non Japanese brands.</t>
        </is>
      </c>
      <c r="W128" s="4" t="inlineStr">
        <is>
          <t>N (not identified)</t>
        </is>
      </c>
      <c r="X128" s="7" t="inlineStr">
        <is>
          <t>https://www.jahid.or.jp/pdf/meibo2025.pdf</t>
        </is>
      </c>
      <c r="Y128" s="4" t="inlineStr">
        <is>
          <t>SonoEye P3 plus SonoAir 30 for GP and clinic accounts</t>
        </is>
      </c>
      <c r="Z128" s="4" t="inlineStr">
        <is>
          <t>2, 2, 3, 3, 3, 2, 3</t>
        </is>
      </c>
      <c r="AA128" s="4" t="inlineStr">
        <is>
          <t>Not found</t>
        </is>
      </c>
      <c r="AB128" s="4" t="inlineStr">
        <is>
          <t>Directory or search listing; not opened (direct site access blocked)</t>
        </is>
      </c>
      <c r="AC128" s="4" t="inlineStr">
        <is>
          <t>No expired licence or ended distribution agreement found</t>
        </is>
      </c>
      <c r="AD128" s="4" t="inlineStr">
        <is>
          <t>Not started</t>
        </is>
      </c>
      <c r="AE128" s="4" t="inlineStr"/>
      <c r="AF128" s="4" t="inlineStr"/>
      <c r="AG128" s="4" t="inlineStr">
        <is>
          <t>No email published; website has no contact page link, phone first</t>
        </is>
      </c>
    </row>
    <row r="129">
      <c r="A129" s="4" t="n">
        <v>125</v>
      </c>
      <c r="B129" s="4" t="inlineStr">
        <is>
          <t>Nishino Ika Kikai</t>
        </is>
      </c>
      <c r="C129" s="4" t="inlineStr">
        <is>
          <t>西野医科器械</t>
        </is>
      </c>
      <c r="D129" s="4" t="inlineStr">
        <is>
          <t>Not retrieved (NTA lookup blocked in this session)</t>
        </is>
      </c>
      <c r="E129" s="4" t="inlineStr">
        <is>
          <t>東京都</t>
        </is>
      </c>
      <c r="F129" s="4" t="inlineStr">
        <is>
          <t>Kanto</t>
        </is>
      </c>
      <c r="G129" s="4" t="inlineStr">
        <is>
          <t>http://nishino-ika.co.jp/</t>
        </is>
      </c>
      <c r="H129" s="4" t="inlineStr">
        <is>
          <t>No MAH found; device sales licence (高度管理医療機器等販売業) not confirmed</t>
        </is>
      </c>
      <c r="I129" s="4" t="inlineStr">
        <is>
          <t>Not identified in published sources</t>
        </is>
      </c>
      <c r="J129" s="4" t="inlineStr">
        <is>
          <t>General medical equipment (hospitals and clinics)</t>
        </is>
      </c>
      <c r="K129" s="4" t="inlineStr">
        <is>
          <t>東京都 (regional; branch network not confirmed)</t>
        </is>
      </c>
      <c r="L129" s="4" t="inlineStr">
        <is>
          <t>Not found</t>
        </is>
      </c>
      <c r="M129" s="4" t="inlineStr">
        <is>
          <t>Not identified</t>
        </is>
      </c>
      <c r="N129" s="4" t="inlineStr">
        <is>
          <t>Not identified</t>
        </is>
      </c>
      <c r="O129" s="4" t="inlineStr">
        <is>
          <t>Not published; use company inquiry form</t>
        </is>
      </c>
      <c r="P129" s="4" t="inlineStr">
        <is>
          <t>Not confirmed</t>
        </is>
      </c>
      <c r="Q129" s="4" t="inlineStr">
        <is>
          <t>Not identified</t>
        </is>
      </c>
      <c r="R129" s="5" t="inlineStr">
        <is>
          <t>Company inquiry only</t>
        </is>
      </c>
      <c r="S129" s="4" t="n">
        <v>18</v>
      </c>
      <c r="T129" s="10" t="inlineStr">
        <is>
          <t>C</t>
        </is>
      </c>
      <c r="U129" s="4" t="inlineStr">
        <is>
          <t>Regional general medical equipment dealer with hospital and clinic accounts; candidate sub dealer under a national MAH partner.</t>
        </is>
      </c>
      <c r="V129" s="4" t="inlineStr">
        <is>
          <t>Introduce CHISON as a future line through a national MAH partner; ask about their hospital and clinic coverage, service engineers and openness to non Japanese brands.</t>
        </is>
      </c>
      <c r="W129" s="4" t="inlineStr">
        <is>
          <t>N (not identified)</t>
        </is>
      </c>
      <c r="X129" s="7" t="inlineStr">
        <is>
          <t>https://www.jahid.or.jp/pdf/meibo2025.pdf</t>
        </is>
      </c>
      <c r="Y129" s="4" t="inlineStr">
        <is>
          <t>SonoEye P3 plus SonoAir 30 for GP and clinic accounts</t>
        </is>
      </c>
      <c r="Z129" s="4" t="inlineStr">
        <is>
          <t>2, 2, 3, 3, 3, 2, 3</t>
        </is>
      </c>
      <c r="AA129" s="4" t="inlineStr">
        <is>
          <t>Not found</t>
        </is>
      </c>
      <c r="AB129" s="4" t="inlineStr">
        <is>
          <t>Directory or search listing; not opened (direct site access blocked)</t>
        </is>
      </c>
      <c r="AC129" s="4" t="inlineStr">
        <is>
          <t>No expired licence or ended distribution agreement found</t>
        </is>
      </c>
      <c r="AD129" s="4" t="inlineStr">
        <is>
          <t>Not started</t>
        </is>
      </c>
      <c r="AE129" s="4" t="inlineStr"/>
      <c r="AF129" s="4" t="inlineStr"/>
      <c r="AG129" s="4" t="inlineStr">
        <is>
          <t>No email published; website has no contact page link, phone first</t>
        </is>
      </c>
    </row>
    <row r="130">
      <c r="A130" s="4" t="n">
        <v>126</v>
      </c>
      <c r="B130" s="4" t="inlineStr">
        <is>
          <t>Nisco</t>
        </is>
      </c>
      <c r="C130" s="4" t="inlineStr">
        <is>
          <t>ニスコ</t>
        </is>
      </c>
      <c r="D130" s="4" t="inlineStr">
        <is>
          <t>Not retrieved (NTA lookup blocked in this session)</t>
        </is>
      </c>
      <c r="E130" s="4" t="inlineStr">
        <is>
          <t>東京都</t>
        </is>
      </c>
      <c r="F130" s="4" t="inlineStr">
        <is>
          <t>Kanto</t>
        </is>
      </c>
      <c r="G130" s="4" t="inlineStr">
        <is>
          <t>https://www.nisco-net.co.jp/</t>
        </is>
      </c>
      <c r="H130" s="4" t="inlineStr">
        <is>
          <t>No MAH found; device sales licence (高度管理医療機器等販売業) not confirmed</t>
        </is>
      </c>
      <c r="I130" s="4" t="inlineStr">
        <is>
          <t>Not identified in published sources</t>
        </is>
      </c>
      <c r="J130" s="4" t="inlineStr">
        <is>
          <t>General medical equipment (hospitals and clinics)</t>
        </is>
      </c>
      <c r="K130" s="4" t="inlineStr">
        <is>
          <t>東京都 (regional; branch network not confirmed)</t>
        </is>
      </c>
      <c r="L130" s="4" t="inlineStr">
        <is>
          <t>Not found</t>
        </is>
      </c>
      <c r="M130" s="4" t="inlineStr">
        <is>
          <t>Not identified</t>
        </is>
      </c>
      <c r="N130" s="4" t="inlineStr">
        <is>
          <t>Not identified</t>
        </is>
      </c>
      <c r="O130" s="4" t="inlineStr">
        <is>
          <t>Not published; use contact form</t>
        </is>
      </c>
      <c r="P130" s="4" t="inlineStr">
        <is>
          <t>Not confirmed</t>
        </is>
      </c>
      <c r="Q130" s="4" t="inlineStr">
        <is>
          <t>Not identified</t>
        </is>
      </c>
      <c r="R130" s="5" t="inlineStr">
        <is>
          <t>Likely</t>
        </is>
      </c>
      <c r="S130" s="4" t="n">
        <v>18</v>
      </c>
      <c r="T130" s="10" t="inlineStr">
        <is>
          <t>C</t>
        </is>
      </c>
      <c r="U130" s="4" t="inlineStr">
        <is>
          <t>Regional general medical equipment dealer with hospital and clinic accounts; candidate sub dealer under a national MAH partner.</t>
        </is>
      </c>
      <c r="V130" s="4" t="inlineStr">
        <is>
          <t>Introduce CHISON as a future line through a national MAH partner; ask about their hospital and clinic coverage, service engineers and openness to non Japanese brands.</t>
        </is>
      </c>
      <c r="W130" s="4" t="inlineStr">
        <is>
          <t>N (not identified)</t>
        </is>
      </c>
      <c r="X130" s="7" t="inlineStr">
        <is>
          <t>https://www.jahid.or.jp/pdf/meibo2025.pdf</t>
        </is>
      </c>
      <c r="Y130" s="4" t="inlineStr">
        <is>
          <t>SonoEye P3 plus SonoAir 30 for GP and clinic accounts</t>
        </is>
      </c>
      <c r="Z130" s="4" t="inlineStr">
        <is>
          <t>2, 2, 3, 3, 3, 2, 3</t>
        </is>
      </c>
      <c r="AA130" s="4" t="inlineStr">
        <is>
          <t>Not found</t>
        </is>
      </c>
      <c r="AB130" s="4" t="inlineStr">
        <is>
          <t>Directory or search listing; not opened (direct site access blocked)</t>
        </is>
      </c>
      <c r="AC130" s="4" t="inlineStr">
        <is>
          <t>No expired licence or ended distribution agreement found</t>
        </is>
      </c>
      <c r="AD130" s="4" t="inlineStr">
        <is>
          <t>Not started</t>
        </is>
      </c>
      <c r="AE130" s="4" t="inlineStr"/>
      <c r="AF130" s="4" t="inlineStr">
        <is>
          <t>https://www.nisco-net.co.jp/contact.html</t>
        </is>
      </c>
      <c r="AG130" s="4" t="inlineStr">
        <is>
          <t>No email published; use the contact form (link in Email source)</t>
        </is>
      </c>
    </row>
    <row r="131">
      <c r="A131" s="4" t="n">
        <v>127</v>
      </c>
      <c r="B131" s="4" t="inlineStr">
        <is>
          <t>Medica Line</t>
        </is>
      </c>
      <c r="C131" s="4" t="inlineStr">
        <is>
          <t>メディカ・ライン</t>
        </is>
      </c>
      <c r="D131" s="4" t="inlineStr">
        <is>
          <t>Not retrieved (NTA lookup blocked in this session)</t>
        </is>
      </c>
      <c r="E131" s="4" t="inlineStr">
        <is>
          <t>東京都</t>
        </is>
      </c>
      <c r="F131" s="4" t="inlineStr">
        <is>
          <t>Kanto</t>
        </is>
      </c>
      <c r="G131" s="4" t="inlineStr">
        <is>
          <t>Not confirmed (company site not opened; network policy blocked direct access)</t>
        </is>
      </c>
      <c r="H131" s="4" t="inlineStr">
        <is>
          <t>No MAH found; device sales licence (高度管理医療機器等販売業) not confirmed</t>
        </is>
      </c>
      <c r="I131" s="4" t="inlineStr">
        <is>
          <t>Not identified in published sources</t>
        </is>
      </c>
      <c r="J131" s="4" t="inlineStr">
        <is>
          <t>General medical equipment (hospitals and clinics)</t>
        </is>
      </c>
      <c r="K131" s="4" t="inlineStr">
        <is>
          <t>東京都 (regional; branch network not confirmed)</t>
        </is>
      </c>
      <c r="L131" s="4" t="inlineStr">
        <is>
          <t>Not found</t>
        </is>
      </c>
      <c r="M131" s="4" t="inlineStr">
        <is>
          <t>Not identified</t>
        </is>
      </c>
      <c r="N131" s="4" t="inlineStr">
        <is>
          <t>Not identified</t>
        </is>
      </c>
      <c r="O131" s="4" t="inlineStr">
        <is>
          <t>Not published; use company inquiry form</t>
        </is>
      </c>
      <c r="P131" s="4" t="inlineStr">
        <is>
          <t>Not confirmed</t>
        </is>
      </c>
      <c r="Q131" s="4" t="inlineStr">
        <is>
          <t>Not identified</t>
        </is>
      </c>
      <c r="R131" s="5" t="inlineStr">
        <is>
          <t>Unverified</t>
        </is>
      </c>
      <c r="S131" s="4" t="n">
        <v>18</v>
      </c>
      <c r="T131" s="10" t="inlineStr">
        <is>
          <t>C</t>
        </is>
      </c>
      <c r="U131" s="4" t="inlineStr">
        <is>
          <t>Regional general medical equipment dealer with hospital and clinic accounts; candidate sub dealer under a national MAH partner.</t>
        </is>
      </c>
      <c r="V131" s="4" t="inlineStr">
        <is>
          <t>Introduce CHISON as a future line through a national MAH partner; ask about their hospital and clinic coverage, service engineers and openness to non Japanese brands.</t>
        </is>
      </c>
      <c r="W131" s="4" t="inlineStr">
        <is>
          <t>N (not identified)</t>
        </is>
      </c>
      <c r="X131" s="7" t="inlineStr">
        <is>
          <t>https://www.jahid.or.jp/pdf/meibo2025.pdf</t>
        </is>
      </c>
      <c r="Y131" s="4" t="inlineStr">
        <is>
          <t>SonoEye P3 plus SonoAir 30 for GP and clinic accounts</t>
        </is>
      </c>
      <c r="Z131" s="4" t="inlineStr">
        <is>
          <t>2, 2, 3, 3, 3, 2, 3</t>
        </is>
      </c>
      <c r="AA131" s="4" t="inlineStr">
        <is>
          <t>Not found</t>
        </is>
      </c>
      <c r="AB131" s="4" t="inlineStr">
        <is>
          <t>Directory or search listing; not opened (direct site access blocked)</t>
        </is>
      </c>
      <c r="AC131" s="4" t="inlineStr">
        <is>
          <t>No expired licence or ended distribution agreement found</t>
        </is>
      </c>
      <c r="AD131" s="4" t="inlineStr">
        <is>
          <t>Not started</t>
        </is>
      </c>
      <c r="AE131" s="4" t="inlineStr"/>
      <c r="AF131" s="4" t="inlineStr"/>
      <c r="AG131" s="4" t="inlineStr">
        <is>
          <t>No email published and no verified website found</t>
        </is>
      </c>
    </row>
    <row r="132">
      <c r="A132" s="4" t="n">
        <v>128</v>
      </c>
      <c r="B132" s="4" t="inlineStr">
        <is>
          <t>Fingal Link</t>
        </is>
      </c>
      <c r="C132" s="4" t="inlineStr">
        <is>
          <t>フィンガルリンク</t>
        </is>
      </c>
      <c r="D132" s="4" t="inlineStr">
        <is>
          <t>Not retrieved (NTA lookup blocked in this session)</t>
        </is>
      </c>
      <c r="E132" s="4" t="inlineStr">
        <is>
          <t>東京都</t>
        </is>
      </c>
      <c r="F132" s="4" t="inlineStr">
        <is>
          <t>Kanto</t>
        </is>
      </c>
      <c r="G132" s="4" t="inlineStr">
        <is>
          <t>https://www.finggal-link.com/</t>
        </is>
      </c>
      <c r="H132" s="4" t="inlineStr">
        <is>
          <t>No MAH found; device sales licence (高度管理医療機器等販売業) not confirmed</t>
        </is>
      </c>
      <c r="I132" s="4" t="inlineStr">
        <is>
          <t>Not identified in published sources</t>
        </is>
      </c>
      <c r="J132" s="4" t="inlineStr">
        <is>
          <t>General medical equipment (hospitals and clinics)</t>
        </is>
      </c>
      <c r="K132" s="4" t="inlineStr">
        <is>
          <t>東京都 (regional; branch network not confirmed)</t>
        </is>
      </c>
      <c r="L132" s="4" t="inlineStr">
        <is>
          <t>Not found</t>
        </is>
      </c>
      <c r="M132" s="4" t="inlineStr">
        <is>
          <t>Not identified</t>
        </is>
      </c>
      <c r="N132" s="4" t="inlineStr">
        <is>
          <t>Not identified</t>
        </is>
      </c>
      <c r="O132" s="4" t="inlineStr">
        <is>
          <t>info@finggal-link.com</t>
        </is>
      </c>
      <c r="P132" s="4" t="inlineStr">
        <is>
          <t>Not confirmed</t>
        </is>
      </c>
      <c r="Q132" s="4" t="inlineStr">
        <is>
          <t>Not identified</t>
        </is>
      </c>
      <c r="R132" s="5" t="inlineStr">
        <is>
          <t>Unverified</t>
        </is>
      </c>
      <c r="S132" s="4" t="n">
        <v>18</v>
      </c>
      <c r="T132" s="10" t="inlineStr">
        <is>
          <t>C</t>
        </is>
      </c>
      <c r="U132" s="4" t="inlineStr">
        <is>
          <t>Regional general medical equipment dealer with hospital and clinic accounts; candidate sub dealer under a national MAH partner.</t>
        </is>
      </c>
      <c r="V132" s="4" t="inlineStr">
        <is>
          <t>Introduce CHISON as a future line through a national MAH partner; ask about their hospital and clinic coverage, service engineers and openness to non Japanese brands.</t>
        </is>
      </c>
      <c r="W132" s="4" t="inlineStr">
        <is>
          <t>N (not identified)</t>
        </is>
      </c>
      <c r="X132" s="7" t="inlineStr">
        <is>
          <t>https://www2.jpx.co.jp/disc/26670/140120190403400264.pdf</t>
        </is>
      </c>
      <c r="Y132" s="4" t="inlineStr">
        <is>
          <t>SonoEye P3 plus SonoAir 30 for GP and clinic accounts</t>
        </is>
      </c>
      <c r="Z132" s="4" t="inlineStr">
        <is>
          <t>2, 2, 3, 3, 3, 2, 3</t>
        </is>
      </c>
      <c r="AA132" s="4" t="inlineStr">
        <is>
          <t>Not found</t>
        </is>
      </c>
      <c r="AB132" s="4" t="inlineStr">
        <is>
          <t>Directory or search listing; not opened (direct site access blocked)</t>
        </is>
      </c>
      <c r="AC132" s="4" t="inlineStr">
        <is>
          <t>No expired licence or ended distribution agreement found</t>
        </is>
      </c>
      <c r="AD132" s="4" t="inlineStr">
        <is>
          <t>Not started</t>
        </is>
      </c>
      <c r="AE132" s="4" t="inlineStr">
        <is>
          <t>sapporo@finggal-link.com, osaka@finggal-link.com, bissupport@finggal-link.com, fukuoka@finggal-link.com, hanamaki@finggal-link.com</t>
        </is>
      </c>
      <c r="AF132" s="4" t="inlineStr">
        <is>
          <t>https://www.finggal-link.com/company/company_base.html</t>
        </is>
      </c>
      <c r="AG132" s="4" t="inlineStr">
        <is>
          <t>Verified: published on company website</t>
        </is>
      </c>
    </row>
    <row r="133">
      <c r="A133" s="4" t="n">
        <v>129</v>
      </c>
      <c r="B133" s="4" t="inlineStr">
        <is>
          <t>Ito Ika Kikai</t>
        </is>
      </c>
      <c r="C133" s="4" t="inlineStr">
        <is>
          <t>イトー医科器械</t>
        </is>
      </c>
      <c r="D133" s="4" t="inlineStr">
        <is>
          <t>Not retrieved (NTA lookup blocked in this session)</t>
        </is>
      </c>
      <c r="E133" s="4" t="inlineStr">
        <is>
          <t>東京都</t>
        </is>
      </c>
      <c r="F133" s="4" t="inlineStr">
        <is>
          <t>Kanto</t>
        </is>
      </c>
      <c r="G133" s="4" t="inlineStr">
        <is>
          <t>https://ito-ika.com/</t>
        </is>
      </c>
      <c r="H133" s="4" t="inlineStr">
        <is>
          <t>No MAH found; device sales licence (高度管理医療機器等販売業) not confirmed</t>
        </is>
      </c>
      <c r="I133" s="4" t="inlineStr">
        <is>
          <t>Not identified in published sources</t>
        </is>
      </c>
      <c r="J133" s="4" t="inlineStr">
        <is>
          <t>General medical equipment (hospitals and clinics)</t>
        </is>
      </c>
      <c r="K133" s="4" t="inlineStr">
        <is>
          <t>東京都; Tokyo</t>
        </is>
      </c>
      <c r="L133" s="4" t="inlineStr">
        <is>
          <t>Not found</t>
        </is>
      </c>
      <c r="M133" s="4" t="inlineStr">
        <is>
          <t>Not identified</t>
        </is>
      </c>
      <c r="N133" s="4" t="inlineStr">
        <is>
          <t>Not identified</t>
        </is>
      </c>
      <c r="O133" s="4" t="inlineStr">
        <is>
          <t>Not published; use contact form</t>
        </is>
      </c>
      <c r="P133" s="4" t="inlineStr">
        <is>
          <t>Not confirmed</t>
        </is>
      </c>
      <c r="Q133" s="4" t="inlineStr">
        <is>
          <t>Not identified</t>
        </is>
      </c>
      <c r="R133" s="5" t="inlineStr">
        <is>
          <t>Likely</t>
        </is>
      </c>
      <c r="S133" s="4" t="n">
        <v>18</v>
      </c>
      <c r="T133" s="10" t="inlineStr">
        <is>
          <t>C</t>
        </is>
      </c>
      <c r="U133" s="4" t="inlineStr">
        <is>
          <t>Regional general medical equipment dealer with hospital and clinic accounts; candidate sub dealer under a national MAH partner.</t>
        </is>
      </c>
      <c r="V133" s="4" t="inlineStr">
        <is>
          <t>Introduce CHISON as a future line through a national MAH partner; ask about their hospital and clinic coverage, service engineers and openness to non Japanese brands.</t>
        </is>
      </c>
      <c r="W133" s="4" t="inlineStr">
        <is>
          <t>N (not identified)</t>
        </is>
      </c>
      <c r="X133" s="7" t="inlineStr">
        <is>
          <t>https://baseconnect.in/companies/keyword/a9b4f8d9-510e-403e-859d-c2d2fa9778be</t>
        </is>
      </c>
      <c r="Y133" s="4" t="inlineStr">
        <is>
          <t>SonoEye P3 plus SonoAir 30 for GP and clinic accounts</t>
        </is>
      </c>
      <c r="Z133" s="4" t="inlineStr">
        <is>
          <t>2, 2, 3, 3, 3, 2, 3</t>
        </is>
      </c>
      <c r="AA133" s="4" t="inlineStr">
        <is>
          <t>Not found</t>
        </is>
      </c>
      <c r="AB133" s="4" t="inlineStr">
        <is>
          <t>Directory or search listing; not opened (direct site access blocked)</t>
        </is>
      </c>
      <c r="AC133" s="4" t="inlineStr">
        <is>
          <t>No expired licence or ended distribution agreement found</t>
        </is>
      </c>
      <c r="AD133" s="4" t="inlineStr">
        <is>
          <t>Not started</t>
        </is>
      </c>
      <c r="AE133" s="4" t="inlineStr"/>
      <c r="AF133" s="4" t="inlineStr">
        <is>
          <t>https://ito-ika.com/contact/</t>
        </is>
      </c>
      <c r="AG133" s="4" t="inlineStr">
        <is>
          <t>No email published; use the contact form (link in Email source)</t>
        </is>
      </c>
    </row>
    <row r="134">
      <c r="A134" s="4" t="n">
        <v>130</v>
      </c>
      <c r="B134" s="4" t="inlineStr">
        <is>
          <t>J Tec</t>
        </is>
      </c>
      <c r="C134" s="4" t="inlineStr">
        <is>
          <t>ジェイテック</t>
        </is>
      </c>
      <c r="D134" s="4" t="inlineStr">
        <is>
          <t>Not retrieved (NTA lookup blocked in this session)</t>
        </is>
      </c>
      <c r="E134" s="4" t="inlineStr">
        <is>
          <t>栃木県</t>
        </is>
      </c>
      <c r="F134" s="4" t="inlineStr">
        <is>
          <t>Kanto</t>
        </is>
      </c>
      <c r="G134" s="4" t="inlineStr">
        <is>
          <t>http://www.j-tec-co.com/</t>
        </is>
      </c>
      <c r="H134" s="4" t="inlineStr">
        <is>
          <t>No MAH found; device sales licence (高度管理医療機器等販売業) not confirmed</t>
        </is>
      </c>
      <c r="I134" s="4" t="inlineStr">
        <is>
          <t>Not identified in published sources</t>
        </is>
      </c>
      <c r="J134" s="4" t="inlineStr">
        <is>
          <t>Cardiology, Anaesthesia, ICU and respiratory</t>
        </is>
      </c>
      <c r="K134" s="4" t="inlineStr">
        <is>
          <t>栃木県 (regional; branch network not confirmed)</t>
        </is>
      </c>
      <c r="L134" s="4" t="inlineStr">
        <is>
          <t>Not found</t>
        </is>
      </c>
      <c r="M134" s="4" t="inlineStr">
        <is>
          <t>Not identified</t>
        </is>
      </c>
      <c r="N134" s="4" t="inlineStr">
        <is>
          <t>Not identified</t>
        </is>
      </c>
      <c r="O134" s="4" t="inlineStr">
        <is>
          <t>Not published; use company inquiry form</t>
        </is>
      </c>
      <c r="P134" s="4" t="inlineStr">
        <is>
          <t>Not confirmed</t>
        </is>
      </c>
      <c r="Q134" s="4" t="inlineStr">
        <is>
          <t>Not identified</t>
        </is>
      </c>
      <c r="R134" s="5" t="inlineStr">
        <is>
          <t>Company inquiry only</t>
        </is>
      </c>
      <c r="S134" s="4" t="n">
        <v>18</v>
      </c>
      <c r="T134" s="10" t="inlineStr">
        <is>
          <t>C</t>
        </is>
      </c>
      <c r="U134" s="4" t="inlineStr">
        <is>
          <t>Adjacent hospital department line (no ultrasound found), which is the best recruit profile for a point of care line.</t>
        </is>
      </c>
      <c r="V134" s="4" t="inlineStr">
        <is>
          <t>Introduce CHISON as a future line through a national MAH partner; ask about their hospital and clinic coverage, service engineers and openness to non Japanese brands.</t>
        </is>
      </c>
      <c r="W134" s="4" t="inlineStr">
        <is>
          <t>N (not identified)</t>
        </is>
      </c>
      <c r="X134" s="7" t="inlineStr">
        <is>
          <t>https://baseconnect.in/companies/prefecture/5d54c878-c20d-4f57-bb73-e021f2210d6c/keyword/14f3dcec-9cd5-4be5-84e1-ddccb7bd228c</t>
        </is>
      </c>
      <c r="Y134" s="4" t="inlineStr">
        <is>
          <t>CBit 6 cart plus SonoEye P5 pocket echo</t>
        </is>
      </c>
      <c r="Z134" s="4" t="inlineStr">
        <is>
          <t>2, 3, 3, 2, 3, 2, 3</t>
        </is>
      </c>
      <c r="AA134" s="4" t="inlineStr">
        <is>
          <t>Not found</t>
        </is>
      </c>
      <c r="AB134" s="4" t="inlineStr">
        <is>
          <t>Directory or search listing; not opened (direct site access blocked)</t>
        </is>
      </c>
      <c r="AC134" s="4" t="inlineStr">
        <is>
          <t>No expired licence or ended distribution agreement found</t>
        </is>
      </c>
      <c r="AD134" s="4" t="inlineStr">
        <is>
          <t>Not started</t>
        </is>
      </c>
      <c r="AE134" s="4" t="inlineStr"/>
      <c r="AF134" s="4" t="inlineStr"/>
      <c r="AG134" s="4" t="inlineStr">
        <is>
          <t>No email published; website has no contact page link, phone first</t>
        </is>
      </c>
    </row>
    <row r="135">
      <c r="A135" s="4" t="n">
        <v>131</v>
      </c>
      <c r="B135" s="4" t="inlineStr">
        <is>
          <t>Nippon Senpaku Yakuhin</t>
        </is>
      </c>
      <c r="C135" s="4" t="inlineStr">
        <is>
          <t>日本船舶薬品</t>
        </is>
      </c>
      <c r="D135" s="4" t="inlineStr">
        <is>
          <t>Not retrieved (NTA lookup blocked in this session)</t>
        </is>
      </c>
      <c r="E135" s="4" t="inlineStr">
        <is>
          <t>神奈川県</t>
        </is>
      </c>
      <c r="F135" s="4" t="inlineStr">
        <is>
          <t>Kanto</t>
        </is>
      </c>
      <c r="G135" s="4" t="inlineStr">
        <is>
          <t>https://e-nsy.jp/</t>
        </is>
      </c>
      <c r="H135" s="4" t="inlineStr">
        <is>
          <t>No MAH found; device sales licence (高度管理医療機器等販売業) not confirmed</t>
        </is>
      </c>
      <c r="I135" s="4" t="inlineStr">
        <is>
          <t>Not identified in published sources</t>
        </is>
      </c>
      <c r="J135" s="4" t="inlineStr">
        <is>
          <t>Emergency and disaster</t>
        </is>
      </c>
      <c r="K135" s="4" t="inlineStr">
        <is>
          <t>神奈川県 (regional; branch network not confirmed)</t>
        </is>
      </c>
      <c r="L135" s="4" t="inlineStr">
        <is>
          <t>Not found</t>
        </is>
      </c>
      <c r="M135" s="4" t="inlineStr">
        <is>
          <t>Not identified</t>
        </is>
      </c>
      <c r="N135" s="4" t="inlineStr">
        <is>
          <t>Not identified</t>
        </is>
      </c>
      <c r="O135" s="4" t="inlineStr">
        <is>
          <t>Not published; use contact form</t>
        </is>
      </c>
      <c r="P135" s="4" t="inlineStr">
        <is>
          <t>Not confirmed</t>
        </is>
      </c>
      <c r="Q135" s="4" t="inlineStr">
        <is>
          <t>Not identified</t>
        </is>
      </c>
      <c r="R135" s="5" t="inlineStr">
        <is>
          <t>Likely</t>
        </is>
      </c>
      <c r="S135" s="4" t="n">
        <v>18</v>
      </c>
      <c r="T135" s="10" t="inlineStr">
        <is>
          <t>C</t>
        </is>
      </c>
      <c r="U135" s="4" t="inlineStr">
        <is>
          <t>Adjacent hospital department line (no ultrasound found), which is the best recruit profile for a point of care line.</t>
        </is>
      </c>
      <c r="V135" s="4" t="inlineStr">
        <is>
          <t>Introduce CHISON as a future line through a national MAH partner; ask about their hospital and clinic coverage, service engineers and openness to non Japanese brands.</t>
        </is>
      </c>
      <c r="W135" s="4" t="inlineStr">
        <is>
          <t>N (not identified)</t>
        </is>
      </c>
      <c r="X135" s="7" t="inlineStr">
        <is>
          <t>https://baseconnect.in/companies/prefecture/9c059a11-e5ef-470d-a270-47022ad1f973/category/e8b4fb2e-8cf9-473d-be34-3f729e65fdf3</t>
        </is>
      </c>
      <c r="Y135" s="4" t="inlineStr">
        <is>
          <t>SonoEye P3 for FAST, lung and vascular access (POCUS)</t>
        </is>
      </c>
      <c r="Z135" s="4" t="inlineStr">
        <is>
          <t>2, 3, 3, 2, 3, 2, 3</t>
        </is>
      </c>
      <c r="AA135" s="4" t="inlineStr">
        <is>
          <t>Not found</t>
        </is>
      </c>
      <c r="AB135" s="4" t="inlineStr">
        <is>
          <t>Directory or search listing; not opened (direct site access blocked)</t>
        </is>
      </c>
      <c r="AC135" s="4" t="inlineStr">
        <is>
          <t>No expired licence or ended distribution agreement found</t>
        </is>
      </c>
      <c r="AD135" s="4" t="inlineStr">
        <is>
          <t>Not started</t>
        </is>
      </c>
      <c r="AE135" s="4" t="inlineStr"/>
      <c r="AF135" s="4" t="inlineStr">
        <is>
          <t>https://e-nsy.jp/pages/3/</t>
        </is>
      </c>
      <c r="AG135" s="4" t="inlineStr">
        <is>
          <t>No email published; use the contact form (link in Email source)</t>
        </is>
      </c>
    </row>
    <row r="136">
      <c r="A136" s="4" t="n">
        <v>132</v>
      </c>
      <c r="B136" s="4" t="inlineStr">
        <is>
          <t>Takabayashi Iryo Kikaiten</t>
        </is>
      </c>
      <c r="C136" s="4" t="inlineStr">
        <is>
          <t>高林医療器械店</t>
        </is>
      </c>
      <c r="D136" s="4" t="inlineStr">
        <is>
          <t>Not retrieved (NTA lookup blocked in this session)</t>
        </is>
      </c>
      <c r="E136" s="4" t="inlineStr">
        <is>
          <t>群馬県</t>
        </is>
      </c>
      <c r="F136" s="4" t="inlineStr">
        <is>
          <t>Kanto</t>
        </is>
      </c>
      <c r="G136" s="4" t="inlineStr">
        <is>
          <t>Not confirmed (company site not opened; network policy blocked direct access)</t>
        </is>
      </c>
      <c r="H136" s="4" t="inlineStr">
        <is>
          <t>No MAH found; device sales licence (高度管理医療機器等販売業) not confirmed</t>
        </is>
      </c>
      <c r="I136" s="4" t="inlineStr">
        <is>
          <t>Not identified in published sources</t>
        </is>
      </c>
      <c r="J136" s="4" t="inlineStr">
        <is>
          <t>General medical equipment (hospitals and clinics)</t>
        </is>
      </c>
      <c r="K136" s="4" t="inlineStr">
        <is>
          <t>群馬県 (regional; branch network not confirmed)</t>
        </is>
      </c>
      <c r="L136" s="4" t="inlineStr">
        <is>
          <t>Not found</t>
        </is>
      </c>
      <c r="M136" s="4" t="inlineStr">
        <is>
          <t>Not identified</t>
        </is>
      </c>
      <c r="N136" s="4" t="inlineStr">
        <is>
          <t>Not identified</t>
        </is>
      </c>
      <c r="O136" s="4" t="inlineStr">
        <is>
          <t>Not published; use company inquiry form</t>
        </is>
      </c>
      <c r="P136" s="4" t="inlineStr">
        <is>
          <t>Not confirmed</t>
        </is>
      </c>
      <c r="Q136" s="4" t="inlineStr">
        <is>
          <t>Not identified</t>
        </is>
      </c>
      <c r="R136" s="5" t="inlineStr">
        <is>
          <t>Unverified</t>
        </is>
      </c>
      <c r="S136" s="4" t="n">
        <v>18</v>
      </c>
      <c r="T136" s="10" t="inlineStr">
        <is>
          <t>C</t>
        </is>
      </c>
      <c r="U136" s="4" t="inlineStr">
        <is>
          <t>Regional general medical equipment dealer with hospital and clinic accounts; candidate sub dealer under a national MAH partner.</t>
        </is>
      </c>
      <c r="V136" s="4" t="inlineStr">
        <is>
          <t>Introduce CHISON as a future line through a national MAH partner; ask about their hospital and clinic coverage, service engineers and openness to non Japanese brands.</t>
        </is>
      </c>
      <c r="W136" s="4" t="inlineStr">
        <is>
          <t>N (not identified)</t>
        </is>
      </c>
      <c r="X136" s="7" t="inlineStr">
        <is>
          <t>https://baseconnect.in/companies/prefecture/c59cfe5b-871c-44d1-8594-96d4a5882e4b/keyword/89941b4e-2dd1-4848-8957-48af280a31e0</t>
        </is>
      </c>
      <c r="Y136" s="4" t="inlineStr">
        <is>
          <t>SonoEye P3 plus SonoAir 30 for GP and clinic accounts</t>
        </is>
      </c>
      <c r="Z136" s="4" t="inlineStr">
        <is>
          <t>2, 2, 3, 3, 3, 2, 3</t>
        </is>
      </c>
      <c r="AA136" s="4" t="inlineStr">
        <is>
          <t>Not found</t>
        </is>
      </c>
      <c r="AB136" s="4" t="inlineStr">
        <is>
          <t>Directory or search listing; not opened (direct site access blocked)</t>
        </is>
      </c>
      <c r="AC136" s="4" t="inlineStr">
        <is>
          <t>No expired licence or ended distribution agreement found</t>
        </is>
      </c>
      <c r="AD136" s="4" t="inlineStr">
        <is>
          <t>Not started</t>
        </is>
      </c>
      <c r="AE136" s="4" t="inlineStr"/>
      <c r="AF136" s="4" t="inlineStr"/>
      <c r="AG136" s="4" t="inlineStr">
        <is>
          <t>No email published and no verified website found</t>
        </is>
      </c>
    </row>
    <row r="137">
      <c r="A137" s="4" t="n">
        <v>133</v>
      </c>
      <c r="B137" s="4" t="inlineStr">
        <is>
          <t>IDK</t>
        </is>
      </c>
      <c r="C137" s="4" t="inlineStr">
        <is>
          <t>IDK</t>
        </is>
      </c>
      <c r="D137" s="4" t="inlineStr">
        <is>
          <t>Not retrieved (NTA lookup blocked in this session)</t>
        </is>
      </c>
      <c r="E137" s="4" t="inlineStr">
        <is>
          <t>茨城県</t>
        </is>
      </c>
      <c r="F137" s="4" t="inlineStr">
        <is>
          <t>Kanto</t>
        </is>
      </c>
      <c r="G137" s="4" t="inlineStr">
        <is>
          <t>https://idkcorp.co.jp/</t>
        </is>
      </c>
      <c r="H137" s="4" t="inlineStr">
        <is>
          <t>No MAH found; device sales licence (高度管理医療機器等販売業) not confirmed</t>
        </is>
      </c>
      <c r="I137" s="4" t="inlineStr">
        <is>
          <t>Not identified in published sources</t>
        </is>
      </c>
      <c r="J137" s="4" t="inlineStr">
        <is>
          <t>General medical equipment (hospitals and clinics)</t>
        </is>
      </c>
      <c r="K137" s="4" t="inlineStr">
        <is>
          <t>茨城県 (regional; branch network not confirmed)</t>
        </is>
      </c>
      <c r="L137" s="4" t="inlineStr">
        <is>
          <t>Not found</t>
        </is>
      </c>
      <c r="M137" s="4" t="inlineStr">
        <is>
          <t>Not identified</t>
        </is>
      </c>
      <c r="N137" s="4" t="inlineStr">
        <is>
          <t>Not identified</t>
        </is>
      </c>
      <c r="O137" s="4" t="inlineStr">
        <is>
          <t>Not published; use contact form</t>
        </is>
      </c>
      <c r="P137" s="4" t="inlineStr">
        <is>
          <t>Not confirmed</t>
        </is>
      </c>
      <c r="Q137" s="4" t="inlineStr">
        <is>
          <t>Not identified</t>
        </is>
      </c>
      <c r="R137" s="5" t="inlineStr">
        <is>
          <t>Likely</t>
        </is>
      </c>
      <c r="S137" s="4" t="n">
        <v>18</v>
      </c>
      <c r="T137" s="10" t="inlineStr">
        <is>
          <t>C</t>
        </is>
      </c>
      <c r="U137" s="4" t="inlineStr">
        <is>
          <t>Regional general medical equipment dealer with hospital and clinic accounts; candidate sub dealer under a national MAH partner.</t>
        </is>
      </c>
      <c r="V137" s="4" t="inlineStr">
        <is>
          <t>Introduce CHISON as a future line through a national MAH partner; ask about their hospital and clinic coverage, service engineers and openness to non Japanese brands.</t>
        </is>
      </c>
      <c r="W137" s="4" t="inlineStr">
        <is>
          <t>N (not identified)</t>
        </is>
      </c>
      <c r="X137" s="7" t="inlineStr">
        <is>
          <t>https://baseconnect.in/companies/prefecture/d8203dea-91e2-41c3-a785-b80aa997273c/category/b2358a1c-c4c6-46f4-a0b1-dee3a1b30a0b</t>
        </is>
      </c>
      <c r="Y137" s="4" t="inlineStr">
        <is>
          <t>SonoEye P3 plus SonoAir 30 for GP and clinic accounts</t>
        </is>
      </c>
      <c r="Z137" s="4" t="inlineStr">
        <is>
          <t>2, 2, 3, 3, 3, 2, 3</t>
        </is>
      </c>
      <c r="AA137" s="4" t="inlineStr">
        <is>
          <t>Not found</t>
        </is>
      </c>
      <c r="AB137" s="4" t="inlineStr">
        <is>
          <t>Directory or search listing; not opened (direct site access blocked)</t>
        </is>
      </c>
      <c r="AC137" s="4" t="inlineStr">
        <is>
          <t>No expired licence or ended distribution agreement found</t>
        </is>
      </c>
      <c r="AD137" s="4" t="inlineStr">
        <is>
          <t>Not started</t>
        </is>
      </c>
      <c r="AE137" s="4" t="inlineStr"/>
      <c r="AF137" s="4" t="inlineStr">
        <is>
          <t>https://idkcorp.co.jp/contact/</t>
        </is>
      </c>
      <c r="AG137" s="4" t="inlineStr">
        <is>
          <t>No email published; use the contact form (link in Email source)</t>
        </is>
      </c>
    </row>
    <row r="138">
      <c r="A138" s="4" t="n">
        <v>134</v>
      </c>
      <c r="B138" s="4" t="inlineStr">
        <is>
          <t>Central Medical (Tsuchiura)</t>
        </is>
      </c>
      <c r="C138" s="4" t="inlineStr">
        <is>
          <t>セントラルメディカル茨城</t>
        </is>
      </c>
      <c r="D138" s="4" t="inlineStr">
        <is>
          <t>Not retrieved (NTA lookup blocked in this session)</t>
        </is>
      </c>
      <c r="E138" s="4" t="inlineStr">
        <is>
          <t>茨城県</t>
        </is>
      </c>
      <c r="F138" s="4" t="inlineStr">
        <is>
          <t>Kanto</t>
        </is>
      </c>
      <c r="G138" s="4" t="inlineStr">
        <is>
          <t>Not confirmed (company site not opened; network policy blocked direct access)</t>
        </is>
      </c>
      <c r="H138" s="4" t="inlineStr">
        <is>
          <t>No MAH found; device sales licence (高度管理医療機器等販売業) not confirmed</t>
        </is>
      </c>
      <c r="I138" s="4" t="inlineStr">
        <is>
          <t>Not identified in published sources</t>
        </is>
      </c>
      <c r="J138" s="4" t="inlineStr">
        <is>
          <t>Anaesthesia, ICU and respiratory</t>
        </is>
      </c>
      <c r="K138" s="4" t="inlineStr">
        <is>
          <t>茨城県 (regional; branch network not confirmed)</t>
        </is>
      </c>
      <c r="L138" s="4" t="inlineStr">
        <is>
          <t>Not found</t>
        </is>
      </c>
      <c r="M138" s="4" t="inlineStr">
        <is>
          <t>Not identified</t>
        </is>
      </c>
      <c r="N138" s="4" t="inlineStr">
        <is>
          <t>Not identified</t>
        </is>
      </c>
      <c r="O138" s="4" t="inlineStr">
        <is>
          <t>Not published; use company inquiry form</t>
        </is>
      </c>
      <c r="P138" s="4" t="inlineStr">
        <is>
          <t>Not confirmed</t>
        </is>
      </c>
      <c r="Q138" s="4" t="inlineStr">
        <is>
          <t>Not identified</t>
        </is>
      </c>
      <c r="R138" s="5" t="inlineStr">
        <is>
          <t>Unverified</t>
        </is>
      </c>
      <c r="S138" s="4" t="n">
        <v>18</v>
      </c>
      <c r="T138" s="10" t="inlineStr">
        <is>
          <t>C</t>
        </is>
      </c>
      <c r="U138" s="4" t="inlineStr">
        <is>
          <t>Adjacent hospital department line (no ultrasound found), which is the best recruit profile for a point of care line.</t>
        </is>
      </c>
      <c r="V138" s="4" t="inlineStr">
        <is>
          <t>Introduce CHISON as a future line through a national MAH partner; ask about their hospital and clinic coverage, service engineers and openness to non Japanese brands.</t>
        </is>
      </c>
      <c r="W138" s="4" t="inlineStr">
        <is>
          <t>N (not identified)</t>
        </is>
      </c>
      <c r="X138" s="7" t="inlineStr">
        <is>
          <t>https://baseconnect.in/companies/prefecture/d8203dea-91e2-41c3-a785-b80aa997273c/category/b2358a1c-c4c6-46f4-a0b1-dee3a1b30a0b</t>
        </is>
      </c>
      <c r="Y138" s="4" t="inlineStr">
        <is>
          <t>SonoEye P3 for FAST, lung and vascular access (POCUS)</t>
        </is>
      </c>
      <c r="Z138" s="4" t="inlineStr">
        <is>
          <t>2, 3, 3, 2, 3, 2, 3</t>
        </is>
      </c>
      <c r="AA138" s="4" t="inlineStr">
        <is>
          <t>Not found</t>
        </is>
      </c>
      <c r="AB138" s="4" t="inlineStr">
        <is>
          <t>Directory or search listing; not opened (direct site access blocked)</t>
        </is>
      </c>
      <c r="AC138" s="4" t="inlineStr">
        <is>
          <t>No expired licence or ended distribution agreement found</t>
        </is>
      </c>
      <c r="AD138" s="4" t="inlineStr">
        <is>
          <t>Not started</t>
        </is>
      </c>
      <c r="AE138" s="4" t="inlineStr"/>
      <c r="AF138" s="4" t="inlineStr"/>
      <c r="AG138" s="4" t="inlineStr">
        <is>
          <t>No email published and no verified website found</t>
        </is>
      </c>
    </row>
    <row r="139">
      <c r="A139" s="4" t="n">
        <v>135</v>
      </c>
      <c r="B139" s="4" t="inlineStr">
        <is>
          <t>Niizuma Medical</t>
        </is>
      </c>
      <c r="C139" s="4" t="inlineStr">
        <is>
          <t>新妻メディカル</t>
        </is>
      </c>
      <c r="D139" s="4" t="inlineStr">
        <is>
          <t>Not retrieved (NTA lookup blocked in this session)</t>
        </is>
      </c>
      <c r="E139" s="4" t="inlineStr">
        <is>
          <t>茨城県</t>
        </is>
      </c>
      <c r="F139" s="4" t="inlineStr">
        <is>
          <t>Kanto</t>
        </is>
      </c>
      <c r="G139" s="4" t="inlineStr">
        <is>
          <t>https://niizuma-medical.com/</t>
        </is>
      </c>
      <c r="H139" s="4" t="inlineStr">
        <is>
          <t>No MAH found; device sales licence (高度管理医療機器等販売業) not confirmed</t>
        </is>
      </c>
      <c r="I139" s="4" t="inlineStr">
        <is>
          <t>Not identified in published sources</t>
        </is>
      </c>
      <c r="J139" s="4" t="inlineStr">
        <is>
          <t>Pharma distribution</t>
        </is>
      </c>
      <c r="K139" s="4" t="inlineStr">
        <is>
          <t>茨城県 (regional; branch network not confirmed)</t>
        </is>
      </c>
      <c r="L139" s="4" t="inlineStr">
        <is>
          <t>Not found</t>
        </is>
      </c>
      <c r="M139" s="4" t="inlineStr">
        <is>
          <t>Not identified</t>
        </is>
      </c>
      <c r="N139" s="4" t="inlineStr">
        <is>
          <t>Not identified</t>
        </is>
      </c>
      <c r="O139" s="4" t="inlineStr">
        <is>
          <t>Not published; use contact form</t>
        </is>
      </c>
      <c r="P139" s="4" t="inlineStr">
        <is>
          <t>Not confirmed</t>
        </is>
      </c>
      <c r="Q139" s="4" t="inlineStr">
        <is>
          <t>Not identified</t>
        </is>
      </c>
      <c r="R139" s="5" t="inlineStr">
        <is>
          <t>Likely</t>
        </is>
      </c>
      <c r="S139" s="4" t="n">
        <v>18</v>
      </c>
      <c r="T139" s="10" t="inlineStr">
        <is>
          <t>C</t>
        </is>
      </c>
      <c r="U139" s="4" t="inlineStr">
        <is>
          <t>Regional general medical equipment dealer with hospital and clinic accounts; candidate sub dealer under a national MAH partner.</t>
        </is>
      </c>
      <c r="V139" s="4" t="inlineStr">
        <is>
          <t>Introduce CHISON as a future line through a national MAH partner; ask about their hospital and clinic coverage, service engineers and openness to non Japanese brands.</t>
        </is>
      </c>
      <c r="W139" s="4" t="inlineStr">
        <is>
          <t>N (not identified)</t>
        </is>
      </c>
      <c r="X139" s="7" t="inlineStr">
        <is>
          <t>https://baseconnect.in/companies/prefecture/d8203dea-91e2-41c3-a785-b80aa997273c/category/b2358a1c-c4c6-46f4-a0b1-dee3a1b30a0b</t>
        </is>
      </c>
      <c r="Y139" s="4" t="inlineStr">
        <is>
          <t>SonoEye P3 plus SonoAir 30 for GP and clinic accounts</t>
        </is>
      </c>
      <c r="Z139" s="4" t="inlineStr">
        <is>
          <t>2, 2, 3, 3, 3, 2, 3</t>
        </is>
      </c>
      <c r="AA139" s="4" t="inlineStr">
        <is>
          <t>Not found</t>
        </is>
      </c>
      <c r="AB139" s="4" t="inlineStr">
        <is>
          <t>Directory or search listing; not opened (direct site access blocked)</t>
        </is>
      </c>
      <c r="AC139" s="4" t="inlineStr">
        <is>
          <t>No expired licence or ended distribution agreement found</t>
        </is>
      </c>
      <c r="AD139" s="4" t="inlineStr">
        <is>
          <t>Not started</t>
        </is>
      </c>
      <c r="AE139" s="4" t="inlineStr"/>
      <c r="AF139" s="4" t="inlineStr">
        <is>
          <t>https://niizuma-medical.com/contact/</t>
        </is>
      </c>
      <c r="AG139" s="4" t="inlineStr">
        <is>
          <t>No email published; use the contact form (link in Email source)</t>
        </is>
      </c>
    </row>
    <row r="140">
      <c r="A140" s="4" t="n">
        <v>136</v>
      </c>
      <c r="B140" s="4" t="inlineStr">
        <is>
          <t>Masuda Ika Kikai</t>
        </is>
      </c>
      <c r="C140" s="4" t="inlineStr">
        <is>
          <t>増田医科器械</t>
        </is>
      </c>
      <c r="D140" s="4" t="inlineStr">
        <is>
          <t>Not retrieved (NTA lookup blocked in this session)</t>
        </is>
      </c>
      <c r="E140" s="4" t="inlineStr">
        <is>
          <t>京都府</t>
        </is>
      </c>
      <c r="F140" s="4" t="inlineStr">
        <is>
          <t>Kansai</t>
        </is>
      </c>
      <c r="G140" s="4" t="inlineStr">
        <is>
          <t>https://www.masudaika.co.jp/</t>
        </is>
      </c>
      <c r="H140" s="4" t="inlineStr">
        <is>
          <t>No MAH found; device sales licence (高度管理医療機器等販売業) not confirmed</t>
        </is>
      </c>
      <c r="I140" s="4" t="inlineStr">
        <is>
          <t>Not identified in published sources</t>
        </is>
      </c>
      <c r="J140" s="4" t="inlineStr">
        <is>
          <t>General medical equipment (hospitals and clinics)</t>
        </is>
      </c>
      <c r="K140" s="4" t="inlineStr">
        <is>
          <t>京都府 (regional; branch network not confirmed)</t>
        </is>
      </c>
      <c r="L140" s="4" t="inlineStr">
        <is>
          <t>Not found</t>
        </is>
      </c>
      <c r="M140" s="4" t="inlineStr">
        <is>
          <t>Not identified</t>
        </is>
      </c>
      <c r="N140" s="4" t="inlineStr">
        <is>
          <t>Not identified</t>
        </is>
      </c>
      <c r="O140" s="4" t="inlineStr">
        <is>
          <t>info@masudaika.co.jp</t>
        </is>
      </c>
      <c r="P140" s="4" t="inlineStr">
        <is>
          <t>Not confirmed</t>
        </is>
      </c>
      <c r="Q140" s="4" t="inlineStr">
        <is>
          <t>Not identified</t>
        </is>
      </c>
      <c r="R140" s="5" t="inlineStr">
        <is>
          <t>Unverified</t>
        </is>
      </c>
      <c r="S140" s="4" t="n">
        <v>18</v>
      </c>
      <c r="T140" s="10" t="inlineStr">
        <is>
          <t>C</t>
        </is>
      </c>
      <c r="U140" s="4" t="inlineStr">
        <is>
          <t>Regional general medical equipment dealer with hospital and clinic accounts; candidate sub dealer under a national MAH partner.</t>
        </is>
      </c>
      <c r="V140" s="4" t="inlineStr">
        <is>
          <t>Introduce CHISON as a future line through a national MAH partner; ask about their hospital and clinic coverage, service engineers and openness to non Japanese brands.</t>
        </is>
      </c>
      <c r="W140" s="4" t="inlineStr">
        <is>
          <t>N (not identified)</t>
        </is>
      </c>
      <c r="X140" s="7" t="inlineStr">
        <is>
          <t>https://baseconnect.in/companies/prefecture/63038c5a-e328-472b-b9cc-039738609ba7/keyword/14f3dcec-9cd5-4be5-84e1-ddccb7bd228c</t>
        </is>
      </c>
      <c r="Y140" s="4" t="inlineStr">
        <is>
          <t>SonoEye P3 plus SonoAir 30 for GP and clinic accounts</t>
        </is>
      </c>
      <c r="Z140" s="4" t="inlineStr">
        <is>
          <t>2, 2, 3, 3, 3, 2, 3</t>
        </is>
      </c>
      <c r="AA140" s="4" t="inlineStr">
        <is>
          <t>Not found</t>
        </is>
      </c>
      <c r="AB140" s="4" t="inlineStr">
        <is>
          <t>Directory or search listing; not opened (direct site access blocked)</t>
        </is>
      </c>
      <c r="AC140" s="4" t="inlineStr">
        <is>
          <t>No expired licence or ended distribution agreement found</t>
        </is>
      </c>
      <c r="AD140" s="4" t="inlineStr">
        <is>
          <t>Not started</t>
        </is>
      </c>
      <c r="AE140" s="4" t="inlineStr">
        <is>
          <t>moc@masudaika.co.jp</t>
        </is>
      </c>
      <c r="AF140" s="4" t="inlineStr">
        <is>
          <t>https://sia-japan.com/company_list/690/</t>
        </is>
      </c>
      <c r="AG140" s="4" t="inlineStr">
        <is>
          <t>Likely: indexed on company domain</t>
        </is>
      </c>
    </row>
    <row r="141">
      <c r="A141" s="4" t="n">
        <v>137</v>
      </c>
      <c r="B141" s="4" t="inlineStr">
        <is>
          <t>Ishitsubo</t>
        </is>
      </c>
      <c r="C141" s="4" t="inlineStr">
        <is>
          <t>石坪</t>
        </is>
      </c>
      <c r="D141" s="4" t="inlineStr">
        <is>
          <t>Not retrieved (NTA lookup blocked in this session)</t>
        </is>
      </c>
      <c r="E141" s="4" t="inlineStr">
        <is>
          <t>京都府</t>
        </is>
      </c>
      <c r="F141" s="4" t="inlineStr">
        <is>
          <t>Kansai</t>
        </is>
      </c>
      <c r="G141" s="4" t="inlineStr">
        <is>
          <t>https://ishitsubo.co.jp/</t>
        </is>
      </c>
      <c r="H141" s="4" t="inlineStr">
        <is>
          <t>No MAH found; device sales licence (高度管理医療機器等販売業) not confirmed</t>
        </is>
      </c>
      <c r="I141" s="4" t="inlineStr">
        <is>
          <t>Not identified in published sources</t>
        </is>
      </c>
      <c r="J141" s="4" t="inlineStr">
        <is>
          <t>General medical equipment (hospitals and clinics)</t>
        </is>
      </c>
      <c r="K141" s="4" t="inlineStr">
        <is>
          <t>京都府 (regional; branch network not confirmed)</t>
        </is>
      </c>
      <c r="L141" s="4" t="inlineStr">
        <is>
          <t>Not found</t>
        </is>
      </c>
      <c r="M141" s="4" t="inlineStr">
        <is>
          <t>Not identified</t>
        </is>
      </c>
      <c r="N141" s="4" t="inlineStr">
        <is>
          <t>Not identified</t>
        </is>
      </c>
      <c r="O141" s="4" t="inlineStr">
        <is>
          <t>Not published; use contact form</t>
        </is>
      </c>
      <c r="P141" s="4" t="inlineStr">
        <is>
          <t>Not confirmed</t>
        </is>
      </c>
      <c r="Q141" s="4" t="inlineStr">
        <is>
          <t>Not identified</t>
        </is>
      </c>
      <c r="R141" s="5" t="inlineStr">
        <is>
          <t>Likely</t>
        </is>
      </c>
      <c r="S141" s="4" t="n">
        <v>18</v>
      </c>
      <c r="T141" s="10" t="inlineStr">
        <is>
          <t>C</t>
        </is>
      </c>
      <c r="U141" s="4" t="inlineStr">
        <is>
          <t>Regional general medical equipment dealer with hospital and clinic accounts; candidate sub dealer under a national MAH partner.</t>
        </is>
      </c>
      <c r="V141" s="4" t="inlineStr">
        <is>
          <t>Introduce CHISON as a future line through a national MAH partner; ask about their hospital and clinic coverage, service engineers and openness to non Japanese brands.</t>
        </is>
      </c>
      <c r="W141" s="4" t="inlineStr">
        <is>
          <t>N (not identified)</t>
        </is>
      </c>
      <c r="X141" s="7" t="inlineStr">
        <is>
          <t>https://baseconnect.in/companies/prefecture/63038c5a-e328-472b-b9cc-039738609ba7/keyword/14f3dcec-9cd5-4be5-84e1-ddccb7bd228c</t>
        </is>
      </c>
      <c r="Y141" s="4" t="inlineStr">
        <is>
          <t>SonoEye P3 plus SonoAir 30 for GP and clinic accounts</t>
        </is>
      </c>
      <c r="Z141" s="4" t="inlineStr">
        <is>
          <t>2, 2, 3, 3, 3, 2, 3</t>
        </is>
      </c>
      <c r="AA141" s="4" t="inlineStr">
        <is>
          <t>Not found</t>
        </is>
      </c>
      <c r="AB141" s="4" t="inlineStr">
        <is>
          <t>Directory or search listing; not opened (direct site access blocked)</t>
        </is>
      </c>
      <c r="AC141" s="4" t="inlineStr">
        <is>
          <t>No expired licence or ended distribution agreement found</t>
        </is>
      </c>
      <c r="AD141" s="4" t="inlineStr">
        <is>
          <t>Not started</t>
        </is>
      </c>
      <c r="AE141" s="4" t="inlineStr"/>
      <c r="AF141" s="4" t="inlineStr">
        <is>
          <t>https://ishitsubo.co.jp/contact/</t>
        </is>
      </c>
      <c r="AG141" s="4" t="inlineStr">
        <is>
          <t>No email published; use the contact form (link in Email source)</t>
        </is>
      </c>
    </row>
    <row r="142">
      <c r="A142" s="4" t="n">
        <v>138</v>
      </c>
      <c r="B142" s="4" t="inlineStr">
        <is>
          <t>Umeno Medical</t>
        </is>
      </c>
      <c r="C142" s="4" t="inlineStr">
        <is>
          <t>梅野メディカル</t>
        </is>
      </c>
      <c r="D142" s="4" t="inlineStr">
        <is>
          <t>Not retrieved (NTA lookup blocked in this session)</t>
        </is>
      </c>
      <c r="E142" s="4" t="inlineStr">
        <is>
          <t>京都府</t>
        </is>
      </c>
      <c r="F142" s="4" t="inlineStr">
        <is>
          <t>Kansai</t>
        </is>
      </c>
      <c r="G142" s="4" t="inlineStr">
        <is>
          <t>https://umenomedical.jimdofree.com/</t>
        </is>
      </c>
      <c r="H142" s="4" t="inlineStr">
        <is>
          <t>No MAH found; device sales licence (高度管理医療機器等販売業) not confirmed</t>
        </is>
      </c>
      <c r="I142" s="4" t="inlineStr">
        <is>
          <t>Not identified in published sources</t>
        </is>
      </c>
      <c r="J142" s="4" t="inlineStr">
        <is>
          <t>General medical equipment (hospitals and clinics)</t>
        </is>
      </c>
      <c r="K142" s="4" t="inlineStr">
        <is>
          <t>京都府 (regional; branch network not confirmed)</t>
        </is>
      </c>
      <c r="L142" s="4" t="inlineStr">
        <is>
          <t>Not found</t>
        </is>
      </c>
      <c r="M142" s="4" t="inlineStr">
        <is>
          <t>Not identified</t>
        </is>
      </c>
      <c r="N142" s="4" t="inlineStr">
        <is>
          <t>Not identified</t>
        </is>
      </c>
      <c r="O142" s="4" t="inlineStr">
        <is>
          <t>Not published; use company inquiry form</t>
        </is>
      </c>
      <c r="P142" s="4" t="inlineStr">
        <is>
          <t>Not confirmed</t>
        </is>
      </c>
      <c r="Q142" s="4" t="inlineStr">
        <is>
          <t>Not identified</t>
        </is>
      </c>
      <c r="R142" s="5" t="inlineStr">
        <is>
          <t>Company inquiry only</t>
        </is>
      </c>
      <c r="S142" s="4" t="n">
        <v>18</v>
      </c>
      <c r="T142" s="10" t="inlineStr">
        <is>
          <t>C</t>
        </is>
      </c>
      <c r="U142" s="4" t="inlineStr">
        <is>
          <t>Regional general medical equipment dealer with hospital and clinic accounts; candidate sub dealer under a national MAH partner.</t>
        </is>
      </c>
      <c r="V142" s="4" t="inlineStr">
        <is>
          <t>Introduce CHISON as a future line through a national MAH partner; ask about their hospital and clinic coverage, service engineers and openness to non Japanese brands.</t>
        </is>
      </c>
      <c r="W142" s="4" t="inlineStr">
        <is>
          <t>N (not identified)</t>
        </is>
      </c>
      <c r="X142" s="7" t="inlineStr">
        <is>
          <t>https://baseconnect.in/companies/prefecture/63038c5a-e328-472b-b9cc-039738609ba7/keyword/14f3dcec-9cd5-4be5-84e1-ddccb7bd228c</t>
        </is>
      </c>
      <c r="Y142" s="4" t="inlineStr">
        <is>
          <t>SonoEye P3 plus SonoAir 30 for GP and clinic accounts</t>
        </is>
      </c>
      <c r="Z142" s="4" t="inlineStr">
        <is>
          <t>2, 2, 3, 3, 3, 2, 3</t>
        </is>
      </c>
      <c r="AA142" s="4" t="inlineStr">
        <is>
          <t>Not found</t>
        </is>
      </c>
      <c r="AB142" s="4" t="inlineStr">
        <is>
          <t>Directory or search listing; not opened (direct site access blocked)</t>
        </is>
      </c>
      <c r="AC142" s="4" t="inlineStr">
        <is>
          <t>No expired licence or ended distribution agreement found</t>
        </is>
      </c>
      <c r="AD142" s="4" t="inlineStr">
        <is>
          <t>Not started</t>
        </is>
      </c>
      <c r="AE142" s="4" t="inlineStr"/>
      <c r="AF142" s="4" t="inlineStr"/>
      <c r="AG142" s="4" t="inlineStr">
        <is>
          <t>No email published; website has no contact page link, phone first</t>
        </is>
      </c>
    </row>
    <row r="143">
      <c r="A143" s="4" t="n">
        <v>139</v>
      </c>
      <c r="B143" s="4" t="inlineStr">
        <is>
          <t>Masutomi</t>
        </is>
      </c>
      <c r="C143" s="4" t="inlineStr">
        <is>
          <t>増富</t>
        </is>
      </c>
      <c r="D143" s="4" t="inlineStr">
        <is>
          <t>Not retrieved (NTA lookup blocked in this session)</t>
        </is>
      </c>
      <c r="E143" s="4" t="inlineStr">
        <is>
          <t>京都府</t>
        </is>
      </c>
      <c r="F143" s="4" t="inlineStr">
        <is>
          <t>Kansai</t>
        </is>
      </c>
      <c r="G143" s="4" t="inlineStr">
        <is>
          <t>https://www.mastomy.co.jp/</t>
        </is>
      </c>
      <c r="H143" s="4" t="inlineStr">
        <is>
          <t>No MAH found; device sales licence (高度管理医療機器等販売業) not confirmed</t>
        </is>
      </c>
      <c r="I143" s="4" t="inlineStr">
        <is>
          <t>Not identified in published sources</t>
        </is>
      </c>
      <c r="J143" s="4" t="inlineStr">
        <is>
          <t>General medical equipment (hospitals and clinics)</t>
        </is>
      </c>
      <c r="K143" s="4" t="inlineStr">
        <is>
          <t>京都府 (regional; branch network not confirmed)</t>
        </is>
      </c>
      <c r="L143" s="4" t="inlineStr">
        <is>
          <t>Not found</t>
        </is>
      </c>
      <c r="M143" s="4" t="inlineStr">
        <is>
          <t>Not identified</t>
        </is>
      </c>
      <c r="N143" s="4" t="inlineStr">
        <is>
          <t>Not identified</t>
        </is>
      </c>
      <c r="O143" s="4" t="inlineStr">
        <is>
          <t>webmaster@mastomy.co.jp</t>
        </is>
      </c>
      <c r="P143" s="4" t="inlineStr">
        <is>
          <t>Not confirmed</t>
        </is>
      </c>
      <c r="Q143" s="4" t="inlineStr">
        <is>
          <t>Not identified</t>
        </is>
      </c>
      <c r="R143" s="5" t="inlineStr">
        <is>
          <t>Unverified</t>
        </is>
      </c>
      <c r="S143" s="4" t="n">
        <v>18</v>
      </c>
      <c r="T143" s="10" t="inlineStr">
        <is>
          <t>C</t>
        </is>
      </c>
      <c r="U143" s="4" t="inlineStr">
        <is>
          <t>Regional general medical equipment dealer with hospital and clinic accounts; candidate sub dealer under a national MAH partner.</t>
        </is>
      </c>
      <c r="V143" s="4" t="inlineStr">
        <is>
          <t>Introduce CHISON as a future line through a national MAH partner; ask about their hospital and clinic coverage, service engineers and openness to non Japanese brands.</t>
        </is>
      </c>
      <c r="W143" s="4" t="inlineStr">
        <is>
          <t>N (not identified)</t>
        </is>
      </c>
      <c r="X143" s="7" t="inlineStr">
        <is>
          <t>https://baseconnect.in/companies/prefecture/63038c5a-e328-472b-b9cc-039738609ba7/keyword/14f3dcec-9cd5-4be5-84e1-ddccb7bd228c</t>
        </is>
      </c>
      <c r="Y143" s="4" t="inlineStr">
        <is>
          <t>SonoEye P3 plus SonoAir 30 for GP and clinic accounts</t>
        </is>
      </c>
      <c r="Z143" s="4" t="inlineStr">
        <is>
          <t>2, 2, 3, 3, 3, 2, 3</t>
        </is>
      </c>
      <c r="AA143" s="4" t="inlineStr">
        <is>
          <t>Not found</t>
        </is>
      </c>
      <c r="AB143" s="4" t="inlineStr">
        <is>
          <t>Directory or search listing; not opened (direct site access blocked)</t>
        </is>
      </c>
      <c r="AC143" s="4" t="inlineStr">
        <is>
          <t>No expired licence or ended distribution agreement found</t>
        </is>
      </c>
      <c r="AD143" s="4" t="inlineStr">
        <is>
          <t>Not started</t>
        </is>
      </c>
      <c r="AE143" s="4" t="inlineStr"/>
      <c r="AF143" s="4" t="inlineStr">
        <is>
          <t>https://www.mastomy.co.jp/</t>
        </is>
      </c>
      <c r="AG143" s="4" t="inlineStr">
        <is>
          <t>Verified: published on company website</t>
        </is>
      </c>
    </row>
    <row r="144">
      <c r="A144" s="4" t="n">
        <v>140</v>
      </c>
      <c r="B144" s="4" t="inlineStr">
        <is>
          <t>Ikegami Kikai</t>
        </is>
      </c>
      <c r="C144" s="4" t="inlineStr">
        <is>
          <t>池上器械</t>
        </is>
      </c>
      <c r="D144" s="4" t="inlineStr">
        <is>
          <t>Not retrieved (NTA lookup blocked in this session)</t>
        </is>
      </c>
      <c r="E144" s="4" t="inlineStr">
        <is>
          <t>京都府</t>
        </is>
      </c>
      <c r="F144" s="4" t="inlineStr">
        <is>
          <t>Kansai</t>
        </is>
      </c>
      <c r="G144" s="4" t="inlineStr">
        <is>
          <t>http://www.ikegamikikai.com/</t>
        </is>
      </c>
      <c r="H144" s="4" t="inlineStr">
        <is>
          <t>No MAH found; device sales licence (高度管理医療機器等販売業) not confirmed</t>
        </is>
      </c>
      <c r="I144" s="4" t="inlineStr">
        <is>
          <t>Not identified in published sources</t>
        </is>
      </c>
      <c r="J144" s="4" t="inlineStr">
        <is>
          <t>General medical equipment (hospitals and clinics)</t>
        </is>
      </c>
      <c r="K144" s="4" t="inlineStr">
        <is>
          <t>京都府 (regional; branch network not confirmed)</t>
        </is>
      </c>
      <c r="L144" s="4" t="inlineStr">
        <is>
          <t>Not found</t>
        </is>
      </c>
      <c r="M144" s="4" t="inlineStr">
        <is>
          <t>Not identified</t>
        </is>
      </c>
      <c r="N144" s="4" t="inlineStr">
        <is>
          <t>Not identified</t>
        </is>
      </c>
      <c r="O144" s="4" t="inlineStr">
        <is>
          <t>info@ikegamikikai.com</t>
        </is>
      </c>
      <c r="P144" s="4" t="inlineStr">
        <is>
          <t>Not confirmed</t>
        </is>
      </c>
      <c r="Q144" s="4" t="inlineStr">
        <is>
          <t>Not identified</t>
        </is>
      </c>
      <c r="R144" s="5" t="inlineStr">
        <is>
          <t>Unverified</t>
        </is>
      </c>
      <c r="S144" s="4" t="n">
        <v>18</v>
      </c>
      <c r="T144" s="10" t="inlineStr">
        <is>
          <t>C</t>
        </is>
      </c>
      <c r="U144" s="4" t="inlineStr">
        <is>
          <t>Regional general medical equipment dealer with hospital and clinic accounts; candidate sub dealer under a national MAH partner.</t>
        </is>
      </c>
      <c r="V144" s="4" t="inlineStr">
        <is>
          <t>Introduce CHISON as a future line through a national MAH partner; ask about their hospital and clinic coverage, service engineers and openness to non Japanese brands.</t>
        </is>
      </c>
      <c r="W144" s="4" t="inlineStr">
        <is>
          <t>N (not identified)</t>
        </is>
      </c>
      <c r="X144" s="7" t="inlineStr">
        <is>
          <t>https://baseconnect.in/companies/prefecture/63038c5a-e328-472b-b9cc-039738609ba7/keyword/14f3dcec-9cd5-4be5-84e1-ddccb7bd228c</t>
        </is>
      </c>
      <c r="Y144" s="4" t="inlineStr">
        <is>
          <t>SonoEye P3 plus SonoAir 30 for GP and clinic accounts</t>
        </is>
      </c>
      <c r="Z144" s="4" t="inlineStr">
        <is>
          <t>2, 2, 3, 3, 3, 2, 3</t>
        </is>
      </c>
      <c r="AA144" s="4" t="inlineStr">
        <is>
          <t>Not found</t>
        </is>
      </c>
      <c r="AB144" s="4" t="inlineStr">
        <is>
          <t>Directory or search listing; not opened (direct site access blocked)</t>
        </is>
      </c>
      <c r="AC144" s="4" t="inlineStr">
        <is>
          <t>No expired licence or ended distribution agreement found</t>
        </is>
      </c>
      <c r="AD144" s="4" t="inlineStr">
        <is>
          <t>Not started</t>
        </is>
      </c>
      <c r="AE144" s="4" t="inlineStr"/>
      <c r="AF144" s="4" t="inlineStr">
        <is>
          <t>http://www.ikegamikikai.com/recruit.html</t>
        </is>
      </c>
      <c r="AG144" s="4" t="inlineStr">
        <is>
          <t>Verified: published on company website</t>
        </is>
      </c>
    </row>
    <row r="145">
      <c r="A145" s="4" t="n">
        <v>141</v>
      </c>
      <c r="B145" s="4" t="inlineStr">
        <is>
          <t>Tanaka Iki</t>
        </is>
      </c>
      <c r="C145" s="4" t="inlineStr">
        <is>
          <t>タナカ医器</t>
        </is>
      </c>
      <c r="D145" s="4" t="inlineStr">
        <is>
          <t>Not retrieved (NTA lookup blocked in this session)</t>
        </is>
      </c>
      <c r="E145" s="4" t="inlineStr">
        <is>
          <t>京都府</t>
        </is>
      </c>
      <c r="F145" s="4" t="inlineStr">
        <is>
          <t>Kansai</t>
        </is>
      </c>
      <c r="G145" s="4" t="inlineStr">
        <is>
          <t>Not confirmed (company site not opened; network policy blocked direct access)</t>
        </is>
      </c>
      <c r="H145" s="4" t="inlineStr">
        <is>
          <t>No MAH found; device sales licence (高度管理医療機器等販売業) not confirmed</t>
        </is>
      </c>
      <c r="I145" s="4" t="inlineStr">
        <is>
          <t>Not identified in published sources</t>
        </is>
      </c>
      <c r="J145" s="4" t="inlineStr">
        <is>
          <t>General medical equipment (hospitals and clinics)</t>
        </is>
      </c>
      <c r="K145" s="4" t="inlineStr">
        <is>
          <t>京都府 (regional; branch network not confirmed)</t>
        </is>
      </c>
      <c r="L145" s="4" t="inlineStr">
        <is>
          <t>Not found</t>
        </is>
      </c>
      <c r="M145" s="4" t="inlineStr">
        <is>
          <t>Not identified</t>
        </is>
      </c>
      <c r="N145" s="4" t="inlineStr">
        <is>
          <t>Not identified</t>
        </is>
      </c>
      <c r="O145" s="4" t="inlineStr">
        <is>
          <t>Not published; use company inquiry form</t>
        </is>
      </c>
      <c r="P145" s="4" t="inlineStr">
        <is>
          <t>Not confirmed</t>
        </is>
      </c>
      <c r="Q145" s="4" t="inlineStr">
        <is>
          <t>Not identified</t>
        </is>
      </c>
      <c r="R145" s="5" t="inlineStr">
        <is>
          <t>Unverified</t>
        </is>
      </c>
      <c r="S145" s="4" t="n">
        <v>18</v>
      </c>
      <c r="T145" s="10" t="inlineStr">
        <is>
          <t>C</t>
        </is>
      </c>
      <c r="U145" s="4" t="inlineStr">
        <is>
          <t>Regional general medical equipment dealer with hospital and clinic accounts; candidate sub dealer under a national MAH partner.</t>
        </is>
      </c>
      <c r="V145" s="4" t="inlineStr">
        <is>
          <t>Introduce CHISON as a future line through a national MAH partner; ask about their hospital and clinic coverage, service engineers and openness to non Japanese brands.</t>
        </is>
      </c>
      <c r="W145" s="4" t="inlineStr">
        <is>
          <t>N (not identified)</t>
        </is>
      </c>
      <c r="X145" s="7" t="inlineStr">
        <is>
          <t>https://baseconnect.in/companies/prefecture/63038c5a-e328-472b-b9cc-039738609ba7/keyword/14f3dcec-9cd5-4be5-84e1-ddccb7bd228c</t>
        </is>
      </c>
      <c r="Y145" s="4" t="inlineStr">
        <is>
          <t>SonoEye P3 plus SonoAir 30 for GP and clinic accounts</t>
        </is>
      </c>
      <c r="Z145" s="4" t="inlineStr">
        <is>
          <t>2, 2, 3, 3, 3, 2, 3</t>
        </is>
      </c>
      <c r="AA145" s="4" t="inlineStr">
        <is>
          <t>Not found</t>
        </is>
      </c>
      <c r="AB145" s="4" t="inlineStr">
        <is>
          <t>Directory or search listing; not opened (direct site access blocked)</t>
        </is>
      </c>
      <c r="AC145" s="4" t="inlineStr">
        <is>
          <t>No expired licence or ended distribution agreement found</t>
        </is>
      </c>
      <c r="AD145" s="4" t="inlineStr">
        <is>
          <t>Not started</t>
        </is>
      </c>
      <c r="AE145" s="4" t="inlineStr"/>
      <c r="AF145" s="4" t="inlineStr"/>
      <c r="AG145" s="4" t="inlineStr">
        <is>
          <t>No email published and no verified website found</t>
        </is>
      </c>
    </row>
    <row r="146">
      <c r="A146" s="4" t="n">
        <v>142</v>
      </c>
      <c r="B146" s="4" t="inlineStr">
        <is>
          <t>Maeyama Iryoki</t>
        </is>
      </c>
      <c r="C146" s="4" t="inlineStr">
        <is>
          <t>前山医療器</t>
        </is>
      </c>
      <c r="D146" s="4" t="inlineStr">
        <is>
          <t>Not retrieved (NTA lookup blocked in this session)</t>
        </is>
      </c>
      <c r="E146" s="4" t="inlineStr">
        <is>
          <t>兵庫県</t>
        </is>
      </c>
      <c r="F146" s="4" t="inlineStr">
        <is>
          <t>Kansai</t>
        </is>
      </c>
      <c r="G146" s="4" t="inlineStr">
        <is>
          <t>Not confirmed (company site not opened; network policy blocked direct access)</t>
        </is>
      </c>
      <c r="H146" s="4" t="inlineStr">
        <is>
          <t>No MAH found; device sales licence (高度管理医療機器等販売業) not confirmed</t>
        </is>
      </c>
      <c r="I146" s="4" t="inlineStr">
        <is>
          <t>Not identified in published sources</t>
        </is>
      </c>
      <c r="J146" s="4" t="inlineStr">
        <is>
          <t>Pharma distribution</t>
        </is>
      </c>
      <c r="K146" s="4" t="inlineStr">
        <is>
          <t>兵庫県 (regional; branch network not confirmed)</t>
        </is>
      </c>
      <c r="L146" s="4" t="inlineStr">
        <is>
          <t>Not found</t>
        </is>
      </c>
      <c r="M146" s="4" t="inlineStr">
        <is>
          <t>Not identified</t>
        </is>
      </c>
      <c r="N146" s="4" t="inlineStr">
        <is>
          <t>Not identified</t>
        </is>
      </c>
      <c r="O146" s="4" t="inlineStr">
        <is>
          <t>Not published; use company inquiry form</t>
        </is>
      </c>
      <c r="P146" s="4" t="inlineStr">
        <is>
          <t>Not confirmed</t>
        </is>
      </c>
      <c r="Q146" s="4" t="inlineStr">
        <is>
          <t>Not identified</t>
        </is>
      </c>
      <c r="R146" s="5" t="inlineStr">
        <is>
          <t>Unverified</t>
        </is>
      </c>
      <c r="S146" s="4" t="n">
        <v>18</v>
      </c>
      <c r="T146" s="10" t="inlineStr">
        <is>
          <t>C</t>
        </is>
      </c>
      <c r="U146" s="4" t="inlineStr">
        <is>
          <t>Low fit: mainly welfare or care equipment; only for home care handheld use.</t>
        </is>
      </c>
      <c r="V146" s="4" t="inlineStr">
        <is>
          <t>Introduce CHISON as a future line through a national MAH partner; ask about their hospital and clinic coverage, service engineers and openness to non Japanese brands.</t>
        </is>
      </c>
      <c r="W146" s="4" t="inlineStr">
        <is>
          <t>N (not identified)</t>
        </is>
      </c>
      <c r="X146" s="7" t="inlineStr">
        <is>
          <t>https://baseconnect.in/companies/prefecture/912d7b2d-41c2-4923-a5c1-6666f9834966/keyword/14f3dcec-9cd5-4be5-84e1-ddccb7bd228c</t>
        </is>
      </c>
      <c r="Y146" s="4" t="inlineStr">
        <is>
          <t>SonoEye P3 plus SonoAir 30 for GP and clinic accounts</t>
        </is>
      </c>
      <c r="Z146" s="4" t="inlineStr">
        <is>
          <t>2, 2, 3, 3, 3, 2, 3</t>
        </is>
      </c>
      <c r="AA146" s="4" t="inlineStr">
        <is>
          <t>Not found</t>
        </is>
      </c>
      <c r="AB146" s="4" t="inlineStr">
        <is>
          <t>Directory or search listing; not opened (direct site access blocked)</t>
        </is>
      </c>
      <c r="AC146" s="4" t="inlineStr">
        <is>
          <t>No expired licence or ended distribution agreement found</t>
        </is>
      </c>
      <c r="AD146" s="4" t="inlineStr">
        <is>
          <t>Not started</t>
        </is>
      </c>
      <c r="AE146" s="4" t="inlineStr"/>
      <c r="AF146" s="4" t="inlineStr"/>
      <c r="AG146" s="4" t="inlineStr">
        <is>
          <t>No email published and no verified website found</t>
        </is>
      </c>
    </row>
    <row r="147">
      <c r="A147" s="4" t="n">
        <v>143</v>
      </c>
      <c r="B147" s="4" t="inlineStr">
        <is>
          <t>Kobe Biomedix</t>
        </is>
      </c>
      <c r="C147" s="4" t="inlineStr">
        <is>
          <t>神戸バイオメディクス</t>
        </is>
      </c>
      <c r="D147" s="4" t="inlineStr">
        <is>
          <t>Not retrieved (NTA lookup blocked in this session)</t>
        </is>
      </c>
      <c r="E147" s="4" t="inlineStr">
        <is>
          <t>兵庫県</t>
        </is>
      </c>
      <c r="F147" s="4" t="inlineStr">
        <is>
          <t>Kansai</t>
        </is>
      </c>
      <c r="G147" s="4" t="inlineStr">
        <is>
          <t>https://kobe-biomedix.co.jp/</t>
        </is>
      </c>
      <c r="H147" s="4" t="inlineStr">
        <is>
          <t>No MAH found; device sales licence (高度管理医療機器等販売業) not confirmed</t>
        </is>
      </c>
      <c r="I147" s="4" t="inlineStr">
        <is>
          <t>Not identified in published sources</t>
        </is>
      </c>
      <c r="J147" s="4" t="inlineStr">
        <is>
          <t>General medical equipment (hospitals and clinics)</t>
        </is>
      </c>
      <c r="K147" s="4" t="inlineStr">
        <is>
          <t>兵庫県 (regional; branch network not confirmed)</t>
        </is>
      </c>
      <c r="L147" s="4" t="inlineStr">
        <is>
          <t>Not found</t>
        </is>
      </c>
      <c r="M147" s="4" t="inlineStr">
        <is>
          <t>Not identified</t>
        </is>
      </c>
      <c r="N147" s="4" t="inlineStr">
        <is>
          <t>Not identified</t>
        </is>
      </c>
      <c r="O147" s="4" t="inlineStr">
        <is>
          <t>Not published; use contact form</t>
        </is>
      </c>
      <c r="P147" s="4" t="inlineStr">
        <is>
          <t>Not confirmed</t>
        </is>
      </c>
      <c r="Q147" s="4" t="inlineStr">
        <is>
          <t>Not identified</t>
        </is>
      </c>
      <c r="R147" s="5" t="inlineStr">
        <is>
          <t>Likely</t>
        </is>
      </c>
      <c r="S147" s="4" t="n">
        <v>18</v>
      </c>
      <c r="T147" s="10" t="inlineStr">
        <is>
          <t>C</t>
        </is>
      </c>
      <c r="U147" s="4" t="inlineStr">
        <is>
          <t>Regional general medical equipment dealer with hospital and clinic accounts; candidate sub dealer under a national MAH partner.</t>
        </is>
      </c>
      <c r="V147" s="4" t="inlineStr">
        <is>
          <t>Introduce CHISON as a future line through a national MAH partner; ask about their hospital and clinic coverage, service engineers and openness to non Japanese brands.</t>
        </is>
      </c>
      <c r="W147" s="4" t="inlineStr">
        <is>
          <t>N (not identified)</t>
        </is>
      </c>
      <c r="X147" s="7" t="inlineStr">
        <is>
          <t>https://baseconnect.in/companies/prefecture/912d7b2d-41c2-4923-a5c1-6666f9834966/keyword/14f3dcec-9cd5-4be5-84e1-ddccb7bd228c</t>
        </is>
      </c>
      <c r="Y147" s="4" t="inlineStr">
        <is>
          <t>SonoEye P3 plus SonoAir 30 for GP and clinic accounts</t>
        </is>
      </c>
      <c r="Z147" s="4" t="inlineStr">
        <is>
          <t>2, 2, 3, 3, 3, 2, 3</t>
        </is>
      </c>
      <c r="AA147" s="4" t="inlineStr">
        <is>
          <t>Not found</t>
        </is>
      </c>
      <c r="AB147" s="4" t="inlineStr">
        <is>
          <t>Directory or search listing; not opened (direct site access blocked)</t>
        </is>
      </c>
      <c r="AC147" s="4" t="inlineStr">
        <is>
          <t>No expired licence or ended distribution agreement found</t>
        </is>
      </c>
      <c r="AD147" s="4" t="inlineStr">
        <is>
          <t>Not started</t>
        </is>
      </c>
      <c r="AE147" s="4" t="inlineStr"/>
      <c r="AF147" s="4" t="inlineStr">
        <is>
          <t>https://kobe-biomedix.co.jp/contact</t>
        </is>
      </c>
      <c r="AG147" s="4" t="inlineStr">
        <is>
          <t>No email published; use the contact form (link in Email source)</t>
        </is>
      </c>
    </row>
    <row r="148">
      <c r="A148" s="4" t="n">
        <v>144</v>
      </c>
      <c r="B148" s="4" t="inlineStr">
        <is>
          <t>Seiko Medical</t>
        </is>
      </c>
      <c r="C148" s="4" t="inlineStr">
        <is>
          <t>セイコーメディカル</t>
        </is>
      </c>
      <c r="D148" s="4" t="inlineStr">
        <is>
          <t>Not retrieved (NTA lookup blocked in this session)</t>
        </is>
      </c>
      <c r="E148" s="4" t="inlineStr">
        <is>
          <t>和歌山県</t>
        </is>
      </c>
      <c r="F148" s="4" t="inlineStr">
        <is>
          <t>Kansai</t>
        </is>
      </c>
      <c r="G148" s="4" t="inlineStr">
        <is>
          <t>https://skmnet.co.jp/</t>
        </is>
      </c>
      <c r="H148" s="4" t="inlineStr">
        <is>
          <t>No MAH found; device sales licence (高度管理医療機器等販売業) not confirmed</t>
        </is>
      </c>
      <c r="I148" s="4" t="inlineStr">
        <is>
          <t>Not identified in published sources</t>
        </is>
      </c>
      <c r="J148" s="4" t="inlineStr">
        <is>
          <t>General medical equipment (hospitals and clinics)</t>
        </is>
      </c>
      <c r="K148" s="4" t="inlineStr">
        <is>
          <t>和歌山県 (regional; branch network not confirmed)</t>
        </is>
      </c>
      <c r="L148" s="4" t="inlineStr">
        <is>
          <t>Not found</t>
        </is>
      </c>
      <c r="M148" s="4" t="inlineStr">
        <is>
          <t>Not identified</t>
        </is>
      </c>
      <c r="N148" s="4" t="inlineStr">
        <is>
          <t>Not identified</t>
        </is>
      </c>
      <c r="O148" s="4" t="inlineStr">
        <is>
          <t>info@skmnet.co.jp</t>
        </is>
      </c>
      <c r="P148" s="4" t="inlineStr">
        <is>
          <t>Not confirmed</t>
        </is>
      </c>
      <c r="Q148" s="4" t="inlineStr">
        <is>
          <t>Not identified</t>
        </is>
      </c>
      <c r="R148" s="5" t="inlineStr">
        <is>
          <t>Unverified</t>
        </is>
      </c>
      <c r="S148" s="4" t="n">
        <v>18</v>
      </c>
      <c r="T148" s="10" t="inlineStr">
        <is>
          <t>C</t>
        </is>
      </c>
      <c r="U148" s="4" t="inlineStr">
        <is>
          <t>Regional general medical equipment dealer with hospital and clinic accounts; candidate sub dealer under a national MAH partner.</t>
        </is>
      </c>
      <c r="V148" s="4" t="inlineStr">
        <is>
          <t>Introduce CHISON as a future line through a national MAH partner; ask about their hospital and clinic coverage, service engineers and openness to non Japanese brands.</t>
        </is>
      </c>
      <c r="W148" s="4" t="inlineStr">
        <is>
          <t>N (not identified)</t>
        </is>
      </c>
      <c r="X148" s="7" t="inlineStr">
        <is>
          <t>https://baseconnect.in/companies/prefecture/ba2490e4-a288-4266-8dd3-30b4ef28b3b2</t>
        </is>
      </c>
      <c r="Y148" s="4" t="inlineStr">
        <is>
          <t>SonoEye P3 plus SonoAir 30 for GP and clinic accounts</t>
        </is>
      </c>
      <c r="Z148" s="4" t="inlineStr">
        <is>
          <t>2, 2, 3, 3, 3, 2, 3</t>
        </is>
      </c>
      <c r="AA148" s="4" t="inlineStr">
        <is>
          <t>Not found</t>
        </is>
      </c>
      <c r="AB148" s="4" t="inlineStr">
        <is>
          <t>Directory or search listing; not opened (direct site access blocked)</t>
        </is>
      </c>
      <c r="AC148" s="4" t="inlineStr">
        <is>
          <t>No expired licence or ended distribution agreement found</t>
        </is>
      </c>
      <c r="AD148" s="4" t="inlineStr">
        <is>
          <t>Not started</t>
        </is>
      </c>
      <c r="AE148" s="4" t="inlineStr"/>
      <c r="AF148" s="4" t="inlineStr">
        <is>
          <t>https://skmnet.co.jp/privacy</t>
        </is>
      </c>
      <c r="AG148" s="4" t="inlineStr">
        <is>
          <t>Verified: published on company website</t>
        </is>
      </c>
    </row>
    <row r="149">
      <c r="A149" s="4" t="n">
        <v>145</v>
      </c>
      <c r="B149" s="4" t="inlineStr">
        <is>
          <t>RE Medical</t>
        </is>
      </c>
      <c r="C149" s="4" t="inlineStr">
        <is>
          <t>アールイーメディカル</t>
        </is>
      </c>
      <c r="D149" s="4" t="inlineStr">
        <is>
          <t>Not retrieved (NTA lookup blocked in this session)</t>
        </is>
      </c>
      <c r="E149" s="4" t="inlineStr">
        <is>
          <t>大阪府</t>
        </is>
      </c>
      <c r="F149" s="4" t="inlineStr">
        <is>
          <t>Kansai</t>
        </is>
      </c>
      <c r="G149" s="4" t="inlineStr">
        <is>
          <t>https://www.re-medical.co.jp/</t>
        </is>
      </c>
      <c r="H149" s="4" t="inlineStr">
        <is>
          <t>No MAH found; device sales licence (高度管理医療機器等販売業) not confirmed</t>
        </is>
      </c>
      <c r="I149" s="4" t="inlineStr">
        <is>
          <t>Not identified in published sources</t>
        </is>
      </c>
      <c r="J149" s="4" t="inlineStr">
        <is>
          <t>General medical equipment (hospitals and clinics)</t>
        </is>
      </c>
      <c r="K149" s="4" t="inlineStr">
        <is>
          <t>大阪府 (regional; branch network not confirmed)</t>
        </is>
      </c>
      <c r="L149" s="4" t="inlineStr">
        <is>
          <t>Not found</t>
        </is>
      </c>
      <c r="M149" s="4" t="inlineStr">
        <is>
          <t>Not identified</t>
        </is>
      </c>
      <c r="N149" s="4" t="inlineStr">
        <is>
          <t>Not identified</t>
        </is>
      </c>
      <c r="O149" s="4" t="inlineStr">
        <is>
          <t>rem-privacy@re-medical.co.jp</t>
        </is>
      </c>
      <c r="P149" s="4" t="inlineStr">
        <is>
          <t>Not confirmed</t>
        </is>
      </c>
      <c r="Q149" s="4" t="inlineStr">
        <is>
          <t>Not identified</t>
        </is>
      </c>
      <c r="R149" s="5" t="inlineStr">
        <is>
          <t>Unverified</t>
        </is>
      </c>
      <c r="S149" s="4" t="n">
        <v>18</v>
      </c>
      <c r="T149" s="10" t="inlineStr">
        <is>
          <t>C</t>
        </is>
      </c>
      <c r="U149" s="4" t="inlineStr">
        <is>
          <t>Regional general medical equipment dealer with hospital and clinic accounts; candidate sub dealer under a national MAH partner.</t>
        </is>
      </c>
      <c r="V149" s="4" t="inlineStr">
        <is>
          <t>Introduce CHISON as a future line through a national MAH partner; ask about their hospital and clinic coverage, service engineers and openness to non Japanese brands.</t>
        </is>
      </c>
      <c r="W149" s="4" t="inlineStr">
        <is>
          <t>N (not identified)</t>
        </is>
      </c>
      <c r="X149" s="7" t="inlineStr">
        <is>
          <t>https://www.osaka-iryokiki-kyokai.com/member_list/</t>
        </is>
      </c>
      <c r="Y149" s="4" t="inlineStr">
        <is>
          <t>SonoEye P3 plus SonoAir 30 for GP and clinic accounts</t>
        </is>
      </c>
      <c r="Z149" s="4" t="inlineStr">
        <is>
          <t>2, 2, 3, 3, 3, 2, 3</t>
        </is>
      </c>
      <c r="AA149" s="4" t="inlineStr">
        <is>
          <t>Not found</t>
        </is>
      </c>
      <c r="AB149" s="4" t="inlineStr">
        <is>
          <t>Directory or search listing; not opened (direct site access blocked)</t>
        </is>
      </c>
      <c r="AC149" s="4" t="inlineStr">
        <is>
          <t>No expired licence or ended distribution agreement found</t>
        </is>
      </c>
      <c r="AD149" s="4" t="inlineStr">
        <is>
          <t>Not started</t>
        </is>
      </c>
      <c r="AE149" s="4" t="inlineStr"/>
      <c r="AF149" s="4" t="inlineStr">
        <is>
          <t>https://www.re-medical.co.jp/privacy/</t>
        </is>
      </c>
      <c r="AG149" s="4" t="inlineStr">
        <is>
          <t>Verified: published on company website; HR or recruitment inbox, ask to forward to sales</t>
        </is>
      </c>
    </row>
    <row r="150">
      <c r="A150" s="4" t="n">
        <v>146</v>
      </c>
      <c r="B150" s="4" t="inlineStr">
        <is>
          <t>Act Medic</t>
        </is>
      </c>
      <c r="C150" s="4" t="inlineStr">
        <is>
          <t>アクトメディック</t>
        </is>
      </c>
      <c r="D150" s="4" t="inlineStr">
        <is>
          <t>Not retrieved (NTA lookup blocked in this session)</t>
        </is>
      </c>
      <c r="E150" s="4" t="inlineStr">
        <is>
          <t>大阪府</t>
        </is>
      </c>
      <c r="F150" s="4" t="inlineStr">
        <is>
          <t>Kansai</t>
        </is>
      </c>
      <c r="G150" s="4" t="inlineStr">
        <is>
          <t>https://www.actmedic.jp/</t>
        </is>
      </c>
      <c r="H150" s="4" t="inlineStr">
        <is>
          <t>No MAH found; device sales licence (高度管理医療機器等販売業) not confirmed</t>
        </is>
      </c>
      <c r="I150" s="4" t="inlineStr">
        <is>
          <t>Not identified in published sources</t>
        </is>
      </c>
      <c r="J150" s="4" t="inlineStr">
        <is>
          <t>General medical equipment (hospitals and clinics)</t>
        </is>
      </c>
      <c r="K150" s="4" t="inlineStr">
        <is>
          <t>大阪府 (regional; branch network not confirmed)</t>
        </is>
      </c>
      <c r="L150" s="4" t="inlineStr">
        <is>
          <t>Not found</t>
        </is>
      </c>
      <c r="M150" s="4" t="inlineStr">
        <is>
          <t>Not identified</t>
        </is>
      </c>
      <c r="N150" s="4" t="inlineStr">
        <is>
          <t>Not identified</t>
        </is>
      </c>
      <c r="O150" s="4" t="inlineStr">
        <is>
          <t>Not published; use contact form</t>
        </is>
      </c>
      <c r="P150" s="4" t="inlineStr">
        <is>
          <t>Not confirmed</t>
        </is>
      </c>
      <c r="Q150" s="4" t="inlineStr">
        <is>
          <t>Not identified</t>
        </is>
      </c>
      <c r="R150" s="5" t="inlineStr">
        <is>
          <t>Likely</t>
        </is>
      </c>
      <c r="S150" s="4" t="n">
        <v>18</v>
      </c>
      <c r="T150" s="10" t="inlineStr">
        <is>
          <t>C</t>
        </is>
      </c>
      <c r="U150" s="4" t="inlineStr">
        <is>
          <t>Regional general medical equipment dealer with hospital and clinic accounts; candidate sub dealer under a national MAH partner.</t>
        </is>
      </c>
      <c r="V150" s="4" t="inlineStr">
        <is>
          <t>Introduce CHISON as a future line through a national MAH partner; ask about their hospital and clinic coverage, service engineers and openness to non Japanese brands.</t>
        </is>
      </c>
      <c r="W150" s="4" t="inlineStr">
        <is>
          <t>N (not identified)</t>
        </is>
      </c>
      <c r="X150" s="7" t="inlineStr">
        <is>
          <t>https://www.osaka-iryokiki-kyokai.com/member_list/</t>
        </is>
      </c>
      <c r="Y150" s="4" t="inlineStr">
        <is>
          <t>SonoEye P3 plus SonoAir 30 for GP and clinic accounts</t>
        </is>
      </c>
      <c r="Z150" s="4" t="inlineStr">
        <is>
          <t>2, 2, 3, 3, 3, 2, 3</t>
        </is>
      </c>
      <c r="AA150" s="4" t="inlineStr">
        <is>
          <t>Not found</t>
        </is>
      </c>
      <c r="AB150" s="4" t="inlineStr">
        <is>
          <t>Directory or search listing; not opened (direct site access blocked)</t>
        </is>
      </c>
      <c r="AC150" s="4" t="inlineStr">
        <is>
          <t>No expired licence or ended distribution agreement found</t>
        </is>
      </c>
      <c r="AD150" s="4" t="inlineStr">
        <is>
          <t>Not started</t>
        </is>
      </c>
      <c r="AE150" s="4" t="inlineStr"/>
      <c r="AF150" s="4" t="inlineStr">
        <is>
          <t>https://www.actmedic.jp/contact</t>
        </is>
      </c>
      <c r="AG150" s="4" t="inlineStr">
        <is>
          <t>No email published; use the contact form (link in Email source)</t>
        </is>
      </c>
    </row>
    <row r="151">
      <c r="A151" s="4" t="n">
        <v>147</v>
      </c>
      <c r="B151" s="4" t="inlineStr">
        <is>
          <t>Asuka Medical</t>
        </is>
      </c>
      <c r="C151" s="4" t="inlineStr">
        <is>
          <t>アスカメディカル</t>
        </is>
      </c>
      <c r="D151" s="4" t="inlineStr">
        <is>
          <t>Not retrieved (NTA lookup blocked in this session)</t>
        </is>
      </c>
      <c r="E151" s="4" t="inlineStr">
        <is>
          <t>大阪府</t>
        </is>
      </c>
      <c r="F151" s="4" t="inlineStr">
        <is>
          <t>Kansai</t>
        </is>
      </c>
      <c r="G151" s="4" t="inlineStr">
        <is>
          <t>https://asukamedical.co.jp/</t>
        </is>
      </c>
      <c r="H151" s="4" t="inlineStr">
        <is>
          <t>No MAH found; device sales licence (高度管理医療機器等販売業) not confirmed</t>
        </is>
      </c>
      <c r="I151" s="4" t="inlineStr">
        <is>
          <t>Not identified in published sources</t>
        </is>
      </c>
      <c r="J151" s="4" t="inlineStr">
        <is>
          <t>General medical equipment (hospitals and clinics)</t>
        </is>
      </c>
      <c r="K151" s="4" t="inlineStr">
        <is>
          <t>大阪府 (regional; branch network not confirmed)</t>
        </is>
      </c>
      <c r="L151" s="4" t="inlineStr">
        <is>
          <t>Not found</t>
        </is>
      </c>
      <c r="M151" s="4" t="inlineStr">
        <is>
          <t>Not identified</t>
        </is>
      </c>
      <c r="N151" s="4" t="inlineStr">
        <is>
          <t>Not identified</t>
        </is>
      </c>
      <c r="O151" s="4" t="inlineStr">
        <is>
          <t>Not published; use contact form</t>
        </is>
      </c>
      <c r="P151" s="4" t="inlineStr">
        <is>
          <t>Not confirmed</t>
        </is>
      </c>
      <c r="Q151" s="4" t="inlineStr">
        <is>
          <t>Not identified</t>
        </is>
      </c>
      <c r="R151" s="5" t="inlineStr">
        <is>
          <t>Likely</t>
        </is>
      </c>
      <c r="S151" s="4" t="n">
        <v>18</v>
      </c>
      <c r="T151" s="10" t="inlineStr">
        <is>
          <t>C</t>
        </is>
      </c>
      <c r="U151" s="4" t="inlineStr">
        <is>
          <t>Regional general medical equipment dealer with hospital and clinic accounts; candidate sub dealer under a national MAH partner.</t>
        </is>
      </c>
      <c r="V151" s="4" t="inlineStr">
        <is>
          <t>Introduce CHISON as a future line through a national MAH partner; ask about their hospital and clinic coverage, service engineers and openness to non Japanese brands.</t>
        </is>
      </c>
      <c r="W151" s="4" t="inlineStr">
        <is>
          <t>N (not identified)</t>
        </is>
      </c>
      <c r="X151" s="7" t="inlineStr">
        <is>
          <t>https://www.osaka-iryokiki-kyokai.com/member_list/</t>
        </is>
      </c>
      <c r="Y151" s="4" t="inlineStr">
        <is>
          <t>SonoEye P3 plus SonoAir 30 for GP and clinic accounts</t>
        </is>
      </c>
      <c r="Z151" s="4" t="inlineStr">
        <is>
          <t>2, 2, 3, 3, 3, 2, 3</t>
        </is>
      </c>
      <c r="AA151" s="4" t="inlineStr">
        <is>
          <t>Not found</t>
        </is>
      </c>
      <c r="AB151" s="4" t="inlineStr">
        <is>
          <t>Directory or search listing; not opened (direct site access blocked)</t>
        </is>
      </c>
      <c r="AC151" s="4" t="inlineStr">
        <is>
          <t>No expired licence or ended distribution agreement found</t>
        </is>
      </c>
      <c r="AD151" s="4" t="inlineStr">
        <is>
          <t>Not started</t>
        </is>
      </c>
      <c r="AE151" s="4" t="inlineStr"/>
      <c r="AF151" s="4" t="inlineStr">
        <is>
          <t>https://asukamedical.co.jp/contact</t>
        </is>
      </c>
      <c r="AG151" s="4" t="inlineStr">
        <is>
          <t>No email published; use the contact form (link in Email source)</t>
        </is>
      </c>
    </row>
    <row r="152">
      <c r="A152" s="4" t="n">
        <v>148</v>
      </c>
      <c r="B152" s="4" t="inlineStr">
        <is>
          <t>Intermed Japan</t>
        </is>
      </c>
      <c r="C152" s="4" t="inlineStr">
        <is>
          <t>インターメドジャパン</t>
        </is>
      </c>
      <c r="D152" s="4" t="inlineStr">
        <is>
          <t>Not retrieved (NTA lookup blocked in this session)</t>
        </is>
      </c>
      <c r="E152" s="4" t="inlineStr">
        <is>
          <t>大阪府</t>
        </is>
      </c>
      <c r="F152" s="4" t="inlineStr">
        <is>
          <t>Kansai</t>
        </is>
      </c>
      <c r="G152" s="4" t="inlineStr">
        <is>
          <t>https://intermedjp.co.jp/</t>
        </is>
      </c>
      <c r="H152" s="4" t="inlineStr">
        <is>
          <t>No MAH found; device sales licence (高度管理医療機器等販売業) not confirmed</t>
        </is>
      </c>
      <c r="I152" s="4" t="inlineStr">
        <is>
          <t>Not identified in published sources</t>
        </is>
      </c>
      <c r="J152" s="4" t="inlineStr">
        <is>
          <t>General medical equipment (hospitals and clinics)</t>
        </is>
      </c>
      <c r="K152" s="4" t="inlineStr">
        <is>
          <t>大阪府 (regional; branch network not confirmed)</t>
        </is>
      </c>
      <c r="L152" s="4" t="inlineStr">
        <is>
          <t>Not found</t>
        </is>
      </c>
      <c r="M152" s="4" t="inlineStr">
        <is>
          <t>Not identified</t>
        </is>
      </c>
      <c r="N152" s="4" t="inlineStr">
        <is>
          <t>Not identified</t>
        </is>
      </c>
      <c r="O152" s="4" t="inlineStr">
        <is>
          <t>a-tsukamoto@intermedjp.co.jp</t>
        </is>
      </c>
      <c r="P152" s="4" t="inlineStr">
        <is>
          <t>Not confirmed</t>
        </is>
      </c>
      <c r="Q152" s="4" t="inlineStr">
        <is>
          <t>Not identified</t>
        </is>
      </c>
      <c r="R152" s="5" t="inlineStr">
        <is>
          <t>Unverified</t>
        </is>
      </c>
      <c r="S152" s="4" t="n">
        <v>18</v>
      </c>
      <c r="T152" s="10" t="inlineStr">
        <is>
          <t>C</t>
        </is>
      </c>
      <c r="U152" s="4" t="inlineStr">
        <is>
          <t>Regional general medical equipment dealer with hospital and clinic accounts; candidate sub dealer under a national MAH partner.</t>
        </is>
      </c>
      <c r="V152" s="4" t="inlineStr">
        <is>
          <t>Introduce CHISON as a future line through a national MAH partner; ask about their hospital and clinic coverage, service engineers and openness to non Japanese brands.</t>
        </is>
      </c>
      <c r="W152" s="4" t="inlineStr">
        <is>
          <t>N (not identified)</t>
        </is>
      </c>
      <c r="X152" s="7" t="inlineStr">
        <is>
          <t>https://www.osaka-iryokiki-kyokai.com/member_list/</t>
        </is>
      </c>
      <c r="Y152" s="4" t="inlineStr">
        <is>
          <t>SonoEye P3 plus SonoAir 30 for GP and clinic accounts</t>
        </is>
      </c>
      <c r="Z152" s="4" t="inlineStr">
        <is>
          <t>2, 2, 3, 3, 3, 2, 3</t>
        </is>
      </c>
      <c r="AA152" s="4" t="inlineStr">
        <is>
          <t>Not found</t>
        </is>
      </c>
      <c r="AB152" s="4" t="inlineStr">
        <is>
          <t>Directory or search listing; not opened (direct site access blocked)</t>
        </is>
      </c>
      <c r="AC152" s="4" t="inlineStr">
        <is>
          <t>No expired licence or ended distribution agreement found</t>
        </is>
      </c>
      <c r="AD152" s="4" t="inlineStr">
        <is>
          <t>Not started</t>
        </is>
      </c>
      <c r="AE152" s="4" t="inlineStr"/>
      <c r="AF152" s="4" t="inlineStr">
        <is>
          <t>https://www.mhlw.go.jp/topics/bukyoku/iyaku/kaisyu/02-2-441.html</t>
        </is>
      </c>
      <c r="AG152" s="4" t="inlineStr">
        <is>
          <t>Likely: indexed on company domain</t>
        </is>
      </c>
    </row>
    <row r="153">
      <c r="A153" s="4" t="n">
        <v>149</v>
      </c>
      <c r="B153" s="4" t="inlineStr">
        <is>
          <t>With Medic</t>
        </is>
      </c>
      <c r="C153" s="4" t="inlineStr">
        <is>
          <t>ウィズメディック</t>
        </is>
      </c>
      <c r="D153" s="4" t="inlineStr">
        <is>
          <t>Not retrieved (NTA lookup blocked in this session)</t>
        </is>
      </c>
      <c r="E153" s="4" t="inlineStr">
        <is>
          <t>大阪府</t>
        </is>
      </c>
      <c r="F153" s="4" t="inlineStr">
        <is>
          <t>Kansai</t>
        </is>
      </c>
      <c r="G153" s="4" t="inlineStr">
        <is>
          <t>https://www.with-medic.com/</t>
        </is>
      </c>
      <c r="H153" s="4" t="inlineStr">
        <is>
          <t>No MAH found; device sales licence (高度管理医療機器等販売業) not confirmed</t>
        </is>
      </c>
      <c r="I153" s="4" t="inlineStr">
        <is>
          <t>Not identified in published sources</t>
        </is>
      </c>
      <c r="J153" s="4" t="inlineStr">
        <is>
          <t>General medical equipment (hospitals and clinics)</t>
        </is>
      </c>
      <c r="K153" s="4" t="inlineStr">
        <is>
          <t>大阪府 (regional; branch network not confirmed)</t>
        </is>
      </c>
      <c r="L153" s="4" t="inlineStr">
        <is>
          <t>Not found</t>
        </is>
      </c>
      <c r="M153" s="4" t="inlineStr">
        <is>
          <t>Not identified</t>
        </is>
      </c>
      <c r="N153" s="4" t="inlineStr">
        <is>
          <t>Not identified</t>
        </is>
      </c>
      <c r="O153" s="4" t="inlineStr">
        <is>
          <t>Not published; use contact form</t>
        </is>
      </c>
      <c r="P153" s="4" t="inlineStr">
        <is>
          <t>Not confirmed</t>
        </is>
      </c>
      <c r="Q153" s="4" t="inlineStr">
        <is>
          <t>Not identified</t>
        </is>
      </c>
      <c r="R153" s="5" t="inlineStr">
        <is>
          <t>Likely</t>
        </is>
      </c>
      <c r="S153" s="4" t="n">
        <v>18</v>
      </c>
      <c r="T153" s="10" t="inlineStr">
        <is>
          <t>C</t>
        </is>
      </c>
      <c r="U153" s="4" t="inlineStr">
        <is>
          <t>Regional general medical equipment dealer with hospital and clinic accounts; candidate sub dealer under a national MAH partner.</t>
        </is>
      </c>
      <c r="V153" s="4" t="inlineStr">
        <is>
          <t>Introduce CHISON as a future line through a national MAH partner; ask about their hospital and clinic coverage, service engineers and openness to non Japanese brands.</t>
        </is>
      </c>
      <c r="W153" s="4" t="inlineStr">
        <is>
          <t>N (not identified)</t>
        </is>
      </c>
      <c r="X153" s="7" t="inlineStr">
        <is>
          <t>https://www.osaka-iryokiki-kyokai.com/member_list/</t>
        </is>
      </c>
      <c r="Y153" s="4" t="inlineStr">
        <is>
          <t>SonoEye P3 plus SonoAir 30 for GP and clinic accounts</t>
        </is>
      </c>
      <c r="Z153" s="4" t="inlineStr">
        <is>
          <t>2, 2, 3, 3, 3, 2, 3</t>
        </is>
      </c>
      <c r="AA153" s="4" t="inlineStr">
        <is>
          <t>Not found</t>
        </is>
      </c>
      <c r="AB153" s="4" t="inlineStr">
        <is>
          <t>Directory or search listing; not opened (direct site access blocked)</t>
        </is>
      </c>
      <c r="AC153" s="4" t="inlineStr">
        <is>
          <t>No expired licence or ended distribution agreement found</t>
        </is>
      </c>
      <c r="AD153" s="4" t="inlineStr">
        <is>
          <t>Not started</t>
        </is>
      </c>
      <c r="AE153" s="4" t="inlineStr"/>
      <c r="AF153" s="4" t="inlineStr">
        <is>
          <t>https://www.with-medic.com</t>
        </is>
      </c>
      <c r="AG153" s="4" t="inlineStr">
        <is>
          <t>No email published; use the contact form (link in Email source)</t>
        </is>
      </c>
    </row>
    <row r="154">
      <c r="A154" s="4" t="n">
        <v>150</v>
      </c>
      <c r="B154" s="4" t="inlineStr">
        <is>
          <t>Uekita Shokai</t>
        </is>
      </c>
      <c r="C154" s="4" t="inlineStr">
        <is>
          <t>上北商会</t>
        </is>
      </c>
      <c r="D154" s="4" t="inlineStr">
        <is>
          <t>Not retrieved (NTA lookup blocked in this session)</t>
        </is>
      </c>
      <c r="E154" s="4" t="inlineStr">
        <is>
          <t>大阪府</t>
        </is>
      </c>
      <c r="F154" s="4" t="inlineStr">
        <is>
          <t>Kansai</t>
        </is>
      </c>
      <c r="G154" s="4" t="inlineStr">
        <is>
          <t>Not confirmed (company site not opened; network policy blocked direct access)</t>
        </is>
      </c>
      <c r="H154" s="4" t="inlineStr">
        <is>
          <t>No MAH found; device sales licence (高度管理医療機器等販売業) not confirmed</t>
        </is>
      </c>
      <c r="I154" s="4" t="inlineStr">
        <is>
          <t>Not identified in published sources</t>
        </is>
      </c>
      <c r="J154" s="4" t="inlineStr">
        <is>
          <t>General medical equipment (hospitals and clinics)</t>
        </is>
      </c>
      <c r="K154" s="4" t="inlineStr">
        <is>
          <t>大阪府 (regional; branch network not confirmed)</t>
        </is>
      </c>
      <c r="L154" s="4" t="inlineStr">
        <is>
          <t>Not found</t>
        </is>
      </c>
      <c r="M154" s="4" t="inlineStr">
        <is>
          <t>Not identified</t>
        </is>
      </c>
      <c r="N154" s="4" t="inlineStr">
        <is>
          <t>Not identified</t>
        </is>
      </c>
      <c r="O154" s="4" t="inlineStr">
        <is>
          <t>Not published; use company inquiry form</t>
        </is>
      </c>
      <c r="P154" s="4" t="inlineStr">
        <is>
          <t>Not confirmed</t>
        </is>
      </c>
      <c r="Q154" s="4" t="inlineStr">
        <is>
          <t>Not identified</t>
        </is>
      </c>
      <c r="R154" s="5" t="inlineStr">
        <is>
          <t>Unverified</t>
        </is>
      </c>
      <c r="S154" s="4" t="n">
        <v>18</v>
      </c>
      <c r="T154" s="10" t="inlineStr">
        <is>
          <t>C</t>
        </is>
      </c>
      <c r="U154" s="4" t="inlineStr">
        <is>
          <t>Regional general medical equipment dealer with hospital and clinic accounts; candidate sub dealer under a national MAH partner.</t>
        </is>
      </c>
      <c r="V154" s="4" t="inlineStr">
        <is>
          <t>Introduce CHISON as a future line through a national MAH partner; ask about their hospital and clinic coverage, service engineers and openness to non Japanese brands.</t>
        </is>
      </c>
      <c r="W154" s="4" t="inlineStr">
        <is>
          <t>N (not identified)</t>
        </is>
      </c>
      <c r="X154" s="7" t="inlineStr">
        <is>
          <t>https://www.osaka-iryokiki-kyokai.com/member_list/</t>
        </is>
      </c>
      <c r="Y154" s="4" t="inlineStr">
        <is>
          <t>SonoEye P3 plus SonoAir 30 for GP and clinic accounts</t>
        </is>
      </c>
      <c r="Z154" s="4" t="inlineStr">
        <is>
          <t>2, 2, 3, 3, 3, 2, 3</t>
        </is>
      </c>
      <c r="AA154" s="4" t="inlineStr">
        <is>
          <t>Not found</t>
        </is>
      </c>
      <c r="AB154" s="4" t="inlineStr">
        <is>
          <t>Directory or search listing; not opened (direct site access blocked)</t>
        </is>
      </c>
      <c r="AC154" s="4" t="inlineStr">
        <is>
          <t>No expired licence or ended distribution agreement found</t>
        </is>
      </c>
      <c r="AD154" s="4" t="inlineStr">
        <is>
          <t>Not started</t>
        </is>
      </c>
      <c r="AE154" s="4" t="inlineStr"/>
      <c r="AF154" s="4" t="inlineStr"/>
      <c r="AG154" s="4" t="inlineStr">
        <is>
          <t>No email published and no verified website found</t>
        </is>
      </c>
    </row>
    <row r="155">
      <c r="A155" s="4" t="n">
        <v>151</v>
      </c>
      <c r="B155" s="4" t="inlineStr">
        <is>
          <t>Uesugi Ika Kikai</t>
        </is>
      </c>
      <c r="C155" s="4" t="inlineStr">
        <is>
          <t>上杉医科器械</t>
        </is>
      </c>
      <c r="D155" s="4" t="inlineStr">
        <is>
          <t>Not retrieved (NTA lookup blocked in this session)</t>
        </is>
      </c>
      <c r="E155" s="4" t="inlineStr">
        <is>
          <t>大阪府</t>
        </is>
      </c>
      <c r="F155" s="4" t="inlineStr">
        <is>
          <t>Kansai</t>
        </is>
      </c>
      <c r="G155" s="4" t="inlineStr">
        <is>
          <t>Not confirmed (company site not opened; network policy blocked direct access)</t>
        </is>
      </c>
      <c r="H155" s="4" t="inlineStr">
        <is>
          <t>No MAH found; device sales licence (高度管理医療機器等販売業) not confirmed</t>
        </is>
      </c>
      <c r="I155" s="4" t="inlineStr">
        <is>
          <t>Not identified in published sources</t>
        </is>
      </c>
      <c r="J155" s="4" t="inlineStr">
        <is>
          <t>General medical equipment (hospitals and clinics)</t>
        </is>
      </c>
      <c r="K155" s="4" t="inlineStr">
        <is>
          <t>大阪府 (regional; branch network not confirmed)</t>
        </is>
      </c>
      <c r="L155" s="4" t="inlineStr">
        <is>
          <t>Not found</t>
        </is>
      </c>
      <c r="M155" s="4" t="inlineStr">
        <is>
          <t>Not identified</t>
        </is>
      </c>
      <c r="N155" s="4" t="inlineStr">
        <is>
          <t>Not identified</t>
        </is>
      </c>
      <c r="O155" s="4" t="inlineStr">
        <is>
          <t>Not published; use company inquiry form</t>
        </is>
      </c>
      <c r="P155" s="4" t="inlineStr">
        <is>
          <t>Not confirmed</t>
        </is>
      </c>
      <c r="Q155" s="4" t="inlineStr">
        <is>
          <t>Not identified</t>
        </is>
      </c>
      <c r="R155" s="5" t="inlineStr">
        <is>
          <t>Unverified</t>
        </is>
      </c>
      <c r="S155" s="4" t="n">
        <v>18</v>
      </c>
      <c r="T155" s="10" t="inlineStr">
        <is>
          <t>C</t>
        </is>
      </c>
      <c r="U155" s="4" t="inlineStr">
        <is>
          <t>Regional general medical equipment dealer with hospital and clinic accounts; candidate sub dealer under a national MAH partner.</t>
        </is>
      </c>
      <c r="V155" s="4" t="inlineStr">
        <is>
          <t>Introduce CHISON as a future line through a national MAH partner; ask about their hospital and clinic coverage, service engineers and openness to non Japanese brands.</t>
        </is>
      </c>
      <c r="W155" s="4" t="inlineStr">
        <is>
          <t>N (not identified)</t>
        </is>
      </c>
      <c r="X155" s="7" t="inlineStr">
        <is>
          <t>https://www.osaka-iryokiki-kyokai.com/member_list/</t>
        </is>
      </c>
      <c r="Y155" s="4" t="inlineStr">
        <is>
          <t>SonoEye P3 plus SonoAir 30 for GP and clinic accounts</t>
        </is>
      </c>
      <c r="Z155" s="4" t="inlineStr">
        <is>
          <t>2, 2, 3, 3, 3, 2, 3</t>
        </is>
      </c>
      <c r="AA155" s="4" t="inlineStr">
        <is>
          <t>Not found</t>
        </is>
      </c>
      <c r="AB155" s="4" t="inlineStr">
        <is>
          <t>Directory or search listing; not opened (direct site access blocked)</t>
        </is>
      </c>
      <c r="AC155" s="4" t="inlineStr">
        <is>
          <t>No expired licence or ended distribution agreement found</t>
        </is>
      </c>
      <c r="AD155" s="4" t="inlineStr">
        <is>
          <t>Not started</t>
        </is>
      </c>
      <c r="AE155" s="4" t="inlineStr"/>
      <c r="AF155" s="4" t="inlineStr"/>
      <c r="AG155" s="4" t="inlineStr">
        <is>
          <t>No email published and no verified website found</t>
        </is>
      </c>
    </row>
    <row r="156">
      <c r="A156" s="4" t="n">
        <v>152</v>
      </c>
      <c r="B156" s="4" t="inlineStr">
        <is>
          <t>Uemura Iryoki</t>
        </is>
      </c>
      <c r="C156" s="4" t="inlineStr">
        <is>
          <t>植村医療器</t>
        </is>
      </c>
      <c r="D156" s="4" t="inlineStr">
        <is>
          <t>Not retrieved (NTA lookup blocked in this session)</t>
        </is>
      </c>
      <c r="E156" s="4" t="inlineStr">
        <is>
          <t>大阪府</t>
        </is>
      </c>
      <c r="F156" s="4" t="inlineStr">
        <is>
          <t>Kansai</t>
        </is>
      </c>
      <c r="G156" s="4" t="inlineStr">
        <is>
          <t>Not confirmed (company site not opened; network policy blocked direct access)</t>
        </is>
      </c>
      <c r="H156" s="4" t="inlineStr">
        <is>
          <t>No MAH found; device sales licence (高度管理医療機器等販売業) not confirmed</t>
        </is>
      </c>
      <c r="I156" s="4" t="inlineStr">
        <is>
          <t>Not identified in published sources</t>
        </is>
      </c>
      <c r="J156" s="4" t="inlineStr">
        <is>
          <t>General medical equipment (hospitals and clinics)</t>
        </is>
      </c>
      <c r="K156" s="4" t="inlineStr">
        <is>
          <t>大阪府 (regional; branch network not confirmed)</t>
        </is>
      </c>
      <c r="L156" s="4" t="inlineStr">
        <is>
          <t>Not found</t>
        </is>
      </c>
      <c r="M156" s="4" t="inlineStr">
        <is>
          <t>Not identified</t>
        </is>
      </c>
      <c r="N156" s="4" t="inlineStr">
        <is>
          <t>Not identified</t>
        </is>
      </c>
      <c r="O156" s="4" t="inlineStr">
        <is>
          <t>Not published; use company inquiry form</t>
        </is>
      </c>
      <c r="P156" s="4" t="inlineStr">
        <is>
          <t>Not confirmed</t>
        </is>
      </c>
      <c r="Q156" s="4" t="inlineStr">
        <is>
          <t>Not identified</t>
        </is>
      </c>
      <c r="R156" s="5" t="inlineStr">
        <is>
          <t>Unverified</t>
        </is>
      </c>
      <c r="S156" s="4" t="n">
        <v>18</v>
      </c>
      <c r="T156" s="10" t="inlineStr">
        <is>
          <t>C</t>
        </is>
      </c>
      <c r="U156" s="4" t="inlineStr">
        <is>
          <t>Regional general medical equipment dealer with hospital and clinic accounts; candidate sub dealer under a national MAH partner.</t>
        </is>
      </c>
      <c r="V156" s="4" t="inlineStr">
        <is>
          <t>Introduce CHISON as a future line through a national MAH partner; ask about their hospital and clinic coverage, service engineers and openness to non Japanese brands.</t>
        </is>
      </c>
      <c r="W156" s="4" t="inlineStr">
        <is>
          <t>N (not identified)</t>
        </is>
      </c>
      <c r="X156" s="7" t="inlineStr">
        <is>
          <t>https://www.osaka-iryokiki-kyokai.com/member_list/</t>
        </is>
      </c>
      <c r="Y156" s="4" t="inlineStr">
        <is>
          <t>SonoEye P3 plus SonoAir 30 for GP and clinic accounts</t>
        </is>
      </c>
      <c r="Z156" s="4" t="inlineStr">
        <is>
          <t>2, 2, 3, 3, 3, 2, 3</t>
        </is>
      </c>
      <c r="AA156" s="4" t="inlineStr">
        <is>
          <t>Not found</t>
        </is>
      </c>
      <c r="AB156" s="4" t="inlineStr">
        <is>
          <t>Directory or search listing; not opened (direct site access blocked)</t>
        </is>
      </c>
      <c r="AC156" s="4" t="inlineStr">
        <is>
          <t>No expired licence or ended distribution agreement found</t>
        </is>
      </c>
      <c r="AD156" s="4" t="inlineStr">
        <is>
          <t>Not started</t>
        </is>
      </c>
      <c r="AE156" s="4" t="inlineStr"/>
      <c r="AF156" s="4" t="inlineStr"/>
      <c r="AG156" s="4" t="inlineStr">
        <is>
          <t>No email published and no verified website found</t>
        </is>
      </c>
    </row>
    <row r="157">
      <c r="A157" s="4" t="n">
        <v>153</v>
      </c>
      <c r="B157" s="4" t="inlineStr">
        <is>
          <t>MCS</t>
        </is>
      </c>
      <c r="C157" s="4" t="inlineStr">
        <is>
          <t>エムシーエス</t>
        </is>
      </c>
      <c r="D157" s="4" t="inlineStr">
        <is>
          <t>Not retrieved (NTA lookup blocked in this session)</t>
        </is>
      </c>
      <c r="E157" s="4" t="inlineStr">
        <is>
          <t>大阪府</t>
        </is>
      </c>
      <c r="F157" s="4" t="inlineStr">
        <is>
          <t>Kansai</t>
        </is>
      </c>
      <c r="G157" s="4" t="inlineStr">
        <is>
          <t>https://www.mcs-g.co.jp/</t>
        </is>
      </c>
      <c r="H157" s="4" t="inlineStr">
        <is>
          <t>No MAH found; device sales licence (高度管理医療機器等販売業) not confirmed</t>
        </is>
      </c>
      <c r="I157" s="4" t="inlineStr">
        <is>
          <t>Not identified in published sources</t>
        </is>
      </c>
      <c r="J157" s="4" t="inlineStr">
        <is>
          <t>General medical equipment (hospitals and clinics)</t>
        </is>
      </c>
      <c r="K157" s="4" t="inlineStr">
        <is>
          <t>大阪府 (regional; branch network not confirmed)</t>
        </is>
      </c>
      <c r="L157" s="4" t="inlineStr">
        <is>
          <t>Not found</t>
        </is>
      </c>
      <c r="M157" s="4" t="inlineStr">
        <is>
          <t>Not identified</t>
        </is>
      </c>
      <c r="N157" s="4" t="inlineStr">
        <is>
          <t>Not identified</t>
        </is>
      </c>
      <c r="O157" s="4" t="inlineStr">
        <is>
          <t>info@mcs-g.co.jp</t>
        </is>
      </c>
      <c r="P157" s="4" t="inlineStr">
        <is>
          <t>Not confirmed</t>
        </is>
      </c>
      <c r="Q157" s="4" t="inlineStr">
        <is>
          <t>Not identified</t>
        </is>
      </c>
      <c r="R157" s="5" t="inlineStr">
        <is>
          <t>Unverified</t>
        </is>
      </c>
      <c r="S157" s="4" t="n">
        <v>18</v>
      </c>
      <c r="T157" s="10" t="inlineStr">
        <is>
          <t>C</t>
        </is>
      </c>
      <c r="U157" s="4" t="inlineStr">
        <is>
          <t>Regional general medical equipment dealer with hospital and clinic accounts; candidate sub dealer under a national MAH partner.</t>
        </is>
      </c>
      <c r="V157" s="4" t="inlineStr">
        <is>
          <t>Introduce CHISON as a future line through a national MAH partner; ask about their hospital and clinic coverage, service engineers and openness to non Japanese brands.</t>
        </is>
      </c>
      <c r="W157" s="4" t="inlineStr">
        <is>
          <t>N (not identified)</t>
        </is>
      </c>
      <c r="X157" s="7" t="inlineStr">
        <is>
          <t>https://www.osaka-iryokiki-kyokai.com/member_list/</t>
        </is>
      </c>
      <c r="Y157" s="4" t="inlineStr">
        <is>
          <t>SonoEye P3 plus SonoAir 30 for GP and clinic accounts</t>
        </is>
      </c>
      <c r="Z157" s="4" t="inlineStr">
        <is>
          <t>2, 2, 3, 3, 3, 2, 3</t>
        </is>
      </c>
      <c r="AA157" s="4" t="inlineStr">
        <is>
          <t>Not found</t>
        </is>
      </c>
      <c r="AB157" s="4" t="inlineStr">
        <is>
          <t>Directory or search listing; not opened (direct site access blocked)</t>
        </is>
      </c>
      <c r="AC157" s="4" t="inlineStr">
        <is>
          <t>No expired licence or ended distribution agreement found</t>
        </is>
      </c>
      <c r="AD157" s="4" t="inlineStr">
        <is>
          <t>Not started</t>
        </is>
      </c>
      <c r="AE157" s="4" t="inlineStr"/>
      <c r="AF157" s="4" t="inlineStr">
        <is>
          <t>https://www.mcs-g.co.jp/</t>
        </is>
      </c>
      <c r="AG157" s="4" t="inlineStr">
        <is>
          <t>Verified: published on company website</t>
        </is>
      </c>
    </row>
    <row r="158">
      <c r="A158" s="4" t="n">
        <v>154</v>
      </c>
      <c r="B158" s="4" t="inlineStr">
        <is>
          <t>MDI Japan</t>
        </is>
      </c>
      <c r="C158" s="4" t="inlineStr">
        <is>
          <t>エムディアイジャパン</t>
        </is>
      </c>
      <c r="D158" s="4" t="inlineStr">
        <is>
          <t>Not retrieved (NTA lookup blocked in this session)</t>
        </is>
      </c>
      <c r="E158" s="4" t="inlineStr">
        <is>
          <t>大阪府</t>
        </is>
      </c>
      <c r="F158" s="4" t="inlineStr">
        <is>
          <t>Kansai</t>
        </is>
      </c>
      <c r="G158" s="4" t="inlineStr">
        <is>
          <t>https://mdijapan.co.jp/</t>
        </is>
      </c>
      <c r="H158" s="4" t="inlineStr">
        <is>
          <t>No MAH found; device sales licence (高度管理医療機器等販売業) not confirmed</t>
        </is>
      </c>
      <c r="I158" s="4" t="inlineStr">
        <is>
          <t>Not identified in published sources</t>
        </is>
      </c>
      <c r="J158" s="4" t="inlineStr">
        <is>
          <t>General medical equipment (hospitals and clinics)</t>
        </is>
      </c>
      <c r="K158" s="4" t="inlineStr">
        <is>
          <t>大阪府 (regional; branch network not confirmed)</t>
        </is>
      </c>
      <c r="L158" s="4" t="inlineStr">
        <is>
          <t>Not found</t>
        </is>
      </c>
      <c r="M158" s="4" t="inlineStr">
        <is>
          <t>Not identified</t>
        </is>
      </c>
      <c r="N158" s="4" t="inlineStr">
        <is>
          <t>Not identified</t>
        </is>
      </c>
      <c r="O158" s="4" t="inlineStr">
        <is>
          <t>info@mdijapan.co.jp</t>
        </is>
      </c>
      <c r="P158" s="4" t="inlineStr">
        <is>
          <t>Not confirmed</t>
        </is>
      </c>
      <c r="Q158" s="4" t="inlineStr">
        <is>
          <t>Not identified</t>
        </is>
      </c>
      <c r="R158" s="5" t="inlineStr">
        <is>
          <t>Unverified</t>
        </is>
      </c>
      <c r="S158" s="4" t="n">
        <v>18</v>
      </c>
      <c r="T158" s="10" t="inlineStr">
        <is>
          <t>C</t>
        </is>
      </c>
      <c r="U158" s="4" t="inlineStr">
        <is>
          <t>Regional general medical equipment dealer with hospital and clinic accounts; candidate sub dealer under a national MAH partner.</t>
        </is>
      </c>
      <c r="V158" s="4" t="inlineStr">
        <is>
          <t>Introduce CHISON as a future line through a national MAH partner; ask about their hospital and clinic coverage, service engineers and openness to non Japanese brands.</t>
        </is>
      </c>
      <c r="W158" s="4" t="inlineStr">
        <is>
          <t>N (not identified)</t>
        </is>
      </c>
      <c r="X158" s="7" t="inlineStr">
        <is>
          <t>https://www.osaka-iryokiki-kyokai.com/member_list/</t>
        </is>
      </c>
      <c r="Y158" s="4" t="inlineStr">
        <is>
          <t>SonoEye P3 plus SonoAir 30 for GP and clinic accounts</t>
        </is>
      </c>
      <c r="Z158" s="4" t="inlineStr">
        <is>
          <t>2, 2, 3, 3, 3, 2, 3</t>
        </is>
      </c>
      <c r="AA158" s="4" t="inlineStr">
        <is>
          <t>Not found</t>
        </is>
      </c>
      <c r="AB158" s="4" t="inlineStr">
        <is>
          <t>Directory or search listing; not opened (direct site access blocked)</t>
        </is>
      </c>
      <c r="AC158" s="4" t="inlineStr">
        <is>
          <t>No expired licence or ended distribution agreement found</t>
        </is>
      </c>
      <c r="AD158" s="4" t="inlineStr">
        <is>
          <t>Not started</t>
        </is>
      </c>
      <c r="AE158" s="4" t="inlineStr"/>
      <c r="AF158" s="4" t="inlineStr">
        <is>
          <t>https://mdijapan.co.jp/</t>
        </is>
      </c>
      <c r="AG158" s="4" t="inlineStr">
        <is>
          <t>Verified: published on company website</t>
        </is>
      </c>
    </row>
    <row r="159">
      <c r="A159" s="4" t="n">
        <v>155</v>
      </c>
      <c r="B159" s="4" t="inlineStr">
        <is>
          <t>L&amp;L</t>
        </is>
      </c>
      <c r="C159" s="4" t="inlineStr">
        <is>
          <t>エルアンドエル</t>
        </is>
      </c>
      <c r="D159" s="4" t="inlineStr">
        <is>
          <t>Not retrieved (NTA lookup blocked in this session)</t>
        </is>
      </c>
      <c r="E159" s="4" t="inlineStr">
        <is>
          <t>大阪府</t>
        </is>
      </c>
      <c r="F159" s="4" t="inlineStr">
        <is>
          <t>Kansai</t>
        </is>
      </c>
      <c r="G159" s="4" t="inlineStr">
        <is>
          <t>http://l-and-l.jp/</t>
        </is>
      </c>
      <c r="H159" s="4" t="inlineStr">
        <is>
          <t>No MAH found; device sales licence (高度管理医療機器等販売業) not confirmed</t>
        </is>
      </c>
      <c r="I159" s="4" t="inlineStr">
        <is>
          <t>Not identified in published sources</t>
        </is>
      </c>
      <c r="J159" s="4" t="inlineStr">
        <is>
          <t>General medical equipment (hospitals and clinics)</t>
        </is>
      </c>
      <c r="K159" s="4" t="inlineStr">
        <is>
          <t>大阪府 (regional; branch network not confirmed)</t>
        </is>
      </c>
      <c r="L159" s="4" t="inlineStr">
        <is>
          <t>Not found</t>
        </is>
      </c>
      <c r="M159" s="4" t="inlineStr">
        <is>
          <t>Not identified</t>
        </is>
      </c>
      <c r="N159" s="4" t="inlineStr">
        <is>
          <t>Not identified</t>
        </is>
      </c>
      <c r="O159" s="4" t="inlineStr">
        <is>
          <t>Not published; use contact form</t>
        </is>
      </c>
      <c r="P159" s="4" t="inlineStr">
        <is>
          <t>Not confirmed</t>
        </is>
      </c>
      <c r="Q159" s="4" t="inlineStr">
        <is>
          <t>Not identified</t>
        </is>
      </c>
      <c r="R159" s="5" t="inlineStr">
        <is>
          <t>Likely</t>
        </is>
      </c>
      <c r="S159" s="4" t="n">
        <v>18</v>
      </c>
      <c r="T159" s="10" t="inlineStr">
        <is>
          <t>C</t>
        </is>
      </c>
      <c r="U159" s="4" t="inlineStr">
        <is>
          <t>Regional general medical equipment dealer with hospital and clinic accounts; candidate sub dealer under a national MAH partner.</t>
        </is>
      </c>
      <c r="V159" s="4" t="inlineStr">
        <is>
          <t>Introduce CHISON as a future line through a national MAH partner; ask about their hospital and clinic coverage, service engineers and openness to non Japanese brands.</t>
        </is>
      </c>
      <c r="W159" s="4" t="inlineStr">
        <is>
          <t>N (not identified)</t>
        </is>
      </c>
      <c r="X159" s="7" t="inlineStr">
        <is>
          <t>https://www.osaka-iryokiki-kyokai.com/member_list/</t>
        </is>
      </c>
      <c r="Y159" s="4" t="inlineStr">
        <is>
          <t>SonoEye P3 plus SonoAir 30 for GP and clinic accounts</t>
        </is>
      </c>
      <c r="Z159" s="4" t="inlineStr">
        <is>
          <t>2, 2, 3, 3, 3, 2, 3</t>
        </is>
      </c>
      <c r="AA159" s="4" t="inlineStr">
        <is>
          <t>Not found</t>
        </is>
      </c>
      <c r="AB159" s="4" t="inlineStr">
        <is>
          <t>Directory or search listing; not opened (direct site access blocked)</t>
        </is>
      </c>
      <c r="AC159" s="4" t="inlineStr">
        <is>
          <t>No expired licence or ended distribution agreement found</t>
        </is>
      </c>
      <c r="AD159" s="4" t="inlineStr">
        <is>
          <t>Not started</t>
        </is>
      </c>
      <c r="AE159" s="4" t="inlineStr"/>
      <c r="AF159" s="4" t="inlineStr">
        <is>
          <t>http://l-and-l.jp/contact.php</t>
        </is>
      </c>
      <c r="AG159" s="4" t="inlineStr">
        <is>
          <t>No email published; use the contact form (link in Email source)</t>
        </is>
      </c>
    </row>
    <row r="160">
      <c r="A160" s="4" t="n">
        <v>156</v>
      </c>
      <c r="B160" s="4" t="inlineStr">
        <is>
          <t>Ota Iryo</t>
        </is>
      </c>
      <c r="C160" s="4" t="inlineStr">
        <is>
          <t>太田医療</t>
        </is>
      </c>
      <c r="D160" s="4" t="inlineStr">
        <is>
          <t>Not retrieved (NTA lookup blocked in this session)</t>
        </is>
      </c>
      <c r="E160" s="4" t="inlineStr">
        <is>
          <t>大阪府</t>
        </is>
      </c>
      <c r="F160" s="4" t="inlineStr">
        <is>
          <t>Kansai</t>
        </is>
      </c>
      <c r="G160" s="4" t="inlineStr">
        <is>
          <t>https://www.ota.ac.jp/</t>
        </is>
      </c>
      <c r="H160" s="4" t="inlineStr">
        <is>
          <t>No MAH found; device sales licence (高度管理医療機器等販売業) not confirmed</t>
        </is>
      </c>
      <c r="I160" s="4" t="inlineStr">
        <is>
          <t>Not identified in published sources</t>
        </is>
      </c>
      <c r="J160" s="4" t="inlineStr">
        <is>
          <t>General medical equipment (hospitals and clinics)</t>
        </is>
      </c>
      <c r="K160" s="4" t="inlineStr">
        <is>
          <t>大阪府 (regional; branch network not confirmed)</t>
        </is>
      </c>
      <c r="L160" s="4" t="inlineStr">
        <is>
          <t>Not found</t>
        </is>
      </c>
      <c r="M160" s="4" t="inlineStr">
        <is>
          <t>Not identified</t>
        </is>
      </c>
      <c r="N160" s="4" t="inlineStr">
        <is>
          <t>Not identified</t>
        </is>
      </c>
      <c r="O160" s="4" t="inlineStr">
        <is>
          <t>Not published; use company inquiry form</t>
        </is>
      </c>
      <c r="P160" s="4" t="inlineStr">
        <is>
          <t>Not confirmed</t>
        </is>
      </c>
      <c r="Q160" s="4" t="inlineStr">
        <is>
          <t>Not identified</t>
        </is>
      </c>
      <c r="R160" s="5" t="inlineStr">
        <is>
          <t>Company inquiry only</t>
        </is>
      </c>
      <c r="S160" s="4" t="n">
        <v>18</v>
      </c>
      <c r="T160" s="10" t="inlineStr">
        <is>
          <t>C</t>
        </is>
      </c>
      <c r="U160" s="4" t="inlineStr">
        <is>
          <t>Regional general medical equipment dealer with hospital and clinic accounts; candidate sub dealer under a national MAH partner.</t>
        </is>
      </c>
      <c r="V160" s="4" t="inlineStr">
        <is>
          <t>Introduce CHISON as a future line through a national MAH partner; ask about their hospital and clinic coverage, service engineers and openness to non Japanese brands.</t>
        </is>
      </c>
      <c r="W160" s="4" t="inlineStr">
        <is>
          <t>N (not identified)</t>
        </is>
      </c>
      <c r="X160" s="7" t="inlineStr">
        <is>
          <t>https://www.osaka-iryokiki-kyokai.com/member_list/</t>
        </is>
      </c>
      <c r="Y160" s="4" t="inlineStr">
        <is>
          <t>SonoEye P3 plus SonoAir 30 for GP and clinic accounts</t>
        </is>
      </c>
      <c r="Z160" s="4" t="inlineStr">
        <is>
          <t>2, 2, 3, 3, 3, 2, 3</t>
        </is>
      </c>
      <c r="AA160" s="4" t="inlineStr">
        <is>
          <t>Not found</t>
        </is>
      </c>
      <c r="AB160" s="4" t="inlineStr">
        <is>
          <t>Directory or search listing; not opened (direct site access blocked)</t>
        </is>
      </c>
      <c r="AC160" s="4" t="inlineStr">
        <is>
          <t>No expired licence or ended distribution agreement found</t>
        </is>
      </c>
      <c r="AD160" s="4" t="inlineStr">
        <is>
          <t>Not started</t>
        </is>
      </c>
      <c r="AE160" s="4" t="inlineStr"/>
      <c r="AF160" s="4" t="inlineStr"/>
      <c r="AG160" s="4" t="inlineStr">
        <is>
          <t>No email published; website has no contact page link, phone first</t>
        </is>
      </c>
    </row>
    <row r="161">
      <c r="A161" s="4" t="n">
        <v>157</v>
      </c>
      <c r="B161" s="4" t="inlineStr">
        <is>
          <t>Omori</t>
        </is>
      </c>
      <c r="C161" s="4" t="inlineStr">
        <is>
          <t>オオモリ</t>
        </is>
      </c>
      <c r="D161" s="4" t="inlineStr">
        <is>
          <t>Not retrieved (NTA lookup blocked in this session)</t>
        </is>
      </c>
      <c r="E161" s="4" t="inlineStr">
        <is>
          <t>大阪府</t>
        </is>
      </c>
      <c r="F161" s="4" t="inlineStr">
        <is>
          <t>Kansai</t>
        </is>
      </c>
      <c r="G161" s="4" t="inlineStr">
        <is>
          <t>https://e-omori.co.jp/</t>
        </is>
      </c>
      <c r="H161" s="4" t="inlineStr">
        <is>
          <t>No MAH found; device sales licence (高度管理医療機器等販売業) not confirmed</t>
        </is>
      </c>
      <c r="I161" s="4" t="inlineStr">
        <is>
          <t>Not identified in published sources</t>
        </is>
      </c>
      <c r="J161" s="4" t="inlineStr">
        <is>
          <t>General medical equipment (hospitals and clinics)</t>
        </is>
      </c>
      <c r="K161" s="4" t="inlineStr">
        <is>
          <t>大阪府 (regional; branch network not confirmed)</t>
        </is>
      </c>
      <c r="L161" s="4" t="inlineStr">
        <is>
          <t>Not found</t>
        </is>
      </c>
      <c r="M161" s="4" t="inlineStr">
        <is>
          <t>Not identified</t>
        </is>
      </c>
      <c r="N161" s="4" t="inlineStr">
        <is>
          <t>Not identified</t>
        </is>
      </c>
      <c r="O161" s="4" t="inlineStr">
        <is>
          <t>Not published; use contact form</t>
        </is>
      </c>
      <c r="P161" s="4" t="inlineStr">
        <is>
          <t>Not confirmed</t>
        </is>
      </c>
      <c r="Q161" s="4" t="inlineStr">
        <is>
          <t>Not identified</t>
        </is>
      </c>
      <c r="R161" s="5" t="inlineStr">
        <is>
          <t>Likely</t>
        </is>
      </c>
      <c r="S161" s="4" t="n">
        <v>18</v>
      </c>
      <c r="T161" s="10" t="inlineStr">
        <is>
          <t>C</t>
        </is>
      </c>
      <c r="U161" s="4" t="inlineStr">
        <is>
          <t>Regional general medical equipment dealer with hospital and clinic accounts; candidate sub dealer under a national MAH partner.</t>
        </is>
      </c>
      <c r="V161" s="4" t="inlineStr">
        <is>
          <t>Introduce CHISON as a future line through a national MAH partner; ask about their hospital and clinic coverage, service engineers and openness to non Japanese brands.</t>
        </is>
      </c>
      <c r="W161" s="4" t="inlineStr">
        <is>
          <t>N (not identified)</t>
        </is>
      </c>
      <c r="X161" s="7" t="inlineStr">
        <is>
          <t>https://www.osaka-iryokiki-kyokai.com/member_list/</t>
        </is>
      </c>
      <c r="Y161" s="4" t="inlineStr">
        <is>
          <t>SonoEye P3 plus SonoAir 30 for GP and clinic accounts</t>
        </is>
      </c>
      <c r="Z161" s="4" t="inlineStr">
        <is>
          <t>2, 2, 3, 3, 3, 2, 3</t>
        </is>
      </c>
      <c r="AA161" s="4" t="inlineStr">
        <is>
          <t>Not found</t>
        </is>
      </c>
      <c r="AB161" s="4" t="inlineStr">
        <is>
          <t>Recheck: no independent confirmation found; directory listing only (listed in Osaka Medical Device Assoc roster)</t>
        </is>
      </c>
      <c r="AC161" s="4" t="inlineStr">
        <is>
          <t>No expired licence or ended distribution agreement found</t>
        </is>
      </c>
      <c r="AD161" s="4" t="inlineStr">
        <is>
          <t>Not started</t>
        </is>
      </c>
      <c r="AE161" s="4" t="inlineStr"/>
      <c r="AF161" s="4" t="inlineStr">
        <is>
          <t>https://e-omori.co.jp/contact/</t>
        </is>
      </c>
      <c r="AG161" s="4" t="inlineStr">
        <is>
          <t>No email published; use the contact form (link in Email source)</t>
        </is>
      </c>
    </row>
    <row r="162">
      <c r="A162" s="4" t="n">
        <v>158</v>
      </c>
      <c r="B162" s="4" t="inlineStr">
        <is>
          <t>Hisamura Ika Kikai</t>
        </is>
      </c>
      <c r="C162" s="4" t="inlineStr">
        <is>
          <t>久村医科器械</t>
        </is>
      </c>
      <c r="D162" s="4" t="inlineStr">
        <is>
          <t>Not retrieved (NTA lookup blocked in this session)</t>
        </is>
      </c>
      <c r="E162" s="4" t="inlineStr">
        <is>
          <t>大阪府</t>
        </is>
      </c>
      <c r="F162" s="4" t="inlineStr">
        <is>
          <t>Kansai</t>
        </is>
      </c>
      <c r="G162" s="4" t="inlineStr">
        <is>
          <t>Not confirmed (company site not opened; network policy blocked direct access)</t>
        </is>
      </c>
      <c r="H162" s="4" t="inlineStr">
        <is>
          <t>No MAH found; device sales licence (高度管理医療機器等販売業) not confirmed</t>
        </is>
      </c>
      <c r="I162" s="4" t="inlineStr">
        <is>
          <t>Not identified in published sources</t>
        </is>
      </c>
      <c r="J162" s="4" t="inlineStr">
        <is>
          <t>General medical equipment (hospitals and clinics)</t>
        </is>
      </c>
      <c r="K162" s="4" t="inlineStr">
        <is>
          <t>大阪府 (regional; branch network not confirmed)</t>
        </is>
      </c>
      <c r="L162" s="4" t="inlineStr">
        <is>
          <t>Not found</t>
        </is>
      </c>
      <c r="M162" s="4" t="inlineStr">
        <is>
          <t>Not identified</t>
        </is>
      </c>
      <c r="N162" s="4" t="inlineStr">
        <is>
          <t>Not identified</t>
        </is>
      </c>
      <c r="O162" s="4" t="inlineStr">
        <is>
          <t>Not published; use company inquiry form</t>
        </is>
      </c>
      <c r="P162" s="4" t="inlineStr">
        <is>
          <t>Not confirmed</t>
        </is>
      </c>
      <c r="Q162" s="4" t="inlineStr">
        <is>
          <t>Not identified</t>
        </is>
      </c>
      <c r="R162" s="5" t="inlineStr">
        <is>
          <t>Unverified</t>
        </is>
      </c>
      <c r="S162" s="4" t="n">
        <v>18</v>
      </c>
      <c r="T162" s="10" t="inlineStr">
        <is>
          <t>C</t>
        </is>
      </c>
      <c r="U162" s="4" t="inlineStr">
        <is>
          <t>Regional general medical equipment dealer with hospital and clinic accounts; candidate sub dealer under a national MAH partner.</t>
        </is>
      </c>
      <c r="V162" s="4" t="inlineStr">
        <is>
          <t>Introduce CHISON as a future line through a national MAH partner; ask about their hospital and clinic coverage, service engineers and openness to non Japanese brands.</t>
        </is>
      </c>
      <c r="W162" s="4" t="inlineStr">
        <is>
          <t>N (not identified)</t>
        </is>
      </c>
      <c r="X162" s="7" t="inlineStr">
        <is>
          <t>https://www.osaka-iryokiki-kyokai.com/member_list/06.html</t>
        </is>
      </c>
      <c r="Y162" s="4" t="inlineStr">
        <is>
          <t>SonoEye P3 plus SonoAir 30 for GP and clinic accounts</t>
        </is>
      </c>
      <c r="Z162" s="4" t="inlineStr">
        <is>
          <t>2, 2, 3, 3, 3, 2, 3</t>
        </is>
      </c>
      <c r="AA162" s="4" t="inlineStr">
        <is>
          <t>Not found</t>
        </is>
      </c>
      <c r="AB162" s="4" t="inlineStr">
        <is>
          <t>Directory or search listing; not opened (direct site access blocked)</t>
        </is>
      </c>
      <c r="AC162" s="4" t="inlineStr">
        <is>
          <t>No expired licence or ended distribution agreement found</t>
        </is>
      </c>
      <c r="AD162" s="4" t="inlineStr">
        <is>
          <t>Not started</t>
        </is>
      </c>
      <c r="AE162" s="4" t="inlineStr"/>
      <c r="AF162" s="4" t="inlineStr"/>
      <c r="AG162" s="4" t="inlineStr">
        <is>
          <t>No email published and no verified website found</t>
        </is>
      </c>
    </row>
    <row r="163">
      <c r="A163" s="4" t="n">
        <v>159</v>
      </c>
      <c r="B163" s="4" t="inlineStr">
        <is>
          <t>Hiratani</t>
        </is>
      </c>
      <c r="C163" s="4" t="inlineStr">
        <is>
          <t>ヒラタニ</t>
        </is>
      </c>
      <c r="D163" s="4" t="inlineStr">
        <is>
          <t>Not retrieved (NTA lookup blocked in this session)</t>
        </is>
      </c>
      <c r="E163" s="4" t="inlineStr">
        <is>
          <t>大阪府</t>
        </is>
      </c>
      <c r="F163" s="4" t="inlineStr">
        <is>
          <t>Kansai</t>
        </is>
      </c>
      <c r="G163" s="4" t="inlineStr">
        <is>
          <t>http://www.hiratani.com/</t>
        </is>
      </c>
      <c r="H163" s="4" t="inlineStr">
        <is>
          <t>No MAH found; device sales licence (高度管理医療機器等販売業) not confirmed</t>
        </is>
      </c>
      <c r="I163" s="4" t="inlineStr">
        <is>
          <t>Not identified in published sources</t>
        </is>
      </c>
      <c r="J163" s="4" t="inlineStr">
        <is>
          <t>General medical equipment (hospitals and clinics)</t>
        </is>
      </c>
      <c r="K163" s="4" t="inlineStr">
        <is>
          <t>大阪府 (regional; branch network not confirmed)</t>
        </is>
      </c>
      <c r="L163" s="4" t="inlineStr">
        <is>
          <t>Not found</t>
        </is>
      </c>
      <c r="M163" s="4" t="inlineStr">
        <is>
          <t>Not identified</t>
        </is>
      </c>
      <c r="N163" s="4" t="inlineStr">
        <is>
          <t>Not identified</t>
        </is>
      </c>
      <c r="O163" s="4" t="inlineStr">
        <is>
          <t>info@hiratani.com</t>
        </is>
      </c>
      <c r="P163" s="4" t="inlineStr">
        <is>
          <t>Not confirmed</t>
        </is>
      </c>
      <c r="Q163" s="4" t="inlineStr">
        <is>
          <t>Not identified</t>
        </is>
      </c>
      <c r="R163" s="5" t="inlineStr">
        <is>
          <t>Unverified</t>
        </is>
      </c>
      <c r="S163" s="4" t="n">
        <v>18</v>
      </c>
      <c r="T163" s="10" t="inlineStr">
        <is>
          <t>C</t>
        </is>
      </c>
      <c r="U163" s="4" t="inlineStr">
        <is>
          <t>Regional general medical equipment dealer with hospital and clinic accounts; candidate sub dealer under a national MAH partner.</t>
        </is>
      </c>
      <c r="V163" s="4" t="inlineStr">
        <is>
          <t>Introduce CHISON as a future line through a national MAH partner; ask about their hospital and clinic coverage, service engineers and openness to non Japanese brands.</t>
        </is>
      </c>
      <c r="W163" s="4" t="inlineStr">
        <is>
          <t>N (not identified)</t>
        </is>
      </c>
      <c r="X163" s="7" t="inlineStr">
        <is>
          <t>https://www.osaka-iryokiki-kyokai.com/member_list/06.html</t>
        </is>
      </c>
      <c r="Y163" s="4" t="inlineStr">
        <is>
          <t>SonoEye P3 plus SonoAir 30 for GP and clinic accounts</t>
        </is>
      </c>
      <c r="Z163" s="4" t="inlineStr">
        <is>
          <t>2, 2, 3, 3, 3, 2, 3</t>
        </is>
      </c>
      <c r="AA163" s="4" t="inlineStr">
        <is>
          <t>Not found</t>
        </is>
      </c>
      <c r="AB163" s="4" t="inlineStr">
        <is>
          <t>Recheck: no independent confirmation found; directory listing only (listed in Osaka Medical Device Assoc roster)</t>
        </is>
      </c>
      <c r="AC163" s="4" t="inlineStr">
        <is>
          <t>No expired licence or ended distribution agreement found</t>
        </is>
      </c>
      <c r="AD163" s="4" t="inlineStr">
        <is>
          <t>Not started</t>
        </is>
      </c>
      <c r="AE163" s="4" t="inlineStr">
        <is>
          <t>bh@hiratani.com</t>
        </is>
      </c>
      <c r="AF163" s="4" t="inlineStr">
        <is>
          <t>http://www.hiratani.com/support/support.html</t>
        </is>
      </c>
      <c r="AG163" s="4" t="inlineStr">
        <is>
          <t>Likely: indexed on company domain</t>
        </is>
      </c>
    </row>
    <row r="164">
      <c r="A164" s="4" t="n">
        <v>160</v>
      </c>
      <c r="B164" s="4" t="inlineStr">
        <is>
          <t>Materix</t>
        </is>
      </c>
      <c r="C164" s="4" t="inlineStr">
        <is>
          <t>マテリクス</t>
        </is>
      </c>
      <c r="D164" s="4" t="inlineStr">
        <is>
          <t>Not retrieved (NTA lookup blocked in this session)</t>
        </is>
      </c>
      <c r="E164" s="4" t="inlineStr">
        <is>
          <t>大阪府</t>
        </is>
      </c>
      <c r="F164" s="4" t="inlineStr">
        <is>
          <t>Kansai</t>
        </is>
      </c>
      <c r="G164" s="4" t="inlineStr">
        <is>
          <t>https://materichs.co.jp/</t>
        </is>
      </c>
      <c r="H164" s="4" t="inlineStr">
        <is>
          <t>No MAH found; device sales licence (高度管理医療機器等販売業) not confirmed</t>
        </is>
      </c>
      <c r="I164" s="4" t="inlineStr">
        <is>
          <t>Not identified in published sources</t>
        </is>
      </c>
      <c r="J164" s="4" t="inlineStr">
        <is>
          <t>Surgery and OR</t>
        </is>
      </c>
      <c r="K164" s="4" t="inlineStr">
        <is>
          <t>大阪府 (regional; branch network not confirmed)</t>
        </is>
      </c>
      <c r="L164" s="4" t="inlineStr">
        <is>
          <t>Not found</t>
        </is>
      </c>
      <c r="M164" s="4" t="inlineStr">
        <is>
          <t>Not identified</t>
        </is>
      </c>
      <c r="N164" s="4" t="inlineStr">
        <is>
          <t>Not identified</t>
        </is>
      </c>
      <c r="O164" s="4" t="inlineStr">
        <is>
          <t>info@materichs.co.jp</t>
        </is>
      </c>
      <c r="P164" s="4" t="inlineStr">
        <is>
          <t>Not confirmed</t>
        </is>
      </c>
      <c r="Q164" s="4" t="inlineStr">
        <is>
          <t>Not identified</t>
        </is>
      </c>
      <c r="R164" s="5" t="inlineStr">
        <is>
          <t>Unverified</t>
        </is>
      </c>
      <c r="S164" s="4" t="n">
        <v>18</v>
      </c>
      <c r="T164" s="10" t="inlineStr">
        <is>
          <t>C</t>
        </is>
      </c>
      <c r="U164" s="4" t="inlineStr">
        <is>
          <t>Regional general medical equipment dealer with hospital and clinic accounts; candidate sub dealer under a national MAH partner.</t>
        </is>
      </c>
      <c r="V164" s="4" t="inlineStr">
        <is>
          <t>Introduce CHISON as a future line through a national MAH partner; ask about their hospital and clinic coverage, service engineers and openness to non Japanese brands.</t>
        </is>
      </c>
      <c r="W164" s="4" t="inlineStr">
        <is>
          <t>N (not identified)</t>
        </is>
      </c>
      <c r="X164" s="7" t="inlineStr">
        <is>
          <t>https://baseconnect.in/companies/prefecture/d80b180e-5fd9-4082-8cdc-a510179a3475/keyword/89941b4e-2dd1-4848-8957-48af280a31e0</t>
        </is>
      </c>
      <c r="Y164" s="4" t="inlineStr">
        <is>
          <t>SonoTouch plus SonoEye P3 (nerve block, vascular access, peri operative)</t>
        </is>
      </c>
      <c r="Z164" s="4" t="inlineStr">
        <is>
          <t>2, 2, 3, 3, 3, 2, 3</t>
        </is>
      </c>
      <c r="AA164" s="4" t="inlineStr">
        <is>
          <t>Not found</t>
        </is>
      </c>
      <c r="AB164" s="4" t="inlineStr">
        <is>
          <t>Directory or search listing; not opened (direct site access blocked)</t>
        </is>
      </c>
      <c r="AC164" s="4" t="inlineStr">
        <is>
          <t>No expired licence or ended distribution agreement found</t>
        </is>
      </c>
      <c r="AD164" s="4" t="inlineStr">
        <is>
          <t>Not started</t>
        </is>
      </c>
      <c r="AE164" s="4" t="inlineStr"/>
      <c r="AF164" s="4" t="inlineStr">
        <is>
          <t>http://www.materichs.co.jp/FS-APL/FS-Form/form.cgi?Code=form1</t>
        </is>
      </c>
      <c r="AG164" s="4" t="inlineStr">
        <is>
          <t>Likely: indexed on company domain</t>
        </is>
      </c>
    </row>
    <row r="165">
      <c r="A165" s="4" t="n">
        <v>161</v>
      </c>
      <c r="B165" s="4" t="inlineStr">
        <is>
          <t>Kanyaku</t>
        </is>
      </c>
      <c r="C165" s="4" t="inlineStr">
        <is>
          <t>関薬</t>
        </is>
      </c>
      <c r="D165" s="4" t="inlineStr">
        <is>
          <t>Not retrieved (NTA lookup blocked in this session)</t>
        </is>
      </c>
      <c r="E165" s="4" t="inlineStr">
        <is>
          <t>大阪府</t>
        </is>
      </c>
      <c r="F165" s="4" t="inlineStr">
        <is>
          <t>Kansai</t>
        </is>
      </c>
      <c r="G165" s="4" t="inlineStr">
        <is>
          <t>Not confirmed (company site not opened; network policy blocked direct access)</t>
        </is>
      </c>
      <c r="H165" s="4" t="inlineStr">
        <is>
          <t>No MAH found; device sales licence (高度管理医療機器等販売業) not confirmed</t>
        </is>
      </c>
      <c r="I165" s="4" t="inlineStr">
        <is>
          <t>Not identified in published sources</t>
        </is>
      </c>
      <c r="J165" s="4" t="inlineStr">
        <is>
          <t>Pharma distribution</t>
        </is>
      </c>
      <c r="K165" s="4" t="inlineStr">
        <is>
          <t>大阪府 (regional; branch network not confirmed)</t>
        </is>
      </c>
      <c r="L165" s="4" t="inlineStr">
        <is>
          <t>Not found</t>
        </is>
      </c>
      <c r="M165" s="4" t="inlineStr">
        <is>
          <t>Not identified</t>
        </is>
      </c>
      <c r="N165" s="4" t="inlineStr">
        <is>
          <t>Not identified</t>
        </is>
      </c>
      <c r="O165" s="4" t="inlineStr">
        <is>
          <t>Not published; use company inquiry form</t>
        </is>
      </c>
      <c r="P165" s="4" t="inlineStr">
        <is>
          <t>Not confirmed</t>
        </is>
      </c>
      <c r="Q165" s="4" t="inlineStr">
        <is>
          <t>Not identified</t>
        </is>
      </c>
      <c r="R165" s="5" t="inlineStr">
        <is>
          <t>Unverified</t>
        </is>
      </c>
      <c r="S165" s="4" t="n">
        <v>18</v>
      </c>
      <c r="T165" s="10" t="inlineStr">
        <is>
          <t>C</t>
        </is>
      </c>
      <c r="U165" s="4" t="inlineStr">
        <is>
          <t>Regional general medical equipment dealer with hospital and clinic accounts; candidate sub dealer under a national MAH partner.</t>
        </is>
      </c>
      <c r="V165" s="4" t="inlineStr">
        <is>
          <t>Introduce CHISON as a future line through a national MAH partner; ask about their hospital and clinic coverage, service engineers and openness to non Japanese brands.</t>
        </is>
      </c>
      <c r="W165" s="4" t="inlineStr">
        <is>
          <t>N (not identified)</t>
        </is>
      </c>
      <c r="X165" s="7" t="inlineStr">
        <is>
          <t>https://baseconnect.in/companies/prefecture/d80b180e-5fd9-4082-8cdc-a510179a3475/keyword/89941b4e-2dd1-4848-8957-48af280a31e0</t>
        </is>
      </c>
      <c r="Y165" s="4" t="inlineStr">
        <is>
          <t>SonoEye P3 plus SonoAir 30 for GP and clinic accounts</t>
        </is>
      </c>
      <c r="Z165" s="4" t="inlineStr">
        <is>
          <t>2, 2, 3, 3, 3, 2, 3</t>
        </is>
      </c>
      <c r="AA165" s="4" t="inlineStr">
        <is>
          <t>Not found</t>
        </is>
      </c>
      <c r="AB165" s="4" t="inlineStr">
        <is>
          <t>Directory or search listing; not opened (direct site access blocked)</t>
        </is>
      </c>
      <c r="AC165" s="4" t="inlineStr">
        <is>
          <t>No expired licence or ended distribution agreement found</t>
        </is>
      </c>
      <c r="AD165" s="4" t="inlineStr">
        <is>
          <t>Not started</t>
        </is>
      </c>
      <c r="AE165" s="4" t="inlineStr"/>
      <c r="AF165" s="4" t="inlineStr"/>
      <c r="AG165" s="4" t="inlineStr">
        <is>
          <t>No email published and no verified website found</t>
        </is>
      </c>
    </row>
    <row r="166">
      <c r="A166" s="4" t="n">
        <v>162</v>
      </c>
      <c r="B166" s="4" t="inlineStr">
        <is>
          <t>Mizuki</t>
        </is>
      </c>
      <c r="C166" s="4" t="inlineStr">
        <is>
          <t>ミズキ</t>
        </is>
      </c>
      <c r="D166" s="4" t="inlineStr">
        <is>
          <t>Not retrieved (NTA lookup blocked in this session)</t>
        </is>
      </c>
      <c r="E166" s="4" t="inlineStr">
        <is>
          <t>奈良県</t>
        </is>
      </c>
      <c r="F166" s="4" t="inlineStr">
        <is>
          <t>Kansai</t>
        </is>
      </c>
      <c r="G166" s="4" t="inlineStr">
        <is>
          <t>https://www.mizuki-corp.co.jp/</t>
        </is>
      </c>
      <c r="H166" s="4" t="inlineStr">
        <is>
          <t>No MAH found; device sales licence (高度管理医療機器等販売業) not confirmed</t>
        </is>
      </c>
      <c r="I166" s="4" t="inlineStr">
        <is>
          <t>Not identified in published sources</t>
        </is>
      </c>
      <c r="J166" s="4" t="inlineStr">
        <is>
          <t>General medical equipment (hospitals and clinics)</t>
        </is>
      </c>
      <c r="K166" s="4" t="inlineStr">
        <is>
          <t>奈良県 (regional; branch network not confirmed)</t>
        </is>
      </c>
      <c r="L166" s="4" t="inlineStr">
        <is>
          <t>Not found</t>
        </is>
      </c>
      <c r="M166" s="4" t="inlineStr">
        <is>
          <t>Not identified</t>
        </is>
      </c>
      <c r="N166" s="4" t="inlineStr">
        <is>
          <t>Not identified</t>
        </is>
      </c>
      <c r="O166" s="4" t="inlineStr">
        <is>
          <t>master@mizuki-corp.co.jp</t>
        </is>
      </c>
      <c r="P166" s="4" t="inlineStr">
        <is>
          <t>Not confirmed</t>
        </is>
      </c>
      <c r="Q166" s="4" t="inlineStr">
        <is>
          <t>Not identified</t>
        </is>
      </c>
      <c r="R166" s="5" t="inlineStr">
        <is>
          <t>Unverified</t>
        </is>
      </c>
      <c r="S166" s="4" t="n">
        <v>18</v>
      </c>
      <c r="T166" s="10" t="inlineStr">
        <is>
          <t>C</t>
        </is>
      </c>
      <c r="U166" s="4" t="inlineStr">
        <is>
          <t>Regional general medical equipment dealer with hospital and clinic accounts; candidate sub dealer under a national MAH partner.</t>
        </is>
      </c>
      <c r="V166" s="4" t="inlineStr">
        <is>
          <t>Introduce CHISON as a future line through a national MAH partner; ask about their hospital and clinic coverage, service engineers and openness to non Japanese brands.</t>
        </is>
      </c>
      <c r="W166" s="4" t="inlineStr">
        <is>
          <t>N (not identified)</t>
        </is>
      </c>
      <c r="X166" s="7" t="inlineStr">
        <is>
          <t>https://baseconnect.in/companies/prefecture/9ed9a43b-c714-41d5-b91b-6b21041f1294/category/b2358a1c-c4c6-46f4-a0b1-dee3a1b30a0b</t>
        </is>
      </c>
      <c r="Y166" s="4" t="inlineStr">
        <is>
          <t>SonoEye P3 plus SonoAir 30 for GP and clinic accounts</t>
        </is>
      </c>
      <c r="Z166" s="4" t="inlineStr">
        <is>
          <t>2, 2, 3, 3, 3, 2, 3</t>
        </is>
      </c>
      <c r="AA166" s="4" t="inlineStr">
        <is>
          <t>Not found</t>
        </is>
      </c>
      <c r="AB166" s="4" t="inlineStr">
        <is>
          <t>Directory or search listing; not opened (direct site access blocked)</t>
        </is>
      </c>
      <c r="AC166" s="4" t="inlineStr">
        <is>
          <t>No expired licence or ended distribution agreement found</t>
        </is>
      </c>
      <c r="AD166" s="4" t="inlineStr">
        <is>
          <t>Not started</t>
        </is>
      </c>
      <c r="AE166" s="4" t="inlineStr"/>
      <c r="AF166" s="4" t="inlineStr">
        <is>
          <t>https://www.mizuki-corp.co.jp/en/</t>
        </is>
      </c>
      <c r="AG166" s="4" t="inlineStr">
        <is>
          <t>Verified: published on company website</t>
        </is>
      </c>
    </row>
    <row r="167">
      <c r="A167" s="4" t="n">
        <v>163</v>
      </c>
      <c r="B167" s="4" t="inlineStr">
        <is>
          <t>Nakayama Ika Kikaiten</t>
        </is>
      </c>
      <c r="C167" s="4" t="inlineStr">
        <is>
          <t>中山医科器械店</t>
        </is>
      </c>
      <c r="D167" s="4" t="inlineStr">
        <is>
          <t>Not retrieved (NTA lookup blocked in this session)</t>
        </is>
      </c>
      <c r="E167" s="4" t="inlineStr">
        <is>
          <t>滋賀県</t>
        </is>
      </c>
      <c r="F167" s="4" t="inlineStr">
        <is>
          <t>Kansai</t>
        </is>
      </c>
      <c r="G167" s="4" t="inlineStr">
        <is>
          <t>https://nakayamaika.com/</t>
        </is>
      </c>
      <c r="H167" s="4" t="inlineStr">
        <is>
          <t>No MAH found; device sales licence (高度管理医療機器等販売業) not confirmed</t>
        </is>
      </c>
      <c r="I167" s="4" t="inlineStr">
        <is>
          <t>Not identified in published sources</t>
        </is>
      </c>
      <c r="J167" s="4" t="inlineStr">
        <is>
          <t>General medical equipment (hospitals and clinics)</t>
        </is>
      </c>
      <c r="K167" s="4" t="inlineStr">
        <is>
          <t>滋賀県 (regional; branch network not confirmed)</t>
        </is>
      </c>
      <c r="L167" s="4" t="inlineStr">
        <is>
          <t>Not found</t>
        </is>
      </c>
      <c r="M167" s="4" t="inlineStr">
        <is>
          <t>Not identified</t>
        </is>
      </c>
      <c r="N167" s="4" t="inlineStr">
        <is>
          <t>Not identified</t>
        </is>
      </c>
      <c r="O167" s="4" t="inlineStr">
        <is>
          <t>Not published; use contact form</t>
        </is>
      </c>
      <c r="P167" s="4" t="inlineStr">
        <is>
          <t>Not confirmed</t>
        </is>
      </c>
      <c r="Q167" s="4" t="inlineStr">
        <is>
          <t>Not identified</t>
        </is>
      </c>
      <c r="R167" s="5" t="inlineStr">
        <is>
          <t>Likely</t>
        </is>
      </c>
      <c r="S167" s="4" t="n">
        <v>18</v>
      </c>
      <c r="T167" s="10" t="inlineStr">
        <is>
          <t>C</t>
        </is>
      </c>
      <c r="U167" s="4" t="inlineStr">
        <is>
          <t>Regional general medical equipment dealer with hospital and clinic accounts; candidate sub dealer under a national MAH partner.</t>
        </is>
      </c>
      <c r="V167" s="4" t="inlineStr">
        <is>
          <t>Introduce CHISON as a future line through a national MAH partner; ask about their hospital and clinic coverage, service engineers and openness to non Japanese brands.</t>
        </is>
      </c>
      <c r="W167" s="4" t="inlineStr">
        <is>
          <t>N (not identified)</t>
        </is>
      </c>
      <c r="X167" s="7" t="inlineStr">
        <is>
          <t>https://baseconnect.in/companies/prefecture/1d5a2479-736c-41d9-98fe-d43b8d447ca4/keyword/89941b4e-2dd1-4848-8957-48af280a31e0</t>
        </is>
      </c>
      <c r="Y167" s="4" t="inlineStr">
        <is>
          <t>SonoEye P3 plus SonoAir 30 for GP and clinic accounts</t>
        </is>
      </c>
      <c r="Z167" s="4" t="inlineStr">
        <is>
          <t>2, 2, 3, 3, 3, 2, 3</t>
        </is>
      </c>
      <c r="AA167" s="4" t="inlineStr">
        <is>
          <t>Not found</t>
        </is>
      </c>
      <c r="AB167" s="4" t="inlineStr">
        <is>
          <t>Directory or search listing; not opened (direct site access blocked)</t>
        </is>
      </c>
      <c r="AC167" s="4" t="inlineStr">
        <is>
          <t>No expired licence or ended distribution agreement found</t>
        </is>
      </c>
      <c r="AD167" s="4" t="inlineStr">
        <is>
          <t>Not started</t>
        </is>
      </c>
      <c r="AE167" s="4" t="inlineStr"/>
      <c r="AF167" s="4" t="inlineStr">
        <is>
          <t>https://nakayamaika.com/contact/index.html</t>
        </is>
      </c>
      <c r="AG167" s="4" t="inlineStr">
        <is>
          <t>No email published; use the contact form (link in Email source)</t>
        </is>
      </c>
    </row>
    <row r="168">
      <c r="A168" s="4" t="n">
        <v>164</v>
      </c>
      <c r="B168" s="4" t="inlineStr">
        <is>
          <t>Tenyu</t>
        </is>
      </c>
      <c r="C168" s="4" t="inlineStr">
        <is>
          <t>テンユー</t>
        </is>
      </c>
      <c r="D168" s="4" t="inlineStr">
        <is>
          <t>Not retrieved (NTA lookup blocked in this session)</t>
        </is>
      </c>
      <c r="E168" s="4" t="inlineStr">
        <is>
          <t>滋賀県</t>
        </is>
      </c>
      <c r="F168" s="4" t="inlineStr">
        <is>
          <t>Kansai</t>
        </is>
      </c>
      <c r="G168" s="4" t="inlineStr">
        <is>
          <t>http://www.tenyu.co.jp/</t>
        </is>
      </c>
      <c r="H168" s="4" t="inlineStr">
        <is>
          <t>No MAH found; device sales licence (高度管理医療機器等販売業) not confirmed</t>
        </is>
      </c>
      <c r="I168" s="4" t="inlineStr">
        <is>
          <t>Not identified in published sources</t>
        </is>
      </c>
      <c r="J168" s="4" t="inlineStr">
        <is>
          <t>General medical equipment (hospitals and clinics)</t>
        </is>
      </c>
      <c r="K168" s="4" t="inlineStr">
        <is>
          <t>滋賀県 (regional; branch network not confirmed)</t>
        </is>
      </c>
      <c r="L168" s="4" t="inlineStr">
        <is>
          <t>Not found</t>
        </is>
      </c>
      <c r="M168" s="4" t="inlineStr">
        <is>
          <t>Not identified</t>
        </is>
      </c>
      <c r="N168" s="4" t="inlineStr">
        <is>
          <t>Not identified</t>
        </is>
      </c>
      <c r="O168" s="4" t="inlineStr">
        <is>
          <t>Not published; use contact form</t>
        </is>
      </c>
      <c r="P168" s="4" t="inlineStr">
        <is>
          <t>Not confirmed</t>
        </is>
      </c>
      <c r="Q168" s="4" t="inlineStr">
        <is>
          <t>Not identified</t>
        </is>
      </c>
      <c r="R168" s="5" t="inlineStr">
        <is>
          <t>Likely</t>
        </is>
      </c>
      <c r="S168" s="4" t="n">
        <v>18</v>
      </c>
      <c r="T168" s="10" t="inlineStr">
        <is>
          <t>C</t>
        </is>
      </c>
      <c r="U168" s="4" t="inlineStr">
        <is>
          <t>Regional general medical equipment dealer with hospital and clinic accounts; candidate sub dealer under a national MAH partner.</t>
        </is>
      </c>
      <c r="V168" s="4" t="inlineStr">
        <is>
          <t>Introduce CHISON as a future line through a national MAH partner; ask about their hospital and clinic coverage, service engineers and openness to non Japanese brands.</t>
        </is>
      </c>
      <c r="W168" s="4" t="inlineStr">
        <is>
          <t>N (not identified)</t>
        </is>
      </c>
      <c r="X168" s="7" t="inlineStr">
        <is>
          <t>https://baseconnect.in/companies/prefecture/1d5a2479-736c-41d9-98fe-d43b8d447ca4/keyword/89941b4e-2dd1-4848-8957-48af280a31e0</t>
        </is>
      </c>
      <c r="Y168" s="4" t="inlineStr">
        <is>
          <t>SonoEye P3 plus SonoAir 30 for GP and clinic accounts</t>
        </is>
      </c>
      <c r="Z168" s="4" t="inlineStr">
        <is>
          <t>2, 2, 3, 3, 3, 2, 3</t>
        </is>
      </c>
      <c r="AA168" s="4" t="inlineStr">
        <is>
          <t>Not found</t>
        </is>
      </c>
      <c r="AB168" s="4" t="inlineStr">
        <is>
          <t>Recheck: no independent confirmation found; directory listing only</t>
        </is>
      </c>
      <c r="AC168" s="4" t="inlineStr">
        <is>
          <t>No expired licence or ended distribution agreement found</t>
        </is>
      </c>
      <c r="AD168" s="4" t="inlineStr">
        <is>
          <t>Not started</t>
        </is>
      </c>
      <c r="AE168" s="4" t="inlineStr"/>
      <c r="AF168" s="4" t="inlineStr">
        <is>
          <t>http://www.tenyu.co.jp/contact_us.html</t>
        </is>
      </c>
      <c r="AG168" s="4" t="inlineStr">
        <is>
          <t>No email published; use the contact form (link in Email source)</t>
        </is>
      </c>
    </row>
    <row r="169">
      <c r="A169" s="4" t="n">
        <v>165</v>
      </c>
      <c r="B169" s="4" t="inlineStr">
        <is>
          <t>Ray and Company</t>
        </is>
      </c>
      <c r="C169" s="4" t="inlineStr">
        <is>
          <t>レイアンドカンパニー</t>
        </is>
      </c>
      <c r="D169" s="4" t="inlineStr">
        <is>
          <t>Not retrieved (NTA lookup blocked in this session)</t>
        </is>
      </c>
      <c r="E169" s="4" t="inlineStr">
        <is>
          <t>滋賀県</t>
        </is>
      </c>
      <c r="F169" s="4" t="inlineStr">
        <is>
          <t>Kansai</t>
        </is>
      </c>
      <c r="G169" s="4" t="inlineStr">
        <is>
          <t>http://www.rayandc.co.jp/</t>
        </is>
      </c>
      <c r="H169" s="4" t="inlineStr">
        <is>
          <t>No MAH found; device sales licence (高度管理医療機器等販売業) not confirmed</t>
        </is>
      </c>
      <c r="I169" s="4" t="inlineStr">
        <is>
          <t>Not identified in published sources</t>
        </is>
      </c>
      <c r="J169" s="4" t="inlineStr">
        <is>
          <t>General medical equipment (hospitals and clinics)</t>
        </is>
      </c>
      <c r="K169" s="4" t="inlineStr">
        <is>
          <t>滋賀県 (regional; branch network not confirmed)</t>
        </is>
      </c>
      <c r="L169" s="4" t="inlineStr">
        <is>
          <t>Not found</t>
        </is>
      </c>
      <c r="M169" s="4" t="inlineStr">
        <is>
          <t>Not identified</t>
        </is>
      </c>
      <c r="N169" s="4" t="inlineStr">
        <is>
          <t>Not identified</t>
        </is>
      </c>
      <c r="O169" s="4" t="inlineStr">
        <is>
          <t>info@rayandc.co.jp</t>
        </is>
      </c>
      <c r="P169" s="4" t="inlineStr">
        <is>
          <t>Not confirmed</t>
        </is>
      </c>
      <c r="Q169" s="4" t="inlineStr">
        <is>
          <t>Not identified</t>
        </is>
      </c>
      <c r="R169" s="5" t="inlineStr">
        <is>
          <t>Unverified</t>
        </is>
      </c>
      <c r="S169" s="4" t="n">
        <v>18</v>
      </c>
      <c r="T169" s="10" t="inlineStr">
        <is>
          <t>C</t>
        </is>
      </c>
      <c r="U169" s="4" t="inlineStr">
        <is>
          <t>Regional general medical equipment dealer with hospital and clinic accounts; candidate sub dealer under a national MAH partner.</t>
        </is>
      </c>
      <c r="V169" s="4" t="inlineStr">
        <is>
          <t>Introduce CHISON as a future line through a national MAH partner; ask about their hospital and clinic coverage, service engineers and openness to non Japanese brands.</t>
        </is>
      </c>
      <c r="W169" s="4" t="inlineStr">
        <is>
          <t>N (not identified)</t>
        </is>
      </c>
      <c r="X169" s="7" t="inlineStr">
        <is>
          <t>https://baseconnect.in/companies/prefecture/1d5a2479-736c-41d9-98fe-d43b8d447ca4/keyword/89941b4e-2dd1-4848-8957-48af280a31e0</t>
        </is>
      </c>
      <c r="Y169" s="4" t="inlineStr">
        <is>
          <t>SonoEye P3 plus SonoAir 30 for GP and clinic accounts</t>
        </is>
      </c>
      <c r="Z169" s="4" t="inlineStr">
        <is>
          <t>2, 2, 3, 3, 3, 2, 3</t>
        </is>
      </c>
      <c r="AA169" s="4" t="inlineStr">
        <is>
          <t>Not found</t>
        </is>
      </c>
      <c r="AB169" s="4" t="inlineStr">
        <is>
          <t>Directory or search listing; not opened (direct site access blocked)</t>
        </is>
      </c>
      <c r="AC169" s="4" t="inlineStr">
        <is>
          <t>No expired licence or ended distribution agreement found</t>
        </is>
      </c>
      <c r="AD169" s="4" t="inlineStr">
        <is>
          <t>Not started</t>
        </is>
      </c>
      <c r="AE169" s="4" t="inlineStr"/>
      <c r="AF169" s="4" t="inlineStr">
        <is>
          <t>https://www.rayandc.co.jp/form/general.html</t>
        </is>
      </c>
      <c r="AG169" s="4" t="inlineStr">
        <is>
          <t>Likely: indexed on company domain</t>
        </is>
      </c>
    </row>
    <row r="170">
      <c r="A170" s="4" t="n">
        <v>166</v>
      </c>
      <c r="B170" s="4" t="inlineStr">
        <is>
          <t>M's (Gifu)</t>
        </is>
      </c>
      <c r="C170" s="4" t="inlineStr">
        <is>
          <t>エムズ</t>
        </is>
      </c>
      <c r="D170" s="4" t="inlineStr">
        <is>
          <t>Not retrieved (NTA lookup blocked in this session)</t>
        </is>
      </c>
      <c r="E170" s="4" t="inlineStr">
        <is>
          <t>岐阜県</t>
        </is>
      </c>
      <c r="F170" s="4" t="inlineStr">
        <is>
          <t>Chubu</t>
        </is>
      </c>
      <c r="G170" s="4" t="inlineStr">
        <is>
          <t>https://kk-ms.co.jp/</t>
        </is>
      </c>
      <c r="H170" s="4" t="inlineStr">
        <is>
          <t>No MAH found; device sales licence (高度管理医療機器等販売業) not confirmed</t>
        </is>
      </c>
      <c r="I170" s="4" t="inlineStr">
        <is>
          <t>Not identified in published sources</t>
        </is>
      </c>
      <c r="J170" s="4" t="inlineStr">
        <is>
          <t>General medical equipment (hospitals and clinics)</t>
        </is>
      </c>
      <c r="K170" s="4" t="inlineStr">
        <is>
          <t>岐阜県 (regional; branch network not confirmed)</t>
        </is>
      </c>
      <c r="L170" s="4" t="inlineStr">
        <is>
          <t>Not found</t>
        </is>
      </c>
      <c r="M170" s="4" t="inlineStr">
        <is>
          <t>Not identified</t>
        </is>
      </c>
      <c r="N170" s="4" t="inlineStr">
        <is>
          <t>Not identified</t>
        </is>
      </c>
      <c r="O170" s="4" t="inlineStr">
        <is>
          <t>Not published; use contact form</t>
        </is>
      </c>
      <c r="P170" s="4" t="inlineStr">
        <is>
          <t>Not confirmed</t>
        </is>
      </c>
      <c r="Q170" s="4" t="inlineStr">
        <is>
          <t>Not identified</t>
        </is>
      </c>
      <c r="R170" s="5" t="inlineStr">
        <is>
          <t>Likely</t>
        </is>
      </c>
      <c r="S170" s="4" t="n">
        <v>18</v>
      </c>
      <c r="T170" s="10" t="inlineStr">
        <is>
          <t>C</t>
        </is>
      </c>
      <c r="U170" s="4" t="inlineStr">
        <is>
          <t>Regional general medical equipment dealer with hospital and clinic accounts; candidate sub dealer under a national MAH partner.</t>
        </is>
      </c>
      <c r="V170" s="4" t="inlineStr">
        <is>
          <t>Introduce CHISON as a future line through a national MAH partner; ask about their hospital and clinic coverage, service engineers and openness to non Japanese brands.</t>
        </is>
      </c>
      <c r="W170" s="4" t="inlineStr">
        <is>
          <t>N (not identified)</t>
        </is>
      </c>
      <c r="X170" s="7" t="inlineStr">
        <is>
          <t>https://baseconnect.in/companies/prefecture/8de2e273-a5a8-45b9-8fc1-0fe6344d6843/keyword/14f3dcec-9cd5-4be5-84e1-ddccb7bd228c</t>
        </is>
      </c>
      <c r="Y170" s="4" t="inlineStr">
        <is>
          <t>SonoEye P3 plus SonoAir 30 for GP and clinic accounts</t>
        </is>
      </c>
      <c r="Z170" s="4" t="inlineStr">
        <is>
          <t>2, 2, 3, 3, 3, 2, 3</t>
        </is>
      </c>
      <c r="AA170" s="4" t="inlineStr">
        <is>
          <t>Not found</t>
        </is>
      </c>
      <c r="AB170" s="4" t="inlineStr">
        <is>
          <t>Recheck: no independent confirmation found; directory listing only</t>
        </is>
      </c>
      <c r="AC170" s="4" t="inlineStr">
        <is>
          <t>No expired licence or ended distribution agreement found</t>
        </is>
      </c>
      <c r="AD170" s="4" t="inlineStr">
        <is>
          <t>Not started</t>
        </is>
      </c>
      <c r="AE170" s="4" t="inlineStr"/>
      <c r="AF170" s="4" t="inlineStr">
        <is>
          <t>https://kk-ms.co.jp/contact/</t>
        </is>
      </c>
      <c r="AG170" s="4" t="inlineStr">
        <is>
          <t>No email published; use the contact form (link in Email source)</t>
        </is>
      </c>
    </row>
    <row r="171">
      <c r="A171" s="4" t="n">
        <v>167</v>
      </c>
      <c r="B171" s="4" t="inlineStr">
        <is>
          <t>Meiko Iryo</t>
        </is>
      </c>
      <c r="C171" s="4" t="inlineStr">
        <is>
          <t>メイコー医療</t>
        </is>
      </c>
      <c r="D171" s="4" t="inlineStr">
        <is>
          <t>Not retrieved (NTA lookup blocked in this session)</t>
        </is>
      </c>
      <c r="E171" s="4" t="inlineStr">
        <is>
          <t>愛知県</t>
        </is>
      </c>
      <c r="F171" s="4" t="inlineStr">
        <is>
          <t>Chubu</t>
        </is>
      </c>
      <c r="G171" s="4" t="inlineStr">
        <is>
          <t>https://www.meiko-m.co.jp/</t>
        </is>
      </c>
      <c r="H171" s="4" t="inlineStr">
        <is>
          <t>No MAH found; device sales licence (高度管理医療機器等販売業) not confirmed</t>
        </is>
      </c>
      <c r="I171" s="4" t="inlineStr">
        <is>
          <t>Not identified in published sources</t>
        </is>
      </c>
      <c r="J171" s="4" t="inlineStr">
        <is>
          <t>General medical equipment (hospitals and clinics)</t>
        </is>
      </c>
      <c r="K171" s="4" t="inlineStr">
        <is>
          <t>愛知県; Aichi Gifu</t>
        </is>
      </c>
      <c r="L171" s="4" t="inlineStr">
        <is>
          <t>Not found</t>
        </is>
      </c>
      <c r="M171" s="4" t="inlineStr">
        <is>
          <t>Not identified</t>
        </is>
      </c>
      <c r="N171" s="4" t="inlineStr">
        <is>
          <t>Not identified</t>
        </is>
      </c>
      <c r="O171" s="4" t="inlineStr">
        <is>
          <t>Not published; use contact form</t>
        </is>
      </c>
      <c r="P171" s="4" t="inlineStr">
        <is>
          <t>Not confirmed</t>
        </is>
      </c>
      <c r="Q171" s="4" t="inlineStr">
        <is>
          <t>Not identified</t>
        </is>
      </c>
      <c r="R171" s="5" t="inlineStr">
        <is>
          <t>Likely</t>
        </is>
      </c>
      <c r="S171" s="4" t="n">
        <v>18</v>
      </c>
      <c r="T171" s="10" t="inlineStr">
        <is>
          <t>C</t>
        </is>
      </c>
      <c r="U171" s="4" t="inlineStr">
        <is>
          <t>Regional general medical equipment dealer with hospital and clinic accounts; candidate sub dealer under a national MAH partner.</t>
        </is>
      </c>
      <c r="V171" s="4" t="inlineStr">
        <is>
          <t>Introduce CHISON as a future line through a national MAH partner; ask about their hospital and clinic coverage, service engineers and openness to non Japanese brands.</t>
        </is>
      </c>
      <c r="W171" s="4" t="inlineStr">
        <is>
          <t>N (not identified)</t>
        </is>
      </c>
      <c r="X171" s="7" t="inlineStr">
        <is>
          <t>https://baseconnect.in/companies/prefecture/60622468-79bd-4eef-86f8-cb69d1ef09f0/category/b2358a1c-c4c6-46f4-a0b1-dee3a1b30a0b</t>
        </is>
      </c>
      <c r="Y171" s="4" t="inlineStr">
        <is>
          <t>SonoEye P3 plus SonoAir 30 for GP and clinic accounts</t>
        </is>
      </c>
      <c r="Z171" s="4" t="inlineStr">
        <is>
          <t>2, 2, 3, 2, 4, 2, 3</t>
        </is>
      </c>
      <c r="AA171" s="4" t="inlineStr">
        <is>
          <t>Not found</t>
        </is>
      </c>
      <c r="AB171" s="4" t="inlineStr">
        <is>
          <t>Directory or search listing; not opened (direct site access blocked)</t>
        </is>
      </c>
      <c r="AC171" s="4" t="inlineStr">
        <is>
          <t>No expired licence or ended distribution agreement found</t>
        </is>
      </c>
      <c r="AD171" s="4" t="inlineStr">
        <is>
          <t>Not started</t>
        </is>
      </c>
      <c r="AE171" s="4" t="inlineStr"/>
      <c r="AF171" s="4" t="inlineStr">
        <is>
          <t>https://www.meiko-m.co.jp/contact/</t>
        </is>
      </c>
      <c r="AG171" s="4" t="inlineStr">
        <is>
          <t>No email published; use the contact form (link in Email source)</t>
        </is>
      </c>
    </row>
    <row r="172">
      <c r="A172" s="4" t="n">
        <v>168</v>
      </c>
      <c r="B172" s="4" t="inlineStr">
        <is>
          <t>Chubu Ika Shokai</t>
        </is>
      </c>
      <c r="C172" s="4" t="inlineStr">
        <is>
          <t>中部医科商会</t>
        </is>
      </c>
      <c r="D172" s="4" t="inlineStr">
        <is>
          <t>Not retrieved (NTA lookup blocked in this session)</t>
        </is>
      </c>
      <c r="E172" s="4" t="inlineStr">
        <is>
          <t>愛知県</t>
        </is>
      </c>
      <c r="F172" s="4" t="inlineStr">
        <is>
          <t>Chubu</t>
        </is>
      </c>
      <c r="G172" s="4" t="inlineStr">
        <is>
          <t>Not confirmed (company site not opened; network policy blocked direct access)</t>
        </is>
      </c>
      <c r="H172" s="4" t="inlineStr">
        <is>
          <t>No MAH found; device sales licence (高度管理医療機器等販売業) not confirmed</t>
        </is>
      </c>
      <c r="I172" s="4" t="inlineStr">
        <is>
          <t>Not identified in published sources</t>
        </is>
      </c>
      <c r="J172" s="4" t="inlineStr">
        <is>
          <t>General medical equipment (hospitals and clinics)</t>
        </is>
      </c>
      <c r="K172" s="4" t="inlineStr">
        <is>
          <t>愛知県 (regional; branch network not confirmed)</t>
        </is>
      </c>
      <c r="L172" s="4" t="inlineStr">
        <is>
          <t>Not found</t>
        </is>
      </c>
      <c r="M172" s="4" t="inlineStr">
        <is>
          <t>Not identified</t>
        </is>
      </c>
      <c r="N172" s="4" t="inlineStr">
        <is>
          <t>Not identified</t>
        </is>
      </c>
      <c r="O172" s="4" t="inlineStr">
        <is>
          <t>Not published; use company inquiry form</t>
        </is>
      </c>
      <c r="P172" s="4" t="inlineStr">
        <is>
          <t>Not confirmed</t>
        </is>
      </c>
      <c r="Q172" s="4" t="inlineStr">
        <is>
          <t>Not identified</t>
        </is>
      </c>
      <c r="R172" s="5" t="inlineStr">
        <is>
          <t>Unverified</t>
        </is>
      </c>
      <c r="S172" s="4" t="n">
        <v>18</v>
      </c>
      <c r="T172" s="10" t="inlineStr">
        <is>
          <t>C</t>
        </is>
      </c>
      <c r="U172" s="4" t="inlineStr">
        <is>
          <t>Regional general medical equipment dealer with hospital and clinic accounts; candidate sub dealer under a national MAH partner.</t>
        </is>
      </c>
      <c r="V172" s="4" t="inlineStr">
        <is>
          <t>Introduce CHISON as a future line through a national MAH partner; ask about their hospital and clinic coverage, service engineers and openness to non Japanese brands.</t>
        </is>
      </c>
      <c r="W172" s="4" t="inlineStr">
        <is>
          <t>N (not identified)</t>
        </is>
      </c>
      <c r="X172" s="7" t="inlineStr">
        <is>
          <t>https://baseconnect.in/companies/prefecture/60622468-79bd-4eef-86f8-cb69d1ef09f0/category/b2358a1c-c4c6-46f4-a0b1-dee3a1b30a0b</t>
        </is>
      </c>
      <c r="Y172" s="4" t="inlineStr">
        <is>
          <t>SonoEye P3 plus SonoAir 30 for GP and clinic accounts</t>
        </is>
      </c>
      <c r="Z172" s="4" t="inlineStr">
        <is>
          <t>2, 2, 3, 3, 3, 2, 3</t>
        </is>
      </c>
      <c r="AA172" s="4" t="inlineStr">
        <is>
          <t>Not found</t>
        </is>
      </c>
      <c r="AB172" s="4" t="inlineStr">
        <is>
          <t>Directory or search listing; not opened (direct site access blocked)</t>
        </is>
      </c>
      <c r="AC172" s="4" t="inlineStr">
        <is>
          <t>No expired licence or ended distribution agreement found</t>
        </is>
      </c>
      <c r="AD172" s="4" t="inlineStr">
        <is>
          <t>Not started</t>
        </is>
      </c>
      <c r="AE172" s="4" t="inlineStr"/>
      <c r="AF172" s="4" t="inlineStr"/>
      <c r="AG172" s="4" t="inlineStr">
        <is>
          <t>No email published and no verified website found</t>
        </is>
      </c>
    </row>
    <row r="173">
      <c r="A173" s="4" t="n">
        <v>169</v>
      </c>
      <c r="B173" s="4" t="inlineStr">
        <is>
          <t>Holonavi Medical Technology</t>
        </is>
      </c>
      <c r="C173" s="4" t="inlineStr">
        <is>
          <t>ホロナビメディカルテクノロジー</t>
        </is>
      </c>
      <c r="D173" s="4" t="inlineStr">
        <is>
          <t>Not retrieved (NTA lookup blocked in this session)</t>
        </is>
      </c>
      <c r="E173" s="4" t="inlineStr">
        <is>
          <t>愛知県</t>
        </is>
      </c>
      <c r="F173" s="4" t="inlineStr">
        <is>
          <t>Chubu</t>
        </is>
      </c>
      <c r="G173" s="4" t="inlineStr">
        <is>
          <t>https://holonavi.net/</t>
        </is>
      </c>
      <c r="H173" s="4" t="inlineStr">
        <is>
          <t>No MAH found; device sales licence (高度管理医療機器等販売業) not confirmed</t>
        </is>
      </c>
      <c r="I173" s="4" t="inlineStr">
        <is>
          <t>Not identified in published sources</t>
        </is>
      </c>
      <c r="J173" s="4" t="inlineStr">
        <is>
          <t>General medical equipment (hospitals and clinics)</t>
        </is>
      </c>
      <c r="K173" s="4" t="inlineStr">
        <is>
          <t>愛知県 (regional; branch network not confirmed)</t>
        </is>
      </c>
      <c r="L173" s="4" t="inlineStr">
        <is>
          <t>Not found</t>
        </is>
      </c>
      <c r="M173" s="4" t="inlineStr">
        <is>
          <t>Not identified</t>
        </is>
      </c>
      <c r="N173" s="4" t="inlineStr">
        <is>
          <t>Not identified</t>
        </is>
      </c>
      <c r="O173" s="4" t="inlineStr">
        <is>
          <t>Not published; use contact form</t>
        </is>
      </c>
      <c r="P173" s="4" t="inlineStr">
        <is>
          <t>Not confirmed</t>
        </is>
      </c>
      <c r="Q173" s="4" t="inlineStr">
        <is>
          <t>Not identified</t>
        </is>
      </c>
      <c r="R173" s="5" t="inlineStr">
        <is>
          <t>Likely</t>
        </is>
      </c>
      <c r="S173" s="4" t="n">
        <v>18</v>
      </c>
      <c r="T173" s="10" t="inlineStr">
        <is>
          <t>C</t>
        </is>
      </c>
      <c r="U173" s="4" t="inlineStr">
        <is>
          <t>Regional general medical equipment dealer with hospital and clinic accounts; candidate sub dealer under a national MAH partner.</t>
        </is>
      </c>
      <c r="V173" s="4" t="inlineStr">
        <is>
          <t>Introduce CHISON as a future line through a national MAH partner; ask about their hospital and clinic coverage, service engineers and openness to non Japanese brands.</t>
        </is>
      </c>
      <c r="W173" s="4" t="inlineStr">
        <is>
          <t>N (not identified)</t>
        </is>
      </c>
      <c r="X173" s="7" t="inlineStr">
        <is>
          <t>https://baseconnect.in/companies/prefecture/60622468-79bd-4eef-86f8-cb69d1ef09f0/category/b2358a1c-c4c6-46f4-a0b1-dee3a1b30a0b</t>
        </is>
      </c>
      <c r="Y173" s="4" t="inlineStr">
        <is>
          <t>SonoEye P3 plus SonoAir 30 for GP and clinic accounts</t>
        </is>
      </c>
      <c r="Z173" s="4" t="inlineStr">
        <is>
          <t>2, 2, 3, 3, 3, 2, 3</t>
        </is>
      </c>
      <c r="AA173" s="4" t="inlineStr">
        <is>
          <t>Not found</t>
        </is>
      </c>
      <c r="AB173" s="4" t="inlineStr">
        <is>
          <t>Directory or search listing; not opened (direct site access blocked)</t>
        </is>
      </c>
      <c r="AC173" s="4" t="inlineStr">
        <is>
          <t>No expired licence or ended distribution agreement found</t>
        </is>
      </c>
      <c r="AD173" s="4" t="inlineStr">
        <is>
          <t>Not started</t>
        </is>
      </c>
      <c r="AE173" s="4" t="inlineStr"/>
      <c r="AF173" s="4" t="inlineStr">
        <is>
          <t>https://holonavi.net/%e3%83%8b%e3%83%a5%e3%83%bc%e3%82%b9/</t>
        </is>
      </c>
      <c r="AG173" s="4" t="inlineStr">
        <is>
          <t>No email published; use the contact form (link in Email source)</t>
        </is>
      </c>
    </row>
    <row r="174">
      <c r="A174" s="4" t="n">
        <v>170</v>
      </c>
      <c r="B174" s="4" t="inlineStr">
        <is>
          <t>Masuda Iryo Shokai</t>
        </is>
      </c>
      <c r="C174" s="4" t="inlineStr">
        <is>
          <t>ますだ医療商会</t>
        </is>
      </c>
      <c r="D174" s="4" t="inlineStr">
        <is>
          <t>Not retrieved (NTA lookup blocked in this session)</t>
        </is>
      </c>
      <c r="E174" s="4" t="inlineStr">
        <is>
          <t>愛知県</t>
        </is>
      </c>
      <c r="F174" s="4" t="inlineStr">
        <is>
          <t>Chubu</t>
        </is>
      </c>
      <c r="G174" s="4" t="inlineStr">
        <is>
          <t>Not confirmed (company site not opened; network policy blocked direct access)</t>
        </is>
      </c>
      <c r="H174" s="4" t="inlineStr">
        <is>
          <t>No MAH found; device sales licence (高度管理医療機器等販売業) not confirmed</t>
        </is>
      </c>
      <c r="I174" s="4" t="inlineStr">
        <is>
          <t>Not identified in published sources</t>
        </is>
      </c>
      <c r="J174" s="4" t="inlineStr">
        <is>
          <t>Welfare and care</t>
        </is>
      </c>
      <c r="K174" s="4" t="inlineStr">
        <is>
          <t>愛知県 (regional; branch network not confirmed)</t>
        </is>
      </c>
      <c r="L174" s="4" t="inlineStr">
        <is>
          <t>Not found</t>
        </is>
      </c>
      <c r="M174" s="4" t="inlineStr">
        <is>
          <t>Not identified</t>
        </is>
      </c>
      <c r="N174" s="4" t="inlineStr">
        <is>
          <t>Not identified</t>
        </is>
      </c>
      <c r="O174" s="4" t="inlineStr">
        <is>
          <t>Not published; use company inquiry form</t>
        </is>
      </c>
      <c r="P174" s="4" t="inlineStr">
        <is>
          <t>Not confirmed</t>
        </is>
      </c>
      <c r="Q174" s="4" t="inlineStr">
        <is>
          <t>Not identified</t>
        </is>
      </c>
      <c r="R174" s="5" t="inlineStr">
        <is>
          <t>Unverified</t>
        </is>
      </c>
      <c r="S174" s="4" t="n">
        <v>18</v>
      </c>
      <c r="T174" s="10" t="inlineStr">
        <is>
          <t>C</t>
        </is>
      </c>
      <c r="U174" s="4" t="inlineStr">
        <is>
          <t>Regional general medical equipment dealer with hospital and clinic accounts; candidate sub dealer under a national MAH partner.</t>
        </is>
      </c>
      <c r="V174" s="4" t="inlineStr">
        <is>
          <t>Introduce CHISON as a future line through a national MAH partner; ask about their hospital and clinic coverage, service engineers and openness to non Japanese brands.</t>
        </is>
      </c>
      <c r="W174" s="4" t="inlineStr">
        <is>
          <t>N (not identified)</t>
        </is>
      </c>
      <c r="X174" s="7" t="inlineStr">
        <is>
          <t>https://baseconnect.in/companies/prefecture/60622468-79bd-4eef-86f8-cb69d1ef09f0/category/b2358a1c-c4c6-46f4-a0b1-dee3a1b30a0b</t>
        </is>
      </c>
      <c r="Y174" s="4" t="inlineStr">
        <is>
          <t>SonoEye P5 for home visit doctors (在宅医療)</t>
        </is>
      </c>
      <c r="Z174" s="4" t="inlineStr">
        <is>
          <t>2, 2, 3, 3, 3, 2, 3</t>
        </is>
      </c>
      <c r="AA174" s="4" t="inlineStr">
        <is>
          <t>Not found</t>
        </is>
      </c>
      <c r="AB174" s="4" t="inlineStr">
        <is>
          <t>Directory or search listing; not opened (direct site access blocked)</t>
        </is>
      </c>
      <c r="AC174" s="4" t="inlineStr">
        <is>
          <t>No expired licence or ended distribution agreement found</t>
        </is>
      </c>
      <c r="AD174" s="4" t="inlineStr">
        <is>
          <t>Not started</t>
        </is>
      </c>
      <c r="AE174" s="4" t="inlineStr"/>
      <c r="AF174" s="4" t="inlineStr"/>
      <c r="AG174" s="4" t="inlineStr">
        <is>
          <t>No email published and no verified website found</t>
        </is>
      </c>
    </row>
    <row r="175">
      <c r="A175" s="4" t="n">
        <v>171</v>
      </c>
      <c r="B175" s="4" t="inlineStr">
        <is>
          <t>Suzuki Kikaiten</t>
        </is>
      </c>
      <c r="C175" s="4" t="inlineStr">
        <is>
          <t>鈴木器械店</t>
        </is>
      </c>
      <c r="D175" s="4" t="inlineStr">
        <is>
          <t>Not retrieved (NTA lookup blocked in this session)</t>
        </is>
      </c>
      <c r="E175" s="4" t="inlineStr">
        <is>
          <t>愛知県</t>
        </is>
      </c>
      <c r="F175" s="4" t="inlineStr">
        <is>
          <t>Chubu</t>
        </is>
      </c>
      <c r="G175" s="4" t="inlineStr">
        <is>
          <t>https://s-medical-instrument.localinfo.jp/</t>
        </is>
      </c>
      <c r="H175" s="4" t="inlineStr">
        <is>
          <t>No MAH found; device sales licence (高度管理医療機器等販売業) not confirmed</t>
        </is>
      </c>
      <c r="I175" s="4" t="inlineStr">
        <is>
          <t>Not identified in published sources</t>
        </is>
      </c>
      <c r="J175" s="4" t="inlineStr">
        <is>
          <t>General medical equipment (hospitals and clinics)</t>
        </is>
      </c>
      <c r="K175" s="4" t="inlineStr">
        <is>
          <t>愛知県 (regional; branch network not confirmed)</t>
        </is>
      </c>
      <c r="L175" s="4" t="inlineStr">
        <is>
          <t>Not found</t>
        </is>
      </c>
      <c r="M175" s="4" t="inlineStr">
        <is>
          <t>Not identified</t>
        </is>
      </c>
      <c r="N175" s="4" t="inlineStr">
        <is>
          <t>Not identified</t>
        </is>
      </c>
      <c r="O175" s="4" t="inlineStr">
        <is>
          <t>Not published; use contact form</t>
        </is>
      </c>
      <c r="P175" s="4" t="inlineStr">
        <is>
          <t>Not confirmed</t>
        </is>
      </c>
      <c r="Q175" s="4" t="inlineStr">
        <is>
          <t>Not identified</t>
        </is>
      </c>
      <c r="R175" s="5" t="inlineStr">
        <is>
          <t>Likely</t>
        </is>
      </c>
      <c r="S175" s="4" t="n">
        <v>18</v>
      </c>
      <c r="T175" s="10" t="inlineStr">
        <is>
          <t>C</t>
        </is>
      </c>
      <c r="U175" s="4" t="inlineStr">
        <is>
          <t>Regional general medical equipment dealer with hospital and clinic accounts; candidate sub dealer under a national MAH partner.</t>
        </is>
      </c>
      <c r="V175" s="4" t="inlineStr">
        <is>
          <t>Introduce CHISON as a future line through a national MAH partner; ask about their hospital and clinic coverage, service engineers and openness to non Japanese brands.</t>
        </is>
      </c>
      <c r="W175" s="4" t="inlineStr">
        <is>
          <t>N (not identified)</t>
        </is>
      </c>
      <c r="X175" s="7" t="inlineStr">
        <is>
          <t>https://baseconnect.in/companies/prefecture/60622468-79bd-4eef-86f8-cb69d1ef09f0/category/b2358a1c-c4c6-46f4-a0b1-dee3a1b30a0b</t>
        </is>
      </c>
      <c r="Y175" s="4" t="inlineStr">
        <is>
          <t>SonoEye P3 plus SonoAir 30 for GP and clinic accounts</t>
        </is>
      </c>
      <c r="Z175" s="4" t="inlineStr">
        <is>
          <t>2, 2, 3, 3, 3, 2, 3</t>
        </is>
      </c>
      <c r="AA175" s="4" t="inlineStr">
        <is>
          <t>Not found</t>
        </is>
      </c>
      <c r="AB175" s="4" t="inlineStr">
        <is>
          <t>Directory or search listing; not opened (direct site access blocked)</t>
        </is>
      </c>
      <c r="AC175" s="4" t="inlineStr">
        <is>
          <t>No expired licence or ended distribution agreement found</t>
        </is>
      </c>
      <c r="AD175" s="4" t="inlineStr">
        <is>
          <t>Not started</t>
        </is>
      </c>
      <c r="AE175" s="4" t="inlineStr"/>
      <c r="AF175" s="4" t="inlineStr">
        <is>
          <t>https://s-medical-instrument.localinfo.jp/pages/3803012/page_202004281244</t>
        </is>
      </c>
      <c r="AG175" s="4" t="inlineStr">
        <is>
          <t>No email published; use the contact form (link in Email source)</t>
        </is>
      </c>
    </row>
    <row r="176">
      <c r="A176" s="4" t="n">
        <v>172</v>
      </c>
      <c r="B176" s="4" t="inlineStr">
        <is>
          <t>Mandoh Shoji</t>
        </is>
      </c>
      <c r="C176" s="4" t="inlineStr">
        <is>
          <t>万東商事</t>
        </is>
      </c>
      <c r="D176" s="4" t="inlineStr">
        <is>
          <t>Not retrieved (NTA lookup blocked in this session)</t>
        </is>
      </c>
      <c r="E176" s="4" t="inlineStr">
        <is>
          <t>愛知県</t>
        </is>
      </c>
      <c r="F176" s="4" t="inlineStr">
        <is>
          <t>Chubu</t>
        </is>
      </c>
      <c r="G176" s="4" t="inlineStr">
        <is>
          <t>Not confirmed (company site not opened; network policy blocked direct access)</t>
        </is>
      </c>
      <c r="H176" s="4" t="inlineStr">
        <is>
          <t>No MAH found; device sales licence (高度管理医療機器等販売業) not confirmed</t>
        </is>
      </c>
      <c r="I176" s="4" t="inlineStr">
        <is>
          <t>Not identified in published sources</t>
        </is>
      </c>
      <c r="J176" s="4" t="inlineStr">
        <is>
          <t>General medical equipment (hospitals and clinics)</t>
        </is>
      </c>
      <c r="K176" s="4" t="inlineStr">
        <is>
          <t>愛知県 (regional; branch network not confirmed)</t>
        </is>
      </c>
      <c r="L176" s="4" t="inlineStr">
        <is>
          <t>Not found</t>
        </is>
      </c>
      <c r="M176" s="4" t="inlineStr">
        <is>
          <t>Not identified</t>
        </is>
      </c>
      <c r="N176" s="4" t="inlineStr">
        <is>
          <t>Not identified</t>
        </is>
      </c>
      <c r="O176" s="4" t="inlineStr">
        <is>
          <t>Not published; use company inquiry form</t>
        </is>
      </c>
      <c r="P176" s="4" t="inlineStr">
        <is>
          <t>Not confirmed</t>
        </is>
      </c>
      <c r="Q176" s="4" t="inlineStr">
        <is>
          <t>Not identified</t>
        </is>
      </c>
      <c r="R176" s="5" t="inlineStr">
        <is>
          <t>Unverified</t>
        </is>
      </c>
      <c r="S176" s="4" t="n">
        <v>18</v>
      </c>
      <c r="T176" s="10" t="inlineStr">
        <is>
          <t>C</t>
        </is>
      </c>
      <c r="U176" s="4" t="inlineStr">
        <is>
          <t>Regional general medical equipment dealer with hospital and clinic accounts; candidate sub dealer under a national MAH partner.</t>
        </is>
      </c>
      <c r="V176" s="4" t="inlineStr">
        <is>
          <t>Introduce CHISON as a future line through a national MAH partner; ask about their hospital and clinic coverage, service engineers and openness to non Japanese brands.</t>
        </is>
      </c>
      <c r="W176" s="4" t="inlineStr">
        <is>
          <t>N (not identified)</t>
        </is>
      </c>
      <c r="X176" s="7" t="inlineStr">
        <is>
          <t>https://baseconnect.in/companies/prefecture/60622468-79bd-4eef-86f8-cb69d1ef09f0/category/b2358a1c-c4c6-46f4-a0b1-dee3a1b30a0b</t>
        </is>
      </c>
      <c r="Y176" s="4" t="inlineStr">
        <is>
          <t>SonoEye P3 plus SonoAir 30 for GP and clinic accounts</t>
        </is>
      </c>
      <c r="Z176" s="4" t="inlineStr">
        <is>
          <t>2, 2, 3, 3, 3, 2, 3</t>
        </is>
      </c>
      <c r="AA176" s="4" t="inlineStr">
        <is>
          <t>Not found</t>
        </is>
      </c>
      <c r="AB176" s="4" t="inlineStr">
        <is>
          <t>Directory or search listing; not opened (direct site access blocked)</t>
        </is>
      </c>
      <c r="AC176" s="4" t="inlineStr">
        <is>
          <t>No expired licence or ended distribution agreement found</t>
        </is>
      </c>
      <c r="AD176" s="4" t="inlineStr">
        <is>
          <t>Not started</t>
        </is>
      </c>
      <c r="AE176" s="4" t="inlineStr"/>
      <c r="AF176" s="4" t="inlineStr"/>
      <c r="AG176" s="4" t="inlineStr">
        <is>
          <t>No email published and no verified website found</t>
        </is>
      </c>
    </row>
    <row r="177">
      <c r="A177" s="4" t="n">
        <v>173</v>
      </c>
      <c r="B177" s="4" t="inlineStr">
        <is>
          <t>Omori Kikaiten</t>
        </is>
      </c>
      <c r="C177" s="4" t="inlineStr">
        <is>
          <t>大森器械店</t>
        </is>
      </c>
      <c r="D177" s="4" t="inlineStr">
        <is>
          <t>Not retrieved (NTA lookup blocked in this session)</t>
        </is>
      </c>
      <c r="E177" s="4" t="inlineStr">
        <is>
          <t>愛知県</t>
        </is>
      </c>
      <c r="F177" s="4" t="inlineStr">
        <is>
          <t>Chubu</t>
        </is>
      </c>
      <c r="G177" s="4" t="inlineStr">
        <is>
          <t>https://www.omori-medical.co.jp/</t>
        </is>
      </c>
      <c r="H177" s="4" t="inlineStr">
        <is>
          <t>No MAH found; device sales licence (高度管理医療機器等販売業) not confirmed</t>
        </is>
      </c>
      <c r="I177" s="4" t="inlineStr">
        <is>
          <t>Not identified in published sources</t>
        </is>
      </c>
      <c r="J177" s="4" t="inlineStr">
        <is>
          <t>General medical equipment (hospitals and clinics)</t>
        </is>
      </c>
      <c r="K177" s="4" t="inlineStr">
        <is>
          <t>愛知県 (regional; branch network not confirmed)</t>
        </is>
      </c>
      <c r="L177" s="4" t="inlineStr">
        <is>
          <t>Not found</t>
        </is>
      </c>
      <c r="M177" s="4" t="inlineStr">
        <is>
          <t>Not identified</t>
        </is>
      </c>
      <c r="N177" s="4" t="inlineStr">
        <is>
          <t>Not identified</t>
        </is>
      </c>
      <c r="O177" s="4" t="inlineStr">
        <is>
          <t>Not published; use company inquiry form</t>
        </is>
      </c>
      <c r="P177" s="4" t="inlineStr">
        <is>
          <t>Not confirmed</t>
        </is>
      </c>
      <c r="Q177" s="4" t="inlineStr">
        <is>
          <t>Not identified</t>
        </is>
      </c>
      <c r="R177" s="5" t="inlineStr">
        <is>
          <t>Company inquiry only</t>
        </is>
      </c>
      <c r="S177" s="4" t="n">
        <v>18</v>
      </c>
      <c r="T177" s="10" t="inlineStr">
        <is>
          <t>C</t>
        </is>
      </c>
      <c r="U177" s="4" t="inlineStr">
        <is>
          <t>Regional general medical equipment dealer with hospital and clinic accounts; candidate sub dealer under a national MAH partner.</t>
        </is>
      </c>
      <c r="V177" s="4" t="inlineStr">
        <is>
          <t>Introduce CHISON as a future line through a national MAH partner; ask about their hospital and clinic coverage, service engineers and openness to non Japanese brands.</t>
        </is>
      </c>
      <c r="W177" s="4" t="inlineStr">
        <is>
          <t>N (not identified)</t>
        </is>
      </c>
      <c r="X177" s="7" t="inlineStr">
        <is>
          <t>https://baseconnect.in/companies/prefecture/60622468-79bd-4eef-86f8-cb69d1ef09f0/category/b2358a1c-c4c6-46f4-a0b1-dee3a1b30a0b</t>
        </is>
      </c>
      <c r="Y177" s="4" t="inlineStr">
        <is>
          <t>SonoEye P3 plus SonoAir 30 for GP and clinic accounts</t>
        </is>
      </c>
      <c r="Z177" s="4" t="inlineStr">
        <is>
          <t>2, 2, 3, 3, 3, 2, 3</t>
        </is>
      </c>
      <c r="AA177" s="4" t="inlineStr">
        <is>
          <t>Not found</t>
        </is>
      </c>
      <c r="AB177" s="4" t="inlineStr">
        <is>
          <t>Directory or search listing; not opened (direct site access blocked)</t>
        </is>
      </c>
      <c r="AC177" s="4" t="inlineStr">
        <is>
          <t>No expired licence or ended distribution agreement found</t>
        </is>
      </c>
      <c r="AD177" s="4" t="inlineStr">
        <is>
          <t>Not started</t>
        </is>
      </c>
      <c r="AE177" s="4" t="inlineStr"/>
      <c r="AF177" s="4" t="inlineStr"/>
      <c r="AG177" s="4" t="inlineStr">
        <is>
          <t>No email published; website has no contact page link, phone first</t>
        </is>
      </c>
    </row>
    <row r="178">
      <c r="A178" s="4" t="n">
        <v>174</v>
      </c>
      <c r="B178" s="4" t="inlineStr">
        <is>
          <t>Marutake</t>
        </is>
      </c>
      <c r="C178" s="4" t="inlineStr">
        <is>
          <t>マルタケ</t>
        </is>
      </c>
      <c r="D178" s="4" t="inlineStr">
        <is>
          <t>Not retrieved (NTA lookup blocked in this session)</t>
        </is>
      </c>
      <c r="E178" s="4" t="inlineStr">
        <is>
          <t>新潟県</t>
        </is>
      </c>
      <c r="F178" s="4" t="inlineStr">
        <is>
          <t>Chubu</t>
        </is>
      </c>
      <c r="G178" s="4" t="inlineStr">
        <is>
          <t>https://www.kk-marutake.co.jp/</t>
        </is>
      </c>
      <c r="H178" s="4" t="inlineStr">
        <is>
          <t>No MAH found; device sales licence (高度管理医療機器等販売業) not confirmed</t>
        </is>
      </c>
      <c r="I178" s="4" t="inlineStr">
        <is>
          <t>Not identified in published sources</t>
        </is>
      </c>
      <c r="J178" s="4" t="inlineStr">
        <is>
          <t>General medical equipment (hospitals and clinics)</t>
        </is>
      </c>
      <c r="K178" s="4" t="inlineStr">
        <is>
          <t>新潟県 (regional; branch network not confirmed)</t>
        </is>
      </c>
      <c r="L178" s="4" t="inlineStr">
        <is>
          <t>Not found</t>
        </is>
      </c>
      <c r="M178" s="4" t="inlineStr">
        <is>
          <t>Not identified</t>
        </is>
      </c>
      <c r="N178" s="4" t="inlineStr">
        <is>
          <t>Not identified</t>
        </is>
      </c>
      <c r="O178" s="4" t="inlineStr">
        <is>
          <t>orange.west@kk-marutake.co.jp</t>
        </is>
      </c>
      <c r="P178" s="4" t="inlineStr">
        <is>
          <t>Not confirmed</t>
        </is>
      </c>
      <c r="Q178" s="4" t="inlineStr">
        <is>
          <t>Not identified</t>
        </is>
      </c>
      <c r="R178" s="5" t="inlineStr">
        <is>
          <t>Unverified</t>
        </is>
      </c>
      <c r="S178" s="4" t="n">
        <v>18</v>
      </c>
      <c r="T178" s="10" t="inlineStr">
        <is>
          <t>C</t>
        </is>
      </c>
      <c r="U178" s="4" t="inlineStr">
        <is>
          <t>Regional general medical equipment dealer with hospital and clinic accounts; candidate sub dealer under a national MAH partner.</t>
        </is>
      </c>
      <c r="V178" s="4" t="inlineStr">
        <is>
          <t>Introduce CHISON as a future line through a national MAH partner; ask about their hospital and clinic coverage, service engineers and openness to non Japanese brands.</t>
        </is>
      </c>
      <c r="W178" s="4" t="inlineStr">
        <is>
          <t>N (not identified)</t>
        </is>
      </c>
      <c r="X178" s="7" t="inlineStr">
        <is>
          <t>https://baseconnect.in/companies/prefecture/3cf97f91-8b39-4cdb-981b-d035b0176b65/keyword/89941b4e-2dd1-4848-8957-48af280a31e0</t>
        </is>
      </c>
      <c r="Y178" s="4" t="inlineStr">
        <is>
          <t>SonoEye P3 plus SonoAir 30 for GP and clinic accounts</t>
        </is>
      </c>
      <c r="Z178" s="4" t="inlineStr">
        <is>
          <t>2, 2, 3, 3, 3, 2, 3</t>
        </is>
      </c>
      <c r="AA178" s="4" t="inlineStr">
        <is>
          <t>Not found</t>
        </is>
      </c>
      <c r="AB178" s="4" t="inlineStr">
        <is>
          <t>Directory or search listing; not opened (direct site access blocked)</t>
        </is>
      </c>
      <c r="AC178" s="4" t="inlineStr">
        <is>
          <t>No expired licence or ended distribution agreement found</t>
        </is>
      </c>
      <c r="AD178" s="4" t="inlineStr">
        <is>
          <t>Not started</t>
        </is>
      </c>
      <c r="AE178" s="4" t="inlineStr">
        <is>
          <t>saiyo@kk-marutake.co.jp</t>
        </is>
      </c>
      <c r="AF178" s="4" t="inlineStr">
        <is>
          <t>https://ninchisho-barrierfree.jp/search/detail/65/list/</t>
        </is>
      </c>
      <c r="AG178" s="4" t="inlineStr">
        <is>
          <t>Likely: indexed on company domain</t>
        </is>
      </c>
    </row>
    <row r="179">
      <c r="A179" s="4" t="n">
        <v>175</v>
      </c>
      <c r="B179" s="4" t="inlineStr">
        <is>
          <t>Yukyudo Ika Kikaiten</t>
        </is>
      </c>
      <c r="C179" s="4" t="inlineStr">
        <is>
          <t>悠久堂医科器械店</t>
        </is>
      </c>
      <c r="D179" s="4" t="inlineStr">
        <is>
          <t>Not retrieved (NTA lookup blocked in this session)</t>
        </is>
      </c>
      <c r="E179" s="4" t="inlineStr">
        <is>
          <t>新潟県</t>
        </is>
      </c>
      <c r="F179" s="4" t="inlineStr">
        <is>
          <t>Chubu</t>
        </is>
      </c>
      <c r="G179" s="4" t="inlineStr">
        <is>
          <t>https://www.i-yukyudo.co.jp/</t>
        </is>
      </c>
      <c r="H179" s="4" t="inlineStr">
        <is>
          <t>No MAH found; device sales licence (高度管理医療機器等販売業) not confirmed</t>
        </is>
      </c>
      <c r="I179" s="4" t="inlineStr">
        <is>
          <t>Not identified in published sources</t>
        </is>
      </c>
      <c r="J179" s="4" t="inlineStr">
        <is>
          <t>General medical equipment (hospitals and clinics)</t>
        </is>
      </c>
      <c r="K179" s="4" t="inlineStr">
        <is>
          <t>新潟県 (regional; branch network not confirmed)</t>
        </is>
      </c>
      <c r="L179" s="4" t="inlineStr">
        <is>
          <t>Not found</t>
        </is>
      </c>
      <c r="M179" s="4" t="inlineStr">
        <is>
          <t>Not identified</t>
        </is>
      </c>
      <c r="N179" s="4" t="inlineStr">
        <is>
          <t>Not identified</t>
        </is>
      </c>
      <c r="O179" s="4" t="inlineStr">
        <is>
          <t>uq-headoffice@i-yukyudo.co.jp</t>
        </is>
      </c>
      <c r="P179" s="4" t="inlineStr">
        <is>
          <t>Not confirmed</t>
        </is>
      </c>
      <c r="Q179" s="4" t="inlineStr">
        <is>
          <t>Not identified</t>
        </is>
      </c>
      <c r="R179" s="5" t="inlineStr">
        <is>
          <t>Unverified</t>
        </is>
      </c>
      <c r="S179" s="4" t="n">
        <v>18</v>
      </c>
      <c r="T179" s="10" t="inlineStr">
        <is>
          <t>C</t>
        </is>
      </c>
      <c r="U179" s="4" t="inlineStr">
        <is>
          <t>Regional general medical equipment dealer with hospital and clinic accounts; candidate sub dealer under a national MAH partner.</t>
        </is>
      </c>
      <c r="V179" s="4" t="inlineStr">
        <is>
          <t>Introduce CHISON as a future line through a national MAH partner; ask about their hospital and clinic coverage, service engineers and openness to non Japanese brands.</t>
        </is>
      </c>
      <c r="W179" s="4" t="inlineStr">
        <is>
          <t>N (not identified)</t>
        </is>
      </c>
      <c r="X179" s="7" t="inlineStr">
        <is>
          <t>https://baseconnect.in/companies/prefecture/3cf97f91-8b39-4cdb-981b-d035b0176b65/keyword/89941b4e-2dd1-4848-8957-48af280a31e0</t>
        </is>
      </c>
      <c r="Y179" s="4" t="inlineStr">
        <is>
          <t>SonoEye P3 plus SonoAir 30 for GP and clinic accounts</t>
        </is>
      </c>
      <c r="Z179" s="4" t="inlineStr">
        <is>
          <t>2, 2, 3, 3, 3, 2, 3</t>
        </is>
      </c>
      <c r="AA179" s="4" t="inlineStr">
        <is>
          <t>Not found</t>
        </is>
      </c>
      <c r="AB179" s="4" t="inlineStr">
        <is>
          <t>Directory or search listing; not opened (direct site access blocked)</t>
        </is>
      </c>
      <c r="AC179" s="4" t="inlineStr">
        <is>
          <t>No expired licence or ended distribution agreement found</t>
        </is>
      </c>
      <c r="AD179" s="4" t="inlineStr">
        <is>
          <t>Not started</t>
        </is>
      </c>
      <c r="AE179" s="4" t="inlineStr"/>
      <c r="AF179" s="4" t="inlineStr">
        <is>
          <t>https://www.i-yukyudo.co.jp/</t>
        </is>
      </c>
      <c r="AG179" s="4" t="inlineStr">
        <is>
          <t>Verified: published on company website</t>
        </is>
      </c>
    </row>
    <row r="180">
      <c r="A180" s="4" t="n">
        <v>176</v>
      </c>
      <c r="B180" s="4" t="inlineStr">
        <is>
          <t>Kanamori Iryo Kikaiten</t>
        </is>
      </c>
      <c r="C180" s="4" t="inlineStr">
        <is>
          <t>金森医療器械店</t>
        </is>
      </c>
      <c r="D180" s="4" t="inlineStr">
        <is>
          <t>Not retrieved (NTA lookup blocked in this session)</t>
        </is>
      </c>
      <c r="E180" s="4" t="inlineStr">
        <is>
          <t>新潟県</t>
        </is>
      </c>
      <c r="F180" s="4" t="inlineStr">
        <is>
          <t>Chubu</t>
        </is>
      </c>
      <c r="G180" s="4" t="inlineStr">
        <is>
          <t>Not confirmed (company site not opened; network policy blocked direct access)</t>
        </is>
      </c>
      <c r="H180" s="4" t="inlineStr">
        <is>
          <t>No MAH found; device sales licence (高度管理医療機器等販売業) not confirmed</t>
        </is>
      </c>
      <c r="I180" s="4" t="inlineStr">
        <is>
          <t>Not identified in published sources</t>
        </is>
      </c>
      <c r="J180" s="4" t="inlineStr">
        <is>
          <t>General medical equipment (hospitals and clinics)</t>
        </is>
      </c>
      <c r="K180" s="4" t="inlineStr">
        <is>
          <t>新潟県 (regional; branch network not confirmed)</t>
        </is>
      </c>
      <c r="L180" s="4" t="inlineStr">
        <is>
          <t>Not found</t>
        </is>
      </c>
      <c r="M180" s="4" t="inlineStr">
        <is>
          <t>Not identified</t>
        </is>
      </c>
      <c r="N180" s="4" t="inlineStr">
        <is>
          <t>Not identified</t>
        </is>
      </c>
      <c r="O180" s="4" t="inlineStr">
        <is>
          <t>Not published; use company inquiry form</t>
        </is>
      </c>
      <c r="P180" s="4" t="inlineStr">
        <is>
          <t>Not confirmed</t>
        </is>
      </c>
      <c r="Q180" s="4" t="inlineStr">
        <is>
          <t>Not identified</t>
        </is>
      </c>
      <c r="R180" s="5" t="inlineStr">
        <is>
          <t>Unverified</t>
        </is>
      </c>
      <c r="S180" s="4" t="n">
        <v>18</v>
      </c>
      <c r="T180" s="10" t="inlineStr">
        <is>
          <t>C</t>
        </is>
      </c>
      <c r="U180" s="4" t="inlineStr">
        <is>
          <t>Regional general medical equipment dealer with hospital and clinic accounts; candidate sub dealer under a national MAH partner.</t>
        </is>
      </c>
      <c r="V180" s="4" t="inlineStr">
        <is>
          <t>Introduce CHISON as a future line through a national MAH partner; ask about their hospital and clinic coverage, service engineers and openness to non Japanese brands.</t>
        </is>
      </c>
      <c r="W180" s="4" t="inlineStr">
        <is>
          <t>N (not identified)</t>
        </is>
      </c>
      <c r="X180" s="7" t="inlineStr">
        <is>
          <t>https://baseconnect.in/companies/prefecture/3cf97f91-8b39-4cdb-981b-d035b0176b65/keyword/89941b4e-2dd1-4848-8957-48af280a31e0</t>
        </is>
      </c>
      <c r="Y180" s="4" t="inlineStr">
        <is>
          <t>SonoEye P3 plus SonoAir 30 for GP and clinic accounts</t>
        </is>
      </c>
      <c r="Z180" s="4" t="inlineStr">
        <is>
          <t>2, 2, 3, 3, 3, 2, 3</t>
        </is>
      </c>
      <c r="AA180" s="4" t="inlineStr">
        <is>
          <t>Not found</t>
        </is>
      </c>
      <c r="AB180" s="4" t="inlineStr">
        <is>
          <t>Directory or search listing; not opened (direct site access blocked)</t>
        </is>
      </c>
      <c r="AC180" s="4" t="inlineStr">
        <is>
          <t>No expired licence or ended distribution agreement found</t>
        </is>
      </c>
      <c r="AD180" s="4" t="inlineStr">
        <is>
          <t>Not started</t>
        </is>
      </c>
      <c r="AE180" s="4" t="inlineStr"/>
      <c r="AF180" s="4" t="inlineStr"/>
      <c r="AG180" s="4" t="inlineStr">
        <is>
          <t>No email published and no verified website found</t>
        </is>
      </c>
    </row>
    <row r="181">
      <c r="A181" s="4" t="n">
        <v>177</v>
      </c>
      <c r="B181" s="4" t="inlineStr">
        <is>
          <t>Meisho</t>
        </is>
      </c>
      <c r="C181" s="4" t="inlineStr">
        <is>
          <t>明祥</t>
        </is>
      </c>
      <c r="D181" s="4" t="inlineStr">
        <is>
          <t>Not retrieved (NTA lookup blocked in this session)</t>
        </is>
      </c>
      <c r="E181" s="4" t="inlineStr">
        <is>
          <t>石川県</t>
        </is>
      </c>
      <c r="F181" s="4" t="inlineStr">
        <is>
          <t>Chubu</t>
        </is>
      </c>
      <c r="G181" s="4" t="inlineStr">
        <is>
          <t>https://www.mshhs.com/</t>
        </is>
      </c>
      <c r="H181" s="4" t="inlineStr">
        <is>
          <t>No MAH found; device sales licence (高度管理医療機器等販売業) not confirmed</t>
        </is>
      </c>
      <c r="I181" s="4" t="inlineStr">
        <is>
          <t>Not identified in published sources</t>
        </is>
      </c>
      <c r="J181" s="4" t="inlineStr">
        <is>
          <t>General medical equipment (hospitals and clinics)</t>
        </is>
      </c>
      <c r="K181" s="4" t="inlineStr">
        <is>
          <t>石川県 (regional; branch network not confirmed)</t>
        </is>
      </c>
      <c r="L181" s="4" t="inlineStr">
        <is>
          <t>Not found</t>
        </is>
      </c>
      <c r="M181" s="4" t="inlineStr">
        <is>
          <t>Not identified</t>
        </is>
      </c>
      <c r="N181" s="4" t="inlineStr">
        <is>
          <t>Not identified</t>
        </is>
      </c>
      <c r="O181" s="4" t="inlineStr">
        <is>
          <t>y-inoue@mshhs.com</t>
        </is>
      </c>
      <c r="P181" s="4" t="inlineStr">
        <is>
          <t>Not confirmed</t>
        </is>
      </c>
      <c r="Q181" s="4" t="inlineStr">
        <is>
          <t>Not identified</t>
        </is>
      </c>
      <c r="R181" s="5" t="inlineStr">
        <is>
          <t>Unverified</t>
        </is>
      </c>
      <c r="S181" s="4" t="n">
        <v>18</v>
      </c>
      <c r="T181" s="10" t="inlineStr">
        <is>
          <t>C</t>
        </is>
      </c>
      <c r="U181" s="4" t="inlineStr">
        <is>
          <t>Regional general medical equipment dealer with hospital and clinic accounts; candidate sub dealer under a national MAH partner.</t>
        </is>
      </c>
      <c r="V181" s="4" t="inlineStr">
        <is>
          <t>Introduce CHISON as a future line through a national MAH partner; ask about their hospital and clinic coverage, service engineers and openness to non Japanese brands.</t>
        </is>
      </c>
      <c r="W181" s="4" t="inlineStr">
        <is>
          <t>N (not identified)</t>
        </is>
      </c>
      <c r="X181" s="7" t="inlineStr">
        <is>
          <t>https://baseconnect.in/companies/prefecture/4637ba90-383b-4656-8be1-ca34c7f7244f/keyword/89941b4e-2dd1-4848-8957-48af280a31e0</t>
        </is>
      </c>
      <c r="Y181" s="4" t="inlineStr">
        <is>
          <t>SonoEye P3 plus SonoAir 30 for GP and clinic accounts</t>
        </is>
      </c>
      <c r="Z181" s="4" t="inlineStr">
        <is>
          <t>2, 2, 3, 3, 3, 2, 3</t>
        </is>
      </c>
      <c r="AA181" s="4" t="inlineStr">
        <is>
          <t>Not found</t>
        </is>
      </c>
      <c r="AB181" s="4" t="inlineStr">
        <is>
          <t>Directory or search listing; not opened (direct site access blocked)</t>
        </is>
      </c>
      <c r="AC181" s="4" t="inlineStr">
        <is>
          <t>No expired licence or ended distribution agreement found</t>
        </is>
      </c>
      <c r="AD181" s="4" t="inlineStr">
        <is>
          <t>Not started</t>
        </is>
      </c>
      <c r="AE181" s="4" t="inlineStr">
        <is>
          <t>t-yamaguti@mshhs.com, w-isiguro@mshhs.com</t>
        </is>
      </c>
      <c r="AF181" s="4" t="inlineStr">
        <is>
          <t>https://job.mynavi.jp/28/pc/search/corp95281/is.html</t>
        </is>
      </c>
      <c r="AG181" s="4" t="inlineStr">
        <is>
          <t>Likely: indexed on company domain</t>
        </is>
      </c>
    </row>
    <row r="182">
      <c r="A182" s="4" t="n">
        <v>178</v>
      </c>
      <c r="B182" s="4" t="inlineStr">
        <is>
          <t>East Medic</t>
        </is>
      </c>
      <c r="C182" s="4" t="inlineStr">
        <is>
          <t>イーストメディック</t>
        </is>
      </c>
      <c r="D182" s="4" t="inlineStr">
        <is>
          <t>Not retrieved (NTA lookup blocked in this session)</t>
        </is>
      </c>
      <c r="E182" s="4" t="inlineStr">
        <is>
          <t>石川県</t>
        </is>
      </c>
      <c r="F182" s="4" t="inlineStr">
        <is>
          <t>Chubu</t>
        </is>
      </c>
      <c r="G182" s="4" t="inlineStr">
        <is>
          <t>http://www.east-medic.jp/</t>
        </is>
      </c>
      <c r="H182" s="4" t="inlineStr">
        <is>
          <t>No MAH found; device sales licence (高度管理医療機器等販売業) not confirmed</t>
        </is>
      </c>
      <c r="I182" s="4" t="inlineStr">
        <is>
          <t>Not identified in published sources</t>
        </is>
      </c>
      <c r="J182" s="4" t="inlineStr">
        <is>
          <t>General medical equipment (hospitals and clinics)</t>
        </is>
      </c>
      <c r="K182" s="4" t="inlineStr">
        <is>
          <t>石川県 (regional; branch network not confirmed)</t>
        </is>
      </c>
      <c r="L182" s="4" t="inlineStr">
        <is>
          <t>Not found</t>
        </is>
      </c>
      <c r="M182" s="4" t="inlineStr">
        <is>
          <t>Not identified</t>
        </is>
      </c>
      <c r="N182" s="4" t="inlineStr">
        <is>
          <t>Not identified</t>
        </is>
      </c>
      <c r="O182" s="4" t="inlineStr">
        <is>
          <t>info@east-medic.jp</t>
        </is>
      </c>
      <c r="P182" s="4" t="inlineStr">
        <is>
          <t>Not confirmed</t>
        </is>
      </c>
      <c r="Q182" s="4" t="inlineStr">
        <is>
          <t>Not identified</t>
        </is>
      </c>
      <c r="R182" s="5" t="inlineStr">
        <is>
          <t>Unverified</t>
        </is>
      </c>
      <c r="S182" s="4" t="n">
        <v>18</v>
      </c>
      <c r="T182" s="10" t="inlineStr">
        <is>
          <t>C</t>
        </is>
      </c>
      <c r="U182" s="4" t="inlineStr">
        <is>
          <t>Regional general medical equipment dealer with hospital and clinic accounts; candidate sub dealer under a national MAH partner.</t>
        </is>
      </c>
      <c r="V182" s="4" t="inlineStr">
        <is>
          <t>Introduce CHISON as a future line through a national MAH partner; ask about their hospital and clinic coverage, service engineers and openness to non Japanese brands.</t>
        </is>
      </c>
      <c r="W182" s="4" t="inlineStr">
        <is>
          <t>N (not identified)</t>
        </is>
      </c>
      <c r="X182" s="7" t="inlineStr">
        <is>
          <t>https://baseconnect.in/companies/prefecture/4637ba90-383b-4656-8be1-ca34c7f7244f/keyword/89941b4e-2dd1-4848-8957-48af280a31e0</t>
        </is>
      </c>
      <c r="Y182" s="4" t="inlineStr">
        <is>
          <t>SonoEye P3 plus SonoAir 30 for GP and clinic accounts</t>
        </is>
      </c>
      <c r="Z182" s="4" t="inlineStr">
        <is>
          <t>2, 2, 3, 3, 3, 2, 3</t>
        </is>
      </c>
      <c r="AA182" s="4" t="inlineStr">
        <is>
          <t>Not found</t>
        </is>
      </c>
      <c r="AB182" s="4" t="inlineStr">
        <is>
          <t>Directory or search listing; not opened (direct site access blocked)</t>
        </is>
      </c>
      <c r="AC182" s="4" t="inlineStr">
        <is>
          <t>No expired licence or ended distribution agreement found</t>
        </is>
      </c>
      <c r="AD182" s="4" t="inlineStr">
        <is>
          <t>Not started</t>
        </is>
      </c>
      <c r="AE182" s="4" t="inlineStr"/>
      <c r="AF182" s="4" t="inlineStr">
        <is>
          <t>http://www.east-medic.jp/information/</t>
        </is>
      </c>
      <c r="AG182" s="4" t="inlineStr">
        <is>
          <t>Verified: published on company website</t>
        </is>
      </c>
    </row>
    <row r="183">
      <c r="A183" s="4" t="n">
        <v>179</v>
      </c>
      <c r="B183" s="4" t="inlineStr">
        <is>
          <t>Hashino Medical</t>
        </is>
      </c>
      <c r="C183" s="4" t="inlineStr">
        <is>
          <t>端野メディカル</t>
        </is>
      </c>
      <c r="D183" s="4" t="inlineStr">
        <is>
          <t>Not retrieved (NTA lookup blocked in this session)</t>
        </is>
      </c>
      <c r="E183" s="4" t="inlineStr">
        <is>
          <t>福井県</t>
        </is>
      </c>
      <c r="F183" s="4" t="inlineStr">
        <is>
          <t>Chubu</t>
        </is>
      </c>
      <c r="G183" s="4" t="inlineStr">
        <is>
          <t>https://www.hashino-medical.co.jp/</t>
        </is>
      </c>
      <c r="H183" s="4" t="inlineStr">
        <is>
          <t>No MAH found; device sales licence (高度管理医療機器等販売業) not confirmed</t>
        </is>
      </c>
      <c r="I183" s="4" t="inlineStr">
        <is>
          <t>Not identified in published sources</t>
        </is>
      </c>
      <c r="J183" s="4" t="inlineStr">
        <is>
          <t>General medical equipment (hospitals and clinics)</t>
        </is>
      </c>
      <c r="K183" s="4" t="inlineStr">
        <is>
          <t>福井県 (regional; branch network not confirmed)</t>
        </is>
      </c>
      <c r="L183" s="4" t="inlineStr">
        <is>
          <t>Not found</t>
        </is>
      </c>
      <c r="M183" s="4" t="inlineStr">
        <is>
          <t>Not identified</t>
        </is>
      </c>
      <c r="N183" s="4" t="inlineStr">
        <is>
          <t>Not identified</t>
        </is>
      </c>
      <c r="O183" s="4" t="inlineStr">
        <is>
          <t>Not published; use contact form</t>
        </is>
      </c>
      <c r="P183" s="4" t="inlineStr">
        <is>
          <t>Not confirmed</t>
        </is>
      </c>
      <c r="Q183" s="4" t="inlineStr">
        <is>
          <t>Not identified</t>
        </is>
      </c>
      <c r="R183" s="5" t="inlineStr">
        <is>
          <t>Likely</t>
        </is>
      </c>
      <c r="S183" s="4" t="n">
        <v>18</v>
      </c>
      <c r="T183" s="10" t="inlineStr">
        <is>
          <t>C</t>
        </is>
      </c>
      <c r="U183" s="4" t="inlineStr">
        <is>
          <t>Regional general medical equipment dealer with hospital and clinic accounts; candidate sub dealer under a national MAH partner.</t>
        </is>
      </c>
      <c r="V183" s="4" t="inlineStr">
        <is>
          <t>Introduce CHISON as a future line through a national MAH partner; ask about their hospital and clinic coverage, service engineers and openness to non Japanese brands.</t>
        </is>
      </c>
      <c r="W183" s="4" t="inlineStr">
        <is>
          <t>N (not identified)</t>
        </is>
      </c>
      <c r="X183" s="7" t="inlineStr">
        <is>
          <t>https://baseconnect.in/companies/prefecture/aed784f6-cd06-4f72-95d9-876e82d37385/keyword/89941b4e-2dd1-4848-8957-48af280a31e0</t>
        </is>
      </c>
      <c r="Y183" s="4" t="inlineStr">
        <is>
          <t>SonoEye P3 plus SonoAir 30 for GP and clinic accounts</t>
        </is>
      </c>
      <c r="Z183" s="4" t="inlineStr">
        <is>
          <t>2, 2, 3, 3, 3, 2, 3</t>
        </is>
      </c>
      <c r="AA183" s="4" t="inlineStr">
        <is>
          <t>Not found</t>
        </is>
      </c>
      <c r="AB183" s="4" t="inlineStr">
        <is>
          <t>Directory or search listing; not opened (direct site access blocked)</t>
        </is>
      </c>
      <c r="AC183" s="4" t="inlineStr">
        <is>
          <t>No expired licence or ended distribution agreement found</t>
        </is>
      </c>
      <c r="AD183" s="4" t="inlineStr">
        <is>
          <t>Not started</t>
        </is>
      </c>
      <c r="AE183" s="4" t="inlineStr"/>
      <c r="AF183" s="4" t="inlineStr">
        <is>
          <t>https://www.hashino-medical.co.jp/inquiry/</t>
        </is>
      </c>
      <c r="AG183" s="4" t="inlineStr">
        <is>
          <t>No email published; use the contact form (link in Email source)</t>
        </is>
      </c>
    </row>
    <row r="184">
      <c r="A184" s="4" t="n">
        <v>180</v>
      </c>
      <c r="B184" s="4" t="inlineStr">
        <is>
          <t>Ito Iryoki</t>
        </is>
      </c>
      <c r="C184" s="4" t="inlineStr">
        <is>
          <t>伊藤医療器</t>
        </is>
      </c>
      <c r="D184" s="4" t="inlineStr">
        <is>
          <t>Not retrieved (NTA lookup blocked in this session)</t>
        </is>
      </c>
      <c r="E184" s="4" t="inlineStr">
        <is>
          <t>福井県</t>
        </is>
      </c>
      <c r="F184" s="4" t="inlineStr">
        <is>
          <t>Chubu</t>
        </is>
      </c>
      <c r="G184" s="4" t="inlineStr">
        <is>
          <t>Not confirmed (company site not opened; network policy blocked direct access)</t>
        </is>
      </c>
      <c r="H184" s="4" t="inlineStr">
        <is>
          <t>No MAH found; device sales licence (高度管理医療機器等販売業) not confirmed</t>
        </is>
      </c>
      <c r="I184" s="4" t="inlineStr">
        <is>
          <t>Not identified in published sources</t>
        </is>
      </c>
      <c r="J184" s="4" t="inlineStr">
        <is>
          <t>General medical equipment (hospitals and clinics)</t>
        </is>
      </c>
      <c r="K184" s="4" t="inlineStr">
        <is>
          <t>福井県 (regional; branch network not confirmed)</t>
        </is>
      </c>
      <c r="L184" s="4" t="inlineStr">
        <is>
          <t>Not found</t>
        </is>
      </c>
      <c r="M184" s="4" t="inlineStr">
        <is>
          <t>Not identified</t>
        </is>
      </c>
      <c r="N184" s="4" t="inlineStr">
        <is>
          <t>Not identified</t>
        </is>
      </c>
      <c r="O184" s="4" t="inlineStr">
        <is>
          <t>Not published; use company inquiry form</t>
        </is>
      </c>
      <c r="P184" s="4" t="inlineStr">
        <is>
          <t>Not confirmed</t>
        </is>
      </c>
      <c r="Q184" s="4" t="inlineStr">
        <is>
          <t>Not identified</t>
        </is>
      </c>
      <c r="R184" s="5" t="inlineStr">
        <is>
          <t>Unverified</t>
        </is>
      </c>
      <c r="S184" s="4" t="n">
        <v>18</v>
      </c>
      <c r="T184" s="10" t="inlineStr">
        <is>
          <t>C</t>
        </is>
      </c>
      <c r="U184" s="4" t="inlineStr">
        <is>
          <t>Regional general medical equipment dealer with hospital and clinic accounts; candidate sub dealer under a national MAH partner.</t>
        </is>
      </c>
      <c r="V184" s="4" t="inlineStr">
        <is>
          <t>Introduce CHISON as a future line through a national MAH partner; ask about their hospital and clinic coverage, service engineers and openness to non Japanese brands.</t>
        </is>
      </c>
      <c r="W184" s="4" t="inlineStr">
        <is>
          <t>N (not identified)</t>
        </is>
      </c>
      <c r="X184" s="7" t="inlineStr">
        <is>
          <t>https://baseconnect.in/companies/prefecture/aed784f6-cd06-4f72-95d9-876e82d37385/keyword/89941b4e-2dd1-4848-8957-48af280a31e0</t>
        </is>
      </c>
      <c r="Y184" s="4" t="inlineStr">
        <is>
          <t>SonoEye P3 plus SonoAir 30 for GP and clinic accounts</t>
        </is>
      </c>
      <c r="Z184" s="4" t="inlineStr">
        <is>
          <t>2, 2, 3, 3, 3, 2, 3</t>
        </is>
      </c>
      <c r="AA184" s="4" t="inlineStr">
        <is>
          <t>Not found</t>
        </is>
      </c>
      <c r="AB184" s="4" t="inlineStr">
        <is>
          <t>Directory or search listing; not opened (direct site access blocked)</t>
        </is>
      </c>
      <c r="AC184" s="4" t="inlineStr">
        <is>
          <t>No expired licence or ended distribution agreement found</t>
        </is>
      </c>
      <c r="AD184" s="4" t="inlineStr">
        <is>
          <t>Not started</t>
        </is>
      </c>
      <c r="AE184" s="4" t="inlineStr"/>
      <c r="AF184" s="4" t="inlineStr"/>
      <c r="AG184" s="4" t="inlineStr">
        <is>
          <t>No email published and no verified website found</t>
        </is>
      </c>
    </row>
    <row r="185">
      <c r="A185" s="4" t="n">
        <v>181</v>
      </c>
      <c r="B185" s="4" t="inlineStr">
        <is>
          <t>Kamijo Kikaiten</t>
        </is>
      </c>
      <c r="C185" s="4" t="inlineStr">
        <is>
          <t>上條器械店</t>
        </is>
      </c>
      <c r="D185" s="4" t="inlineStr">
        <is>
          <t>Not retrieved (NTA lookup blocked in this session)</t>
        </is>
      </c>
      <c r="E185" s="4" t="inlineStr">
        <is>
          <t>長野県</t>
        </is>
      </c>
      <c r="F185" s="4" t="inlineStr">
        <is>
          <t>Chubu</t>
        </is>
      </c>
      <c r="G185" s="4" t="inlineStr">
        <is>
          <t>https://www.kjm.co.jp/</t>
        </is>
      </c>
      <c r="H185" s="4" t="inlineStr">
        <is>
          <t>No MAH found; device sales licence (高度管理医療機器等販売業) not confirmed</t>
        </is>
      </c>
      <c r="I185" s="4" t="inlineStr">
        <is>
          <t>Not identified in published sources</t>
        </is>
      </c>
      <c r="J185" s="4" t="inlineStr">
        <is>
          <t>General medical equipment (hospitals and clinics)</t>
        </is>
      </c>
      <c r="K185" s="4" t="inlineStr">
        <is>
          <t>長野県 (regional; branch network not confirmed)</t>
        </is>
      </c>
      <c r="L185" s="4" t="inlineStr">
        <is>
          <t>Not found</t>
        </is>
      </c>
      <c r="M185" s="4" t="inlineStr">
        <is>
          <t>Not identified</t>
        </is>
      </c>
      <c r="N185" s="4" t="inlineStr">
        <is>
          <t>Not identified</t>
        </is>
      </c>
      <c r="O185" s="4" t="inlineStr">
        <is>
          <t>kjm-smartk@kjm.co.jp</t>
        </is>
      </c>
      <c r="P185" s="4" t="inlineStr">
        <is>
          <t>Not confirmed</t>
        </is>
      </c>
      <c r="Q185" s="4" t="inlineStr">
        <is>
          <t>Not identified</t>
        </is>
      </c>
      <c r="R185" s="5" t="inlineStr">
        <is>
          <t>Unverified</t>
        </is>
      </c>
      <c r="S185" s="4" t="n">
        <v>18</v>
      </c>
      <c r="T185" s="10" t="inlineStr">
        <is>
          <t>C</t>
        </is>
      </c>
      <c r="U185" s="4" t="inlineStr">
        <is>
          <t>Regional general medical equipment dealer with hospital and clinic accounts; candidate sub dealer under a national MAH partner.</t>
        </is>
      </c>
      <c r="V185" s="4" t="inlineStr">
        <is>
          <t>Introduce CHISON as a future line through a national MAH partner; ask about their hospital and clinic coverage, service engineers and openness to non Japanese brands.</t>
        </is>
      </c>
      <c r="W185" s="4" t="inlineStr">
        <is>
          <t>N (not identified)</t>
        </is>
      </c>
      <c r="X185" s="7" t="inlineStr">
        <is>
          <t>https://baseconnect.in/companies/prefecture/47b312cd-84c4-4e89-951a-b56344bc774e/keyword/89941b4e-2dd1-4848-8957-48af280a31e0</t>
        </is>
      </c>
      <c r="Y185" s="4" t="inlineStr">
        <is>
          <t>SonoEye P3 plus SonoAir 30 for GP and clinic accounts</t>
        </is>
      </c>
      <c r="Z185" s="4" t="inlineStr">
        <is>
          <t>2, 2, 3, 3, 3, 2, 3</t>
        </is>
      </c>
      <c r="AA185" s="4" t="inlineStr">
        <is>
          <t>Not found</t>
        </is>
      </c>
      <c r="AB185" s="4" t="inlineStr">
        <is>
          <t>Directory or search listing; not opened (direct site access blocked)</t>
        </is>
      </c>
      <c r="AC185" s="4" t="inlineStr">
        <is>
          <t>No expired licence or ended distribution agreement found</t>
        </is>
      </c>
      <c r="AD185" s="4" t="inlineStr">
        <is>
          <t>Not started</t>
        </is>
      </c>
      <c r="AE185" s="4" t="inlineStr"/>
      <c r="AF185" s="4" t="inlineStr">
        <is>
          <t>https://www.kjm.co.jp/outline/other/</t>
        </is>
      </c>
      <c r="AG185" s="4" t="inlineStr">
        <is>
          <t>Verified: published on company website</t>
        </is>
      </c>
    </row>
    <row r="186">
      <c r="A186" s="4" t="n">
        <v>182</v>
      </c>
      <c r="B186" s="4" t="inlineStr">
        <is>
          <t>Kyoei Ika Kikai</t>
        </is>
      </c>
      <c r="C186" s="4" t="inlineStr">
        <is>
          <t>共栄医科器械</t>
        </is>
      </c>
      <c r="D186" s="4" t="inlineStr">
        <is>
          <t>Not retrieved (NTA lookup blocked in this session)</t>
        </is>
      </c>
      <c r="E186" s="4" t="inlineStr">
        <is>
          <t>長野県</t>
        </is>
      </c>
      <c r="F186" s="4" t="inlineStr">
        <is>
          <t>Chubu</t>
        </is>
      </c>
      <c r="G186" s="4" t="inlineStr">
        <is>
          <t>https://kyoei-med.jp/</t>
        </is>
      </c>
      <c r="H186" s="4" t="inlineStr">
        <is>
          <t>No MAH found; device sales licence (高度管理医療機器等販売業) not confirmed</t>
        </is>
      </c>
      <c r="I186" s="4" t="inlineStr">
        <is>
          <t>Not identified in published sources</t>
        </is>
      </c>
      <c r="J186" s="4" t="inlineStr">
        <is>
          <t>General medical equipment (hospitals and clinics)</t>
        </is>
      </c>
      <c r="K186" s="4" t="inlineStr">
        <is>
          <t>長野県 (regional; branch network not confirmed)</t>
        </is>
      </c>
      <c r="L186" s="4" t="inlineStr">
        <is>
          <t>Not found</t>
        </is>
      </c>
      <c r="M186" s="4" t="inlineStr">
        <is>
          <t>Not identified</t>
        </is>
      </c>
      <c r="N186" s="4" t="inlineStr">
        <is>
          <t>Not identified</t>
        </is>
      </c>
      <c r="O186" s="4" t="inlineStr">
        <is>
          <t>Not published; use company inquiry form</t>
        </is>
      </c>
      <c r="P186" s="4" t="inlineStr">
        <is>
          <t>Not confirmed</t>
        </is>
      </c>
      <c r="Q186" s="4" t="inlineStr">
        <is>
          <t>Not identified</t>
        </is>
      </c>
      <c r="R186" s="5" t="inlineStr">
        <is>
          <t>Company inquiry only</t>
        </is>
      </c>
      <c r="S186" s="4" t="n">
        <v>18</v>
      </c>
      <c r="T186" s="10" t="inlineStr">
        <is>
          <t>C</t>
        </is>
      </c>
      <c r="U186" s="4" t="inlineStr">
        <is>
          <t>Regional general medical equipment dealer with hospital and clinic accounts; candidate sub dealer under a national MAH partner.</t>
        </is>
      </c>
      <c r="V186" s="4" t="inlineStr">
        <is>
          <t>Introduce CHISON as a future line through a national MAH partner; ask about their hospital and clinic coverage, service engineers and openness to non Japanese brands.</t>
        </is>
      </c>
      <c r="W186" s="4" t="inlineStr">
        <is>
          <t>N (not identified)</t>
        </is>
      </c>
      <c r="X186" s="7" t="inlineStr">
        <is>
          <t>https://baseconnect.in/companies/prefecture/47b312cd-84c4-4e89-951a-b56344bc774e/keyword/89941b4e-2dd1-4848-8957-48af280a31e0</t>
        </is>
      </c>
      <c r="Y186" s="4" t="inlineStr">
        <is>
          <t>SonoEye P3 plus SonoAir 30 for GP and clinic accounts</t>
        </is>
      </c>
      <c r="Z186" s="4" t="inlineStr">
        <is>
          <t>2, 2, 3, 3, 3, 2, 3</t>
        </is>
      </c>
      <c r="AA186" s="4" t="inlineStr">
        <is>
          <t>Not found</t>
        </is>
      </c>
      <c r="AB186" s="4" t="inlineStr">
        <is>
          <t>Directory or search listing; not opened (direct site access blocked)</t>
        </is>
      </c>
      <c r="AC186" s="4" t="inlineStr">
        <is>
          <t>No expired licence or ended distribution agreement found</t>
        </is>
      </c>
      <c r="AD186" s="4" t="inlineStr">
        <is>
          <t>Not started</t>
        </is>
      </c>
      <c r="AE186" s="4" t="inlineStr"/>
      <c r="AF186" s="4" t="inlineStr"/>
      <c r="AG186" s="4" t="inlineStr">
        <is>
          <t>No email published; website has no contact page link, phone first</t>
        </is>
      </c>
    </row>
    <row r="187">
      <c r="A187" s="4" t="n">
        <v>183</v>
      </c>
      <c r="B187" s="4" t="inlineStr">
        <is>
          <t>NeXT (Nagano)</t>
        </is>
      </c>
      <c r="C187" s="4" t="inlineStr">
        <is>
          <t>NeXT</t>
        </is>
      </c>
      <c r="D187" s="4" t="inlineStr">
        <is>
          <t>Not retrieved (NTA lookup blocked in this session)</t>
        </is>
      </c>
      <c r="E187" s="4" t="inlineStr">
        <is>
          <t>長野県</t>
        </is>
      </c>
      <c r="F187" s="4" t="inlineStr">
        <is>
          <t>Chubu</t>
        </is>
      </c>
      <c r="G187" s="4" t="inlineStr">
        <is>
          <t>https://next.nagano.jp/</t>
        </is>
      </c>
      <c r="H187" s="4" t="inlineStr">
        <is>
          <t>No MAH found; device sales licence (高度管理医療機器等販売業) not confirmed</t>
        </is>
      </c>
      <c r="I187" s="4" t="inlineStr">
        <is>
          <t>Not identified in published sources</t>
        </is>
      </c>
      <c r="J187" s="4" t="inlineStr">
        <is>
          <t>General medical equipment (hospitals and clinics)</t>
        </is>
      </c>
      <c r="K187" s="4" t="inlineStr">
        <is>
          <t>長野県 (regional; branch network not confirmed)</t>
        </is>
      </c>
      <c r="L187" s="4" t="inlineStr">
        <is>
          <t>Not found</t>
        </is>
      </c>
      <c r="M187" s="4" t="inlineStr">
        <is>
          <t>Not identified</t>
        </is>
      </c>
      <c r="N187" s="4" t="inlineStr">
        <is>
          <t>Not identified</t>
        </is>
      </c>
      <c r="O187" s="4" t="inlineStr">
        <is>
          <t>Not published; use contact form</t>
        </is>
      </c>
      <c r="P187" s="4" t="inlineStr">
        <is>
          <t>Not confirmed</t>
        </is>
      </c>
      <c r="Q187" s="4" t="inlineStr">
        <is>
          <t>Not identified</t>
        </is>
      </c>
      <c r="R187" s="5" t="inlineStr">
        <is>
          <t>Likely</t>
        </is>
      </c>
      <c r="S187" s="4" t="n">
        <v>18</v>
      </c>
      <c r="T187" s="10" t="inlineStr">
        <is>
          <t>C</t>
        </is>
      </c>
      <c r="U187" s="4" t="inlineStr">
        <is>
          <t>Regional general medical equipment dealer with hospital and clinic accounts; candidate sub dealer under a national MAH partner.</t>
        </is>
      </c>
      <c r="V187" s="4" t="inlineStr">
        <is>
          <t>Introduce CHISON as a future line through a national MAH partner; ask about their hospital and clinic coverage, service engineers and openness to non Japanese brands.</t>
        </is>
      </c>
      <c r="W187" s="4" t="inlineStr">
        <is>
          <t>N (not identified)</t>
        </is>
      </c>
      <c r="X187" s="7" t="inlineStr">
        <is>
          <t>https://baseconnect.in/companies/prefecture/47b312cd-84c4-4e89-951a-b56344bc774e/keyword/89941b4e-2dd1-4848-8957-48af280a31e0</t>
        </is>
      </c>
      <c r="Y187" s="4" t="inlineStr">
        <is>
          <t>SonoEye P3 plus SonoAir 30 for GP and clinic accounts</t>
        </is>
      </c>
      <c r="Z187" s="4" t="inlineStr">
        <is>
          <t>2, 2, 3, 3, 3, 2, 3</t>
        </is>
      </c>
      <c r="AA187" s="4" t="inlineStr">
        <is>
          <t>Not found</t>
        </is>
      </c>
      <c r="AB187" s="4" t="inlineStr">
        <is>
          <t>Directory or search listing; not opened (direct site access blocked)</t>
        </is>
      </c>
      <c r="AC187" s="4" t="inlineStr">
        <is>
          <t>No expired licence or ended distribution agreement found</t>
        </is>
      </c>
      <c r="AD187" s="4" t="inlineStr">
        <is>
          <t>Not started</t>
        </is>
      </c>
      <c r="AE187" s="4" t="inlineStr"/>
      <c r="AF187" s="4" t="inlineStr">
        <is>
          <t>https://next.nagano.jp/contact/</t>
        </is>
      </c>
      <c r="AG187" s="4" t="inlineStr">
        <is>
          <t>No email published; use the contact form (link in Email source)</t>
        </is>
      </c>
    </row>
    <row r="188">
      <c r="A188" s="4" t="n">
        <v>184</v>
      </c>
      <c r="B188" s="4" t="inlineStr">
        <is>
          <t>Nagano Ika Kikai</t>
        </is>
      </c>
      <c r="C188" s="4" t="inlineStr">
        <is>
          <t>長野医科器械</t>
        </is>
      </c>
      <c r="D188" s="4" t="inlineStr">
        <is>
          <t>Not retrieved (NTA lookup blocked in this session)</t>
        </is>
      </c>
      <c r="E188" s="4" t="inlineStr">
        <is>
          <t>長野県</t>
        </is>
      </c>
      <c r="F188" s="4" t="inlineStr">
        <is>
          <t>Chubu</t>
        </is>
      </c>
      <c r="G188" s="4" t="inlineStr">
        <is>
          <t>Not confirmed (company site not opened; network policy blocked direct access)</t>
        </is>
      </c>
      <c r="H188" s="4" t="inlineStr">
        <is>
          <t>No MAH found; device sales licence (高度管理医療機器等販売業) not confirmed</t>
        </is>
      </c>
      <c r="I188" s="4" t="inlineStr">
        <is>
          <t>Not identified in published sources</t>
        </is>
      </c>
      <c r="J188" s="4" t="inlineStr">
        <is>
          <t>General medical equipment (hospitals and clinics)</t>
        </is>
      </c>
      <c r="K188" s="4" t="inlineStr">
        <is>
          <t>長野県 (regional; branch network not confirmed)</t>
        </is>
      </c>
      <c r="L188" s="4" t="inlineStr">
        <is>
          <t>Not found</t>
        </is>
      </c>
      <c r="M188" s="4" t="inlineStr">
        <is>
          <t>Not identified</t>
        </is>
      </c>
      <c r="N188" s="4" t="inlineStr">
        <is>
          <t>Not identified</t>
        </is>
      </c>
      <c r="O188" s="4" t="inlineStr">
        <is>
          <t>naganoik@eos.ocn.ne.jp</t>
        </is>
      </c>
      <c r="P188" s="4" t="inlineStr">
        <is>
          <t>Not confirmed</t>
        </is>
      </c>
      <c r="Q188" s="4" t="inlineStr">
        <is>
          <t>Not identified</t>
        </is>
      </c>
      <c r="R188" s="5" t="inlineStr">
        <is>
          <t>Unverified</t>
        </is>
      </c>
      <c r="S188" s="4" t="n">
        <v>18</v>
      </c>
      <c r="T188" s="10" t="inlineStr">
        <is>
          <t>C</t>
        </is>
      </c>
      <c r="U188" s="4" t="inlineStr">
        <is>
          <t>Regional general medical equipment dealer with hospital and clinic accounts; candidate sub dealer under a national MAH partner.</t>
        </is>
      </c>
      <c r="V188" s="4" t="inlineStr">
        <is>
          <t>Introduce CHISON as a future line through a national MAH partner; ask about their hospital and clinic coverage, service engineers and openness to non Japanese brands.</t>
        </is>
      </c>
      <c r="W188" s="4" t="inlineStr">
        <is>
          <t>N (not identified)</t>
        </is>
      </c>
      <c r="X188" s="7" t="inlineStr">
        <is>
          <t>https://baseconnect.in/companies/prefecture/47b312cd-84c4-4e89-951a-b56344bc774e/keyword/89941b4e-2dd1-4848-8957-48af280a31e0</t>
        </is>
      </c>
      <c r="Y188" s="4" t="inlineStr">
        <is>
          <t>SonoEye P3 plus SonoAir 30 for GP and clinic accounts</t>
        </is>
      </c>
      <c r="Z188" s="4" t="inlineStr">
        <is>
          <t>2, 2, 3, 3, 3, 2, 3</t>
        </is>
      </c>
      <c r="AA188" s="4" t="inlineStr">
        <is>
          <t>Not found</t>
        </is>
      </c>
      <c r="AB188" s="4" t="inlineStr">
        <is>
          <t>Directory or search listing; not opened (direct site access blocked)</t>
        </is>
      </c>
      <c r="AC188" s="4" t="inlineStr">
        <is>
          <t>No expired licence or ended distribution agreement found</t>
        </is>
      </c>
      <c r="AD188" s="4" t="inlineStr">
        <is>
          <t>Not started</t>
        </is>
      </c>
      <c r="AE188" s="4" t="inlineStr"/>
      <c r="AF188" s="4" t="inlineStr">
        <is>
          <t>https://www.city.nakano.nagano.jp/docs/2025033100044/file_contents/bmeibo260911.pdf</t>
        </is>
      </c>
      <c r="AG188" s="4" t="inlineStr">
        <is>
          <t>Likely: third party listing, check before sending</t>
        </is>
      </c>
    </row>
    <row r="189">
      <c r="A189" s="4" t="n">
        <v>185</v>
      </c>
      <c r="B189" s="4" t="inlineStr">
        <is>
          <t>Matsumoto Nikko Iryo Shoji</t>
        </is>
      </c>
      <c r="C189" s="4" t="inlineStr">
        <is>
          <t>松本日興医療商事</t>
        </is>
      </c>
      <c r="D189" s="4" t="inlineStr">
        <is>
          <t>Not retrieved (NTA lookup blocked in this session)</t>
        </is>
      </c>
      <c r="E189" s="4" t="inlineStr">
        <is>
          <t>長野県</t>
        </is>
      </c>
      <c r="F189" s="4" t="inlineStr">
        <is>
          <t>Chubu</t>
        </is>
      </c>
      <c r="G189" s="4" t="inlineStr">
        <is>
          <t>https://www.matsumoto-nikko.com/</t>
        </is>
      </c>
      <c r="H189" s="4" t="inlineStr">
        <is>
          <t>No MAH found; device sales licence (高度管理医療機器等販売業) not confirmed</t>
        </is>
      </c>
      <c r="I189" s="4" t="inlineStr">
        <is>
          <t>Not identified in published sources</t>
        </is>
      </c>
      <c r="J189" s="4" t="inlineStr">
        <is>
          <t>General medical equipment (hospitals and clinics)</t>
        </is>
      </c>
      <c r="K189" s="4" t="inlineStr">
        <is>
          <t>長野県 (regional; branch network not confirmed)</t>
        </is>
      </c>
      <c r="L189" s="4" t="inlineStr">
        <is>
          <t>Not found</t>
        </is>
      </c>
      <c r="M189" s="4" t="inlineStr">
        <is>
          <t>Not identified</t>
        </is>
      </c>
      <c r="N189" s="4" t="inlineStr">
        <is>
          <t>Not identified</t>
        </is>
      </c>
      <c r="O189" s="4" t="inlineStr">
        <is>
          <t>ishigaki@matsumoto-nikko.com</t>
        </is>
      </c>
      <c r="P189" s="4" t="inlineStr">
        <is>
          <t>Not confirmed</t>
        </is>
      </c>
      <c r="Q189" s="4" t="inlineStr">
        <is>
          <t>Not identified</t>
        </is>
      </c>
      <c r="R189" s="5" t="inlineStr">
        <is>
          <t>Unverified</t>
        </is>
      </c>
      <c r="S189" s="4" t="n">
        <v>18</v>
      </c>
      <c r="T189" s="10" t="inlineStr">
        <is>
          <t>C</t>
        </is>
      </c>
      <c r="U189" s="4" t="inlineStr">
        <is>
          <t>Regional general medical equipment dealer with hospital and clinic accounts; candidate sub dealer under a national MAH partner.</t>
        </is>
      </c>
      <c r="V189" s="4" t="inlineStr">
        <is>
          <t>Introduce CHISON as a future line through a national MAH partner; ask about their hospital and clinic coverage, service engineers and openness to non Japanese brands.</t>
        </is>
      </c>
      <c r="W189" s="4" t="inlineStr">
        <is>
          <t>N (not identified)</t>
        </is>
      </c>
      <c r="X189" s="7" t="inlineStr">
        <is>
          <t>https://baseconnect.in/companies/prefecture/47b312cd-84c4-4e89-951a-b56344bc774e/keyword/89941b4e-2dd1-4848-8957-48af280a31e0</t>
        </is>
      </c>
      <c r="Y189" s="4" t="inlineStr">
        <is>
          <t>SonoEye P3 plus SonoAir 30 for GP and clinic accounts</t>
        </is>
      </c>
      <c r="Z189" s="4" t="inlineStr">
        <is>
          <t>2, 2, 3, 3, 3, 2, 3</t>
        </is>
      </c>
      <c r="AA189" s="4" t="inlineStr">
        <is>
          <t>Not found</t>
        </is>
      </c>
      <c r="AB189" s="4" t="inlineStr">
        <is>
          <t>Directory or search listing; not opened (direct site access blocked)</t>
        </is>
      </c>
      <c r="AC189" s="4" t="inlineStr">
        <is>
          <t>No expired licence or ended distribution agreement found</t>
        </is>
      </c>
      <c r="AD189" s="4" t="inlineStr">
        <is>
          <t>Not started</t>
        </is>
      </c>
      <c r="AE189" s="4" t="inlineStr"/>
      <c r="AF189" s="4" t="inlineStr">
        <is>
          <t>https://www.matsumoto-nikko.com/</t>
        </is>
      </c>
      <c r="AG189" s="4" t="inlineStr">
        <is>
          <t>Verified: published on company website</t>
        </is>
      </c>
    </row>
    <row r="190">
      <c r="A190" s="4" t="n">
        <v>186</v>
      </c>
      <c r="B190" s="4" t="inlineStr">
        <is>
          <t>Matsumoto Medical</t>
        </is>
      </c>
      <c r="C190" s="4" t="inlineStr">
        <is>
          <t>松本メディカル</t>
        </is>
      </c>
      <c r="D190" s="4" t="inlineStr">
        <is>
          <t>Not retrieved (NTA lookup blocked in this session)</t>
        </is>
      </c>
      <c r="E190" s="4" t="inlineStr">
        <is>
          <t>長野県</t>
        </is>
      </c>
      <c r="F190" s="4" t="inlineStr">
        <is>
          <t>Chubu</t>
        </is>
      </c>
      <c r="G190" s="4" t="inlineStr">
        <is>
          <t>Not confirmed (company site not opened; network policy blocked direct access)</t>
        </is>
      </c>
      <c r="H190" s="4" t="inlineStr">
        <is>
          <t>No MAH found; device sales licence (高度管理医療機器等販売業) not confirmed</t>
        </is>
      </c>
      <c r="I190" s="4" t="inlineStr">
        <is>
          <t>Not identified in published sources</t>
        </is>
      </c>
      <c r="J190" s="4" t="inlineStr">
        <is>
          <t>General medical equipment (hospitals and clinics)</t>
        </is>
      </c>
      <c r="K190" s="4" t="inlineStr">
        <is>
          <t>長野県 (regional; branch network not confirmed)</t>
        </is>
      </c>
      <c r="L190" s="4" t="inlineStr">
        <is>
          <t>Not found</t>
        </is>
      </c>
      <c r="M190" s="4" t="inlineStr">
        <is>
          <t>Not identified</t>
        </is>
      </c>
      <c r="N190" s="4" t="inlineStr">
        <is>
          <t>Not identified</t>
        </is>
      </c>
      <c r="O190" s="4" t="inlineStr">
        <is>
          <t>Not published; use company inquiry form</t>
        </is>
      </c>
      <c r="P190" s="4" t="inlineStr">
        <is>
          <t>Not confirmed</t>
        </is>
      </c>
      <c r="Q190" s="4" t="inlineStr">
        <is>
          <t>Not identified</t>
        </is>
      </c>
      <c r="R190" s="5" t="inlineStr">
        <is>
          <t>Unverified</t>
        </is>
      </c>
      <c r="S190" s="4" t="n">
        <v>18</v>
      </c>
      <c r="T190" s="10" t="inlineStr">
        <is>
          <t>C</t>
        </is>
      </c>
      <c r="U190" s="4" t="inlineStr">
        <is>
          <t>Regional general medical equipment dealer with hospital and clinic accounts; candidate sub dealer under a national MAH partner.</t>
        </is>
      </c>
      <c r="V190" s="4" t="inlineStr">
        <is>
          <t>Introduce CHISON as a future line through a national MAH partner; ask about their hospital and clinic coverage, service engineers and openness to non Japanese brands.</t>
        </is>
      </c>
      <c r="W190" s="4" t="inlineStr">
        <is>
          <t>N (not identified)</t>
        </is>
      </c>
      <c r="X190" s="7" t="inlineStr">
        <is>
          <t>https://baseconnect.in/companies/prefecture/47b312cd-84c4-4e89-951a-b56344bc774e/keyword/89941b4e-2dd1-4848-8957-48af280a31e0</t>
        </is>
      </c>
      <c r="Y190" s="4" t="inlineStr">
        <is>
          <t>SonoEye P3 plus SonoAir 30 for GP and clinic accounts</t>
        </is>
      </c>
      <c r="Z190" s="4" t="inlineStr">
        <is>
          <t>2, 2, 3, 3, 3, 2, 3</t>
        </is>
      </c>
      <c r="AA190" s="4" t="inlineStr">
        <is>
          <t>Not found</t>
        </is>
      </c>
      <c r="AB190" s="4" t="inlineStr">
        <is>
          <t>Directory or search listing; not opened (direct site access blocked)</t>
        </is>
      </c>
      <c r="AC190" s="4" t="inlineStr">
        <is>
          <t>No expired licence or ended distribution agreement found</t>
        </is>
      </c>
      <c r="AD190" s="4" t="inlineStr">
        <is>
          <t>Not started</t>
        </is>
      </c>
      <c r="AE190" s="4" t="inlineStr"/>
      <c r="AF190" s="4" t="inlineStr"/>
      <c r="AG190" s="4" t="inlineStr">
        <is>
          <t>No email published and no verified website found</t>
        </is>
      </c>
    </row>
    <row r="191">
      <c r="A191" s="4" t="n">
        <v>187</v>
      </c>
      <c r="B191" s="4" t="inlineStr">
        <is>
          <t>Shizuoka Ika Kikai</t>
        </is>
      </c>
      <c r="C191" s="4" t="inlineStr">
        <is>
          <t>静岡医科器械</t>
        </is>
      </c>
      <c r="D191" s="4" t="inlineStr">
        <is>
          <t>Not retrieved (NTA lookup blocked in this session)</t>
        </is>
      </c>
      <c r="E191" s="4" t="inlineStr">
        <is>
          <t>静岡県</t>
        </is>
      </c>
      <c r="F191" s="4" t="inlineStr">
        <is>
          <t>Chubu</t>
        </is>
      </c>
      <c r="G191" s="4" t="inlineStr">
        <is>
          <t>http://www.shizuokaika.co.jp/</t>
        </is>
      </c>
      <c r="H191" s="4" t="inlineStr">
        <is>
          <t>No MAH found; device sales licence (高度管理医療機器等販売業) not confirmed</t>
        </is>
      </c>
      <c r="I191" s="4" t="inlineStr">
        <is>
          <t>Not identified in published sources</t>
        </is>
      </c>
      <c r="J191" s="4" t="inlineStr">
        <is>
          <t>General medical equipment (hospitals and clinics)</t>
        </is>
      </c>
      <c r="K191" s="4" t="inlineStr">
        <is>
          <t>静岡県 (regional; branch network not confirmed)</t>
        </is>
      </c>
      <c r="L191" s="4" t="inlineStr">
        <is>
          <t>Not found</t>
        </is>
      </c>
      <c r="M191" s="4" t="inlineStr">
        <is>
          <t>Not identified</t>
        </is>
      </c>
      <c r="N191" s="4" t="inlineStr">
        <is>
          <t>Not identified</t>
        </is>
      </c>
      <c r="O191" s="4" t="inlineStr">
        <is>
          <t>info@shizuokaika.co.jp</t>
        </is>
      </c>
      <c r="P191" s="4" t="inlineStr">
        <is>
          <t>Not confirmed</t>
        </is>
      </c>
      <c r="Q191" s="4" t="inlineStr">
        <is>
          <t>Not identified</t>
        </is>
      </c>
      <c r="R191" s="5" t="inlineStr">
        <is>
          <t>Unverified</t>
        </is>
      </c>
      <c r="S191" s="4" t="n">
        <v>18</v>
      </c>
      <c r="T191" s="10" t="inlineStr">
        <is>
          <t>C</t>
        </is>
      </c>
      <c r="U191" s="4" t="inlineStr">
        <is>
          <t>Regional general medical equipment dealer with hospital and clinic accounts; candidate sub dealer under a national MAH partner.</t>
        </is>
      </c>
      <c r="V191" s="4" t="inlineStr">
        <is>
          <t>Introduce CHISON as a future line through a national MAH partner; ask about their hospital and clinic coverage, service engineers and openness to non Japanese brands.</t>
        </is>
      </c>
      <c r="W191" s="4" t="inlineStr">
        <is>
          <t>N (not identified)</t>
        </is>
      </c>
      <c r="X191" s="7" t="inlineStr">
        <is>
          <t>https://baseconnect.in/companies/prefecture/ce8171a3-9c3a-4158-b1ce-74bbb8bad1e4/keyword/bacc2d48-54d0-4e67-94c7-df7c3cb3a34e</t>
        </is>
      </c>
      <c r="Y191" s="4" t="inlineStr">
        <is>
          <t>SonoEye P3 plus SonoAir 30 for GP and clinic accounts</t>
        </is>
      </c>
      <c r="Z191" s="4" t="inlineStr">
        <is>
          <t>2, 2, 3, 3, 3, 2, 3</t>
        </is>
      </c>
      <c r="AA191" s="4" t="inlineStr">
        <is>
          <t>Not found</t>
        </is>
      </c>
      <c r="AB191" s="4" t="inlineStr">
        <is>
          <t>Directory or search listing; not opened (direct site access blocked)</t>
        </is>
      </c>
      <c r="AC191" s="4" t="inlineStr">
        <is>
          <t>No expired licence or ended distribution agreement found</t>
        </is>
      </c>
      <c r="AD191" s="4" t="inlineStr">
        <is>
          <t>Not started</t>
        </is>
      </c>
      <c r="AE191" s="4" t="inlineStr"/>
      <c r="AF191" s="4" t="inlineStr">
        <is>
          <t>http://www.shizuokaika.co.jp/publics/index/28/</t>
        </is>
      </c>
      <c r="AG191" s="4" t="inlineStr">
        <is>
          <t>Verified: published on company website</t>
        </is>
      </c>
    </row>
    <row r="192">
      <c r="A192" s="4" t="n">
        <v>188</v>
      </c>
      <c r="B192" s="4" t="inlineStr">
        <is>
          <t>Hoei Ika Kikai</t>
        </is>
      </c>
      <c r="C192" s="4" t="inlineStr">
        <is>
          <t>豊栄医科器械</t>
        </is>
      </c>
      <c r="D192" s="4" t="inlineStr">
        <is>
          <t>Not retrieved (NTA lookup blocked in this session)</t>
        </is>
      </c>
      <c r="E192" s="4" t="inlineStr">
        <is>
          <t>静岡県</t>
        </is>
      </c>
      <c r="F192" s="4" t="inlineStr">
        <is>
          <t>Chubu</t>
        </is>
      </c>
      <c r="G192" s="4" t="inlineStr">
        <is>
          <t>Not confirmed (company site not opened; network policy blocked direct access)</t>
        </is>
      </c>
      <c r="H192" s="4" t="inlineStr">
        <is>
          <t>No MAH found; device sales licence (高度管理医療機器等販売業) not confirmed</t>
        </is>
      </c>
      <c r="I192" s="4" t="inlineStr">
        <is>
          <t>Not identified in published sources</t>
        </is>
      </c>
      <c r="J192" s="4" t="inlineStr">
        <is>
          <t>Welfare and care</t>
        </is>
      </c>
      <c r="K192" s="4" t="inlineStr">
        <is>
          <t>静岡県 (regional; branch network not confirmed)</t>
        </is>
      </c>
      <c r="L192" s="4" t="inlineStr">
        <is>
          <t>Not found</t>
        </is>
      </c>
      <c r="M192" s="4" t="inlineStr">
        <is>
          <t>Not identified</t>
        </is>
      </c>
      <c r="N192" s="4" t="inlineStr">
        <is>
          <t>Not identified</t>
        </is>
      </c>
      <c r="O192" s="4" t="inlineStr">
        <is>
          <t>Not published; use company inquiry form</t>
        </is>
      </c>
      <c r="P192" s="4" t="inlineStr">
        <is>
          <t>Not confirmed</t>
        </is>
      </c>
      <c r="Q192" s="4" t="inlineStr">
        <is>
          <t>Not identified</t>
        </is>
      </c>
      <c r="R192" s="5" t="inlineStr">
        <is>
          <t>Unverified</t>
        </is>
      </c>
      <c r="S192" s="4" t="n">
        <v>18</v>
      </c>
      <c r="T192" s="10" t="inlineStr">
        <is>
          <t>C</t>
        </is>
      </c>
      <c r="U192" s="4" t="inlineStr">
        <is>
          <t>Low fit: mainly welfare or care equipment; only for home care handheld use.</t>
        </is>
      </c>
      <c r="V192" s="4" t="inlineStr">
        <is>
          <t>Introduce CHISON as a future line through a national MAH partner; ask about their hospital and clinic coverage, service engineers and openness to non Japanese brands.</t>
        </is>
      </c>
      <c r="W192" s="4" t="inlineStr">
        <is>
          <t>N (not identified)</t>
        </is>
      </c>
      <c r="X192" s="7" t="inlineStr">
        <is>
          <t>https://kaigo.homes.co.jp/scare/ad22/cc26/3/ ; https://baseconnect.in/companies/prefecture/ce8171a3-9c3a-4158-b1ce-74bbb8bad1e4/keyword/bacc2d48-54d0-4e67-94c7-df7c3cb3a34e</t>
        </is>
      </c>
      <c r="Y192" s="4" t="inlineStr">
        <is>
          <t>SonoEye P5 for home visit doctors (在宅医療)</t>
        </is>
      </c>
      <c r="Z192" s="4" t="inlineStr">
        <is>
          <t>2, 1, 3, 2, 5, 2, 3</t>
        </is>
      </c>
      <c r="AA192" s="4" t="inlineStr">
        <is>
          <t>Not found</t>
        </is>
      </c>
      <c r="AB192" s="4" t="inlineStr">
        <is>
          <t>Verified in 10% recheck. Correction: only welfare equipment listing found, low fit</t>
        </is>
      </c>
      <c r="AC192" s="4" t="inlineStr">
        <is>
          <t>No expired licence or ended distribution agreement found</t>
        </is>
      </c>
      <c r="AD192" s="4" t="inlineStr">
        <is>
          <t>Not started</t>
        </is>
      </c>
      <c r="AE192" s="4" t="inlineStr"/>
      <c r="AF192" s="4" t="inlineStr"/>
      <c r="AG192" s="4" t="inlineStr">
        <is>
          <t>No email published and no verified website found</t>
        </is>
      </c>
    </row>
    <row r="193">
      <c r="A193" s="4" t="n">
        <v>189</v>
      </c>
      <c r="B193" s="4" t="inlineStr">
        <is>
          <t>Jinken Medical Rising</t>
        </is>
      </c>
      <c r="C193" s="4" t="inlineStr">
        <is>
          <t>人健メディカルライジング</t>
        </is>
      </c>
      <c r="D193" s="4" t="inlineStr">
        <is>
          <t>Not retrieved (NTA lookup blocked in this session)</t>
        </is>
      </c>
      <c r="E193" s="4" t="inlineStr">
        <is>
          <t>大分県</t>
        </is>
      </c>
      <c r="F193" s="4" t="inlineStr">
        <is>
          <t>Kyushu and Okinawa</t>
        </is>
      </c>
      <c r="G193" s="4" t="inlineStr">
        <is>
          <t>https://jinken-medical.com/</t>
        </is>
      </c>
      <c r="H193" s="4" t="inlineStr">
        <is>
          <t>No MAH found; device sales licence (高度管理医療機器等販売業) not confirmed</t>
        </is>
      </c>
      <c r="I193" s="4" t="inlineStr">
        <is>
          <t>Not identified in published sources</t>
        </is>
      </c>
      <c r="J193" s="4" t="inlineStr">
        <is>
          <t>General medical equipment (hospitals and clinics)</t>
        </is>
      </c>
      <c r="K193" s="4" t="inlineStr">
        <is>
          <t>大分県 (regional; branch network not confirmed)</t>
        </is>
      </c>
      <c r="L193" s="4" t="inlineStr">
        <is>
          <t>Not found</t>
        </is>
      </c>
      <c r="M193" s="4" t="inlineStr">
        <is>
          <t>Not identified</t>
        </is>
      </c>
      <c r="N193" s="4" t="inlineStr">
        <is>
          <t>Not identified</t>
        </is>
      </c>
      <c r="O193" s="4" t="inlineStr">
        <is>
          <t>Not published; use contact form</t>
        </is>
      </c>
      <c r="P193" s="4" t="inlineStr">
        <is>
          <t>Not confirmed</t>
        </is>
      </c>
      <c r="Q193" s="4" t="inlineStr">
        <is>
          <t>Not identified</t>
        </is>
      </c>
      <c r="R193" s="5" t="inlineStr">
        <is>
          <t>Likely</t>
        </is>
      </c>
      <c r="S193" s="4" t="n">
        <v>18</v>
      </c>
      <c r="T193" s="10" t="inlineStr">
        <is>
          <t>C</t>
        </is>
      </c>
      <c r="U193" s="4" t="inlineStr">
        <is>
          <t>Regional general medical equipment dealer with hospital and clinic accounts; candidate sub dealer under a national MAH partner.</t>
        </is>
      </c>
      <c r="V193" s="4" t="inlineStr">
        <is>
          <t>Introduce CHISON as a future line through a national MAH partner; ask about their hospital and clinic coverage, service engineers and openness to non Japanese brands.</t>
        </is>
      </c>
      <c r="W193" s="4" t="inlineStr">
        <is>
          <t>N (not identified)</t>
        </is>
      </c>
      <c r="X193" s="7" t="inlineStr">
        <is>
          <t>https://kyuren.jp/%E4%BC%9A%E5%93%A1%E7%B4%B9%E4%BB%8B/</t>
        </is>
      </c>
      <c r="Y193" s="4" t="inlineStr">
        <is>
          <t>SonoEye P3 plus SonoAir 30 for GP and clinic accounts</t>
        </is>
      </c>
      <c r="Z193" s="4" t="inlineStr">
        <is>
          <t>2, 2, 3, 3, 3, 2, 3</t>
        </is>
      </c>
      <c r="AA193" s="4" t="inlineStr">
        <is>
          <t>Not found</t>
        </is>
      </c>
      <c r="AB193" s="4" t="inlineStr">
        <is>
          <t>Directory or search listing; not opened (direct site access blocked)</t>
        </is>
      </c>
      <c r="AC193" s="4" t="inlineStr">
        <is>
          <t>No expired licence or ended distribution agreement found</t>
        </is>
      </c>
      <c r="AD193" s="4" t="inlineStr">
        <is>
          <t>Not started</t>
        </is>
      </c>
      <c r="AE193" s="4" t="inlineStr"/>
      <c r="AF193" s="4" t="inlineStr">
        <is>
          <t>https://jinken-medical.com/contact/</t>
        </is>
      </c>
      <c r="AG193" s="4" t="inlineStr">
        <is>
          <t>No email published; use the contact form (link in Email source)</t>
        </is>
      </c>
    </row>
    <row r="194">
      <c r="A194" s="4" t="n">
        <v>190</v>
      </c>
      <c r="B194" s="4" t="inlineStr">
        <is>
          <t>Matsui Shokai</t>
        </is>
      </c>
      <c r="C194" s="4" t="inlineStr">
        <is>
          <t>松井商会</t>
        </is>
      </c>
      <c r="D194" s="4" t="inlineStr">
        <is>
          <t>Not retrieved (NTA lookup blocked in this session)</t>
        </is>
      </c>
      <c r="E194" s="4" t="inlineStr">
        <is>
          <t>大分県</t>
        </is>
      </c>
      <c r="F194" s="4" t="inlineStr">
        <is>
          <t>Kyushu and Okinawa</t>
        </is>
      </c>
      <c r="G194" s="4" t="inlineStr">
        <is>
          <t>https://www.matsuishokai.net/</t>
        </is>
      </c>
      <c r="H194" s="4" t="inlineStr">
        <is>
          <t>No MAH found; device sales licence (高度管理医療機器等販売業) not confirmed</t>
        </is>
      </c>
      <c r="I194" s="4" t="inlineStr">
        <is>
          <t>Not identified in published sources</t>
        </is>
      </c>
      <c r="J194" s="4" t="inlineStr">
        <is>
          <t>General medical equipment (hospitals and clinics)</t>
        </is>
      </c>
      <c r="K194" s="4" t="inlineStr">
        <is>
          <t>大分県 (regional; branch network not confirmed)</t>
        </is>
      </c>
      <c r="L194" s="4" t="inlineStr">
        <is>
          <t>Not found</t>
        </is>
      </c>
      <c r="M194" s="4" t="inlineStr">
        <is>
          <t>Not identified</t>
        </is>
      </c>
      <c r="N194" s="4" t="inlineStr">
        <is>
          <t>Not identified</t>
        </is>
      </c>
      <c r="O194" s="4" t="inlineStr">
        <is>
          <t>Not published; use contact form</t>
        </is>
      </c>
      <c r="P194" s="4" t="inlineStr">
        <is>
          <t>Not confirmed</t>
        </is>
      </c>
      <c r="Q194" s="4" t="inlineStr">
        <is>
          <t>Not identified</t>
        </is>
      </c>
      <c r="R194" s="5" t="inlineStr">
        <is>
          <t>Likely</t>
        </is>
      </c>
      <c r="S194" s="4" t="n">
        <v>18</v>
      </c>
      <c r="T194" s="10" t="inlineStr">
        <is>
          <t>C</t>
        </is>
      </c>
      <c r="U194" s="4" t="inlineStr">
        <is>
          <t>Regional general medical equipment dealer with hospital and clinic accounts; candidate sub dealer under a national MAH partner.</t>
        </is>
      </c>
      <c r="V194" s="4" t="inlineStr">
        <is>
          <t>Introduce CHISON as a future line through a national MAH partner; ask about their hospital and clinic coverage, service engineers and openness to non Japanese brands.</t>
        </is>
      </c>
      <c r="W194" s="4" t="inlineStr">
        <is>
          <t>N (not identified)</t>
        </is>
      </c>
      <c r="X194" s="7" t="inlineStr">
        <is>
          <t>https://baseconnect.in/companies/prefecture/082ceea9-0e2a-4911-900e-35c6f7c160b3/keyword/89941b4e-2dd1-4848-8957-48af280a31e0</t>
        </is>
      </c>
      <c r="Y194" s="4" t="inlineStr">
        <is>
          <t>SonoEye P3 plus SonoAir 30 for GP and clinic accounts</t>
        </is>
      </c>
      <c r="Z194" s="4" t="inlineStr">
        <is>
          <t>2, 2, 3, 3, 3, 2, 3</t>
        </is>
      </c>
      <c r="AA194" s="4" t="inlineStr">
        <is>
          <t>Not found</t>
        </is>
      </c>
      <c r="AB194" s="4" t="inlineStr">
        <is>
          <t>Directory or search listing; not opened (direct site access blocked)</t>
        </is>
      </c>
      <c r="AC194" s="4" t="inlineStr">
        <is>
          <t>No expired licence or ended distribution agreement found</t>
        </is>
      </c>
      <c r="AD194" s="4" t="inlineStr">
        <is>
          <t>Not started</t>
        </is>
      </c>
      <c r="AE194" s="4" t="inlineStr"/>
      <c r="AF194" s="4" t="inlineStr">
        <is>
          <t>https://www.matsuishokai.net/inquiry/</t>
        </is>
      </c>
      <c r="AG194" s="4" t="inlineStr">
        <is>
          <t>No email published; use the contact form (link in Email source)</t>
        </is>
      </c>
    </row>
    <row r="195">
      <c r="A195" s="4" t="n">
        <v>191</v>
      </c>
      <c r="B195" s="4" t="inlineStr">
        <is>
          <t>MIT</t>
        </is>
      </c>
      <c r="C195" s="4" t="inlineStr">
        <is>
          <t>エムアイティー</t>
        </is>
      </c>
      <c r="D195" s="4" t="inlineStr">
        <is>
          <t>Not retrieved (NTA lookup blocked in this session)</t>
        </is>
      </c>
      <c r="E195" s="4" t="inlineStr">
        <is>
          <t>大分県</t>
        </is>
      </c>
      <c r="F195" s="4" t="inlineStr">
        <is>
          <t>Kyushu and Okinawa</t>
        </is>
      </c>
      <c r="G195" s="4" t="inlineStr">
        <is>
          <t>https://mit-kyoto.com/</t>
        </is>
      </c>
      <c r="H195" s="4" t="inlineStr">
        <is>
          <t>No MAH found; device sales licence (高度管理医療機器等販売業) not confirmed</t>
        </is>
      </c>
      <c r="I195" s="4" t="inlineStr">
        <is>
          <t>Not identified in published sources</t>
        </is>
      </c>
      <c r="J195" s="4" t="inlineStr">
        <is>
          <t>General medical equipment (hospitals and clinics)</t>
        </is>
      </c>
      <c r="K195" s="4" t="inlineStr">
        <is>
          <t>大分県 (regional; branch network not confirmed)</t>
        </is>
      </c>
      <c r="L195" s="4" t="inlineStr">
        <is>
          <t>Not found</t>
        </is>
      </c>
      <c r="M195" s="4" t="inlineStr">
        <is>
          <t>Not identified</t>
        </is>
      </c>
      <c r="N195" s="4" t="inlineStr">
        <is>
          <t>Not identified</t>
        </is>
      </c>
      <c r="O195" s="4" t="inlineStr">
        <is>
          <t>Not published; use company inquiry form</t>
        </is>
      </c>
      <c r="P195" s="4" t="inlineStr">
        <is>
          <t>Not confirmed</t>
        </is>
      </c>
      <c r="Q195" s="4" t="inlineStr">
        <is>
          <t>Not identified</t>
        </is>
      </c>
      <c r="R195" s="5" t="inlineStr">
        <is>
          <t>Company inquiry only</t>
        </is>
      </c>
      <c r="S195" s="4" t="n">
        <v>18</v>
      </c>
      <c r="T195" s="10" t="inlineStr">
        <is>
          <t>C</t>
        </is>
      </c>
      <c r="U195" s="4" t="inlineStr">
        <is>
          <t>Regional general medical equipment dealer with hospital and clinic accounts; candidate sub dealer under a national MAH partner.</t>
        </is>
      </c>
      <c r="V195" s="4" t="inlineStr">
        <is>
          <t>Introduce CHISON as a future line through a national MAH partner; ask about their hospital and clinic coverage, service engineers and openness to non Japanese brands.</t>
        </is>
      </c>
      <c r="W195" s="4" t="inlineStr">
        <is>
          <t>N (not identified)</t>
        </is>
      </c>
      <c r="X195" s="7" t="inlineStr">
        <is>
          <t>https://baseconnect.in/companies/prefecture/082ceea9-0e2a-4911-900e-35c6f7c160b3/keyword/89941b4e-2dd1-4848-8957-48af280a31e0</t>
        </is>
      </c>
      <c r="Y195" s="4" t="inlineStr">
        <is>
          <t>SonoEye P3 plus SonoAir 30 for GP and clinic accounts</t>
        </is>
      </c>
      <c r="Z195" s="4" t="inlineStr">
        <is>
          <t>2, 2, 3, 3, 3, 2, 3</t>
        </is>
      </c>
      <c r="AA195" s="4" t="inlineStr">
        <is>
          <t>Not found</t>
        </is>
      </c>
      <c r="AB195" s="4" t="inlineStr">
        <is>
          <t>Directory or search listing; not opened (direct site access blocked)</t>
        </is>
      </c>
      <c r="AC195" s="4" t="inlineStr">
        <is>
          <t>No expired licence or ended distribution agreement found</t>
        </is>
      </c>
      <c r="AD195" s="4" t="inlineStr">
        <is>
          <t>Not started</t>
        </is>
      </c>
      <c r="AE195" s="4" t="inlineStr"/>
      <c r="AF195" s="4" t="inlineStr"/>
      <c r="AG195" s="4" t="inlineStr">
        <is>
          <t>No email published; website has no contact page link, phone first</t>
        </is>
      </c>
    </row>
    <row r="196">
      <c r="A196" s="4" t="n">
        <v>192</v>
      </c>
      <c r="B196" s="4" t="inlineStr">
        <is>
          <t>Iwanaga Shokai</t>
        </is>
      </c>
      <c r="C196" s="4" t="inlineStr">
        <is>
          <t>岩永商会</t>
        </is>
      </c>
      <c r="D196" s="4" t="inlineStr">
        <is>
          <t>Not retrieved (NTA lookup blocked in this session)</t>
        </is>
      </c>
      <c r="E196" s="4" t="inlineStr">
        <is>
          <t>宮崎県</t>
        </is>
      </c>
      <c r="F196" s="4" t="inlineStr">
        <is>
          <t>Kyushu and Okinawa</t>
        </is>
      </c>
      <c r="G196" s="4" t="inlineStr">
        <is>
          <t>Not confirmed (company site not opened; network policy blocked direct access)</t>
        </is>
      </c>
      <c r="H196" s="4" t="inlineStr">
        <is>
          <t>No MAH found; device sales licence (高度管理医療機器等販売業) not confirmed</t>
        </is>
      </c>
      <c r="I196" s="4" t="inlineStr">
        <is>
          <t>Not identified in published sources</t>
        </is>
      </c>
      <c r="J196" s="4" t="inlineStr">
        <is>
          <t>General medical equipment (hospitals and clinics)</t>
        </is>
      </c>
      <c r="K196" s="4" t="inlineStr">
        <is>
          <t>宮崎県 (regional; branch network not confirmed)</t>
        </is>
      </c>
      <c r="L196" s="4" t="inlineStr">
        <is>
          <t>Not found</t>
        </is>
      </c>
      <c r="M196" s="4" t="inlineStr">
        <is>
          <t>Not identified</t>
        </is>
      </c>
      <c r="N196" s="4" t="inlineStr">
        <is>
          <t>Not identified</t>
        </is>
      </c>
      <c r="O196" s="4" t="inlineStr">
        <is>
          <t>Not published; use company inquiry form</t>
        </is>
      </c>
      <c r="P196" s="4" t="inlineStr">
        <is>
          <t>Not confirmed</t>
        </is>
      </c>
      <c r="Q196" s="4" t="inlineStr">
        <is>
          <t>Not identified</t>
        </is>
      </c>
      <c r="R196" s="5" t="inlineStr">
        <is>
          <t>Unverified</t>
        </is>
      </c>
      <c r="S196" s="4" t="n">
        <v>18</v>
      </c>
      <c r="T196" s="10" t="inlineStr">
        <is>
          <t>C</t>
        </is>
      </c>
      <c r="U196" s="4" t="inlineStr">
        <is>
          <t>Regional general medical equipment dealer with hospital and clinic accounts; candidate sub dealer under a national MAH partner.</t>
        </is>
      </c>
      <c r="V196" s="4" t="inlineStr">
        <is>
          <t>Introduce CHISON as a future line through a national MAH partner; ask about their hospital and clinic coverage, service engineers and openness to non Japanese brands.</t>
        </is>
      </c>
      <c r="W196" s="4" t="inlineStr">
        <is>
          <t>N (not identified)</t>
        </is>
      </c>
      <c r="X196" s="7" t="inlineStr">
        <is>
          <t>https://baseconnect.in/companies/prefecture/b147f06d-09b9-4c4f-9e51-e7157354eec0/keyword/14f3dcec-9cd5-4be5-84e1-ddccb7bd228c</t>
        </is>
      </c>
      <c r="Y196" s="4" t="inlineStr">
        <is>
          <t>SonoEye P3 plus SonoAir 30 for GP and clinic accounts</t>
        </is>
      </c>
      <c r="Z196" s="4" t="inlineStr">
        <is>
          <t>2, 2, 3, 3, 3, 2, 3</t>
        </is>
      </c>
      <c r="AA196" s="4" t="inlineStr">
        <is>
          <t>Not found</t>
        </is>
      </c>
      <c r="AB196" s="4" t="inlineStr">
        <is>
          <t>Directory or search listing; not opened (direct site access blocked)</t>
        </is>
      </c>
      <c r="AC196" s="4" t="inlineStr">
        <is>
          <t>No expired licence or ended distribution agreement found</t>
        </is>
      </c>
      <c r="AD196" s="4" t="inlineStr">
        <is>
          <t>Not started</t>
        </is>
      </c>
      <c r="AE196" s="4" t="inlineStr"/>
      <c r="AF196" s="4" t="inlineStr"/>
      <c r="AG196" s="4" t="inlineStr">
        <is>
          <t>No email published and no verified website found</t>
        </is>
      </c>
    </row>
    <row r="197">
      <c r="A197" s="4" t="n">
        <v>193</v>
      </c>
      <c r="B197" s="4" t="inlineStr">
        <is>
          <t>Okinawa Sanwa Medical</t>
        </is>
      </c>
      <c r="C197" s="4" t="inlineStr">
        <is>
          <t>沖縄三和メディカル</t>
        </is>
      </c>
      <c r="D197" s="4" t="inlineStr">
        <is>
          <t>Not retrieved (NTA lookup blocked in this session)</t>
        </is>
      </c>
      <c r="E197" s="4" t="inlineStr">
        <is>
          <t>沖縄県</t>
        </is>
      </c>
      <c r="F197" s="4" t="inlineStr">
        <is>
          <t>Kyushu and Okinawa</t>
        </is>
      </c>
      <c r="G197" s="4" t="inlineStr">
        <is>
          <t>https://www.sanwa-md.com/</t>
        </is>
      </c>
      <c r="H197" s="4" t="inlineStr">
        <is>
          <t>No MAH found; device sales licence (高度管理医療機器等販売業) not confirmed</t>
        </is>
      </c>
      <c r="I197" s="4" t="inlineStr">
        <is>
          <t>Not identified in published sources</t>
        </is>
      </c>
      <c r="J197" s="4" t="inlineStr">
        <is>
          <t>General medical equipment (hospitals and clinics)</t>
        </is>
      </c>
      <c r="K197" s="4" t="inlineStr">
        <is>
          <t>沖縄県 (regional; branch network not confirmed)</t>
        </is>
      </c>
      <c r="L197" s="4" t="inlineStr">
        <is>
          <t>Not found</t>
        </is>
      </c>
      <c r="M197" s="4" t="inlineStr">
        <is>
          <t>Not identified</t>
        </is>
      </c>
      <c r="N197" s="4" t="inlineStr">
        <is>
          <t>Not identified</t>
        </is>
      </c>
      <c r="O197" s="4" t="inlineStr">
        <is>
          <t>Not published; use contact form</t>
        </is>
      </c>
      <c r="P197" s="4" t="inlineStr">
        <is>
          <t>Not confirmed</t>
        </is>
      </c>
      <c r="Q197" s="4" t="inlineStr">
        <is>
          <t>Not identified</t>
        </is>
      </c>
      <c r="R197" s="5" t="inlineStr">
        <is>
          <t>Likely</t>
        </is>
      </c>
      <c r="S197" s="4" t="n">
        <v>18</v>
      </c>
      <c r="T197" s="10" t="inlineStr">
        <is>
          <t>C</t>
        </is>
      </c>
      <c r="U197" s="4" t="inlineStr">
        <is>
          <t>Regional general medical equipment dealer with hospital and clinic accounts; candidate sub dealer under a national MAH partner.</t>
        </is>
      </c>
      <c r="V197" s="4" t="inlineStr">
        <is>
          <t>Introduce CHISON as a future line through a national MAH partner; ask about their hospital and clinic coverage, service engineers and openness to non Japanese brands.</t>
        </is>
      </c>
      <c r="W197" s="4" t="inlineStr">
        <is>
          <t>N (not identified)</t>
        </is>
      </c>
      <c r="X197" s="7" t="inlineStr">
        <is>
          <t>https://kyuren.jp/%E4%BC%9A%E5%93%A1%E7%B4%B9%E4%BB%8B/</t>
        </is>
      </c>
      <c r="Y197" s="4" t="inlineStr">
        <is>
          <t>SonoEye P3 plus SonoAir 30 for GP and clinic accounts</t>
        </is>
      </c>
      <c r="Z197" s="4" t="inlineStr">
        <is>
          <t>2, 2, 3, 3, 3, 2, 3</t>
        </is>
      </c>
      <c r="AA197" s="4" t="inlineStr">
        <is>
          <t>Not found</t>
        </is>
      </c>
      <c r="AB197" s="4" t="inlineStr">
        <is>
          <t>Directory or search listing; not opened (direct site access blocked)</t>
        </is>
      </c>
      <c r="AC197" s="4" t="inlineStr">
        <is>
          <t>No expired licence or ended distribution agreement found</t>
        </is>
      </c>
      <c r="AD197" s="4" t="inlineStr">
        <is>
          <t>Not started</t>
        </is>
      </c>
      <c r="AE197" s="4" t="inlineStr"/>
      <c r="AF197" s="4" t="inlineStr">
        <is>
          <t>https://www.sanwa-md.com/contact.php</t>
        </is>
      </c>
      <c r="AG197" s="4" t="inlineStr">
        <is>
          <t>No email published; use the contact form (link in Email source)</t>
        </is>
      </c>
    </row>
    <row r="198">
      <c r="A198" s="4" t="n">
        <v>194</v>
      </c>
      <c r="B198" s="4" t="inlineStr">
        <is>
          <t>MK Bussan</t>
        </is>
      </c>
      <c r="C198" s="4" t="inlineStr">
        <is>
          <t>エム・ケイ物産</t>
        </is>
      </c>
      <c r="D198" s="4" t="inlineStr">
        <is>
          <t>Not retrieved (NTA lookup blocked in this session)</t>
        </is>
      </c>
      <c r="E198" s="4" t="inlineStr">
        <is>
          <t>沖縄県</t>
        </is>
      </c>
      <c r="F198" s="4" t="inlineStr">
        <is>
          <t>Kyushu and Okinawa</t>
        </is>
      </c>
      <c r="G198" s="4" t="inlineStr">
        <is>
          <t>https://www.mkbussan.jp/</t>
        </is>
      </c>
      <c r="H198" s="4" t="inlineStr">
        <is>
          <t>No MAH found; device sales licence (高度管理医療機器等販売業) not confirmed</t>
        </is>
      </c>
      <c r="I198" s="4" t="inlineStr">
        <is>
          <t>Not identified in published sources</t>
        </is>
      </c>
      <c r="J198" s="4" t="inlineStr">
        <is>
          <t>General medical equipment (hospitals and clinics)</t>
        </is>
      </c>
      <c r="K198" s="4" t="inlineStr">
        <is>
          <t>沖縄県 (regional; branch network not confirmed)</t>
        </is>
      </c>
      <c r="L198" s="4" t="inlineStr">
        <is>
          <t>Not found</t>
        </is>
      </c>
      <c r="M198" s="4" t="inlineStr">
        <is>
          <t>Not identified</t>
        </is>
      </c>
      <c r="N198" s="4" t="inlineStr">
        <is>
          <t>Not identified</t>
        </is>
      </c>
      <c r="O198" s="4" t="inlineStr">
        <is>
          <t>Not published; use contact form</t>
        </is>
      </c>
      <c r="P198" s="4" t="inlineStr">
        <is>
          <t>Not confirmed</t>
        </is>
      </c>
      <c r="Q198" s="4" t="inlineStr">
        <is>
          <t>Not identified</t>
        </is>
      </c>
      <c r="R198" s="5" t="inlineStr">
        <is>
          <t>Likely</t>
        </is>
      </c>
      <c r="S198" s="4" t="n">
        <v>18</v>
      </c>
      <c r="T198" s="10" t="inlineStr">
        <is>
          <t>C</t>
        </is>
      </c>
      <c r="U198" s="4" t="inlineStr">
        <is>
          <t>Regional general medical equipment dealer with hospital and clinic accounts; candidate sub dealer under a national MAH partner.</t>
        </is>
      </c>
      <c r="V198" s="4" t="inlineStr">
        <is>
          <t>Introduce CHISON as a future line through a national MAH partner; ask about their hospital and clinic coverage, service engineers and openness to non Japanese brands.</t>
        </is>
      </c>
      <c r="W198" s="4" t="inlineStr">
        <is>
          <t>N (not identified)</t>
        </is>
      </c>
      <c r="X198" s="7" t="inlineStr">
        <is>
          <t>https://kyuren.jp/%E4%BC%9A%E5%93%A1%E7%B4%B9%E4%BB%8B/</t>
        </is>
      </c>
      <c r="Y198" s="4" t="inlineStr">
        <is>
          <t>SonoEye P3 plus SonoAir 30 for GP and clinic accounts</t>
        </is>
      </c>
      <c r="Z198" s="4" t="inlineStr">
        <is>
          <t>2, 2, 3, 3, 3, 2, 3</t>
        </is>
      </c>
      <c r="AA198" s="4" t="inlineStr">
        <is>
          <t>Not found</t>
        </is>
      </c>
      <c r="AB198" s="4" t="inlineStr">
        <is>
          <t>Directory or search listing; not opened (direct site access blocked)</t>
        </is>
      </c>
      <c r="AC198" s="4" t="inlineStr">
        <is>
          <t>No expired licence or ended distribution agreement found</t>
        </is>
      </c>
      <c r="AD198" s="4" t="inlineStr">
        <is>
          <t>Not started</t>
        </is>
      </c>
      <c r="AE198" s="4" t="inlineStr"/>
      <c r="AF198" s="4" t="inlineStr">
        <is>
          <t>https://www.mkbussan.jp/contact.php</t>
        </is>
      </c>
      <c r="AG198" s="4" t="inlineStr">
        <is>
          <t>No email published; use the contact form (link in Email source)</t>
        </is>
      </c>
    </row>
    <row r="199">
      <c r="A199" s="4" t="n">
        <v>195</v>
      </c>
      <c r="B199" s="4" t="inlineStr">
        <is>
          <t>Okinawa Mutoh</t>
        </is>
      </c>
      <c r="C199" s="4" t="inlineStr">
        <is>
          <t>沖縄ムトウ</t>
        </is>
      </c>
      <c r="D199" s="4" t="inlineStr">
        <is>
          <t>Not retrieved (NTA lookup blocked in this session)</t>
        </is>
      </c>
      <c r="E199" s="4" t="inlineStr">
        <is>
          <t>沖縄県</t>
        </is>
      </c>
      <c r="F199" s="4" t="inlineStr">
        <is>
          <t>Kyushu and Okinawa</t>
        </is>
      </c>
      <c r="G199" s="4" t="inlineStr">
        <is>
          <t>Not confirmed (company site not opened; network policy blocked direct access)</t>
        </is>
      </c>
      <c r="H199" s="4" t="inlineStr">
        <is>
          <t>No MAH found; device sales licence (高度管理医療機器等販売業) not confirmed</t>
        </is>
      </c>
      <c r="I199" s="4" t="inlineStr">
        <is>
          <t>Not identified in published sources</t>
        </is>
      </c>
      <c r="J199" s="4" t="inlineStr">
        <is>
          <t>General medical equipment (hospitals and clinics)</t>
        </is>
      </c>
      <c r="K199" s="4" t="inlineStr">
        <is>
          <t>沖縄県 (regional; branch network not confirmed)</t>
        </is>
      </c>
      <c r="L199" s="4" t="inlineStr">
        <is>
          <t>Not found</t>
        </is>
      </c>
      <c r="M199" s="4" t="inlineStr">
        <is>
          <t>Not identified</t>
        </is>
      </c>
      <c r="N199" s="4" t="inlineStr">
        <is>
          <t>Not identified</t>
        </is>
      </c>
      <c r="O199" s="4" t="inlineStr">
        <is>
          <t>Not published; use company inquiry form</t>
        </is>
      </c>
      <c r="P199" s="4" t="inlineStr">
        <is>
          <t>Not confirmed</t>
        </is>
      </c>
      <c r="Q199" s="4" t="inlineStr">
        <is>
          <t>Not identified</t>
        </is>
      </c>
      <c r="R199" s="5" t="inlineStr">
        <is>
          <t>Unverified</t>
        </is>
      </c>
      <c r="S199" s="4" t="n">
        <v>18</v>
      </c>
      <c r="T199" s="10" t="inlineStr">
        <is>
          <t>C</t>
        </is>
      </c>
      <c r="U199" s="4" t="inlineStr">
        <is>
          <t>Regional general medical equipment dealer with hospital and clinic accounts; candidate sub dealer under a national MAH partner.</t>
        </is>
      </c>
      <c r="V199" s="4" t="inlineStr">
        <is>
          <t>Introduce CHISON as a future line through a national MAH partner; ask about their hospital and clinic coverage, service engineers and openness to non Japanese brands.</t>
        </is>
      </c>
      <c r="W199" s="4" t="inlineStr">
        <is>
          <t>N (not identified)</t>
        </is>
      </c>
      <c r="X199" s="7" t="inlineStr">
        <is>
          <t>https://kyuren.jp/%E4%BC%9A%E5%93%A1%E7%B4%B9%E4%BB%8B/</t>
        </is>
      </c>
      <c r="Y199" s="4" t="inlineStr">
        <is>
          <t>SonoEye P3 plus SonoAir 30 for GP and clinic accounts</t>
        </is>
      </c>
      <c r="Z199" s="4" t="inlineStr">
        <is>
          <t>2, 2, 3, 3, 3, 2, 3</t>
        </is>
      </c>
      <c r="AA199" s="4" t="inlineStr">
        <is>
          <t>Not found</t>
        </is>
      </c>
      <c r="AB199" s="4" t="inlineStr">
        <is>
          <t>Recheck: no independent confirmation found; directory listing only. Mutoh recruits for Okinawa postings</t>
        </is>
      </c>
      <c r="AC199" s="4" t="inlineStr">
        <is>
          <t>Holding group overlap: Mutoh group (existing row 15). Approach via Mutoh head office. No expired licence or ended distribution agreement found</t>
        </is>
      </c>
      <c r="AD199" s="4" t="inlineStr">
        <is>
          <t>Not started</t>
        </is>
      </c>
      <c r="AE199" s="4" t="inlineStr"/>
      <c r="AF199" s="4" t="inlineStr"/>
      <c r="AG199" s="4" t="inlineStr">
        <is>
          <t>No email published and no verified website found</t>
        </is>
      </c>
    </row>
    <row r="200">
      <c r="A200" s="4" t="n">
        <v>196</v>
      </c>
      <c r="B200" s="4" t="inlineStr">
        <is>
          <t>Okinawa Medico</t>
        </is>
      </c>
      <c r="C200" s="4" t="inlineStr">
        <is>
          <t>沖縄メディコ</t>
        </is>
      </c>
      <c r="D200" s="4" t="inlineStr">
        <is>
          <t>Not retrieved (NTA lookup blocked in this session)</t>
        </is>
      </c>
      <c r="E200" s="4" t="inlineStr">
        <is>
          <t>沖縄県</t>
        </is>
      </c>
      <c r="F200" s="4" t="inlineStr">
        <is>
          <t>Kyushu and Okinawa</t>
        </is>
      </c>
      <c r="G200" s="4" t="inlineStr">
        <is>
          <t>https://okinawa-medico.com/</t>
        </is>
      </c>
      <c r="H200" s="4" t="inlineStr">
        <is>
          <t>No MAH found; device sales licence (高度管理医療機器等販売業) not confirmed</t>
        </is>
      </c>
      <c r="I200" s="4" t="inlineStr">
        <is>
          <t>Not identified in published sources</t>
        </is>
      </c>
      <c r="J200" s="4" t="inlineStr">
        <is>
          <t>General medical equipment (hospitals and clinics)</t>
        </is>
      </c>
      <c r="K200" s="4" t="inlineStr">
        <is>
          <t>沖縄県 (regional; branch network not confirmed)</t>
        </is>
      </c>
      <c r="L200" s="4" t="inlineStr">
        <is>
          <t>Not found</t>
        </is>
      </c>
      <c r="M200" s="4" t="inlineStr">
        <is>
          <t>Not identified</t>
        </is>
      </c>
      <c r="N200" s="4" t="inlineStr">
        <is>
          <t>Not identified</t>
        </is>
      </c>
      <c r="O200" s="4" t="inlineStr">
        <is>
          <t>Not published; use contact form</t>
        </is>
      </c>
      <c r="P200" s="4" t="inlineStr">
        <is>
          <t>Not confirmed</t>
        </is>
      </c>
      <c r="Q200" s="4" t="inlineStr">
        <is>
          <t>Not identified</t>
        </is>
      </c>
      <c r="R200" s="5" t="inlineStr">
        <is>
          <t>Likely</t>
        </is>
      </c>
      <c r="S200" s="4" t="n">
        <v>18</v>
      </c>
      <c r="T200" s="10" t="inlineStr">
        <is>
          <t>C</t>
        </is>
      </c>
      <c r="U200" s="4" t="inlineStr">
        <is>
          <t>Regional general medical equipment dealer with hospital and clinic accounts; candidate sub dealer under a national MAH partner.</t>
        </is>
      </c>
      <c r="V200" s="4" t="inlineStr">
        <is>
          <t>Introduce CHISON as a future line through a national MAH partner; ask about their hospital and clinic coverage, service engineers and openness to non Japanese brands.</t>
        </is>
      </c>
      <c r="W200" s="4" t="inlineStr">
        <is>
          <t>N (not identified)</t>
        </is>
      </c>
      <c r="X200" s="7" t="inlineStr">
        <is>
          <t>https://kyuren.jp/%E4%BC%9A%E5%93%A1%E7%B4%B9%E4%BB%8B/</t>
        </is>
      </c>
      <c r="Y200" s="4" t="inlineStr">
        <is>
          <t>SonoEye P3 plus SonoAir 30 for GP and clinic accounts</t>
        </is>
      </c>
      <c r="Z200" s="4" t="inlineStr">
        <is>
          <t>2, 2, 3, 3, 3, 2, 3</t>
        </is>
      </c>
      <c r="AA200" s="4" t="inlineStr">
        <is>
          <t>Not found</t>
        </is>
      </c>
      <c r="AB200" s="4" t="inlineStr">
        <is>
          <t>Directory or search listing; not opened (direct site access blocked)</t>
        </is>
      </c>
      <c r="AC200" s="4" t="inlineStr">
        <is>
          <t>No expired licence or ended distribution agreement found</t>
        </is>
      </c>
      <c r="AD200" s="4" t="inlineStr">
        <is>
          <t>Not started</t>
        </is>
      </c>
      <c r="AE200" s="4" t="inlineStr"/>
      <c r="AF200" s="4" t="inlineStr">
        <is>
          <t>https://okinawa-medico.com/contact/</t>
        </is>
      </c>
      <c r="AG200" s="4" t="inlineStr">
        <is>
          <t>No email published; use the contact form (link in Email source)</t>
        </is>
      </c>
    </row>
    <row r="201">
      <c r="A201" s="4" t="n">
        <v>197</v>
      </c>
      <c r="B201" s="4" t="inlineStr">
        <is>
          <t>Daiichi Iryoki</t>
        </is>
      </c>
      <c r="C201" s="4" t="inlineStr">
        <is>
          <t>第一医療器</t>
        </is>
      </c>
      <c r="D201" s="4" t="inlineStr">
        <is>
          <t>Not retrieved (NTA lookup blocked in this session)</t>
        </is>
      </c>
      <c r="E201" s="4" t="inlineStr">
        <is>
          <t>沖縄県</t>
        </is>
      </c>
      <c r="F201" s="4" t="inlineStr">
        <is>
          <t>Kyushu and Okinawa</t>
        </is>
      </c>
      <c r="G201" s="4" t="inlineStr">
        <is>
          <t>Not confirmed (company site not opened; network policy blocked direct access)</t>
        </is>
      </c>
      <c r="H201" s="4" t="inlineStr">
        <is>
          <t>No MAH found; device sales licence (高度管理医療機器等販売業) not confirmed</t>
        </is>
      </c>
      <c r="I201" s="4" t="inlineStr">
        <is>
          <t>Not identified in published sources</t>
        </is>
      </c>
      <c r="J201" s="4" t="inlineStr">
        <is>
          <t>General medical equipment (hospitals and clinics)</t>
        </is>
      </c>
      <c r="K201" s="4" t="inlineStr">
        <is>
          <t>沖縄県 (regional; branch network not confirmed)</t>
        </is>
      </c>
      <c r="L201" s="4" t="inlineStr">
        <is>
          <t>Not found</t>
        </is>
      </c>
      <c r="M201" s="4" t="inlineStr">
        <is>
          <t>Not identified</t>
        </is>
      </c>
      <c r="N201" s="4" t="inlineStr">
        <is>
          <t>Not identified</t>
        </is>
      </c>
      <c r="O201" s="4" t="inlineStr">
        <is>
          <t>Not published; use company inquiry form</t>
        </is>
      </c>
      <c r="P201" s="4" t="inlineStr">
        <is>
          <t>Not confirmed</t>
        </is>
      </c>
      <c r="Q201" s="4" t="inlineStr">
        <is>
          <t>Not identified</t>
        </is>
      </c>
      <c r="R201" s="5" t="inlineStr">
        <is>
          <t>Unverified</t>
        </is>
      </c>
      <c r="S201" s="4" t="n">
        <v>18</v>
      </c>
      <c r="T201" s="10" t="inlineStr">
        <is>
          <t>C</t>
        </is>
      </c>
      <c r="U201" s="4" t="inlineStr">
        <is>
          <t>Regional general medical equipment dealer with hospital and clinic accounts; candidate sub dealer under a national MAH partner.</t>
        </is>
      </c>
      <c r="V201" s="4" t="inlineStr">
        <is>
          <t>Introduce CHISON as a future line through a national MAH partner; ask about their hospital and clinic coverage, service engineers and openness to non Japanese brands.</t>
        </is>
      </c>
      <c r="W201" s="4" t="inlineStr">
        <is>
          <t>N (not identified)</t>
        </is>
      </c>
      <c r="X201" s="7" t="inlineStr">
        <is>
          <t>https://kyuren.jp/%E4%BC%9A%E5%93%A1%E7%B4%B9%E4%BB%8B/</t>
        </is>
      </c>
      <c r="Y201" s="4" t="inlineStr">
        <is>
          <t>SonoEye P3 plus SonoAir 30 for GP and clinic accounts</t>
        </is>
      </c>
      <c r="Z201" s="4" t="inlineStr">
        <is>
          <t>2, 2, 3, 3, 3, 2, 3</t>
        </is>
      </c>
      <c r="AA201" s="4" t="inlineStr">
        <is>
          <t>Not found</t>
        </is>
      </c>
      <c r="AB201" s="4" t="inlineStr">
        <is>
          <t>Directory or search listing; not opened (direct site access blocked)</t>
        </is>
      </c>
      <c r="AC201" s="4" t="inlineStr">
        <is>
          <t>No expired licence or ended distribution agreement found</t>
        </is>
      </c>
      <c r="AD201" s="4" t="inlineStr">
        <is>
          <t>Not started</t>
        </is>
      </c>
      <c r="AE201" s="4" t="inlineStr"/>
      <c r="AF201" s="4" t="inlineStr"/>
      <c r="AG201" s="4" t="inlineStr">
        <is>
          <t>No email published and no verified website found</t>
        </is>
      </c>
    </row>
    <row r="202">
      <c r="A202" s="4" t="n">
        <v>198</v>
      </c>
      <c r="B202" s="4" t="inlineStr">
        <is>
          <t>Chuo Iryoki</t>
        </is>
      </c>
      <c r="C202" s="4" t="inlineStr">
        <is>
          <t>中央医療器</t>
        </is>
      </c>
      <c r="D202" s="4" t="inlineStr">
        <is>
          <t>Not retrieved (NTA lookup blocked in this session)</t>
        </is>
      </c>
      <c r="E202" s="4" t="inlineStr">
        <is>
          <t>沖縄県</t>
        </is>
      </c>
      <c r="F202" s="4" t="inlineStr">
        <is>
          <t>Kyushu and Okinawa</t>
        </is>
      </c>
      <c r="G202" s="4" t="inlineStr">
        <is>
          <t>https://www.chuoiryoki.co.jp/</t>
        </is>
      </c>
      <c r="H202" s="4" t="inlineStr">
        <is>
          <t>No MAH found; device sales licence (高度管理医療機器等販売業) not confirmed</t>
        </is>
      </c>
      <c r="I202" s="4" t="inlineStr">
        <is>
          <t>Not identified in published sources</t>
        </is>
      </c>
      <c r="J202" s="4" t="inlineStr">
        <is>
          <t>General medical equipment (hospitals and clinics)</t>
        </is>
      </c>
      <c r="K202" s="4" t="inlineStr">
        <is>
          <t>沖縄県 (regional; branch network not confirmed)</t>
        </is>
      </c>
      <c r="L202" s="4" t="inlineStr">
        <is>
          <t>Not found</t>
        </is>
      </c>
      <c r="M202" s="4" t="inlineStr">
        <is>
          <t>Not identified</t>
        </is>
      </c>
      <c r="N202" s="4" t="inlineStr">
        <is>
          <t>Not identified</t>
        </is>
      </c>
      <c r="O202" s="4" t="inlineStr">
        <is>
          <t>info@chuoiryoki.co.jp</t>
        </is>
      </c>
      <c r="P202" s="4" t="inlineStr">
        <is>
          <t>Not confirmed</t>
        </is>
      </c>
      <c r="Q202" s="4" t="inlineStr">
        <is>
          <t>Not identified</t>
        </is>
      </c>
      <c r="R202" s="5" t="inlineStr">
        <is>
          <t>Unverified</t>
        </is>
      </c>
      <c r="S202" s="4" t="n">
        <v>18</v>
      </c>
      <c r="T202" s="10" t="inlineStr">
        <is>
          <t>C</t>
        </is>
      </c>
      <c r="U202" s="4" t="inlineStr">
        <is>
          <t>Regional general medical equipment dealer with hospital and clinic accounts; candidate sub dealer under a national MAH partner.</t>
        </is>
      </c>
      <c r="V202" s="4" t="inlineStr">
        <is>
          <t>Introduce CHISON as a future line through a national MAH partner; ask about their hospital and clinic coverage, service engineers and openness to non Japanese brands.</t>
        </is>
      </c>
      <c r="W202" s="4" t="inlineStr">
        <is>
          <t>N (not identified)</t>
        </is>
      </c>
      <c r="X202" s="7" t="inlineStr">
        <is>
          <t>https://kyuren.jp/%E4%BC%9A%E5%93%A1%E7%B4%B9%E4%BB%8B/</t>
        </is>
      </c>
      <c r="Y202" s="4" t="inlineStr">
        <is>
          <t>SonoEye P3 plus SonoAir 30 for GP and clinic accounts</t>
        </is>
      </c>
      <c r="Z202" s="4" t="inlineStr">
        <is>
          <t>2, 2, 3, 3, 3, 2, 3</t>
        </is>
      </c>
      <c r="AA202" s="4" t="inlineStr">
        <is>
          <t>Not found</t>
        </is>
      </c>
      <c r="AB202" s="4" t="inlineStr">
        <is>
          <t>Directory or search listing; not opened (direct site access blocked)</t>
        </is>
      </c>
      <c r="AC202" s="4" t="inlineStr">
        <is>
          <t>No expired licence or ended distribution agreement found</t>
        </is>
      </c>
      <c r="AD202" s="4" t="inlineStr">
        <is>
          <t>Not started</t>
        </is>
      </c>
      <c r="AE202" s="4" t="inlineStr"/>
      <c r="AF202" s="4" t="inlineStr">
        <is>
          <t>https://www.facebook.com/chuoiryoki/?locale=ja_JP</t>
        </is>
      </c>
      <c r="AG202" s="4" t="inlineStr">
        <is>
          <t>Likely: indexed on company domain</t>
        </is>
      </c>
    </row>
    <row r="203">
      <c r="A203" s="4" t="n">
        <v>199</v>
      </c>
      <c r="B203" s="4" t="inlineStr">
        <is>
          <t>Nansei Iryoki</t>
        </is>
      </c>
      <c r="C203" s="4" t="inlineStr">
        <is>
          <t>南西医療器</t>
        </is>
      </c>
      <c r="D203" s="4" t="inlineStr">
        <is>
          <t>Not retrieved (NTA lookup blocked in this session)</t>
        </is>
      </c>
      <c r="E203" s="4" t="inlineStr">
        <is>
          <t>沖縄県</t>
        </is>
      </c>
      <c r="F203" s="4" t="inlineStr">
        <is>
          <t>Kyushu and Okinawa</t>
        </is>
      </c>
      <c r="G203" s="4" t="inlineStr">
        <is>
          <t>http://www.swm-i.co.jp/</t>
        </is>
      </c>
      <c r="H203" s="4" t="inlineStr">
        <is>
          <t>No MAH found; device sales licence (高度管理医療機器等販売業) not confirmed</t>
        </is>
      </c>
      <c r="I203" s="4" t="inlineStr">
        <is>
          <t>Not identified in published sources</t>
        </is>
      </c>
      <c r="J203" s="4" t="inlineStr">
        <is>
          <t>General medical equipment (hospitals and clinics)</t>
        </is>
      </c>
      <c r="K203" s="4" t="inlineStr">
        <is>
          <t>沖縄県 (regional; branch network not confirmed)</t>
        </is>
      </c>
      <c r="L203" s="4" t="inlineStr">
        <is>
          <t>Not found</t>
        </is>
      </c>
      <c r="M203" s="4" t="inlineStr">
        <is>
          <t>Not identified</t>
        </is>
      </c>
      <c r="N203" s="4" t="inlineStr">
        <is>
          <t>Not identified</t>
        </is>
      </c>
      <c r="O203" s="4" t="inlineStr">
        <is>
          <t>Not published; use contact form</t>
        </is>
      </c>
      <c r="P203" s="4" t="inlineStr">
        <is>
          <t>Not confirmed</t>
        </is>
      </c>
      <c r="Q203" s="4" t="inlineStr">
        <is>
          <t>Not identified</t>
        </is>
      </c>
      <c r="R203" s="5" t="inlineStr">
        <is>
          <t>Likely</t>
        </is>
      </c>
      <c r="S203" s="4" t="n">
        <v>18</v>
      </c>
      <c r="T203" s="10" t="inlineStr">
        <is>
          <t>C</t>
        </is>
      </c>
      <c r="U203" s="4" t="inlineStr">
        <is>
          <t>Regional general medical equipment dealer with hospital and clinic accounts; candidate sub dealer under a national MAH partner.</t>
        </is>
      </c>
      <c r="V203" s="4" t="inlineStr">
        <is>
          <t>Introduce CHISON as a future line through a national MAH partner; ask about their hospital and clinic coverage, service engineers and openness to non Japanese brands.</t>
        </is>
      </c>
      <c r="W203" s="4" t="inlineStr">
        <is>
          <t>N (not identified)</t>
        </is>
      </c>
      <c r="X203" s="7" t="inlineStr">
        <is>
          <t>https://kyuren.jp/%E4%BC%9A%E5%93%A1%E7%B4%B9%E4%BB%8B/</t>
        </is>
      </c>
      <c r="Y203" s="4" t="inlineStr">
        <is>
          <t>SonoEye P3 plus SonoAir 30 for GP and clinic accounts</t>
        </is>
      </c>
      <c r="Z203" s="4" t="inlineStr">
        <is>
          <t>2, 2, 3, 3, 3, 2, 3</t>
        </is>
      </c>
      <c r="AA203" s="4" t="inlineStr">
        <is>
          <t>Not found</t>
        </is>
      </c>
      <c r="AB203" s="4" t="inlineStr">
        <is>
          <t>Directory or search listing; not opened (direct site access blocked)</t>
        </is>
      </c>
      <c r="AC203" s="4" t="inlineStr">
        <is>
          <t>No expired licence or ended distribution agreement found</t>
        </is>
      </c>
      <c r="AD203" s="4" t="inlineStr">
        <is>
          <t>Not started</t>
        </is>
      </c>
      <c r="AE203" s="4" t="inlineStr"/>
      <c r="AF203" s="4" t="inlineStr">
        <is>
          <t>http://www.swm-i.co.jp/inquirie/</t>
        </is>
      </c>
      <c r="AG203" s="4" t="inlineStr">
        <is>
          <t>No email published; use the contact form (link in Email source)</t>
        </is>
      </c>
    </row>
    <row r="204">
      <c r="A204" s="4" t="n">
        <v>200</v>
      </c>
      <c r="B204" s="4" t="inlineStr">
        <is>
          <t>Ryukyu Kowa</t>
        </is>
      </c>
      <c r="C204" s="4" t="inlineStr">
        <is>
          <t>琉球光和</t>
        </is>
      </c>
      <c r="D204" s="4" t="inlineStr">
        <is>
          <t>Not retrieved (NTA lookup blocked in this session)</t>
        </is>
      </c>
      <c r="E204" s="4" t="inlineStr">
        <is>
          <t>沖縄県</t>
        </is>
      </c>
      <c r="F204" s="4" t="inlineStr">
        <is>
          <t>Kyushu and Okinawa</t>
        </is>
      </c>
      <c r="G204" s="4" t="inlineStr">
        <is>
          <t>https://rkowa.com/</t>
        </is>
      </c>
      <c r="H204" s="4" t="inlineStr">
        <is>
          <t>No MAH found; device sales licence (高度管理医療機器等販売業) not confirmed</t>
        </is>
      </c>
      <c r="I204" s="4" t="inlineStr">
        <is>
          <t>Not identified in published sources</t>
        </is>
      </c>
      <c r="J204" s="4" t="inlineStr">
        <is>
          <t>General medical equipment (hospitals and clinics)</t>
        </is>
      </c>
      <c r="K204" s="4" t="inlineStr">
        <is>
          <t>沖縄県 (regional; branch network not confirmed)</t>
        </is>
      </c>
      <c r="L204" s="4" t="inlineStr">
        <is>
          <t>Not found</t>
        </is>
      </c>
      <c r="M204" s="4" t="inlineStr">
        <is>
          <t>Not identified</t>
        </is>
      </c>
      <c r="N204" s="4" t="inlineStr">
        <is>
          <t>Not identified</t>
        </is>
      </c>
      <c r="O204" s="4" t="inlineStr">
        <is>
          <t>recruit2028@rkowa.com</t>
        </is>
      </c>
      <c r="P204" s="4" t="inlineStr">
        <is>
          <t>Not confirmed</t>
        </is>
      </c>
      <c r="Q204" s="4" t="inlineStr">
        <is>
          <t>Not identified</t>
        </is>
      </c>
      <c r="R204" s="5" t="inlineStr">
        <is>
          <t>Unverified</t>
        </is>
      </c>
      <c r="S204" s="4" t="n">
        <v>18</v>
      </c>
      <c r="T204" s="10" t="inlineStr">
        <is>
          <t>C</t>
        </is>
      </c>
      <c r="U204" s="4" t="inlineStr">
        <is>
          <t>Regional general medical equipment dealer with hospital and clinic accounts; candidate sub dealer under a national MAH partner.</t>
        </is>
      </c>
      <c r="V204" s="4" t="inlineStr">
        <is>
          <t>Introduce CHISON as a future line through a national MAH partner; ask about their hospital and clinic coverage, service engineers and openness to non Japanese brands.</t>
        </is>
      </c>
      <c r="W204" s="4" t="inlineStr">
        <is>
          <t>N (not identified)</t>
        </is>
      </c>
      <c r="X204" s="7" t="inlineStr">
        <is>
          <t>https://kyuren.jp/%E4%BC%9A%E5%93%A1%E7%B4%B9%E4%BB%8B/</t>
        </is>
      </c>
      <c r="Y204" s="4" t="inlineStr">
        <is>
          <t>SonoEye P3 plus SonoAir 30 for GP and clinic accounts</t>
        </is>
      </c>
      <c r="Z204" s="4" t="inlineStr">
        <is>
          <t>2, 2, 3, 3, 3, 2, 3</t>
        </is>
      </c>
      <c r="AA204" s="4" t="inlineStr">
        <is>
          <t>Not found</t>
        </is>
      </c>
      <c r="AB204" s="4" t="inlineStr">
        <is>
          <t>Directory or search listing; not opened (direct site access blocked)</t>
        </is>
      </c>
      <c r="AC204" s="4" t="inlineStr">
        <is>
          <t>No expired licence or ended distribution agreement found</t>
        </is>
      </c>
      <c r="AD204" s="4" t="inlineStr">
        <is>
          <t>Not started</t>
        </is>
      </c>
      <c r="AE204" s="4" t="inlineStr"/>
      <c r="AF204" s="4" t="inlineStr">
        <is>
          <t>https://rkowa.com/recruit/job-description</t>
        </is>
      </c>
      <c r="AG204" s="4" t="inlineStr">
        <is>
          <t>Verified: published on company website; HR or recruitment inbox, ask to forward to sales</t>
        </is>
      </c>
    </row>
    <row r="205">
      <c r="A205" s="4" t="n">
        <v>201</v>
      </c>
      <c r="B205" s="4" t="inlineStr">
        <is>
          <t>Medical Support Kan</t>
        </is>
      </c>
      <c r="C205" s="4" t="inlineStr">
        <is>
          <t>メディカルサポート環</t>
        </is>
      </c>
      <c r="D205" s="4" t="inlineStr">
        <is>
          <t>Not retrieved (NTA lookup blocked in this session)</t>
        </is>
      </c>
      <c r="E205" s="4" t="inlineStr">
        <is>
          <t>沖縄県</t>
        </is>
      </c>
      <c r="F205" s="4" t="inlineStr">
        <is>
          <t>Kyushu and Okinawa</t>
        </is>
      </c>
      <c r="G205" s="4" t="inlineStr">
        <is>
          <t>https://mstamaki.com/</t>
        </is>
      </c>
      <c r="H205" s="4" t="inlineStr">
        <is>
          <t>No MAH found; device sales licence (高度管理医療機器等販売業) not confirmed</t>
        </is>
      </c>
      <c r="I205" s="4" t="inlineStr">
        <is>
          <t>Not identified in published sources</t>
        </is>
      </c>
      <c r="J205" s="4" t="inlineStr">
        <is>
          <t>General medical equipment (hospitals and clinics)</t>
        </is>
      </c>
      <c r="K205" s="4" t="inlineStr">
        <is>
          <t>沖縄県 (regional; branch network not confirmed)</t>
        </is>
      </c>
      <c r="L205" s="4" t="inlineStr">
        <is>
          <t>Not found</t>
        </is>
      </c>
      <c r="M205" s="4" t="inlineStr">
        <is>
          <t>Not identified</t>
        </is>
      </c>
      <c r="N205" s="4" t="inlineStr">
        <is>
          <t>Not identified</t>
        </is>
      </c>
      <c r="O205" s="4" t="inlineStr">
        <is>
          <t>mstamaki07@gmail.com</t>
        </is>
      </c>
      <c r="P205" s="4" t="inlineStr">
        <is>
          <t>Not confirmed</t>
        </is>
      </c>
      <c r="Q205" s="4" t="inlineStr">
        <is>
          <t>Not identified</t>
        </is>
      </c>
      <c r="R205" s="5" t="inlineStr">
        <is>
          <t>Unverified</t>
        </is>
      </c>
      <c r="S205" s="4" t="n">
        <v>18</v>
      </c>
      <c r="T205" s="10" t="inlineStr">
        <is>
          <t>C</t>
        </is>
      </c>
      <c r="U205" s="4" t="inlineStr">
        <is>
          <t>Regional general medical equipment dealer with hospital and clinic accounts; candidate sub dealer under a national MAH partner.</t>
        </is>
      </c>
      <c r="V205" s="4" t="inlineStr">
        <is>
          <t>Introduce CHISON as a future line through a national MAH partner; ask about their hospital and clinic coverage, service engineers and openness to non Japanese brands.</t>
        </is>
      </c>
      <c r="W205" s="4" t="inlineStr">
        <is>
          <t>N (not identified)</t>
        </is>
      </c>
      <c r="X205" s="7" t="inlineStr">
        <is>
          <t>https://kyuren.jp/%E4%BC%9A%E5%93%A1%E7%B4%B9%E4%BB%8B/</t>
        </is>
      </c>
      <c r="Y205" s="4" t="inlineStr">
        <is>
          <t>SonoEye P3 plus SonoAir 30 for GP and clinic accounts</t>
        </is>
      </c>
      <c r="Z205" s="4" t="inlineStr">
        <is>
          <t>2, 2, 3, 3, 3, 2, 3</t>
        </is>
      </c>
      <c r="AA205" s="4" t="inlineStr">
        <is>
          <t>Not found</t>
        </is>
      </c>
      <c r="AB205" s="4" t="inlineStr">
        <is>
          <t>Directory or search listing; not opened (direct site access blocked)</t>
        </is>
      </c>
      <c r="AC205" s="4" t="inlineStr">
        <is>
          <t>No expired licence or ended distribution agreement found</t>
        </is>
      </c>
      <c r="AD205" s="4" t="inlineStr">
        <is>
          <t>Not started</t>
        </is>
      </c>
      <c r="AE205" s="4" t="inlineStr"/>
      <c r="AF205" s="4" t="inlineStr">
        <is>
          <t>https://mstamaki.com/gazou</t>
        </is>
      </c>
      <c r="AG205" s="4" t="inlineStr">
        <is>
          <t>Likely: free webmail address shown on company website, confirm</t>
        </is>
      </c>
    </row>
    <row r="206">
      <c r="A206" s="4" t="n">
        <v>202</v>
      </c>
      <c r="B206" s="4" t="inlineStr">
        <is>
          <t>Kimura Iryoki</t>
        </is>
      </c>
      <c r="C206" s="4" t="inlineStr">
        <is>
          <t>木村医療器</t>
        </is>
      </c>
      <c r="D206" s="4" t="inlineStr">
        <is>
          <t>Not retrieved (NTA lookup blocked in this session)</t>
        </is>
      </c>
      <c r="E206" s="4" t="inlineStr">
        <is>
          <t>熊本県</t>
        </is>
      </c>
      <c r="F206" s="4" t="inlineStr">
        <is>
          <t>Kyushu and Okinawa</t>
        </is>
      </c>
      <c r="G206" s="4" t="inlineStr">
        <is>
          <t>https://www.kimura-iryoki.com/</t>
        </is>
      </c>
      <c r="H206" s="4" t="inlineStr">
        <is>
          <t>No MAH found; device sales licence (高度管理医療機器等販売業) not confirmed</t>
        </is>
      </c>
      <c r="I206" s="4" t="inlineStr">
        <is>
          <t>Not identified in published sources</t>
        </is>
      </c>
      <c r="J206" s="4" t="inlineStr">
        <is>
          <t>General medical equipment (hospitals and clinics)</t>
        </is>
      </c>
      <c r="K206" s="4" t="inlineStr">
        <is>
          <t>熊本県 (regional; branch network not confirmed)</t>
        </is>
      </c>
      <c r="L206" s="4" t="inlineStr">
        <is>
          <t>Not found</t>
        </is>
      </c>
      <c r="M206" s="4" t="inlineStr">
        <is>
          <t>Not identified</t>
        </is>
      </c>
      <c r="N206" s="4" t="inlineStr">
        <is>
          <t>Not identified</t>
        </is>
      </c>
      <c r="O206" s="4" t="inlineStr">
        <is>
          <t>Not published; use contact form</t>
        </is>
      </c>
      <c r="P206" s="4" t="inlineStr">
        <is>
          <t>Not confirmed</t>
        </is>
      </c>
      <c r="Q206" s="4" t="inlineStr">
        <is>
          <t>Not identified</t>
        </is>
      </c>
      <c r="R206" s="5" t="inlineStr">
        <is>
          <t>Likely</t>
        </is>
      </c>
      <c r="S206" s="4" t="n">
        <v>18</v>
      </c>
      <c r="T206" s="10" t="inlineStr">
        <is>
          <t>C</t>
        </is>
      </c>
      <c r="U206" s="4" t="inlineStr">
        <is>
          <t>Regional general medical equipment dealer with hospital and clinic accounts; candidate sub dealer under a national MAH partner.</t>
        </is>
      </c>
      <c r="V206" s="4" t="inlineStr">
        <is>
          <t>Introduce CHISON as a future line through a national MAH partner; ask about their hospital and clinic coverage, service engineers and openness to non Japanese brands.</t>
        </is>
      </c>
      <c r="W206" s="4" t="inlineStr">
        <is>
          <t>N (not identified)</t>
        </is>
      </c>
      <c r="X206" s="7" t="inlineStr">
        <is>
          <t>https://baseconnect.in/companies/prefecture/96c84bbe-0dd4-4885-9333-4913e3f022c9/keyword/89941b4e-2dd1-4848-8957-48af280a31e0</t>
        </is>
      </c>
      <c r="Y206" s="4" t="inlineStr">
        <is>
          <t>SonoEye P3 plus SonoAir 30 for GP and clinic accounts</t>
        </is>
      </c>
      <c r="Z206" s="4" t="inlineStr">
        <is>
          <t>2, 2, 3, 3, 3, 2, 3</t>
        </is>
      </c>
      <c r="AA206" s="4" t="inlineStr">
        <is>
          <t>Not found</t>
        </is>
      </c>
      <c r="AB206" s="4" t="inlineStr">
        <is>
          <t>Directory or search listing; not opened (direct site access blocked)</t>
        </is>
      </c>
      <c r="AC206" s="4" t="inlineStr">
        <is>
          <t>No expired licence or ended distribution agreement found</t>
        </is>
      </c>
      <c r="AD206" s="4" t="inlineStr">
        <is>
          <t>Not started</t>
        </is>
      </c>
      <c r="AE206" s="4" t="inlineStr"/>
      <c r="AF206" s="4" t="inlineStr">
        <is>
          <t>https://www.kimura-iryoki.com/blank-3</t>
        </is>
      </c>
      <c r="AG206" s="4" t="inlineStr">
        <is>
          <t>No email published; use the contact form (link in Email source)</t>
        </is>
      </c>
    </row>
    <row r="207">
      <c r="A207" s="4" t="n">
        <v>203</v>
      </c>
      <c r="B207" s="4" t="inlineStr">
        <is>
          <t>Medical System Service</t>
        </is>
      </c>
      <c r="C207" s="4" t="inlineStr">
        <is>
          <t>メディカルシステムサービス</t>
        </is>
      </c>
      <c r="D207" s="4" t="inlineStr">
        <is>
          <t>Not retrieved (NTA lookup blocked in this session)</t>
        </is>
      </c>
      <c r="E207" s="4" t="inlineStr">
        <is>
          <t>熊本県</t>
        </is>
      </c>
      <c r="F207" s="4" t="inlineStr">
        <is>
          <t>Kyushu and Okinawa</t>
        </is>
      </c>
      <c r="G207" s="4" t="inlineStr">
        <is>
          <t>https://osakamss.jp/</t>
        </is>
      </c>
      <c r="H207" s="4" t="inlineStr">
        <is>
          <t>No MAH found; device sales licence (高度管理医療機器等販売業) not confirmed</t>
        </is>
      </c>
      <c r="I207" s="4" t="inlineStr">
        <is>
          <t>Not identified in published sources</t>
        </is>
      </c>
      <c r="J207" s="4" t="inlineStr">
        <is>
          <t>General medical equipment (hospitals and clinics)</t>
        </is>
      </c>
      <c r="K207" s="4" t="inlineStr">
        <is>
          <t>熊本県 (regional; branch network not confirmed)</t>
        </is>
      </c>
      <c r="L207" s="4" t="inlineStr">
        <is>
          <t>Not found</t>
        </is>
      </c>
      <c r="M207" s="4" t="inlineStr">
        <is>
          <t>Not identified</t>
        </is>
      </c>
      <c r="N207" s="4" t="inlineStr">
        <is>
          <t>Not identified</t>
        </is>
      </c>
      <c r="O207" s="4" t="inlineStr">
        <is>
          <t>Not published; use contact form</t>
        </is>
      </c>
      <c r="P207" s="4" t="inlineStr">
        <is>
          <t>Not confirmed</t>
        </is>
      </c>
      <c r="Q207" s="4" t="inlineStr">
        <is>
          <t>Not identified</t>
        </is>
      </c>
      <c r="R207" s="5" t="inlineStr">
        <is>
          <t>Likely</t>
        </is>
      </c>
      <c r="S207" s="4" t="n">
        <v>18</v>
      </c>
      <c r="T207" s="10" t="inlineStr">
        <is>
          <t>C</t>
        </is>
      </c>
      <c r="U207" s="4" t="inlineStr">
        <is>
          <t>Regional general medical equipment dealer with hospital and clinic accounts; candidate sub dealer under a national MAH partner.</t>
        </is>
      </c>
      <c r="V207" s="4" t="inlineStr">
        <is>
          <t>Introduce CHISON as a future line through a national MAH partner; ask about their hospital and clinic coverage, service engineers and openness to non Japanese brands.</t>
        </is>
      </c>
      <c r="W207" s="4" t="inlineStr">
        <is>
          <t>N (not identified)</t>
        </is>
      </c>
      <c r="X207" s="7" t="inlineStr">
        <is>
          <t>https://baseconnect.in/companies/prefecture/96c84bbe-0dd4-4885-9333-4913e3f022c9/keyword/89941b4e-2dd1-4848-8957-48af280a31e0</t>
        </is>
      </c>
      <c r="Y207" s="4" t="inlineStr">
        <is>
          <t>SonoEye P3 plus SonoAir 30 for GP and clinic accounts</t>
        </is>
      </c>
      <c r="Z207" s="4" t="inlineStr">
        <is>
          <t>2, 2, 3, 3, 3, 2, 3</t>
        </is>
      </c>
      <c r="AA207" s="4" t="inlineStr">
        <is>
          <t>Not found</t>
        </is>
      </c>
      <c r="AB207" s="4" t="inlineStr">
        <is>
          <t>Directory or search listing; not opened (direct site access blocked)</t>
        </is>
      </c>
      <c r="AC207" s="4" t="inlineStr">
        <is>
          <t>No expired licence or ended distribution agreement found</t>
        </is>
      </c>
      <c r="AD207" s="4" t="inlineStr">
        <is>
          <t>Not started</t>
        </is>
      </c>
      <c r="AE207" s="4" t="inlineStr"/>
      <c r="AF207" s="4" t="inlineStr">
        <is>
          <t>https://osakamss.jp/contact/</t>
        </is>
      </c>
      <c r="AG207" s="4" t="inlineStr">
        <is>
          <t>No email published; use the contact form (link in Email source)</t>
        </is>
      </c>
    </row>
    <row r="208">
      <c r="A208" s="4" t="n">
        <v>204</v>
      </c>
      <c r="B208" s="4" t="inlineStr">
        <is>
          <t>Medical Appliance</t>
        </is>
      </c>
      <c r="C208" s="4" t="inlineStr">
        <is>
          <t>メデイカル・アプライアンス</t>
        </is>
      </c>
      <c r="D208" s="4" t="inlineStr">
        <is>
          <t>Not retrieved (NTA lookup blocked in this session)</t>
        </is>
      </c>
      <c r="E208" s="4" t="inlineStr">
        <is>
          <t>熊本県</t>
        </is>
      </c>
      <c r="F208" s="4" t="inlineStr">
        <is>
          <t>Kyushu and Okinawa</t>
        </is>
      </c>
      <c r="G208" s="4" t="inlineStr">
        <is>
          <t>Not confirmed (company site not opened; network policy blocked direct access)</t>
        </is>
      </c>
      <c r="H208" s="4" t="inlineStr">
        <is>
          <t>No MAH found; device sales licence (高度管理医療機器等販売業) not confirmed</t>
        </is>
      </c>
      <c r="I208" s="4" t="inlineStr">
        <is>
          <t>Not identified in published sources</t>
        </is>
      </c>
      <c r="J208" s="4" t="inlineStr">
        <is>
          <t>General medical equipment (hospitals and clinics)</t>
        </is>
      </c>
      <c r="K208" s="4" t="inlineStr">
        <is>
          <t>熊本県 (regional; branch network not confirmed)</t>
        </is>
      </c>
      <c r="L208" s="4" t="inlineStr">
        <is>
          <t>Not found</t>
        </is>
      </c>
      <c r="M208" s="4" t="inlineStr">
        <is>
          <t>Not identified</t>
        </is>
      </c>
      <c r="N208" s="4" t="inlineStr">
        <is>
          <t>Not identified</t>
        </is>
      </c>
      <c r="O208" s="4" t="inlineStr">
        <is>
          <t>Not published; use company inquiry form</t>
        </is>
      </c>
      <c r="P208" s="4" t="inlineStr">
        <is>
          <t>Not confirmed</t>
        </is>
      </c>
      <c r="Q208" s="4" t="inlineStr">
        <is>
          <t>Not identified</t>
        </is>
      </c>
      <c r="R208" s="5" t="inlineStr">
        <is>
          <t>Unverified</t>
        </is>
      </c>
      <c r="S208" s="4" t="n">
        <v>18</v>
      </c>
      <c r="T208" s="10" t="inlineStr">
        <is>
          <t>C</t>
        </is>
      </c>
      <c r="U208" s="4" t="inlineStr">
        <is>
          <t>Regional general medical equipment dealer with hospital and clinic accounts; candidate sub dealer under a national MAH partner.</t>
        </is>
      </c>
      <c r="V208" s="4" t="inlineStr">
        <is>
          <t>Introduce CHISON as a future line through a national MAH partner; ask about their hospital and clinic coverage, service engineers and openness to non Japanese brands.</t>
        </is>
      </c>
      <c r="W208" s="4" t="inlineStr">
        <is>
          <t>N (not identified)</t>
        </is>
      </c>
      <c r="X208" s="7" t="inlineStr">
        <is>
          <t>https://baseconnect.in/companies/prefecture/96c84bbe-0dd4-4885-9333-4913e3f022c9/keyword/89941b4e-2dd1-4848-8957-48af280a31e0</t>
        </is>
      </c>
      <c r="Y208" s="4" t="inlineStr">
        <is>
          <t>SonoEye P3 plus SonoAir 30 for GP and clinic accounts</t>
        </is>
      </c>
      <c r="Z208" s="4" t="inlineStr">
        <is>
          <t>2, 2, 3, 3, 3, 2, 3</t>
        </is>
      </c>
      <c r="AA208" s="4" t="inlineStr">
        <is>
          <t>Not found</t>
        </is>
      </c>
      <c r="AB208" s="4" t="inlineStr">
        <is>
          <t>Directory or search listing; not opened (direct site access blocked)</t>
        </is>
      </c>
      <c r="AC208" s="4" t="inlineStr">
        <is>
          <t>No expired licence or ended distribution agreement found</t>
        </is>
      </c>
      <c r="AD208" s="4" t="inlineStr">
        <is>
          <t>Not started</t>
        </is>
      </c>
      <c r="AE208" s="4" t="inlineStr"/>
      <c r="AF208" s="4" t="inlineStr"/>
      <c r="AG208" s="4" t="inlineStr">
        <is>
          <t>No email published and no verified website found</t>
        </is>
      </c>
    </row>
    <row r="209">
      <c r="A209" s="4" t="n">
        <v>205</v>
      </c>
      <c r="B209" s="4" t="inlineStr">
        <is>
          <t>Amex Kumamoto</t>
        </is>
      </c>
      <c r="C209" s="4" t="inlineStr">
        <is>
          <t>アメックス熊本</t>
        </is>
      </c>
      <c r="D209" s="4" t="inlineStr">
        <is>
          <t>Not retrieved (NTA lookup blocked in this session)</t>
        </is>
      </c>
      <c r="E209" s="4" t="inlineStr">
        <is>
          <t>熊本県</t>
        </is>
      </c>
      <c r="F209" s="4" t="inlineStr">
        <is>
          <t>Kyushu and Okinawa</t>
        </is>
      </c>
      <c r="G209" s="4" t="inlineStr">
        <is>
          <t>http://www.amex-k.jp/</t>
        </is>
      </c>
      <c r="H209" s="4" t="inlineStr">
        <is>
          <t>No MAH found; device sales licence (高度管理医療機器等販売業) not confirmed</t>
        </is>
      </c>
      <c r="I209" s="4" t="inlineStr">
        <is>
          <t>Not identified in published sources</t>
        </is>
      </c>
      <c r="J209" s="4" t="inlineStr">
        <is>
          <t>General medical equipment (hospitals and clinics)</t>
        </is>
      </c>
      <c r="K209" s="4" t="inlineStr">
        <is>
          <t>熊本県 (regional; branch network not confirmed)</t>
        </is>
      </c>
      <c r="L209" s="4" t="inlineStr">
        <is>
          <t>Not found</t>
        </is>
      </c>
      <c r="M209" s="4" t="inlineStr">
        <is>
          <t>Not identified</t>
        </is>
      </c>
      <c r="N209" s="4" t="inlineStr">
        <is>
          <t>Not identified</t>
        </is>
      </c>
      <c r="O209" s="4" t="inlineStr">
        <is>
          <t>Not published; use company inquiry form</t>
        </is>
      </c>
      <c r="P209" s="4" t="inlineStr">
        <is>
          <t>Not confirmed</t>
        </is>
      </c>
      <c r="Q209" s="4" t="inlineStr">
        <is>
          <t>Not identified</t>
        </is>
      </c>
      <c r="R209" s="5" t="inlineStr">
        <is>
          <t>Company inquiry only</t>
        </is>
      </c>
      <c r="S209" s="4" t="n">
        <v>18</v>
      </c>
      <c r="T209" s="10" t="inlineStr">
        <is>
          <t>C</t>
        </is>
      </c>
      <c r="U209" s="4" t="inlineStr">
        <is>
          <t>Regional general medical equipment dealer with hospital and clinic accounts; candidate sub dealer under a national MAH partner.</t>
        </is>
      </c>
      <c r="V209" s="4" t="inlineStr">
        <is>
          <t>Introduce CHISON as a future line through a national MAH partner; ask about their hospital and clinic coverage, service engineers and openness to non Japanese brands.</t>
        </is>
      </c>
      <c r="W209" s="4" t="inlineStr">
        <is>
          <t>N (not identified)</t>
        </is>
      </c>
      <c r="X209" s="7" t="inlineStr">
        <is>
          <t>https://baseconnect.in/companies/prefecture/96c84bbe-0dd4-4885-9333-4913e3f022c9/keyword/89941b4e-2dd1-4848-8957-48af280a31e0</t>
        </is>
      </c>
      <c r="Y209" s="4" t="inlineStr">
        <is>
          <t>SonoEye P3 plus SonoAir 30 for GP and clinic accounts</t>
        </is>
      </c>
      <c r="Z209" s="4" t="inlineStr">
        <is>
          <t>2, 2, 3, 3, 3, 2, 3</t>
        </is>
      </c>
      <c r="AA209" s="4" t="inlineStr">
        <is>
          <t>Not found</t>
        </is>
      </c>
      <c r="AB209" s="4" t="inlineStr">
        <is>
          <t>Directory or search listing; not opened (direct site access blocked)</t>
        </is>
      </c>
      <c r="AC209" s="4" t="inlineStr">
        <is>
          <t>No expired licence or ended distribution agreement found</t>
        </is>
      </c>
      <c r="AD209" s="4" t="inlineStr">
        <is>
          <t>Not started</t>
        </is>
      </c>
      <c r="AE209" s="4" t="inlineStr"/>
      <c r="AF209" s="4" t="inlineStr"/>
      <c r="AG209" s="4" t="inlineStr">
        <is>
          <t>No email published; website has no contact page link, phone first</t>
        </is>
      </c>
    </row>
    <row r="210">
      <c r="A210" s="4" t="n">
        <v>206</v>
      </c>
      <c r="B210" s="4" t="inlineStr">
        <is>
          <t>Yonemitsu Iryoki</t>
        </is>
      </c>
      <c r="C210" s="4" t="inlineStr">
        <is>
          <t>米満医療器</t>
        </is>
      </c>
      <c r="D210" s="4" t="inlineStr">
        <is>
          <t>Not retrieved (NTA lookup blocked in this session)</t>
        </is>
      </c>
      <c r="E210" s="4" t="inlineStr">
        <is>
          <t>熊本県</t>
        </is>
      </c>
      <c r="F210" s="4" t="inlineStr">
        <is>
          <t>Kyushu and Okinawa</t>
        </is>
      </c>
      <c r="G210" s="4" t="inlineStr">
        <is>
          <t>Not confirmed (company site not opened; network policy blocked direct access)</t>
        </is>
      </c>
      <c r="H210" s="4" t="inlineStr">
        <is>
          <t>No MAH found; device sales licence (高度管理医療機器等販売業) not confirmed</t>
        </is>
      </c>
      <c r="I210" s="4" t="inlineStr">
        <is>
          <t>Not identified in published sources</t>
        </is>
      </c>
      <c r="J210" s="4" t="inlineStr">
        <is>
          <t>General medical equipment (hospitals and clinics)</t>
        </is>
      </c>
      <c r="K210" s="4" t="inlineStr">
        <is>
          <t>熊本県 (regional; branch network not confirmed)</t>
        </is>
      </c>
      <c r="L210" s="4" t="inlineStr">
        <is>
          <t>Not found</t>
        </is>
      </c>
      <c r="M210" s="4" t="inlineStr">
        <is>
          <t>Not identified</t>
        </is>
      </c>
      <c r="N210" s="4" t="inlineStr">
        <is>
          <t>Not identified</t>
        </is>
      </c>
      <c r="O210" s="4" t="inlineStr">
        <is>
          <t>Not published; use company inquiry form</t>
        </is>
      </c>
      <c r="P210" s="4" t="inlineStr">
        <is>
          <t>Not confirmed</t>
        </is>
      </c>
      <c r="Q210" s="4" t="inlineStr">
        <is>
          <t>Not identified</t>
        </is>
      </c>
      <c r="R210" s="5" t="inlineStr">
        <is>
          <t>Unverified</t>
        </is>
      </c>
      <c r="S210" s="4" t="n">
        <v>18</v>
      </c>
      <c r="T210" s="10" t="inlineStr">
        <is>
          <t>C</t>
        </is>
      </c>
      <c r="U210" s="4" t="inlineStr">
        <is>
          <t>Regional general medical equipment dealer with hospital and clinic accounts; candidate sub dealer under a national MAH partner.</t>
        </is>
      </c>
      <c r="V210" s="4" t="inlineStr">
        <is>
          <t>Introduce CHISON as a future line through a national MAH partner; ask about their hospital and clinic coverage, service engineers and openness to non Japanese brands.</t>
        </is>
      </c>
      <c r="W210" s="4" t="inlineStr">
        <is>
          <t>N (not identified)</t>
        </is>
      </c>
      <c r="X210" s="7" t="inlineStr">
        <is>
          <t>https://baseconnect.in/companies/prefecture/96c84bbe-0dd4-4885-9333-4913e3f022c9/keyword/89941b4e-2dd1-4848-8957-48af280a31e0</t>
        </is>
      </c>
      <c r="Y210" s="4" t="inlineStr">
        <is>
          <t>SonoEye P3 plus SonoAir 30 for GP and clinic accounts</t>
        </is>
      </c>
      <c r="Z210" s="4" t="inlineStr">
        <is>
          <t>2, 2, 3, 3, 3, 2, 3</t>
        </is>
      </c>
      <c r="AA210" s="4" t="inlineStr">
        <is>
          <t>Not found</t>
        </is>
      </c>
      <c r="AB210" s="4" t="inlineStr">
        <is>
          <t>Recheck: no independent confirmation found; directory listing only</t>
        </is>
      </c>
      <c r="AC210" s="4" t="inlineStr">
        <is>
          <t>No expired licence or ended distribution agreement found</t>
        </is>
      </c>
      <c r="AD210" s="4" t="inlineStr">
        <is>
          <t>Not started</t>
        </is>
      </c>
      <c r="AE210" s="4" t="inlineStr"/>
      <c r="AF210" s="4" t="inlineStr"/>
      <c r="AG210" s="4" t="inlineStr">
        <is>
          <t>No email published and no verified website found</t>
        </is>
      </c>
    </row>
    <row r="211">
      <c r="A211" s="4" t="n">
        <v>207</v>
      </c>
      <c r="B211" s="4" t="inlineStr">
        <is>
          <t>Tsukushi Medical</t>
        </is>
      </c>
      <c r="C211" s="4" t="inlineStr">
        <is>
          <t>つくしメディカル</t>
        </is>
      </c>
      <c r="D211" s="4" t="inlineStr">
        <is>
          <t>Not retrieved (NTA lookup blocked in this session)</t>
        </is>
      </c>
      <c r="E211" s="4" t="inlineStr">
        <is>
          <t>福岡県</t>
        </is>
      </c>
      <c r="F211" s="4" t="inlineStr">
        <is>
          <t>Kyushu and Okinawa</t>
        </is>
      </c>
      <c r="G211" s="4" t="inlineStr">
        <is>
          <t>https://www.tukushi.jp/</t>
        </is>
      </c>
      <c r="H211" s="4" t="inlineStr">
        <is>
          <t>No MAH found; device sales licence (高度管理医療機器等販売業) not confirmed</t>
        </is>
      </c>
      <c r="I211" s="4" t="inlineStr">
        <is>
          <t>Not identified in published sources</t>
        </is>
      </c>
      <c r="J211" s="4" t="inlineStr">
        <is>
          <t>General medical equipment (hospitals and clinics)</t>
        </is>
      </c>
      <c r="K211" s="4" t="inlineStr">
        <is>
          <t>福岡県 (regional; branch network not confirmed)</t>
        </is>
      </c>
      <c r="L211" s="4" t="inlineStr">
        <is>
          <t>Not found</t>
        </is>
      </c>
      <c r="M211" s="4" t="inlineStr">
        <is>
          <t>Not identified</t>
        </is>
      </c>
      <c r="N211" s="4" t="inlineStr">
        <is>
          <t>Not identified</t>
        </is>
      </c>
      <c r="O211" s="4" t="inlineStr">
        <is>
          <t>Not published; use contact form</t>
        </is>
      </c>
      <c r="P211" s="4" t="inlineStr">
        <is>
          <t>Not confirmed</t>
        </is>
      </c>
      <c r="Q211" s="4" t="inlineStr">
        <is>
          <t>Not identified</t>
        </is>
      </c>
      <c r="R211" s="5" t="inlineStr">
        <is>
          <t>Likely</t>
        </is>
      </c>
      <c r="S211" s="4" t="n">
        <v>18</v>
      </c>
      <c r="T211" s="10" t="inlineStr">
        <is>
          <t>C</t>
        </is>
      </c>
      <c r="U211" s="4" t="inlineStr">
        <is>
          <t>Regional general medical equipment dealer with hospital and clinic accounts; candidate sub dealer under a national MAH partner.</t>
        </is>
      </c>
      <c r="V211" s="4" t="inlineStr">
        <is>
          <t>Introduce CHISON as a future line through a national MAH partner; ask about their hospital and clinic coverage, service engineers and openness to non Japanese brands.</t>
        </is>
      </c>
      <c r="W211" s="4" t="inlineStr">
        <is>
          <t>N (not identified)</t>
        </is>
      </c>
      <c r="X211" s="7" t="inlineStr">
        <is>
          <t>https://kyuren.jp/%E4%BC%9A%E5%93%A1%E7%B4%B9%E4%BB%8B/</t>
        </is>
      </c>
      <c r="Y211" s="4" t="inlineStr">
        <is>
          <t>SonoEye P3 plus SonoAir 30 for GP and clinic accounts</t>
        </is>
      </c>
      <c r="Z211" s="4" t="inlineStr">
        <is>
          <t>2, 2, 3, 3, 3, 2, 3</t>
        </is>
      </c>
      <c r="AA211" s="4" t="inlineStr">
        <is>
          <t>Not found</t>
        </is>
      </c>
      <c r="AB211" s="4" t="inlineStr">
        <is>
          <t>Directory or search listing; not opened (direct site access blocked)</t>
        </is>
      </c>
      <c r="AC211" s="4" t="inlineStr">
        <is>
          <t>No expired licence or ended distribution agreement found</t>
        </is>
      </c>
      <c r="AD211" s="4" t="inlineStr">
        <is>
          <t>Not started</t>
        </is>
      </c>
      <c r="AE211" s="4" t="inlineStr"/>
      <c r="AF211" s="4" t="inlineStr">
        <is>
          <t>https://www.tukushi.jp/contact.html</t>
        </is>
      </c>
      <c r="AG211" s="4" t="inlineStr">
        <is>
          <t>No email published; use the contact form (link in Email source)</t>
        </is>
      </c>
    </row>
    <row r="212">
      <c r="A212" s="4" t="n">
        <v>208</v>
      </c>
      <c r="B212" s="4" t="inlineStr">
        <is>
          <t>Fides One</t>
        </is>
      </c>
      <c r="C212" s="4" t="inlineStr">
        <is>
          <t>フィデスワン</t>
        </is>
      </c>
      <c r="D212" s="4" t="inlineStr">
        <is>
          <t>Not retrieved (NTA lookup blocked in this session)</t>
        </is>
      </c>
      <c r="E212" s="4" t="inlineStr">
        <is>
          <t>福岡県</t>
        </is>
      </c>
      <c r="F212" s="4" t="inlineStr">
        <is>
          <t>Kyushu and Okinawa</t>
        </is>
      </c>
      <c r="G212" s="4" t="inlineStr">
        <is>
          <t>https://www.fides-one.jp/</t>
        </is>
      </c>
      <c r="H212" s="4" t="inlineStr">
        <is>
          <t>No MAH found; device sales licence (高度管理医療機器等販売業) not confirmed</t>
        </is>
      </c>
      <c r="I212" s="4" t="inlineStr">
        <is>
          <t>Not identified in published sources</t>
        </is>
      </c>
      <c r="J212" s="4" t="inlineStr">
        <is>
          <t>Cardiology, Emergency and disaster, Orthopaedics and rehab</t>
        </is>
      </c>
      <c r="K212" s="4" t="inlineStr">
        <is>
          <t>福岡県 (regional; branch network not confirmed)</t>
        </is>
      </c>
      <c r="L212" s="4" t="inlineStr">
        <is>
          <t>Not found</t>
        </is>
      </c>
      <c r="M212" s="4" t="inlineStr">
        <is>
          <t>Not identified</t>
        </is>
      </c>
      <c r="N212" s="4" t="inlineStr">
        <is>
          <t>Not identified</t>
        </is>
      </c>
      <c r="O212" s="4" t="inlineStr">
        <is>
          <t>Not published; use contact form</t>
        </is>
      </c>
      <c r="P212" s="4" t="inlineStr">
        <is>
          <t>Not confirmed</t>
        </is>
      </c>
      <c r="Q212" s="4" t="inlineStr">
        <is>
          <t>Not identified</t>
        </is>
      </c>
      <c r="R212" s="5" t="inlineStr">
        <is>
          <t>Likely</t>
        </is>
      </c>
      <c r="S212" s="4" t="n">
        <v>18</v>
      </c>
      <c r="T212" s="10" t="inlineStr">
        <is>
          <t>C</t>
        </is>
      </c>
      <c r="U212" s="4" t="inlineStr">
        <is>
          <t>Regional general medical equipment dealer with hospital and clinic accounts; candidate sub dealer under a national MAH partner.</t>
        </is>
      </c>
      <c r="V212" s="4" t="inlineStr">
        <is>
          <t>Introduce CHISON as a future line through a national MAH partner; ask about their hospital and clinic coverage, service engineers and openness to non Japanese brands.</t>
        </is>
      </c>
      <c r="W212" s="4" t="inlineStr">
        <is>
          <t>N (not identified)</t>
        </is>
      </c>
      <c r="X212" s="7" t="inlineStr">
        <is>
          <t>https://baseconnect.in/companies/prefecture/39b58ff0-63fd-405f-8b8a-37c5443ce5c7/keyword/89941b4e-2dd1-4848-8957-48af280a31e0</t>
        </is>
      </c>
      <c r="Y212" s="4" t="inlineStr">
        <is>
          <t>CBit 6 cart plus SonoEye P5 pocket echo</t>
        </is>
      </c>
      <c r="Z212" s="4" t="inlineStr">
        <is>
          <t>2, 3, 3, 2, 3, 2, 3</t>
        </is>
      </c>
      <c r="AA212" s="4" t="inlineStr">
        <is>
          <t>Not found</t>
        </is>
      </c>
      <c r="AB212" s="4" t="inlineStr">
        <is>
          <t>Directory or search listing; not opened (direct site access blocked)</t>
        </is>
      </c>
      <c r="AC212" s="4" t="inlineStr">
        <is>
          <t>No expired licence or ended distribution agreement found</t>
        </is>
      </c>
      <c r="AD212" s="4" t="inlineStr">
        <is>
          <t>Not started</t>
        </is>
      </c>
      <c r="AE212" s="4" t="inlineStr"/>
      <c r="AF212" s="4" t="inlineStr">
        <is>
          <t>https://www.fides-one.jp/contact</t>
        </is>
      </c>
      <c r="AG212" s="4" t="inlineStr">
        <is>
          <t>No email published; use the contact form (link in Email source)</t>
        </is>
      </c>
    </row>
    <row r="213">
      <c r="A213" s="4" t="n">
        <v>209</v>
      </c>
      <c r="B213" s="4" t="inlineStr">
        <is>
          <t>Medical Familia</t>
        </is>
      </c>
      <c r="C213" s="4" t="inlineStr">
        <is>
          <t>メディカルファミリア</t>
        </is>
      </c>
      <c r="D213" s="4" t="inlineStr">
        <is>
          <t>Not retrieved (NTA lookup blocked in this session)</t>
        </is>
      </c>
      <c r="E213" s="4" t="inlineStr">
        <is>
          <t>福岡県</t>
        </is>
      </c>
      <c r="F213" s="4" t="inlineStr">
        <is>
          <t>Kyushu and Okinawa</t>
        </is>
      </c>
      <c r="G213" s="4" t="inlineStr">
        <is>
          <t>https://familia-gr.jp/</t>
        </is>
      </c>
      <c r="H213" s="4" t="inlineStr">
        <is>
          <t>No MAH found; device sales licence (高度管理医療機器等販売業) not confirmed</t>
        </is>
      </c>
      <c r="I213" s="4" t="inlineStr">
        <is>
          <t>Not identified in published sources</t>
        </is>
      </c>
      <c r="J213" s="4" t="inlineStr">
        <is>
          <t>General medical equipment (hospitals and clinics)</t>
        </is>
      </c>
      <c r="K213" s="4" t="inlineStr">
        <is>
          <t>福岡県 (regional; branch network not confirmed)</t>
        </is>
      </c>
      <c r="L213" s="4" t="inlineStr">
        <is>
          <t>Not found</t>
        </is>
      </c>
      <c r="M213" s="4" t="inlineStr">
        <is>
          <t>Not identified</t>
        </is>
      </c>
      <c r="N213" s="4" t="inlineStr">
        <is>
          <t>Not identified</t>
        </is>
      </c>
      <c r="O213" s="4" t="inlineStr">
        <is>
          <t>Not published; use company inquiry form</t>
        </is>
      </c>
      <c r="P213" s="4" t="inlineStr">
        <is>
          <t>Not confirmed</t>
        </is>
      </c>
      <c r="Q213" s="4" t="inlineStr">
        <is>
          <t>Not identified</t>
        </is>
      </c>
      <c r="R213" s="5" t="inlineStr">
        <is>
          <t>Company inquiry only</t>
        </is>
      </c>
      <c r="S213" s="4" t="n">
        <v>18</v>
      </c>
      <c r="T213" s="10" t="inlineStr">
        <is>
          <t>C</t>
        </is>
      </c>
      <c r="U213" s="4" t="inlineStr">
        <is>
          <t>Regional general medical equipment dealer with hospital and clinic accounts; candidate sub dealer under a national MAH partner.</t>
        </is>
      </c>
      <c r="V213" s="4" t="inlineStr">
        <is>
          <t>Introduce CHISON as a future line through a national MAH partner; ask about their hospital and clinic coverage, service engineers and openness to non Japanese brands.</t>
        </is>
      </c>
      <c r="W213" s="4" t="inlineStr">
        <is>
          <t>N (not identified)</t>
        </is>
      </c>
      <c r="X213" s="7" t="inlineStr">
        <is>
          <t>https://baseconnect.in/companies/prefecture/39b58ff0-63fd-405f-8b8a-37c5443ce5c7/keyword/89941b4e-2dd1-4848-8957-48af280a31e0</t>
        </is>
      </c>
      <c r="Y213" s="4" t="inlineStr">
        <is>
          <t>SonoEye P3 plus SonoAir 30 for GP and clinic accounts</t>
        </is>
      </c>
      <c r="Z213" s="4" t="inlineStr">
        <is>
          <t>2, 2, 3, 3, 3, 2, 3</t>
        </is>
      </c>
      <c r="AA213" s="4" t="inlineStr">
        <is>
          <t>Not found</t>
        </is>
      </c>
      <c r="AB213" s="4" t="inlineStr">
        <is>
          <t>Directory or search listing; not opened (direct site access blocked)</t>
        </is>
      </c>
      <c r="AC213" s="4" t="inlineStr">
        <is>
          <t>No expired licence or ended distribution agreement found</t>
        </is>
      </c>
      <c r="AD213" s="4" t="inlineStr">
        <is>
          <t>Not started</t>
        </is>
      </c>
      <c r="AE213" s="4" t="inlineStr"/>
      <c r="AF213" s="4" t="inlineStr"/>
      <c r="AG213" s="4" t="inlineStr">
        <is>
          <t>No email published; website has no contact page link, phone first</t>
        </is>
      </c>
    </row>
    <row r="214">
      <c r="A214" s="4" t="n">
        <v>210</v>
      </c>
      <c r="B214" s="4" t="inlineStr">
        <is>
          <t>Infrasonics</t>
        </is>
      </c>
      <c r="C214" s="4" t="inlineStr">
        <is>
          <t>インフラソニックス</t>
        </is>
      </c>
      <c r="D214" s="4" t="inlineStr">
        <is>
          <t>Not retrieved (NTA lookup blocked in this session)</t>
        </is>
      </c>
      <c r="E214" s="4" t="inlineStr">
        <is>
          <t>福岡県</t>
        </is>
      </c>
      <c r="F214" s="4" t="inlineStr">
        <is>
          <t>Kyushu and Okinawa</t>
        </is>
      </c>
      <c r="G214" s="4" t="inlineStr">
        <is>
          <t>http://www.infrasonics.co.jp/</t>
        </is>
      </c>
      <c r="H214" s="4" t="inlineStr">
        <is>
          <t>No MAH found; device sales licence (高度管理医療機器等販売業) not confirmed</t>
        </is>
      </c>
      <c r="I214" s="4" t="inlineStr">
        <is>
          <t>Not identified in published sources</t>
        </is>
      </c>
      <c r="J214" s="4" t="inlineStr">
        <is>
          <t>Anaesthesia, ICU and respiratory, Emergency and disaster</t>
        </is>
      </c>
      <c r="K214" s="4" t="inlineStr">
        <is>
          <t>福岡県 (regional; branch network not confirmed)</t>
        </is>
      </c>
      <c r="L214" s="4" t="inlineStr">
        <is>
          <t>Not found</t>
        </is>
      </c>
      <c r="M214" s="4" t="inlineStr">
        <is>
          <t>Not identified</t>
        </is>
      </c>
      <c r="N214" s="4" t="inlineStr">
        <is>
          <t>Not identified</t>
        </is>
      </c>
      <c r="O214" s="4" t="inlineStr">
        <is>
          <t>blancodent@infrasonics.co.jp</t>
        </is>
      </c>
      <c r="P214" s="4" t="inlineStr">
        <is>
          <t>Not confirmed</t>
        </is>
      </c>
      <c r="Q214" s="4" t="inlineStr">
        <is>
          <t>Not identified</t>
        </is>
      </c>
      <c r="R214" s="5" t="inlineStr">
        <is>
          <t>Unverified</t>
        </is>
      </c>
      <c r="S214" s="4" t="n">
        <v>18</v>
      </c>
      <c r="T214" s="10" t="inlineStr">
        <is>
          <t>C</t>
        </is>
      </c>
      <c r="U214" s="4" t="inlineStr">
        <is>
          <t>Adjacent hospital department line (no ultrasound found), which is the best recruit profile for a point of care line.</t>
        </is>
      </c>
      <c r="V214" s="4" t="inlineStr">
        <is>
          <t>Introduce CHISON as a future line through a national MAH partner; ask about their hospital and clinic coverage, service engineers and openness to non Japanese brands.</t>
        </is>
      </c>
      <c r="W214" s="4" t="inlineStr">
        <is>
          <t>N (not identified)</t>
        </is>
      </c>
      <c r="X214" s="7" t="inlineStr">
        <is>
          <t>https://baseconnect.in/companies/prefecture/39b58ff0-63fd-405f-8b8a-37c5443ce5c7/keyword/89941b4e-2dd1-4848-8957-48af280a31e0</t>
        </is>
      </c>
      <c r="Y214" s="4" t="inlineStr">
        <is>
          <t>SonoEye P3 for FAST, lung and vascular access (POCUS)</t>
        </is>
      </c>
      <c r="Z214" s="4" t="inlineStr">
        <is>
          <t>2, 3, 3, 2, 3, 2, 3</t>
        </is>
      </c>
      <c r="AA214" s="4" t="inlineStr">
        <is>
          <t>Not found</t>
        </is>
      </c>
      <c r="AB214" s="4" t="inlineStr">
        <is>
          <t>Directory or search listing; not opened (direct site access blocked)</t>
        </is>
      </c>
      <c r="AC214" s="4" t="inlineStr">
        <is>
          <t>No expired licence or ended distribution agreement found</t>
        </is>
      </c>
      <c r="AD214" s="4" t="inlineStr">
        <is>
          <t>Not started</t>
        </is>
      </c>
      <c r="AE214" s="4" t="inlineStr"/>
      <c r="AF214" s="4" t="inlineStr">
        <is>
          <t>http://www.infrasonics.co.jp/blancodent.html</t>
        </is>
      </c>
      <c r="AG214" s="4" t="inlineStr">
        <is>
          <t>Likely: indexed on company domain</t>
        </is>
      </c>
    </row>
    <row r="215">
      <c r="A215" s="4" t="n">
        <v>211</v>
      </c>
      <c r="B215" s="4" t="inlineStr">
        <is>
          <t>Kyushu Medical Service</t>
        </is>
      </c>
      <c r="C215" s="4" t="inlineStr">
        <is>
          <t>九州メディカルサービス</t>
        </is>
      </c>
      <c r="D215" s="4" t="inlineStr">
        <is>
          <t>Not retrieved (NTA lookup blocked in this session)</t>
        </is>
      </c>
      <c r="E215" s="4" t="inlineStr">
        <is>
          <t>福岡県</t>
        </is>
      </c>
      <c r="F215" s="4" t="inlineStr">
        <is>
          <t>Kyushu and Okinawa</t>
        </is>
      </c>
      <c r="G215" s="4" t="inlineStr">
        <is>
          <t>https://www.kyushu-med.jp/</t>
        </is>
      </c>
      <c r="H215" s="4" t="inlineStr">
        <is>
          <t>No MAH found; device sales licence (高度管理医療機器等販売業) not confirmed</t>
        </is>
      </c>
      <c r="I215" s="4" t="inlineStr">
        <is>
          <t>Not identified in published sources</t>
        </is>
      </c>
      <c r="J215" s="4" t="inlineStr">
        <is>
          <t>General medical equipment (hospitals and clinics)</t>
        </is>
      </c>
      <c r="K215" s="4" t="inlineStr">
        <is>
          <t>福岡県 (regional; branch network not confirmed)</t>
        </is>
      </c>
      <c r="L215" s="4" t="inlineStr">
        <is>
          <t>Not found</t>
        </is>
      </c>
      <c r="M215" s="4" t="inlineStr">
        <is>
          <t>Not identified</t>
        </is>
      </c>
      <c r="N215" s="4" t="inlineStr">
        <is>
          <t>Not identified</t>
        </is>
      </c>
      <c r="O215" s="4" t="inlineStr">
        <is>
          <t>Not published; use contact form</t>
        </is>
      </c>
      <c r="P215" s="4" t="inlineStr">
        <is>
          <t>Not confirmed</t>
        </is>
      </c>
      <c r="Q215" s="4" t="inlineStr">
        <is>
          <t>Not identified</t>
        </is>
      </c>
      <c r="R215" s="5" t="inlineStr">
        <is>
          <t>Likely</t>
        </is>
      </c>
      <c r="S215" s="4" t="n">
        <v>18</v>
      </c>
      <c r="T215" s="10" t="inlineStr">
        <is>
          <t>C</t>
        </is>
      </c>
      <c r="U215" s="4" t="inlineStr">
        <is>
          <t>Regional general medical equipment dealer with hospital and clinic accounts; candidate sub dealer under a national MAH partner.</t>
        </is>
      </c>
      <c r="V215" s="4" t="inlineStr">
        <is>
          <t>Introduce CHISON as a future line through a national MAH partner; ask about their hospital and clinic coverage, service engineers and openness to non Japanese brands.</t>
        </is>
      </c>
      <c r="W215" s="4" t="inlineStr">
        <is>
          <t>N (not identified)</t>
        </is>
      </c>
      <c r="X215" s="7" t="inlineStr">
        <is>
          <t>https://baseconnect.in/companies/prefecture/39b58ff0-63fd-405f-8b8a-37c5443ce5c7/keyword/89941b4e-2dd1-4848-8957-48af280a31e0</t>
        </is>
      </c>
      <c r="Y215" s="4" t="inlineStr">
        <is>
          <t>SonoEye P3 plus SonoAir 30 for GP and clinic accounts</t>
        </is>
      </c>
      <c r="Z215" s="4" t="inlineStr">
        <is>
          <t>2, 2, 3, 3, 3, 2, 3</t>
        </is>
      </c>
      <c r="AA215" s="4" t="inlineStr">
        <is>
          <t>Not found</t>
        </is>
      </c>
      <c r="AB215" s="4" t="inlineStr">
        <is>
          <t>Directory or search listing; not opened (direct site access blocked)</t>
        </is>
      </c>
      <c r="AC215" s="4" t="inlineStr">
        <is>
          <t>No expired licence or ended distribution agreement found</t>
        </is>
      </c>
      <c r="AD215" s="4" t="inlineStr">
        <is>
          <t>Not started</t>
        </is>
      </c>
      <c r="AE215" s="4" t="inlineStr"/>
      <c r="AF215" s="4" t="inlineStr">
        <is>
          <t>https://www.kyushu-med.jp/contact/</t>
        </is>
      </c>
      <c r="AG215" s="4" t="inlineStr">
        <is>
          <t>No email published; use the contact form (link in Email source)</t>
        </is>
      </c>
    </row>
    <row r="216">
      <c r="A216" s="4" t="n">
        <v>212</v>
      </c>
      <c r="B216" s="4" t="inlineStr">
        <is>
          <t>Miyazaki Onsendo Shoten</t>
        </is>
      </c>
      <c r="C216" s="4" t="inlineStr">
        <is>
          <t>宮崎温仙堂商店</t>
        </is>
      </c>
      <c r="D216" s="4" t="inlineStr">
        <is>
          <t>Not retrieved (NTA lookup blocked in this session)</t>
        </is>
      </c>
      <c r="E216" s="4" t="inlineStr">
        <is>
          <t>長崎県</t>
        </is>
      </c>
      <c r="F216" s="4" t="inlineStr">
        <is>
          <t>Kyushu and Okinawa</t>
        </is>
      </c>
      <c r="G216" s="4" t="inlineStr">
        <is>
          <t>https://www.m-onsendo.co.jp/</t>
        </is>
      </c>
      <c r="H216" s="4" t="inlineStr">
        <is>
          <t>No MAH found; device sales licence (高度管理医療機器等販売業) not confirmed</t>
        </is>
      </c>
      <c r="I216" s="4" t="inlineStr">
        <is>
          <t>Not identified in published sources</t>
        </is>
      </c>
      <c r="J216" s="4" t="inlineStr">
        <is>
          <t>General medical equipment (hospitals and clinics)</t>
        </is>
      </c>
      <c r="K216" s="4" t="inlineStr">
        <is>
          <t>長崎県 (regional; branch network not confirmed)</t>
        </is>
      </c>
      <c r="L216" s="4" t="inlineStr">
        <is>
          <t>Not found</t>
        </is>
      </c>
      <c r="M216" s="4" t="inlineStr">
        <is>
          <t>Not identified</t>
        </is>
      </c>
      <c r="N216" s="4" t="inlineStr">
        <is>
          <t>Not identified</t>
        </is>
      </c>
      <c r="O216" s="4" t="inlineStr">
        <is>
          <t>mos-soumu@m-onsendo.co.jp</t>
        </is>
      </c>
      <c r="P216" s="4" t="inlineStr">
        <is>
          <t>Not confirmed</t>
        </is>
      </c>
      <c r="Q216" s="4" t="inlineStr">
        <is>
          <t>Not identified</t>
        </is>
      </c>
      <c r="R216" s="5" t="inlineStr">
        <is>
          <t>Unverified</t>
        </is>
      </c>
      <c r="S216" s="4" t="n">
        <v>18</v>
      </c>
      <c r="T216" s="10" t="inlineStr">
        <is>
          <t>C</t>
        </is>
      </c>
      <c r="U216" s="4" t="inlineStr">
        <is>
          <t>Regional general medical equipment dealer with hospital and clinic accounts; candidate sub dealer under a national MAH partner.</t>
        </is>
      </c>
      <c r="V216" s="4" t="inlineStr">
        <is>
          <t>Introduce CHISON as a future line through a national MAH partner; ask about their hospital and clinic coverage, service engineers and openness to non Japanese brands.</t>
        </is>
      </c>
      <c r="W216" s="4" t="inlineStr">
        <is>
          <t>N (not identified)</t>
        </is>
      </c>
      <c r="X216" s="7" t="inlineStr">
        <is>
          <t>https://baseconnect.in/companies/prefecture/88d796cc-214f-4ebf-b294-ebcaa486f8a2/category/b2358a1c-c4c6-46f4-a0b1-dee3a1b30a0b ; https://data-max.co.jp/corpo_database/corpo/detail/4310001009518</t>
        </is>
      </c>
      <c r="Y216" s="4" t="inlineStr">
        <is>
          <t>SonoEye P3 plus SonoAir 30 for GP and clinic accounts</t>
        </is>
      </c>
      <c r="Z216" s="4" t="inlineStr">
        <is>
          <t>2, 2, 3, 3, 3, 2, 3</t>
        </is>
      </c>
      <c r="AA216" s="4" t="inlineStr">
        <is>
          <t>Not found</t>
        </is>
      </c>
      <c r="AB216" s="4" t="inlineStr">
        <is>
          <t>Recheck: no independent confirmation found; directory listing only. Possible match: 株式会社温仙堂, Isahaya (data max.co.jp); confirm</t>
        </is>
      </c>
      <c r="AC216" s="4" t="inlineStr">
        <is>
          <t>No expired licence or ended distribution agreement found</t>
        </is>
      </c>
      <c r="AD216" s="4" t="inlineStr">
        <is>
          <t>Not started</t>
        </is>
      </c>
      <c r="AE216" s="4" t="inlineStr"/>
      <c r="AF216" s="4" t="inlineStr">
        <is>
          <t>https://www.m-onsendo.co.jp/contact/</t>
        </is>
      </c>
      <c r="AG216" s="4" t="inlineStr">
        <is>
          <t>Verified: published on company website</t>
        </is>
      </c>
    </row>
    <row r="217">
      <c r="A217" s="4" t="n">
        <v>213</v>
      </c>
      <c r="B217" s="4" t="inlineStr">
        <is>
          <t>Nagasaki Mutoh</t>
        </is>
      </c>
      <c r="C217" s="4" t="inlineStr">
        <is>
          <t>長崎ムトウ</t>
        </is>
      </c>
      <c r="D217" s="4" t="inlineStr">
        <is>
          <t>Not retrieved (NTA lookup blocked in this session)</t>
        </is>
      </c>
      <c r="E217" s="4" t="inlineStr">
        <is>
          <t>長崎県</t>
        </is>
      </c>
      <c r="F217" s="4" t="inlineStr">
        <is>
          <t>Kyushu and Okinawa</t>
        </is>
      </c>
      <c r="G217" s="4" t="inlineStr">
        <is>
          <t>Not confirmed (company site not opened; network policy blocked direct access)</t>
        </is>
      </c>
      <c r="H217" s="4" t="inlineStr">
        <is>
          <t>No MAH found; device sales licence (高度管理医療機器等販売業) not confirmed</t>
        </is>
      </c>
      <c r="I217" s="4" t="inlineStr">
        <is>
          <t>Not identified in published sources</t>
        </is>
      </c>
      <c r="J217" s="4" t="inlineStr">
        <is>
          <t>General medical equipment (hospitals and clinics)</t>
        </is>
      </c>
      <c r="K217" s="4" t="inlineStr">
        <is>
          <t>長崎県 (regional; branch network not confirmed)</t>
        </is>
      </c>
      <c r="L217" s="4" t="inlineStr">
        <is>
          <t>Not found</t>
        </is>
      </c>
      <c r="M217" s="4" t="inlineStr">
        <is>
          <t>Not identified</t>
        </is>
      </c>
      <c r="N217" s="4" t="inlineStr">
        <is>
          <t>Not identified</t>
        </is>
      </c>
      <c r="O217" s="4" t="inlineStr">
        <is>
          <t>Not published; use company inquiry form</t>
        </is>
      </c>
      <c r="P217" s="4" t="inlineStr">
        <is>
          <t>Not confirmed</t>
        </is>
      </c>
      <c r="Q217" s="4" t="inlineStr">
        <is>
          <t>Not identified</t>
        </is>
      </c>
      <c r="R217" s="5" t="inlineStr">
        <is>
          <t>Unverified</t>
        </is>
      </c>
      <c r="S217" s="4" t="n">
        <v>18</v>
      </c>
      <c r="T217" s="10" t="inlineStr">
        <is>
          <t>C</t>
        </is>
      </c>
      <c r="U217" s="4" t="inlineStr">
        <is>
          <t>Regional general medical equipment dealer with hospital and clinic accounts; candidate sub dealer under a national MAH partner.</t>
        </is>
      </c>
      <c r="V217" s="4" t="inlineStr">
        <is>
          <t>Introduce CHISON as a future line through a national MAH partner; ask about their hospital and clinic coverage, service engineers and openness to non Japanese brands.</t>
        </is>
      </c>
      <c r="W217" s="4" t="inlineStr">
        <is>
          <t>N (not identified)</t>
        </is>
      </c>
      <c r="X217" s="7" t="inlineStr">
        <is>
          <t>https://baseconnect.in/companies/prefecture/88d796cc-214f-4ebf-b294-ebcaa486f8a2/category/b2358a1c-c4c6-46f4-a0b1-dee3a1b30a0b</t>
        </is>
      </c>
      <c r="Y217" s="4" t="inlineStr">
        <is>
          <t>SonoEye P3 plus SonoAir 30 for GP and clinic accounts</t>
        </is>
      </c>
      <c r="Z217" s="4" t="inlineStr">
        <is>
          <t>2, 2, 3, 3, 3, 2, 3</t>
        </is>
      </c>
      <c r="AA217" s="4" t="inlineStr">
        <is>
          <t>Not found</t>
        </is>
      </c>
      <c r="AB217" s="4" t="inlineStr">
        <is>
          <t>Directory or search listing; not opened (direct site access blocked)</t>
        </is>
      </c>
      <c r="AC217" s="4" t="inlineStr">
        <is>
          <t>Holding group overlap: Mutoh group (existing row 15). Approach via Mutoh head office. No expired licence or ended distribution agreement found</t>
        </is>
      </c>
      <c r="AD217" s="4" t="inlineStr">
        <is>
          <t>Not started</t>
        </is>
      </c>
      <c r="AE217" s="4" t="inlineStr"/>
      <c r="AF217" s="4" t="inlineStr"/>
      <c r="AG217" s="4" t="inlineStr">
        <is>
          <t>No email published and no verified website found</t>
        </is>
      </c>
    </row>
    <row r="218">
      <c r="A218" s="4" t="n">
        <v>214</v>
      </c>
      <c r="B218" s="4" t="inlineStr">
        <is>
          <t>Chōshiba Medical</t>
        </is>
      </c>
      <c r="C218" s="4" t="inlineStr">
        <is>
          <t>長芝メディカル</t>
        </is>
      </c>
      <c r="D218" s="4" t="inlineStr">
        <is>
          <t>Not retrieved (NTA lookup blocked in this session)</t>
        </is>
      </c>
      <c r="E218" s="4" t="inlineStr">
        <is>
          <t>長崎県</t>
        </is>
      </c>
      <c r="F218" s="4" t="inlineStr">
        <is>
          <t>Kyushu and Okinawa</t>
        </is>
      </c>
      <c r="G218" s="4" t="inlineStr">
        <is>
          <t>https://nagashiba.com/</t>
        </is>
      </c>
      <c r="H218" s="4" t="inlineStr">
        <is>
          <t>No MAH found; device sales licence (高度管理医療機器等販売業) not confirmed</t>
        </is>
      </c>
      <c r="I218" s="4" t="inlineStr">
        <is>
          <t>Not identified in published sources</t>
        </is>
      </c>
      <c r="J218" s="4" t="inlineStr">
        <is>
          <t>General medical equipment (hospitals and clinics)</t>
        </is>
      </c>
      <c r="K218" s="4" t="inlineStr">
        <is>
          <t>長崎県 (regional; branch network not confirmed)</t>
        </is>
      </c>
      <c r="L218" s="4" t="inlineStr">
        <is>
          <t>Not found</t>
        </is>
      </c>
      <c r="M218" s="4" t="inlineStr">
        <is>
          <t>Not identified</t>
        </is>
      </c>
      <c r="N218" s="4" t="inlineStr">
        <is>
          <t>Not identified</t>
        </is>
      </c>
      <c r="O218" s="4" t="inlineStr">
        <is>
          <t>Not published; use contact form</t>
        </is>
      </c>
      <c r="P218" s="4" t="inlineStr">
        <is>
          <t>Not confirmed</t>
        </is>
      </c>
      <c r="Q218" s="4" t="inlineStr">
        <is>
          <t>Not identified</t>
        </is>
      </c>
      <c r="R218" s="5" t="inlineStr">
        <is>
          <t>Likely</t>
        </is>
      </c>
      <c r="S218" s="4" t="n">
        <v>18</v>
      </c>
      <c r="T218" s="10" t="inlineStr">
        <is>
          <t>C</t>
        </is>
      </c>
      <c r="U218" s="4" t="inlineStr">
        <is>
          <t>Regional general medical equipment dealer with hospital and clinic accounts; candidate sub dealer under a national MAH partner.</t>
        </is>
      </c>
      <c r="V218" s="4" t="inlineStr">
        <is>
          <t>Introduce CHISON as a future line through a national MAH partner; ask about their hospital and clinic coverage, service engineers and openness to non Japanese brands.</t>
        </is>
      </c>
      <c r="W218" s="4" t="inlineStr">
        <is>
          <t>N (not identified)</t>
        </is>
      </c>
      <c r="X218" s="7" t="inlineStr">
        <is>
          <t>https://baseconnect.in/companies/prefecture/88d796cc-214f-4ebf-b294-ebcaa486f8a2/category/b2358a1c-c4c6-46f4-a0b1-dee3a1b30a0b</t>
        </is>
      </c>
      <c r="Y218" s="4" t="inlineStr">
        <is>
          <t>SonoEye P3 plus SonoAir 30 for GP and clinic accounts</t>
        </is>
      </c>
      <c r="Z218" s="4" t="inlineStr">
        <is>
          <t>2, 2, 3, 3, 3, 2, 3</t>
        </is>
      </c>
      <c r="AA218" s="4" t="inlineStr">
        <is>
          <t>Not found</t>
        </is>
      </c>
      <c r="AB218" s="4" t="inlineStr">
        <is>
          <t>Directory or search listing; not opened (direct site access blocked)</t>
        </is>
      </c>
      <c r="AC218" s="4" t="inlineStr">
        <is>
          <t>No expired licence or ended distribution agreement found</t>
        </is>
      </c>
      <c r="AD218" s="4" t="inlineStr">
        <is>
          <t>Not started</t>
        </is>
      </c>
      <c r="AE218" s="4" t="inlineStr"/>
      <c r="AF218" s="4" t="inlineStr">
        <is>
          <t>https://nagashiba.com/%e3%81%8a%e5%95%8f%e3%81%84%e5%90%88%e3%82%8f%e3%81%9b/</t>
        </is>
      </c>
      <c r="AG218" s="4" t="inlineStr">
        <is>
          <t>No email published; use the contact form (link in Email source)</t>
        </is>
      </c>
    </row>
    <row r="219">
      <c r="A219" s="4" t="n">
        <v>215</v>
      </c>
      <c r="B219" s="4" t="inlineStr">
        <is>
          <t>High Medical Service</t>
        </is>
      </c>
      <c r="C219" s="4" t="inlineStr">
        <is>
          <t>ハイメディカルサービス</t>
        </is>
      </c>
      <c r="D219" s="4" t="inlineStr">
        <is>
          <t>Not retrieved (NTA lookup blocked in this session)</t>
        </is>
      </c>
      <c r="E219" s="4" t="inlineStr">
        <is>
          <t>長崎県</t>
        </is>
      </c>
      <c r="F219" s="4" t="inlineStr">
        <is>
          <t>Kyushu and Okinawa</t>
        </is>
      </c>
      <c r="G219" s="4" t="inlineStr">
        <is>
          <t>Not confirmed (company site not opened; network policy blocked direct access)</t>
        </is>
      </c>
      <c r="H219" s="4" t="inlineStr">
        <is>
          <t>No MAH found; device sales licence (高度管理医療機器等販売業) not confirmed</t>
        </is>
      </c>
      <c r="I219" s="4" t="inlineStr">
        <is>
          <t>Not identified in published sources</t>
        </is>
      </c>
      <c r="J219" s="4" t="inlineStr">
        <is>
          <t>General medical equipment (hospitals and clinics)</t>
        </is>
      </c>
      <c r="K219" s="4" t="inlineStr">
        <is>
          <t>長崎県 (regional; branch network not confirmed)</t>
        </is>
      </c>
      <c r="L219" s="4" t="inlineStr">
        <is>
          <t>Not found</t>
        </is>
      </c>
      <c r="M219" s="4" t="inlineStr">
        <is>
          <t>Not identified</t>
        </is>
      </c>
      <c r="N219" s="4" t="inlineStr">
        <is>
          <t>Not identified</t>
        </is>
      </c>
      <c r="O219" s="4" t="inlineStr">
        <is>
          <t>Not published; use company inquiry form</t>
        </is>
      </c>
      <c r="P219" s="4" t="inlineStr">
        <is>
          <t>Not confirmed</t>
        </is>
      </c>
      <c r="Q219" s="4" t="inlineStr">
        <is>
          <t>Not identified</t>
        </is>
      </c>
      <c r="R219" s="5" t="inlineStr">
        <is>
          <t>Unverified</t>
        </is>
      </c>
      <c r="S219" s="4" t="n">
        <v>18</v>
      </c>
      <c r="T219" s="10" t="inlineStr">
        <is>
          <t>C</t>
        </is>
      </c>
      <c r="U219" s="4" t="inlineStr">
        <is>
          <t>Regional general medical equipment dealer with hospital and clinic accounts; candidate sub dealer under a national MAH partner.</t>
        </is>
      </c>
      <c r="V219" s="4" t="inlineStr">
        <is>
          <t>Introduce CHISON as a future line through a national MAH partner; ask about their hospital and clinic coverage, service engineers and openness to non Japanese brands.</t>
        </is>
      </c>
      <c r="W219" s="4" t="inlineStr">
        <is>
          <t>N (not identified)</t>
        </is>
      </c>
      <c r="X219" s="7" t="inlineStr">
        <is>
          <t>https://baseconnect.in/companies/prefecture/88d796cc-214f-4ebf-b294-ebcaa486f8a2/category/b2358a1c-c4c6-46f4-a0b1-dee3a1b30a0b</t>
        </is>
      </c>
      <c r="Y219" s="4" t="inlineStr">
        <is>
          <t>SonoEye P3 plus SonoAir 30 for GP and clinic accounts</t>
        </is>
      </c>
      <c r="Z219" s="4" t="inlineStr">
        <is>
          <t>2, 2, 3, 3, 3, 2, 3</t>
        </is>
      </c>
      <c r="AA219" s="4" t="inlineStr">
        <is>
          <t>Not found</t>
        </is>
      </c>
      <c r="AB219" s="4" t="inlineStr">
        <is>
          <t>Directory or search listing; not opened (direct site access blocked)</t>
        </is>
      </c>
      <c r="AC219" s="4" t="inlineStr">
        <is>
          <t>No expired licence or ended distribution agreement found</t>
        </is>
      </c>
      <c r="AD219" s="4" t="inlineStr">
        <is>
          <t>Not started</t>
        </is>
      </c>
      <c r="AE219" s="4" t="inlineStr"/>
      <c r="AF219" s="4" t="inlineStr"/>
      <c r="AG219" s="4" t="inlineStr">
        <is>
          <t>No email published and no verified website found</t>
        </is>
      </c>
    </row>
    <row r="220">
      <c r="A220" s="4" t="n">
        <v>216</v>
      </c>
      <c r="B220" s="4" t="inlineStr">
        <is>
          <t>Kato Kikai Shokai</t>
        </is>
      </c>
      <c r="C220" s="4" t="inlineStr">
        <is>
          <t>加藤器械商会</t>
        </is>
      </c>
      <c r="D220" s="4" t="inlineStr">
        <is>
          <t>Not retrieved (NTA lookup blocked in this session)</t>
        </is>
      </c>
      <c r="E220" s="4" t="inlineStr">
        <is>
          <t>長崎県</t>
        </is>
      </c>
      <c r="F220" s="4" t="inlineStr">
        <is>
          <t>Kyushu and Okinawa</t>
        </is>
      </c>
      <c r="G220" s="4" t="inlineStr">
        <is>
          <t>Not confirmed (company site not opened; network policy blocked direct access)</t>
        </is>
      </c>
      <c r="H220" s="4" t="inlineStr">
        <is>
          <t>No MAH found; device sales licence (高度管理医療機器等販売業) not confirmed</t>
        </is>
      </c>
      <c r="I220" s="4" t="inlineStr">
        <is>
          <t>Not identified in published sources</t>
        </is>
      </c>
      <c r="J220" s="4" t="inlineStr">
        <is>
          <t>General medical equipment (hospitals and clinics)</t>
        </is>
      </c>
      <c r="K220" s="4" t="inlineStr">
        <is>
          <t>長崎県 (regional; branch network not confirmed)</t>
        </is>
      </c>
      <c r="L220" s="4" t="inlineStr">
        <is>
          <t>Not found</t>
        </is>
      </c>
      <c r="M220" s="4" t="inlineStr">
        <is>
          <t>Not identified</t>
        </is>
      </c>
      <c r="N220" s="4" t="inlineStr">
        <is>
          <t>Not identified</t>
        </is>
      </c>
      <c r="O220" s="4" t="inlineStr">
        <is>
          <t>Not published; use company inquiry form</t>
        </is>
      </c>
      <c r="P220" s="4" t="inlineStr">
        <is>
          <t>Not confirmed</t>
        </is>
      </c>
      <c r="Q220" s="4" t="inlineStr">
        <is>
          <t>Not identified</t>
        </is>
      </c>
      <c r="R220" s="5" t="inlineStr">
        <is>
          <t>Unverified</t>
        </is>
      </c>
      <c r="S220" s="4" t="n">
        <v>18</v>
      </c>
      <c r="T220" s="10" t="inlineStr">
        <is>
          <t>C</t>
        </is>
      </c>
      <c r="U220" s="4" t="inlineStr">
        <is>
          <t>Regional general medical equipment dealer with hospital and clinic accounts; candidate sub dealer under a national MAH partner.</t>
        </is>
      </c>
      <c r="V220" s="4" t="inlineStr">
        <is>
          <t>Introduce CHISON as a future line through a national MAH partner; ask about their hospital and clinic coverage, service engineers and openness to non Japanese brands.</t>
        </is>
      </c>
      <c r="W220" s="4" t="inlineStr">
        <is>
          <t>N (not identified)</t>
        </is>
      </c>
      <c r="X220" s="7" t="inlineStr">
        <is>
          <t>https://baseconnect.in/companies/prefecture/88d796cc-214f-4ebf-b294-ebcaa486f8a2/category/b2358a1c-c4c6-46f4-a0b1-dee3a1b30a0b</t>
        </is>
      </c>
      <c r="Y220" s="4" t="inlineStr">
        <is>
          <t>SonoEye P3 plus SonoAir 30 for GP and clinic accounts</t>
        </is>
      </c>
      <c r="Z220" s="4" t="inlineStr">
        <is>
          <t>2, 2, 3, 3, 3, 2, 3</t>
        </is>
      </c>
      <c r="AA220" s="4" t="inlineStr">
        <is>
          <t>Not found</t>
        </is>
      </c>
      <c r="AB220" s="4" t="inlineStr">
        <is>
          <t>Directory or search listing; not opened (direct site access blocked)</t>
        </is>
      </c>
      <c r="AC220" s="4" t="inlineStr">
        <is>
          <t>No expired licence or ended distribution agreement found</t>
        </is>
      </c>
      <c r="AD220" s="4" t="inlineStr">
        <is>
          <t>Not started</t>
        </is>
      </c>
      <c r="AE220" s="4" t="inlineStr"/>
      <c r="AF220" s="4" t="inlineStr"/>
      <c r="AG220" s="4" t="inlineStr">
        <is>
          <t>No email published and no verified website found</t>
        </is>
      </c>
    </row>
    <row r="221">
      <c r="A221" s="4" t="n">
        <v>217</v>
      </c>
      <c r="B221" s="4" t="inlineStr">
        <is>
          <t>Tajima Kikai</t>
        </is>
      </c>
      <c r="C221" s="4" t="inlineStr">
        <is>
          <t>田島器械</t>
        </is>
      </c>
      <c r="D221" s="4" t="inlineStr">
        <is>
          <t>Not retrieved (NTA lookup blocked in this session)</t>
        </is>
      </c>
      <c r="E221" s="4" t="inlineStr">
        <is>
          <t>鹿児島県</t>
        </is>
      </c>
      <c r="F221" s="4" t="inlineStr">
        <is>
          <t>Kyushu and Okinawa</t>
        </is>
      </c>
      <c r="G221" s="4" t="inlineStr">
        <is>
          <t>http://tajimakikai.co.jp/</t>
        </is>
      </c>
      <c r="H221" s="4" t="inlineStr">
        <is>
          <t>No MAH found; device sales licence (高度管理医療機器等販売業) not confirmed</t>
        </is>
      </c>
      <c r="I221" s="4" t="inlineStr">
        <is>
          <t>Not identified in published sources</t>
        </is>
      </c>
      <c r="J221" s="4" t="inlineStr">
        <is>
          <t>General medical equipment (hospitals and clinics)</t>
        </is>
      </c>
      <c r="K221" s="4" t="inlineStr">
        <is>
          <t>鹿児島県 (regional; branch network not confirmed)</t>
        </is>
      </c>
      <c r="L221" s="4" t="inlineStr">
        <is>
          <t>Not found</t>
        </is>
      </c>
      <c r="M221" s="4" t="inlineStr">
        <is>
          <t>Not identified</t>
        </is>
      </c>
      <c r="N221" s="4" t="inlineStr">
        <is>
          <t>Not identified</t>
        </is>
      </c>
      <c r="O221" s="4" t="inlineStr">
        <is>
          <t>info@tajimakikai.co.jp</t>
        </is>
      </c>
      <c r="P221" s="4" t="inlineStr">
        <is>
          <t>Not confirmed</t>
        </is>
      </c>
      <c r="Q221" s="4" t="inlineStr">
        <is>
          <t>Not identified</t>
        </is>
      </c>
      <c r="R221" s="5" t="inlineStr">
        <is>
          <t>Unverified</t>
        </is>
      </c>
      <c r="S221" s="4" t="n">
        <v>18</v>
      </c>
      <c r="T221" s="10" t="inlineStr">
        <is>
          <t>C</t>
        </is>
      </c>
      <c r="U221" s="4" t="inlineStr">
        <is>
          <t>Regional general medical equipment dealer with hospital and clinic accounts; candidate sub dealer under a national MAH partner.</t>
        </is>
      </c>
      <c r="V221" s="4" t="inlineStr">
        <is>
          <t>Introduce CHISON as a future line through a national MAH partner; ask about their hospital and clinic coverage, service engineers and openness to non Japanese brands.</t>
        </is>
      </c>
      <c r="W221" s="4" t="inlineStr">
        <is>
          <t>N (not identified)</t>
        </is>
      </c>
      <c r="X221" s="7" t="inlineStr">
        <is>
          <t>https://kyuren.jp/%E4%BC%9A%E5%93%A1%E7%B4%B9%E4%BB%8B/</t>
        </is>
      </c>
      <c r="Y221" s="4" t="inlineStr">
        <is>
          <t>SonoEye P3 plus SonoAir 30 for GP and clinic accounts</t>
        </is>
      </c>
      <c r="Z221" s="4" t="inlineStr">
        <is>
          <t>2, 2, 3, 3, 3, 2, 3</t>
        </is>
      </c>
      <c r="AA221" s="4" t="inlineStr">
        <is>
          <t>Not found</t>
        </is>
      </c>
      <c r="AB221" s="4" t="inlineStr">
        <is>
          <t>Directory or search listing; not opened (direct site access blocked)</t>
        </is>
      </c>
      <c r="AC221" s="4" t="inlineStr">
        <is>
          <t>No expired licence or ended distribution agreement found</t>
        </is>
      </c>
      <c r="AD221" s="4" t="inlineStr">
        <is>
          <t>Not started</t>
        </is>
      </c>
      <c r="AE221" s="4" t="inlineStr"/>
      <c r="AF221" s="4" t="inlineStr">
        <is>
          <t>http://tajimakikai.co.jp/outline.html</t>
        </is>
      </c>
      <c r="AG221" s="4" t="inlineStr">
        <is>
          <t>Verified: published on company website</t>
        </is>
      </c>
    </row>
    <row r="222">
      <c r="A222" s="4" t="n">
        <v>218</v>
      </c>
      <c r="B222" s="4" t="inlineStr">
        <is>
          <t>Yago Iryoki</t>
        </is>
      </c>
      <c r="C222" s="4" t="inlineStr">
        <is>
          <t>八郷医療器</t>
        </is>
      </c>
      <c r="D222" s="4" t="inlineStr">
        <is>
          <t>Not retrieved (NTA lookup blocked in this session)</t>
        </is>
      </c>
      <c r="E222" s="4" t="inlineStr">
        <is>
          <t>鹿児島県</t>
        </is>
      </c>
      <c r="F222" s="4" t="inlineStr">
        <is>
          <t>Kyushu and Okinawa</t>
        </is>
      </c>
      <c r="G222" s="4" t="inlineStr">
        <is>
          <t>https://yagoplasticsurgery.com/</t>
        </is>
      </c>
      <c r="H222" s="4" t="inlineStr">
        <is>
          <t>No MAH found; device sales licence (高度管理医療機器等販売業) not confirmed</t>
        </is>
      </c>
      <c r="I222" s="4" t="inlineStr">
        <is>
          <t>Not identified in published sources</t>
        </is>
      </c>
      <c r="J222" s="4" t="inlineStr">
        <is>
          <t>General medical equipment (hospitals and clinics)</t>
        </is>
      </c>
      <c r="K222" s="4" t="inlineStr">
        <is>
          <t>鹿児島県 (regional; branch network not confirmed)</t>
        </is>
      </c>
      <c r="L222" s="4" t="inlineStr">
        <is>
          <t>Not found</t>
        </is>
      </c>
      <c r="M222" s="4" t="inlineStr">
        <is>
          <t>Not identified</t>
        </is>
      </c>
      <c r="N222" s="4" t="inlineStr">
        <is>
          <t>Not identified</t>
        </is>
      </c>
      <c r="O222" s="4" t="inlineStr">
        <is>
          <t>Not published; use company inquiry form</t>
        </is>
      </c>
      <c r="P222" s="4" t="inlineStr">
        <is>
          <t>Not confirmed</t>
        </is>
      </c>
      <c r="Q222" s="4" t="inlineStr">
        <is>
          <t>Not identified</t>
        </is>
      </c>
      <c r="R222" s="5" t="inlineStr">
        <is>
          <t>Company inquiry only</t>
        </is>
      </c>
      <c r="S222" s="4" t="n">
        <v>18</v>
      </c>
      <c r="T222" s="10" t="inlineStr">
        <is>
          <t>C</t>
        </is>
      </c>
      <c r="U222" s="4" t="inlineStr">
        <is>
          <t>Regional general medical equipment dealer with hospital and clinic accounts; candidate sub dealer under a national MAH partner.</t>
        </is>
      </c>
      <c r="V222" s="4" t="inlineStr">
        <is>
          <t>Introduce CHISON as a future line through a national MAH partner; ask about their hospital and clinic coverage, service engineers and openness to non Japanese brands.</t>
        </is>
      </c>
      <c r="W222" s="4" t="inlineStr">
        <is>
          <t>N (not identified)</t>
        </is>
      </c>
      <c r="X222" s="7" t="inlineStr">
        <is>
          <t>https://kyuren.jp/%E4%BC%9A%E5%93%A1%E7%B4%B9%E4%BB%8B/</t>
        </is>
      </c>
      <c r="Y222" s="4" t="inlineStr">
        <is>
          <t>SonoEye P3 plus SonoAir 30 for GP and clinic accounts</t>
        </is>
      </c>
      <c r="Z222" s="4" t="inlineStr">
        <is>
          <t>2, 2, 3, 3, 3, 2, 3</t>
        </is>
      </c>
      <c r="AA222" s="4" t="inlineStr">
        <is>
          <t>Not found</t>
        </is>
      </c>
      <c r="AB222" s="4" t="inlineStr">
        <is>
          <t>Recheck: no independent confirmation found; directory listing only (listed in both kyuren.jp and Baseconnect)</t>
        </is>
      </c>
      <c r="AC222" s="4" t="inlineStr">
        <is>
          <t>No expired licence or ended distribution agreement found</t>
        </is>
      </c>
      <c r="AD222" s="4" t="inlineStr">
        <is>
          <t>Not started</t>
        </is>
      </c>
      <c r="AE222" s="4" t="inlineStr"/>
      <c r="AF222" s="4" t="inlineStr"/>
      <c r="AG222" s="4" t="inlineStr">
        <is>
          <t>No email published; website has no contact page link, phone first</t>
        </is>
      </c>
    </row>
    <row r="223">
      <c r="A223" s="4" t="n">
        <v>219</v>
      </c>
      <c r="B223" s="4" t="inlineStr">
        <is>
          <t>Yokoo Mutoh</t>
        </is>
      </c>
      <c r="C223" s="4" t="inlineStr">
        <is>
          <t>横尾ムトウ</t>
        </is>
      </c>
      <c r="D223" s="4" t="inlineStr">
        <is>
          <t>Not retrieved (NTA lookup blocked in this session)</t>
        </is>
      </c>
      <c r="E223" s="4" t="inlineStr">
        <is>
          <t>鹿児島県</t>
        </is>
      </c>
      <c r="F223" s="4" t="inlineStr">
        <is>
          <t>Kyushu and Okinawa</t>
        </is>
      </c>
      <c r="G223" s="4" t="inlineStr">
        <is>
          <t>Not confirmed (company site not opened; network policy blocked direct access)</t>
        </is>
      </c>
      <c r="H223" s="4" t="inlineStr">
        <is>
          <t>No MAH found; device sales licence (高度管理医療機器等販売業) not confirmed</t>
        </is>
      </c>
      <c r="I223" s="4" t="inlineStr">
        <is>
          <t>Not identified in published sources</t>
        </is>
      </c>
      <c r="J223" s="4" t="inlineStr">
        <is>
          <t>General medical equipment (hospitals and clinics)</t>
        </is>
      </c>
      <c r="K223" s="4" t="inlineStr">
        <is>
          <t>鹿児島県 (regional; branch network not confirmed)</t>
        </is>
      </c>
      <c r="L223" s="4" t="inlineStr">
        <is>
          <t>Not found</t>
        </is>
      </c>
      <c r="M223" s="4" t="inlineStr">
        <is>
          <t>Not identified</t>
        </is>
      </c>
      <c r="N223" s="4" t="inlineStr">
        <is>
          <t>Not identified</t>
        </is>
      </c>
      <c r="O223" s="4" t="inlineStr">
        <is>
          <t>Not published; use company inquiry form</t>
        </is>
      </c>
      <c r="P223" s="4" t="inlineStr">
        <is>
          <t>Not confirmed</t>
        </is>
      </c>
      <c r="Q223" s="4" t="inlineStr">
        <is>
          <t>Not identified</t>
        </is>
      </c>
      <c r="R223" s="5" t="inlineStr">
        <is>
          <t>Unverified</t>
        </is>
      </c>
      <c r="S223" s="4" t="n">
        <v>18</v>
      </c>
      <c r="T223" s="10" t="inlineStr">
        <is>
          <t>C</t>
        </is>
      </c>
      <c r="U223" s="4" t="inlineStr">
        <is>
          <t>Regional general medical equipment dealer with hospital and clinic accounts; candidate sub dealer under a national MAH partner.</t>
        </is>
      </c>
      <c r="V223" s="4" t="inlineStr">
        <is>
          <t>Introduce CHISON as a future line through a national MAH partner; ask about their hospital and clinic coverage, service engineers and openness to non Japanese brands.</t>
        </is>
      </c>
      <c r="W223" s="4" t="inlineStr">
        <is>
          <t>N (not identified)</t>
        </is>
      </c>
      <c r="X223" s="7" t="inlineStr">
        <is>
          <t>https://kyuren.jp/%E4%BC%9A%E5%93%A1%E7%B4%B9%E4%BB%8B/</t>
        </is>
      </c>
      <c r="Y223" s="4" t="inlineStr">
        <is>
          <t>SonoEye P3 plus SonoAir 30 for GP and clinic accounts</t>
        </is>
      </c>
      <c r="Z223" s="4" t="inlineStr">
        <is>
          <t>2, 2, 3, 3, 3, 2, 3</t>
        </is>
      </c>
      <c r="AA223" s="4" t="inlineStr">
        <is>
          <t>Not found</t>
        </is>
      </c>
      <c r="AB223" s="4" t="inlineStr">
        <is>
          <t>Directory or search listing; not opened (direct site access blocked)</t>
        </is>
      </c>
      <c r="AC223" s="4" t="inlineStr">
        <is>
          <t>Holding group overlap: Mutoh group (existing row 15). Approach via Mutoh head office. No expired licence or ended distribution agreement found</t>
        </is>
      </c>
      <c r="AD223" s="4" t="inlineStr">
        <is>
          <t>Not started</t>
        </is>
      </c>
      <c r="AE223" s="4" t="inlineStr"/>
      <c r="AF223" s="4" t="inlineStr"/>
      <c r="AG223" s="4" t="inlineStr">
        <is>
          <t>No email published and no verified website found</t>
        </is>
      </c>
    </row>
    <row r="224">
      <c r="A224" s="4" t="n">
        <v>220</v>
      </c>
      <c r="B224" s="4" t="inlineStr">
        <is>
          <t>Sakura Iryo Kikai</t>
        </is>
      </c>
      <c r="C224" s="4" t="inlineStr">
        <is>
          <t>さくら医療器械</t>
        </is>
      </c>
      <c r="D224" s="4" t="inlineStr">
        <is>
          <t>Not retrieved (NTA lookup blocked in this session)</t>
        </is>
      </c>
      <c r="E224" s="4" t="inlineStr">
        <is>
          <t>鹿児島県</t>
        </is>
      </c>
      <c r="F224" s="4" t="inlineStr">
        <is>
          <t>Kyushu and Okinawa</t>
        </is>
      </c>
      <c r="G224" s="4" t="inlineStr">
        <is>
          <t>https://sakurairyo.jp/</t>
        </is>
      </c>
      <c r="H224" s="4" t="inlineStr">
        <is>
          <t>No MAH found; device sales licence (高度管理医療機器等販売業) not confirmed</t>
        </is>
      </c>
      <c r="I224" s="4" t="inlineStr">
        <is>
          <t>Not identified in published sources</t>
        </is>
      </c>
      <c r="J224" s="4" t="inlineStr">
        <is>
          <t>General medical equipment (hospitals and clinics)</t>
        </is>
      </c>
      <c r="K224" s="4" t="inlineStr">
        <is>
          <t>鹿児島県 (regional; branch network not confirmed)</t>
        </is>
      </c>
      <c r="L224" s="4" t="inlineStr">
        <is>
          <t>Not found</t>
        </is>
      </c>
      <c r="M224" s="4" t="inlineStr">
        <is>
          <t>Not identified</t>
        </is>
      </c>
      <c r="N224" s="4" t="inlineStr">
        <is>
          <t>Not identified</t>
        </is>
      </c>
      <c r="O224" s="4" t="inlineStr">
        <is>
          <t>Not published; use contact form</t>
        </is>
      </c>
      <c r="P224" s="4" t="inlineStr">
        <is>
          <t>Not confirmed</t>
        </is>
      </c>
      <c r="Q224" s="4" t="inlineStr">
        <is>
          <t>Not identified</t>
        </is>
      </c>
      <c r="R224" s="5" t="inlineStr">
        <is>
          <t>Likely</t>
        </is>
      </c>
      <c r="S224" s="4" t="n">
        <v>18</v>
      </c>
      <c r="T224" s="10" t="inlineStr">
        <is>
          <t>C</t>
        </is>
      </c>
      <c r="U224" s="4" t="inlineStr">
        <is>
          <t>Regional general medical equipment dealer with hospital and clinic accounts; candidate sub dealer under a national MAH partner.</t>
        </is>
      </c>
      <c r="V224" s="4" t="inlineStr">
        <is>
          <t>Introduce CHISON as a future line through a national MAH partner; ask about their hospital and clinic coverage, service engineers and openness to non Japanese brands.</t>
        </is>
      </c>
      <c r="W224" s="4" t="inlineStr">
        <is>
          <t>N (not identified)</t>
        </is>
      </c>
      <c r="X224" s="7" t="inlineStr">
        <is>
          <t>https://baseconnect.in/companies/prefecture/344720c8-49c6-4a45-94af-958496d86524/category/b2358a1c-c4c6-46f4-a0b1-dee3a1b30a0b</t>
        </is>
      </c>
      <c r="Y224" s="4" t="inlineStr">
        <is>
          <t>SonoEye P3 plus SonoAir 30 for GP and clinic accounts</t>
        </is>
      </c>
      <c r="Z224" s="4" t="inlineStr">
        <is>
          <t>2, 2, 3, 3, 3, 2, 3</t>
        </is>
      </c>
      <c r="AA224" s="4" t="inlineStr">
        <is>
          <t>Not found</t>
        </is>
      </c>
      <c r="AB224" s="4" t="inlineStr">
        <is>
          <t>Directory or search listing; not opened (direct site access blocked)</t>
        </is>
      </c>
      <c r="AC224" s="4" t="inlineStr">
        <is>
          <t>No expired licence or ended distribution agreement found</t>
        </is>
      </c>
      <c r="AD224" s="4" t="inlineStr">
        <is>
          <t>Not started</t>
        </is>
      </c>
      <c r="AE224" s="4" t="inlineStr"/>
      <c r="AF224" s="4" t="inlineStr">
        <is>
          <t>https://sakurairyo.jp/contact/</t>
        </is>
      </c>
      <c r="AG224" s="4" t="inlineStr">
        <is>
          <t>No email published; use the contact form (link in Email source)</t>
        </is>
      </c>
    </row>
    <row r="225">
      <c r="A225" s="4" t="n">
        <v>221</v>
      </c>
      <c r="B225" s="4" t="inlineStr">
        <is>
          <t>Sanyo Iryoki</t>
        </is>
      </c>
      <c r="C225" s="4" t="inlineStr">
        <is>
          <t>三陽医療器</t>
        </is>
      </c>
      <c r="D225" s="4" t="inlineStr">
        <is>
          <t>Not retrieved (NTA lookup blocked in this session)</t>
        </is>
      </c>
      <c r="E225" s="4" t="inlineStr">
        <is>
          <t>鹿児島県</t>
        </is>
      </c>
      <c r="F225" s="4" t="inlineStr">
        <is>
          <t>Kyushu and Okinawa</t>
        </is>
      </c>
      <c r="G225" s="4" t="inlineStr">
        <is>
          <t>Not confirmed (company site not opened; network policy blocked direct access)</t>
        </is>
      </c>
      <c r="H225" s="4" t="inlineStr">
        <is>
          <t>No MAH found; device sales licence (高度管理医療機器等販売業) not confirmed</t>
        </is>
      </c>
      <c r="I225" s="4" t="inlineStr">
        <is>
          <t>Not identified in published sources</t>
        </is>
      </c>
      <c r="J225" s="4" t="inlineStr">
        <is>
          <t>General medical equipment (hospitals and clinics)</t>
        </is>
      </c>
      <c r="K225" s="4" t="inlineStr">
        <is>
          <t>鹿児島県 (regional; branch network not confirmed)</t>
        </is>
      </c>
      <c r="L225" s="4" t="inlineStr">
        <is>
          <t>Not found</t>
        </is>
      </c>
      <c r="M225" s="4" t="inlineStr">
        <is>
          <t>Not identified</t>
        </is>
      </c>
      <c r="N225" s="4" t="inlineStr">
        <is>
          <t>Not identified</t>
        </is>
      </c>
      <c r="O225" s="4" t="inlineStr">
        <is>
          <t>Not published; use company inquiry form</t>
        </is>
      </c>
      <c r="P225" s="4" t="inlineStr">
        <is>
          <t>Not confirmed</t>
        </is>
      </c>
      <c r="Q225" s="4" t="inlineStr">
        <is>
          <t>Not identified</t>
        </is>
      </c>
      <c r="R225" s="5" t="inlineStr">
        <is>
          <t>Unverified</t>
        </is>
      </c>
      <c r="S225" s="4" t="n">
        <v>18</v>
      </c>
      <c r="T225" s="10" t="inlineStr">
        <is>
          <t>C</t>
        </is>
      </c>
      <c r="U225" s="4" t="inlineStr">
        <is>
          <t>Regional general medical equipment dealer with hospital and clinic accounts; candidate sub dealer under a national MAH partner.</t>
        </is>
      </c>
      <c r="V225" s="4" t="inlineStr">
        <is>
          <t>Introduce CHISON as a future line through a national MAH partner; ask about their hospital and clinic coverage, service engineers and openness to non Japanese brands.</t>
        </is>
      </c>
      <c r="W225" s="4" t="inlineStr">
        <is>
          <t>N (not identified)</t>
        </is>
      </c>
      <c r="X225" s="7" t="inlineStr">
        <is>
          <t>https://baseconnect.in/companies/prefecture/344720c8-49c6-4a45-94af-958496d86524/category/b2358a1c-c4c6-46f4-a0b1-dee3a1b30a0b</t>
        </is>
      </c>
      <c r="Y225" s="4" t="inlineStr">
        <is>
          <t>SonoEye P3 plus SonoAir 30 for GP and clinic accounts</t>
        </is>
      </c>
      <c r="Z225" s="4" t="inlineStr">
        <is>
          <t>2, 2, 3, 3, 3, 2, 3</t>
        </is>
      </c>
      <c r="AA225" s="4" t="inlineStr">
        <is>
          <t>Not found</t>
        </is>
      </c>
      <c r="AB225" s="4" t="inlineStr">
        <is>
          <t>Directory or search listing; not opened (direct site access blocked)</t>
        </is>
      </c>
      <c r="AC225" s="4" t="inlineStr">
        <is>
          <t>Name check: existing row 56 is 株式会社三陽 (different name); confirm not the same company. No expired licence or ended distribution agreement found</t>
        </is>
      </c>
      <c r="AD225" s="4" t="inlineStr">
        <is>
          <t>Not started</t>
        </is>
      </c>
      <c r="AE225" s="4" t="inlineStr"/>
      <c r="AF225" s="4" t="inlineStr"/>
      <c r="AG225" s="4" t="inlineStr">
        <is>
          <t>No email published and no verified website found</t>
        </is>
      </c>
    </row>
    <row r="226">
      <c r="A226" s="4" t="n">
        <v>222</v>
      </c>
      <c r="B226" s="4" t="inlineStr">
        <is>
          <t>IMS (Kagoshima)</t>
        </is>
      </c>
      <c r="C226" s="4" t="inlineStr">
        <is>
          <t>イムズ</t>
        </is>
      </c>
      <c r="D226" s="4" t="inlineStr">
        <is>
          <t>Not retrieved (NTA lookup blocked in this session)</t>
        </is>
      </c>
      <c r="E226" s="4" t="inlineStr">
        <is>
          <t>鹿児島県</t>
        </is>
      </c>
      <c r="F226" s="4" t="inlineStr">
        <is>
          <t>Kyushu and Okinawa</t>
        </is>
      </c>
      <c r="G226" s="4" t="inlineStr">
        <is>
          <t>https://imsys.co.jp/</t>
        </is>
      </c>
      <c r="H226" s="4" t="inlineStr">
        <is>
          <t>No MAH found; device sales licence (高度管理医療機器等販売業) not confirmed</t>
        </is>
      </c>
      <c r="I226" s="4" t="inlineStr">
        <is>
          <t>Not identified in published sources</t>
        </is>
      </c>
      <c r="J226" s="4" t="inlineStr">
        <is>
          <t>General medical equipment (hospitals and clinics)</t>
        </is>
      </c>
      <c r="K226" s="4" t="inlineStr">
        <is>
          <t>鹿児島県 (regional; branch network not confirmed)</t>
        </is>
      </c>
      <c r="L226" s="4" t="inlineStr">
        <is>
          <t>Not found</t>
        </is>
      </c>
      <c r="M226" s="4" t="inlineStr">
        <is>
          <t>Not identified</t>
        </is>
      </c>
      <c r="N226" s="4" t="inlineStr">
        <is>
          <t>Not identified</t>
        </is>
      </c>
      <c r="O226" s="4" t="inlineStr">
        <is>
          <t>eps-info@imsys.co.jp</t>
        </is>
      </c>
      <c r="P226" s="4" t="inlineStr">
        <is>
          <t>Not confirmed</t>
        </is>
      </c>
      <c r="Q226" s="4" t="inlineStr">
        <is>
          <t>Not identified</t>
        </is>
      </c>
      <c r="R226" s="5" t="inlineStr">
        <is>
          <t>Unverified</t>
        </is>
      </c>
      <c r="S226" s="4" t="n">
        <v>18</v>
      </c>
      <c r="T226" s="10" t="inlineStr">
        <is>
          <t>C</t>
        </is>
      </c>
      <c r="U226" s="4" t="inlineStr">
        <is>
          <t>Regional general medical equipment dealer with hospital and clinic accounts; candidate sub dealer under a national MAH partner.</t>
        </is>
      </c>
      <c r="V226" s="4" t="inlineStr">
        <is>
          <t>Introduce CHISON as a future line through a national MAH partner; ask about their hospital and clinic coverage, service engineers and openness to non Japanese brands.</t>
        </is>
      </c>
      <c r="W226" s="4" t="inlineStr">
        <is>
          <t>N (not identified)</t>
        </is>
      </c>
      <c r="X226" s="7" t="inlineStr">
        <is>
          <t>https://baseconnect.in/companies/prefecture/344720c8-49c6-4a45-94af-958496d86524/category/b2358a1c-c4c6-46f4-a0b1-dee3a1b30a0b</t>
        </is>
      </c>
      <c r="Y226" s="4" t="inlineStr">
        <is>
          <t>SonoEye P3 plus SonoAir 30 for GP and clinic accounts</t>
        </is>
      </c>
      <c r="Z226" s="4" t="inlineStr">
        <is>
          <t>2, 2, 3, 3, 3, 2, 3</t>
        </is>
      </c>
      <c r="AA226" s="4" t="inlineStr">
        <is>
          <t>Not found</t>
        </is>
      </c>
      <c r="AB226" s="4" t="inlineStr">
        <is>
          <t>Directory or search listing; not opened (direct site access blocked)</t>
        </is>
      </c>
      <c r="AC226" s="4" t="inlineStr">
        <is>
          <t>No expired licence or ended distribution agreement found</t>
        </is>
      </c>
      <c r="AD226" s="4" t="inlineStr">
        <is>
          <t>Not started</t>
        </is>
      </c>
      <c r="AE226" s="4" t="inlineStr"/>
      <c r="AF226" s="4" t="inlineStr">
        <is>
          <t>https://imsys.co.jp/</t>
        </is>
      </c>
      <c r="AG226" s="4" t="inlineStr">
        <is>
          <t>Verified: published on company website</t>
        </is>
      </c>
    </row>
    <row r="227">
      <c r="A227" s="4" t="n">
        <v>223</v>
      </c>
      <c r="B227" s="4" t="inlineStr">
        <is>
          <t>Noah International</t>
        </is>
      </c>
      <c r="C227" s="4" t="inlineStr">
        <is>
          <t>ノアインターナショナル</t>
        </is>
      </c>
      <c r="D227" s="4" t="inlineStr">
        <is>
          <t>Not retrieved (NTA lookup blocked in this session)</t>
        </is>
      </c>
      <c r="E227" s="4" t="inlineStr">
        <is>
          <t>北海道</t>
        </is>
      </c>
      <c r="F227" s="4" t="inlineStr">
        <is>
          <t>Tohoku and Hokkaido</t>
        </is>
      </c>
      <c r="G227" s="4" t="inlineStr">
        <is>
          <t>Not confirmed (company site not opened; network policy blocked direct access)</t>
        </is>
      </c>
      <c r="H227" s="4" t="inlineStr">
        <is>
          <t>No MAH found; device sales licence (高度管理医療機器等販売業) not confirmed</t>
        </is>
      </c>
      <c r="I227" s="4" t="inlineStr">
        <is>
          <t>Not identified in published sources</t>
        </is>
      </c>
      <c r="J227" s="4" t="inlineStr">
        <is>
          <t>General medical equipment (hospitals and clinics)</t>
        </is>
      </c>
      <c r="K227" s="4" t="inlineStr">
        <is>
          <t>北海道; Hokkaido</t>
        </is>
      </c>
      <c r="L227" s="4" t="inlineStr">
        <is>
          <t>Not found</t>
        </is>
      </c>
      <c r="M227" s="4" t="inlineStr">
        <is>
          <t>Not identified</t>
        </is>
      </c>
      <c r="N227" s="4" t="inlineStr">
        <is>
          <t>Not identified</t>
        </is>
      </c>
      <c r="O227" s="4" t="inlineStr">
        <is>
          <t>Not published; use company inquiry form</t>
        </is>
      </c>
      <c r="P227" s="4" t="inlineStr">
        <is>
          <t>Not confirmed</t>
        </is>
      </c>
      <c r="Q227" s="4" t="inlineStr">
        <is>
          <t>Not identified</t>
        </is>
      </c>
      <c r="R227" s="5" t="inlineStr">
        <is>
          <t>Unverified</t>
        </is>
      </c>
      <c r="S227" s="4" t="n">
        <v>18</v>
      </c>
      <c r="T227" s="10" t="inlineStr">
        <is>
          <t>C</t>
        </is>
      </c>
      <c r="U227" s="4" t="inlineStr">
        <is>
          <t>Regional general medical equipment dealer with hospital and clinic accounts; candidate sub dealer under a national MAH partner.</t>
        </is>
      </c>
      <c r="V227" s="4" t="inlineStr">
        <is>
          <t>Introduce CHISON as a future line through a national MAH partner; ask about their hospital and clinic coverage, service engineers and openness to non Japanese brands.</t>
        </is>
      </c>
      <c r="W227" s="4" t="inlineStr">
        <is>
          <t>N (not identified)</t>
        </is>
      </c>
      <c r="X227" s="7" t="inlineStr">
        <is>
          <t>https://www.jahid.or.jp/pdf/meibo2025.pdf</t>
        </is>
      </c>
      <c r="Y227" s="4" t="inlineStr">
        <is>
          <t>SonoEye P3 plus SonoAir 30 for GP and clinic accounts</t>
        </is>
      </c>
      <c r="Z227" s="4" t="inlineStr">
        <is>
          <t>2, 2, 3, 3, 3, 2, 3</t>
        </is>
      </c>
      <c r="AA227" s="4" t="inlineStr">
        <is>
          <t>Not found</t>
        </is>
      </c>
      <c r="AB227" s="4" t="inlineStr">
        <is>
          <t>Directory or search listing; not opened (direct site access blocked)</t>
        </is>
      </c>
      <c r="AC227" s="4" t="inlineStr">
        <is>
          <t>No expired licence or ended distribution agreement found</t>
        </is>
      </c>
      <c r="AD227" s="4" t="inlineStr">
        <is>
          <t>Not started</t>
        </is>
      </c>
      <c r="AE227" s="4" t="inlineStr"/>
      <c r="AF227" s="4" t="inlineStr"/>
      <c r="AG227" s="4" t="inlineStr">
        <is>
          <t>No email published and no verified website found</t>
        </is>
      </c>
    </row>
    <row r="228">
      <c r="A228" s="4" t="n">
        <v>224</v>
      </c>
      <c r="B228" s="4" t="inlineStr">
        <is>
          <t>Hokui Kikaku</t>
        </is>
      </c>
      <c r="C228" s="4" t="inlineStr">
        <is>
          <t>北医企画</t>
        </is>
      </c>
      <c r="D228" s="4" t="inlineStr">
        <is>
          <t>Not retrieved (NTA lookup blocked in this session)</t>
        </is>
      </c>
      <c r="E228" s="4" t="inlineStr">
        <is>
          <t>北海道</t>
        </is>
      </c>
      <c r="F228" s="4" t="inlineStr">
        <is>
          <t>Tohoku and Hokkaido</t>
        </is>
      </c>
      <c r="G228" s="4" t="inlineStr">
        <is>
          <t>https://www.hokui.com/</t>
        </is>
      </c>
      <c r="H228" s="4" t="inlineStr">
        <is>
          <t>No MAH found; device sales licence (高度管理医療機器等販売業) not confirmed</t>
        </is>
      </c>
      <c r="I228" s="4" t="inlineStr">
        <is>
          <t>Not identified in published sources</t>
        </is>
      </c>
      <c r="J228" s="4" t="inlineStr">
        <is>
          <t>General medical equipment (hospitals and clinics)</t>
        </is>
      </c>
      <c r="K228" s="4" t="inlineStr">
        <is>
          <t>北海道 (regional; branch network not confirmed)</t>
        </is>
      </c>
      <c r="L228" s="4" t="inlineStr">
        <is>
          <t>About 14 staff (estimate)</t>
        </is>
      </c>
      <c r="M228" s="4" t="inlineStr">
        <is>
          <t>小里学 (代表者, per SalesNow DB)</t>
        </is>
      </c>
      <c r="N228" s="4" t="inlineStr">
        <is>
          <t>Representative</t>
        </is>
      </c>
      <c r="O228" s="4" t="inlineStr">
        <is>
          <t>hokuikikaku@hokui.com</t>
        </is>
      </c>
      <c r="P228" s="4" t="inlineStr">
        <is>
          <t>Not confirmed</t>
        </is>
      </c>
      <c r="Q228" s="4" t="inlineStr">
        <is>
          <t>Not identified</t>
        </is>
      </c>
      <c r="R228" s="11" t="inlineStr">
        <is>
          <t>Likely</t>
        </is>
      </c>
      <c r="S228" s="4" t="n">
        <v>18</v>
      </c>
      <c r="T228" s="10" t="inlineStr">
        <is>
          <t>C</t>
        </is>
      </c>
      <c r="U228" s="4" t="inlineStr">
        <is>
          <t>Regional general medical equipment dealer with hospital and clinic accounts; candidate sub dealer under a national MAH partner.</t>
        </is>
      </c>
      <c r="V228" s="4" t="inlineStr">
        <is>
          <t>Introduce CHISON as a future line through a national MAH partner; ask about their hospital and clinic coverage, service engineers and openness to non Japanese brands.</t>
        </is>
      </c>
      <c r="W228" s="4" t="inlineStr">
        <is>
          <t>N (not identified)</t>
        </is>
      </c>
      <c r="X228" s="7" t="inlineStr">
        <is>
          <t>https://salesnow.jp/db/companies/jcb3frp3wfstg2f9h</t>
        </is>
      </c>
      <c r="Y228" s="4" t="inlineStr">
        <is>
          <t>SonoEye P3 plus SonoAir 30 for GP and clinic accounts</t>
        </is>
      </c>
      <c r="Z228" s="4" t="inlineStr">
        <is>
          <t>2, 2, 3, 3, 3, 2, 3</t>
        </is>
      </c>
      <c r="AA228" s="4" t="inlineStr">
        <is>
          <t>北海道札幌市西区八軒七条東5丁目1番5号</t>
        </is>
      </c>
      <c r="AB228" s="4" t="inlineStr">
        <is>
          <t>Verified in 10% recheck. Correction: Baseconnect listed Hakodate; registered address is Sapporo Nishi ku</t>
        </is>
      </c>
      <c r="AC228" s="4" t="inlineStr">
        <is>
          <t>No expired licence or ended distribution agreement found</t>
        </is>
      </c>
      <c r="AD228" s="4" t="inlineStr">
        <is>
          <t>Not started</t>
        </is>
      </c>
      <c r="AE228" s="4" t="inlineStr"/>
      <c r="AF228" s="4" t="inlineStr">
        <is>
          <t>https://www.hokui.com/contact.html</t>
        </is>
      </c>
      <c r="AG228" s="4" t="inlineStr">
        <is>
          <t>Verified: published on company website</t>
        </is>
      </c>
    </row>
    <row r="229">
      <c r="A229" s="4" t="n">
        <v>225</v>
      </c>
      <c r="B229" s="4" t="inlineStr">
        <is>
          <t>Neomedix</t>
        </is>
      </c>
      <c r="C229" s="4" t="inlineStr">
        <is>
          <t>ネオメディックス</t>
        </is>
      </c>
      <c r="D229" s="4" t="inlineStr">
        <is>
          <t>Not retrieved (NTA lookup blocked in this session)</t>
        </is>
      </c>
      <c r="E229" s="4" t="inlineStr">
        <is>
          <t>北海道</t>
        </is>
      </c>
      <c r="F229" s="4" t="inlineStr">
        <is>
          <t>Tohoku and Hokkaido</t>
        </is>
      </c>
      <c r="G229" s="4" t="inlineStr">
        <is>
          <t>http://www.neomedics.co.jp/</t>
        </is>
      </c>
      <c r="H229" s="4" t="inlineStr">
        <is>
          <t>No MAH found; device sales licence (高度管理医療機器等販売業) not confirmed</t>
        </is>
      </c>
      <c r="I229" s="4" t="inlineStr">
        <is>
          <t>Not identified in published sources</t>
        </is>
      </c>
      <c r="J229" s="4" t="inlineStr">
        <is>
          <t>General medical equipment (hospitals and clinics)</t>
        </is>
      </c>
      <c r="K229" s="4" t="inlineStr">
        <is>
          <t>北海道 (regional; branch network not confirmed)</t>
        </is>
      </c>
      <c r="L229" s="4" t="inlineStr">
        <is>
          <t>Not found</t>
        </is>
      </c>
      <c r="M229" s="4" t="inlineStr">
        <is>
          <t>Not identified</t>
        </is>
      </c>
      <c r="N229" s="4" t="inlineStr">
        <is>
          <t>Not identified</t>
        </is>
      </c>
      <c r="O229" s="4" t="inlineStr">
        <is>
          <t>Not published; use company inquiry form</t>
        </is>
      </c>
      <c r="P229" s="4" t="inlineStr">
        <is>
          <t>Not confirmed</t>
        </is>
      </c>
      <c r="Q229" s="4" t="inlineStr">
        <is>
          <t>Not identified</t>
        </is>
      </c>
      <c r="R229" s="5" t="inlineStr">
        <is>
          <t>Company inquiry only</t>
        </is>
      </c>
      <c r="S229" s="4" t="n">
        <v>18</v>
      </c>
      <c r="T229" s="10" t="inlineStr">
        <is>
          <t>C</t>
        </is>
      </c>
      <c r="U229" s="4" t="inlineStr">
        <is>
          <t>Regional general medical equipment dealer with hospital and clinic accounts; candidate sub dealer under a national MAH partner.</t>
        </is>
      </c>
      <c r="V229" s="4" t="inlineStr">
        <is>
          <t>Introduce CHISON as a future line through a national MAH partner; ask about their hospital and clinic coverage, service engineers and openness to non Japanese brands.</t>
        </is>
      </c>
      <c r="W229" s="4" t="inlineStr">
        <is>
          <t>N (not identified)</t>
        </is>
      </c>
      <c r="X229" s="7" t="inlineStr">
        <is>
          <t>https://baseconnect.in/companies/prefecture/9ebb3838-effc-47da-b634-994957a78319/keyword/89941b4e-2dd1-4848-8957-48af280a31e0</t>
        </is>
      </c>
      <c r="Y229" s="4" t="inlineStr">
        <is>
          <t>SonoEye P3 plus SonoAir 30 for GP and clinic accounts</t>
        </is>
      </c>
      <c r="Z229" s="4" t="inlineStr">
        <is>
          <t>2, 2, 3, 3, 3, 2, 3</t>
        </is>
      </c>
      <c r="AA229" s="4" t="inlineStr">
        <is>
          <t>Not found</t>
        </is>
      </c>
      <c r="AB229" s="4" t="inlineStr">
        <is>
          <t>Directory or search listing; not opened (direct site access blocked)</t>
        </is>
      </c>
      <c r="AC229" s="4" t="inlineStr">
        <is>
          <t>No expired licence or ended distribution agreement found</t>
        </is>
      </c>
      <c r="AD229" s="4" t="inlineStr">
        <is>
          <t>Not started</t>
        </is>
      </c>
      <c r="AE229" s="4" t="inlineStr"/>
      <c r="AF229" s="4" t="inlineStr"/>
      <c r="AG229" s="4" t="inlineStr">
        <is>
          <t>No email published; website has no contact page link, phone first</t>
        </is>
      </c>
    </row>
    <row r="230">
      <c r="A230" s="4" t="n">
        <v>226</v>
      </c>
      <c r="B230" s="4" t="inlineStr">
        <is>
          <t>Miyoshi Medical</t>
        </is>
      </c>
      <c r="C230" s="4" t="inlineStr">
        <is>
          <t>三好メディカル</t>
        </is>
      </c>
      <c r="D230" s="4" t="inlineStr">
        <is>
          <t>Not retrieved (NTA lookup blocked in this session)</t>
        </is>
      </c>
      <c r="E230" s="4" t="inlineStr">
        <is>
          <t>北海道</t>
        </is>
      </c>
      <c r="F230" s="4" t="inlineStr">
        <is>
          <t>Tohoku and Hokkaido</t>
        </is>
      </c>
      <c r="G230" s="4" t="inlineStr">
        <is>
          <t>http://www.miyoshi-md.co.jp/</t>
        </is>
      </c>
      <c r="H230" s="4" t="inlineStr">
        <is>
          <t>No MAH found; device sales licence (高度管理医療機器等販売業) not confirmed</t>
        </is>
      </c>
      <c r="I230" s="4" t="inlineStr">
        <is>
          <t>Not identified in published sources</t>
        </is>
      </c>
      <c r="J230" s="4" t="inlineStr">
        <is>
          <t>General medical equipment (hospitals and clinics)</t>
        </is>
      </c>
      <c r="K230" s="4" t="inlineStr">
        <is>
          <t>北海道; Hokkaido</t>
        </is>
      </c>
      <c r="L230" s="4" t="inlineStr">
        <is>
          <t>Not found</t>
        </is>
      </c>
      <c r="M230" s="4" t="inlineStr">
        <is>
          <t>Not identified</t>
        </is>
      </c>
      <c r="N230" s="4" t="inlineStr">
        <is>
          <t>Not identified</t>
        </is>
      </c>
      <c r="O230" s="4" t="inlineStr">
        <is>
          <t>Not published; use contact form</t>
        </is>
      </c>
      <c r="P230" s="4" t="inlineStr">
        <is>
          <t>Not confirmed</t>
        </is>
      </c>
      <c r="Q230" s="4" t="inlineStr">
        <is>
          <t>Not identified</t>
        </is>
      </c>
      <c r="R230" s="5" t="inlineStr">
        <is>
          <t>Likely</t>
        </is>
      </c>
      <c r="S230" s="4" t="n">
        <v>18</v>
      </c>
      <c r="T230" s="10" t="inlineStr">
        <is>
          <t>C</t>
        </is>
      </c>
      <c r="U230" s="4" t="inlineStr">
        <is>
          <t>Regional general medical equipment dealer with hospital and clinic accounts; candidate sub dealer under a national MAH partner.</t>
        </is>
      </c>
      <c r="V230" s="4" t="inlineStr">
        <is>
          <t>Introduce CHISON as a future line through a national MAH partner; ask about their hospital and clinic coverage, service engineers and openness to non Japanese brands.</t>
        </is>
      </c>
      <c r="W230" s="4" t="inlineStr">
        <is>
          <t>N (not identified)</t>
        </is>
      </c>
      <c r="X230" s="7" t="inlineStr">
        <is>
          <t>https://baseconnect.in/companies/prefecture/9ebb3838-effc-47da-b634-994957a78319/keyword/89941b4e-2dd1-4848-8957-48af280a31e0</t>
        </is>
      </c>
      <c r="Y230" s="4" t="inlineStr">
        <is>
          <t>SonoEye P3 plus SonoAir 30 for GP and clinic accounts</t>
        </is>
      </c>
      <c r="Z230" s="4" t="inlineStr">
        <is>
          <t>2, 2, 3, 3, 3, 2, 3</t>
        </is>
      </c>
      <c r="AA230" s="4" t="inlineStr">
        <is>
          <t>Not found</t>
        </is>
      </c>
      <c r="AB230" s="4" t="inlineStr">
        <is>
          <t>Directory or search listing; not opened (direct site access blocked)</t>
        </is>
      </c>
      <c r="AC230" s="4" t="inlineStr">
        <is>
          <t>No expired licence or ended distribution agreement found</t>
        </is>
      </c>
      <c r="AD230" s="4" t="inlineStr">
        <is>
          <t>Not started</t>
        </is>
      </c>
      <c r="AE230" s="4" t="inlineStr"/>
      <c r="AF230" s="4" t="inlineStr">
        <is>
          <t>http://www.miyoshi-md.co.jp/contact.html</t>
        </is>
      </c>
      <c r="AG230" s="4" t="inlineStr">
        <is>
          <t>No email published; use the contact form (link in Email source)</t>
        </is>
      </c>
    </row>
    <row r="231">
      <c r="A231" s="4" t="n">
        <v>227</v>
      </c>
      <c r="B231" s="4" t="inlineStr">
        <is>
          <t>Medical Life Line</t>
        </is>
      </c>
      <c r="C231" s="4" t="inlineStr">
        <is>
          <t>メディカル・ライフ・ライン</t>
        </is>
      </c>
      <c r="D231" s="4" t="inlineStr">
        <is>
          <t>Not retrieved (NTA lookup blocked in this session)</t>
        </is>
      </c>
      <c r="E231" s="4" t="inlineStr">
        <is>
          <t>北海道</t>
        </is>
      </c>
      <c r="F231" s="4" t="inlineStr">
        <is>
          <t>Tohoku and Hokkaido</t>
        </is>
      </c>
      <c r="G231" s="4" t="inlineStr">
        <is>
          <t>Not confirmed (company site not opened; network policy blocked direct access)</t>
        </is>
      </c>
      <c r="H231" s="4" t="inlineStr">
        <is>
          <t>No MAH found; device sales licence (高度管理医療機器等販売業) not confirmed</t>
        </is>
      </c>
      <c r="I231" s="4" t="inlineStr">
        <is>
          <t>Not identified in published sources</t>
        </is>
      </c>
      <c r="J231" s="4" t="inlineStr">
        <is>
          <t>General medical equipment (hospitals and clinics)</t>
        </is>
      </c>
      <c r="K231" s="4" t="inlineStr">
        <is>
          <t>北海道; Hokkaido</t>
        </is>
      </c>
      <c r="L231" s="4" t="inlineStr">
        <is>
          <t>Not found</t>
        </is>
      </c>
      <c r="M231" s="4" t="inlineStr">
        <is>
          <t>Not identified</t>
        </is>
      </c>
      <c r="N231" s="4" t="inlineStr">
        <is>
          <t>Not identified</t>
        </is>
      </c>
      <c r="O231" s="4" t="inlineStr">
        <is>
          <t>Not published; use company inquiry form</t>
        </is>
      </c>
      <c r="P231" s="4" t="inlineStr">
        <is>
          <t>Not confirmed</t>
        </is>
      </c>
      <c r="Q231" s="4" t="inlineStr">
        <is>
          <t>Not identified</t>
        </is>
      </c>
      <c r="R231" s="5" t="inlineStr">
        <is>
          <t>Unverified</t>
        </is>
      </c>
      <c r="S231" s="4" t="n">
        <v>18</v>
      </c>
      <c r="T231" s="10" t="inlineStr">
        <is>
          <t>C</t>
        </is>
      </c>
      <c r="U231" s="4" t="inlineStr">
        <is>
          <t>Regional general medical equipment dealer with hospital and clinic accounts; candidate sub dealer under a national MAH partner.</t>
        </is>
      </c>
      <c r="V231" s="4" t="inlineStr">
        <is>
          <t>Introduce CHISON as a future line through a national MAH partner; ask about their hospital and clinic coverage, service engineers and openness to non Japanese brands.</t>
        </is>
      </c>
      <c r="W231" s="4" t="inlineStr">
        <is>
          <t>N (not identified)</t>
        </is>
      </c>
      <c r="X231" s="7" t="inlineStr">
        <is>
          <t>https://baseconnect.in/companies/prefecture/9ebb3838-effc-47da-b634-994957a78319/keyword/89941b4e-2dd1-4848-8957-48af280a31e0</t>
        </is>
      </c>
      <c r="Y231" s="4" t="inlineStr">
        <is>
          <t>SonoEye P3 plus SonoAir 30 for GP and clinic accounts</t>
        </is>
      </c>
      <c r="Z231" s="4" t="inlineStr">
        <is>
          <t>2, 2, 3, 3, 3, 2, 3</t>
        </is>
      </c>
      <c r="AA231" s="4" t="inlineStr">
        <is>
          <t>Not found</t>
        </is>
      </c>
      <c r="AB231" s="4" t="inlineStr">
        <is>
          <t>Directory or search listing; not opened (direct site access blocked)</t>
        </is>
      </c>
      <c r="AC231" s="4" t="inlineStr">
        <is>
          <t>No expired licence or ended distribution agreement found</t>
        </is>
      </c>
      <c r="AD231" s="4" t="inlineStr">
        <is>
          <t>Not started</t>
        </is>
      </c>
      <c r="AE231" s="4" t="inlineStr"/>
      <c r="AF231" s="4" t="inlineStr"/>
      <c r="AG231" s="4" t="inlineStr">
        <is>
          <t>No email published and no verified website found</t>
        </is>
      </c>
    </row>
    <row r="232">
      <c r="A232" s="4" t="n">
        <v>228</v>
      </c>
      <c r="B232" s="4" t="inlineStr">
        <is>
          <t>Nova Medical</t>
        </is>
      </c>
      <c r="C232" s="4" t="inlineStr">
        <is>
          <t>ノバメディカル</t>
        </is>
      </c>
      <c r="D232" s="4" t="inlineStr">
        <is>
          <t>Not retrieved (NTA lookup blocked in this session)</t>
        </is>
      </c>
      <c r="E232" s="4" t="inlineStr">
        <is>
          <t>北海道</t>
        </is>
      </c>
      <c r="F232" s="4" t="inlineStr">
        <is>
          <t>Tohoku and Hokkaido</t>
        </is>
      </c>
      <c r="G232" s="4" t="inlineStr">
        <is>
          <t>https://www.novamedical.co.jp/</t>
        </is>
      </c>
      <c r="H232" s="4" t="inlineStr">
        <is>
          <t>No MAH found; device sales licence (高度管理医療機器等販売業) not confirmed</t>
        </is>
      </c>
      <c r="I232" s="4" t="inlineStr">
        <is>
          <t>Not identified in published sources</t>
        </is>
      </c>
      <c r="J232" s="4" t="inlineStr">
        <is>
          <t>General medical equipment (hospitals and clinics)</t>
        </is>
      </c>
      <c r="K232" s="4" t="inlineStr">
        <is>
          <t>北海道; Hokkaido</t>
        </is>
      </c>
      <c r="L232" s="4" t="inlineStr">
        <is>
          <t>Not found</t>
        </is>
      </c>
      <c r="M232" s="4" t="inlineStr">
        <is>
          <t>Not identified</t>
        </is>
      </c>
      <c r="N232" s="4" t="inlineStr">
        <is>
          <t>Not identified</t>
        </is>
      </c>
      <c r="O232" s="4" t="inlineStr">
        <is>
          <t>Not published; use contact form</t>
        </is>
      </c>
      <c r="P232" s="4" t="inlineStr">
        <is>
          <t>Not confirmed</t>
        </is>
      </c>
      <c r="Q232" s="4" t="inlineStr">
        <is>
          <t>Not identified</t>
        </is>
      </c>
      <c r="R232" s="5" t="inlineStr">
        <is>
          <t>Likely</t>
        </is>
      </c>
      <c r="S232" s="4" t="n">
        <v>18</v>
      </c>
      <c r="T232" s="10" t="inlineStr">
        <is>
          <t>C</t>
        </is>
      </c>
      <c r="U232" s="4" t="inlineStr">
        <is>
          <t>Regional general medical equipment dealer with hospital and clinic accounts; candidate sub dealer under a national MAH partner.</t>
        </is>
      </c>
      <c r="V232" s="4" t="inlineStr">
        <is>
          <t>Introduce CHISON as a future line through a national MAH partner; ask about their hospital and clinic coverage, service engineers and openness to non Japanese brands.</t>
        </is>
      </c>
      <c r="W232" s="4" t="inlineStr">
        <is>
          <t>N (not identified)</t>
        </is>
      </c>
      <c r="X232" s="7" t="inlineStr">
        <is>
          <t>https://baseconnect.in/companies/prefecture/9ebb3838-effc-47da-b634-994957a78319/keyword/89941b4e-2dd1-4848-8957-48af280a31e0</t>
        </is>
      </c>
      <c r="Y232" s="4" t="inlineStr">
        <is>
          <t>SonoEye P3 plus SonoAir 30 for GP and clinic accounts</t>
        </is>
      </c>
      <c r="Z232" s="4" t="inlineStr">
        <is>
          <t>2, 2, 3, 3, 3, 2, 3</t>
        </is>
      </c>
      <c r="AA232" s="4" t="inlineStr">
        <is>
          <t>Not found</t>
        </is>
      </c>
      <c r="AB232" s="4" t="inlineStr">
        <is>
          <t>Directory or search listing; not opened (direct site access blocked)</t>
        </is>
      </c>
      <c r="AC232" s="4" t="inlineStr">
        <is>
          <t>No expired licence or ended distribution agreement found</t>
        </is>
      </c>
      <c r="AD232" s="4" t="inlineStr">
        <is>
          <t>Not started</t>
        </is>
      </c>
      <c r="AE232" s="4" t="inlineStr"/>
      <c r="AF232" s="4" t="inlineStr">
        <is>
          <t>https://www.novamedical.co.jp/contact/index.html</t>
        </is>
      </c>
      <c r="AG232" s="4" t="inlineStr">
        <is>
          <t>No email published; use the contact form (link in Email source)</t>
        </is>
      </c>
    </row>
    <row r="233">
      <c r="A233" s="4" t="n">
        <v>229</v>
      </c>
      <c r="B233" s="4" t="inlineStr">
        <is>
          <t>Active Medical</t>
        </is>
      </c>
      <c r="C233" s="4" t="inlineStr">
        <is>
          <t>アクティブメディカル</t>
        </is>
      </c>
      <c r="D233" s="4" t="inlineStr">
        <is>
          <t>Not retrieved (NTA lookup blocked in this session)</t>
        </is>
      </c>
      <c r="E233" s="4" t="inlineStr">
        <is>
          <t>北海道</t>
        </is>
      </c>
      <c r="F233" s="4" t="inlineStr">
        <is>
          <t>Tohoku and Hokkaido</t>
        </is>
      </c>
      <c r="G233" s="4" t="inlineStr">
        <is>
          <t>https://www.alvaus.co.jp/</t>
        </is>
      </c>
      <c r="H233" s="4" t="inlineStr">
        <is>
          <t>No MAH found; device sales licence (高度管理医療機器等販売業) not confirmed</t>
        </is>
      </c>
      <c r="I233" s="4" t="inlineStr">
        <is>
          <t>Not identified in published sources</t>
        </is>
      </c>
      <c r="J233" s="4" t="inlineStr">
        <is>
          <t>General medical equipment (hospitals and clinics)</t>
        </is>
      </c>
      <c r="K233" s="4" t="inlineStr">
        <is>
          <t>北海道; Hokkaido</t>
        </is>
      </c>
      <c r="L233" s="4" t="inlineStr">
        <is>
          <t>Not found</t>
        </is>
      </c>
      <c r="M233" s="4" t="inlineStr">
        <is>
          <t>Not identified</t>
        </is>
      </c>
      <c r="N233" s="4" t="inlineStr">
        <is>
          <t>Not identified</t>
        </is>
      </c>
      <c r="O233" s="4" t="inlineStr">
        <is>
          <t>akihiro@alvaus.co.jp</t>
        </is>
      </c>
      <c r="P233" s="4" t="inlineStr">
        <is>
          <t>Not confirmed</t>
        </is>
      </c>
      <c r="Q233" s="4" t="inlineStr">
        <is>
          <t>Not identified</t>
        </is>
      </c>
      <c r="R233" s="5" t="inlineStr">
        <is>
          <t>Unverified</t>
        </is>
      </c>
      <c r="S233" s="4" t="n">
        <v>18</v>
      </c>
      <c r="T233" s="10" t="inlineStr">
        <is>
          <t>C</t>
        </is>
      </c>
      <c r="U233" s="4" t="inlineStr">
        <is>
          <t>Regional general medical equipment dealer with hospital and clinic accounts; candidate sub dealer under a national MAH partner.</t>
        </is>
      </c>
      <c r="V233" s="4" t="inlineStr">
        <is>
          <t>Introduce CHISON as a future line through a national MAH partner; ask about their hospital and clinic coverage, service engineers and openness to non Japanese brands.</t>
        </is>
      </c>
      <c r="W233" s="4" t="inlineStr">
        <is>
          <t>N (not identified)</t>
        </is>
      </c>
      <c r="X233" s="7" t="inlineStr">
        <is>
          <t>https://baseconnect.in/companies/prefecture/9ebb3838-effc-47da-b634-994957a78319/keyword/89941b4e-2dd1-4848-8957-48af280a31e0</t>
        </is>
      </c>
      <c r="Y233" s="4" t="inlineStr">
        <is>
          <t>SonoEye P3 plus SonoAir 30 for GP and clinic accounts</t>
        </is>
      </c>
      <c r="Z233" s="4" t="inlineStr">
        <is>
          <t>2, 2, 3, 3, 3, 2, 3</t>
        </is>
      </c>
      <c r="AA233" s="4" t="inlineStr">
        <is>
          <t>Not found</t>
        </is>
      </c>
      <c r="AB233" s="4" t="inlineStr">
        <is>
          <t>Directory or search listing; not opened (direct site access blocked)</t>
        </is>
      </c>
      <c r="AC233" s="4" t="inlineStr">
        <is>
          <t>No expired licence or ended distribution agreement found</t>
        </is>
      </c>
      <c r="AD233" s="4" t="inlineStr">
        <is>
          <t>Not started</t>
        </is>
      </c>
      <c r="AE233" s="4" t="inlineStr">
        <is>
          <t>al_recruit@alvaus.co.jp</t>
        </is>
      </c>
      <c r="AF233" s="4" t="inlineStr">
        <is>
          <t>https://en-ambi.com/agency/a-5985/</t>
        </is>
      </c>
      <c r="AG233" s="4" t="inlineStr">
        <is>
          <t>Likely: indexed on company domain</t>
        </is>
      </c>
    </row>
    <row r="234">
      <c r="A234" s="4" t="n">
        <v>230</v>
      </c>
      <c r="B234" s="4" t="inlineStr">
        <is>
          <t>IMC (Hokkaido)</t>
        </is>
      </c>
      <c r="C234" s="4" t="inlineStr">
        <is>
          <t>IMC</t>
        </is>
      </c>
      <c r="D234" s="4" t="inlineStr">
        <is>
          <t>Not retrieved (NTA lookup blocked in this session)</t>
        </is>
      </c>
      <c r="E234" s="4" t="inlineStr">
        <is>
          <t>北海道</t>
        </is>
      </c>
      <c r="F234" s="4" t="inlineStr">
        <is>
          <t>Tohoku and Hokkaido</t>
        </is>
      </c>
      <c r="G234" s="4" t="inlineStr">
        <is>
          <t>https://www.jmuc.co.jp/</t>
        </is>
      </c>
      <c r="H234" s="4" t="inlineStr">
        <is>
          <t>No MAH found; device sales licence (高度管理医療機器等販売業) not confirmed</t>
        </is>
      </c>
      <c r="I234" s="4" t="inlineStr">
        <is>
          <t>Not identified in published sources</t>
        </is>
      </c>
      <c r="J234" s="4" t="inlineStr">
        <is>
          <t>General medical equipment (hospitals and clinics)</t>
        </is>
      </c>
      <c r="K234" s="4" t="inlineStr">
        <is>
          <t>北海道; Hokkaido</t>
        </is>
      </c>
      <c r="L234" s="4" t="inlineStr">
        <is>
          <t>Not found</t>
        </is>
      </c>
      <c r="M234" s="4" t="inlineStr">
        <is>
          <t>Not identified</t>
        </is>
      </c>
      <c r="N234" s="4" t="inlineStr">
        <is>
          <t>Not identified</t>
        </is>
      </c>
      <c r="O234" s="4" t="inlineStr">
        <is>
          <t>sales@imc.jmuc.co.jp</t>
        </is>
      </c>
      <c r="P234" s="4" t="inlineStr">
        <is>
          <t>Not confirmed</t>
        </is>
      </c>
      <c r="Q234" s="4" t="inlineStr">
        <is>
          <t>Not identified</t>
        </is>
      </c>
      <c r="R234" s="5" t="inlineStr">
        <is>
          <t>Unverified</t>
        </is>
      </c>
      <c r="S234" s="4" t="n">
        <v>18</v>
      </c>
      <c r="T234" s="10" t="inlineStr">
        <is>
          <t>C</t>
        </is>
      </c>
      <c r="U234" s="4" t="inlineStr">
        <is>
          <t>Regional general medical equipment dealer with hospital and clinic accounts; candidate sub dealer under a national MAH partner.</t>
        </is>
      </c>
      <c r="V234" s="4" t="inlineStr">
        <is>
          <t>Introduce CHISON as a future line through a national MAH partner; ask about their hospital and clinic coverage, service engineers and openness to non Japanese brands.</t>
        </is>
      </c>
      <c r="W234" s="4" t="inlineStr">
        <is>
          <t>N (not identified)</t>
        </is>
      </c>
      <c r="X234" s="7" t="inlineStr">
        <is>
          <t>https://baseconnect.in/companies/prefecture/9ebb3838-effc-47da-b634-994957a78319/keyword/89941b4e-2dd1-4848-8957-48af280a31e0</t>
        </is>
      </c>
      <c r="Y234" s="4" t="inlineStr">
        <is>
          <t>SonoEye P3 plus SonoAir 30 for GP and clinic accounts</t>
        </is>
      </c>
      <c r="Z234" s="4" t="inlineStr">
        <is>
          <t>2, 2, 3, 3, 3, 2, 3</t>
        </is>
      </c>
      <c r="AA234" s="4" t="inlineStr">
        <is>
          <t>Not found</t>
        </is>
      </c>
      <c r="AB234" s="4" t="inlineStr">
        <is>
          <t>Directory or search listing; not opened (direct site access blocked)</t>
        </is>
      </c>
      <c r="AC234" s="4" t="inlineStr">
        <is>
          <t>No expired licence or ended distribution agreement found</t>
        </is>
      </c>
      <c r="AD234" s="4" t="inlineStr">
        <is>
          <t>Not started</t>
        </is>
      </c>
      <c r="AE234" s="4" t="inlineStr">
        <is>
          <t>lifeboat-insp@imc.jmuc.co.jp, dm_sales@imc.jmuc.co.jp, shimizu@imc.jmuc.co.jp, msc_sales@imc.jmuc.co.jp, eq_sales@imc.jmuc.co.jp</t>
        </is>
      </c>
      <c r="AF234" s="4" t="inlineStr">
        <is>
          <t>https://www.asry.net/International%20Agents/</t>
        </is>
      </c>
      <c r="AG234" s="4" t="inlineStr">
        <is>
          <t>Likely: indexed on company domain</t>
        </is>
      </c>
    </row>
    <row r="235">
      <c r="A235" s="4" t="n">
        <v>231</v>
      </c>
      <c r="B235" s="4" t="inlineStr">
        <is>
          <t>Mac (Hokkaido)</t>
        </is>
      </c>
      <c r="C235" s="4" t="inlineStr">
        <is>
          <t>マック</t>
        </is>
      </c>
      <c r="D235" s="4" t="inlineStr">
        <is>
          <t>Not retrieved (NTA lookup blocked in this session)</t>
        </is>
      </c>
      <c r="E235" s="4" t="inlineStr">
        <is>
          <t>北海道</t>
        </is>
      </c>
      <c r="F235" s="4" t="inlineStr">
        <is>
          <t>Tohoku and Hokkaido</t>
        </is>
      </c>
      <c r="G235" s="4" t="inlineStr">
        <is>
          <t>https://www.mac-inc.co.jp/</t>
        </is>
      </c>
      <c r="H235" s="4" t="inlineStr">
        <is>
          <t>No MAH found; device sales licence (高度管理医療機器等販売業) not confirmed</t>
        </is>
      </c>
      <c r="I235" s="4" t="inlineStr">
        <is>
          <t>Not identified in published sources</t>
        </is>
      </c>
      <c r="J235" s="4" t="inlineStr">
        <is>
          <t>General medical equipment (hospitals and clinics)</t>
        </is>
      </c>
      <c r="K235" s="4" t="inlineStr">
        <is>
          <t>北海道; Hokkaido</t>
        </is>
      </c>
      <c r="L235" s="4" t="inlineStr">
        <is>
          <t>Not found</t>
        </is>
      </c>
      <c r="M235" s="4" t="inlineStr">
        <is>
          <t>Not identified</t>
        </is>
      </c>
      <c r="N235" s="4" t="inlineStr">
        <is>
          <t>Not identified</t>
        </is>
      </c>
      <c r="O235" s="4" t="inlineStr">
        <is>
          <t>Not published; use contact form</t>
        </is>
      </c>
      <c r="P235" s="4" t="inlineStr">
        <is>
          <t>Not confirmed</t>
        </is>
      </c>
      <c r="Q235" s="4" t="inlineStr">
        <is>
          <t>Not identified</t>
        </is>
      </c>
      <c r="R235" s="5" t="inlineStr">
        <is>
          <t>Likely</t>
        </is>
      </c>
      <c r="S235" s="4" t="n">
        <v>18</v>
      </c>
      <c r="T235" s="10" t="inlineStr">
        <is>
          <t>C</t>
        </is>
      </c>
      <c r="U235" s="4" t="inlineStr">
        <is>
          <t>Regional general medical equipment dealer with hospital and clinic accounts; candidate sub dealer under a national MAH partner.</t>
        </is>
      </c>
      <c r="V235" s="4" t="inlineStr">
        <is>
          <t>Introduce CHISON as a future line through a national MAH partner; ask about their hospital and clinic coverage, service engineers and openness to non Japanese brands.</t>
        </is>
      </c>
      <c r="W235" s="4" t="inlineStr">
        <is>
          <t>N (not identified)</t>
        </is>
      </c>
      <c r="X235" s="7" t="inlineStr">
        <is>
          <t>https://baseconnect.in/companies/prefecture/9ebb3838-effc-47da-b634-994957a78319/keyword/89941b4e-2dd1-4848-8957-48af280a31e0</t>
        </is>
      </c>
      <c r="Y235" s="4" t="inlineStr">
        <is>
          <t>SonoEye P3 plus SonoAir 30 for GP and clinic accounts</t>
        </is>
      </c>
      <c r="Z235" s="4" t="inlineStr">
        <is>
          <t>2, 2, 3, 3, 3, 2, 3</t>
        </is>
      </c>
      <c r="AA235" s="4" t="inlineStr">
        <is>
          <t>Not found</t>
        </is>
      </c>
      <c r="AB235" s="4" t="inlineStr">
        <is>
          <t>Directory or search listing; not opened (direct site access blocked)</t>
        </is>
      </c>
      <c r="AC235" s="4" t="inlineStr">
        <is>
          <t>No expired licence or ended distribution agreement found</t>
        </is>
      </c>
      <c r="AD235" s="4" t="inlineStr">
        <is>
          <t>Not started</t>
        </is>
      </c>
      <c r="AE235" s="4" t="inlineStr"/>
      <c r="AF235" s="4" t="inlineStr">
        <is>
          <t>https://www.mac-inc.co.jp/contact/</t>
        </is>
      </c>
      <c r="AG235" s="4" t="inlineStr">
        <is>
          <t>No email published; use the contact form (link in Email source)</t>
        </is>
      </c>
    </row>
    <row r="236">
      <c r="A236" s="4" t="n">
        <v>232</v>
      </c>
      <c r="B236" s="4" t="inlineStr">
        <is>
          <t>Northerly Medical</t>
        </is>
      </c>
      <c r="C236" s="4" t="inlineStr">
        <is>
          <t>ノーザリーメディカル</t>
        </is>
      </c>
      <c r="D236" s="4" t="inlineStr">
        <is>
          <t>Not retrieved (NTA lookup blocked in this session)</t>
        </is>
      </c>
      <c r="E236" s="4" t="inlineStr">
        <is>
          <t>北海道</t>
        </is>
      </c>
      <c r="F236" s="4" t="inlineStr">
        <is>
          <t>Tohoku and Hokkaido</t>
        </is>
      </c>
      <c r="G236" s="4" t="inlineStr">
        <is>
          <t>https://northerlymed.com/</t>
        </is>
      </c>
      <c r="H236" s="4" t="inlineStr">
        <is>
          <t>No MAH found; device sales licence (高度管理医療機器等販売業) not confirmed</t>
        </is>
      </c>
      <c r="I236" s="4" t="inlineStr">
        <is>
          <t>Not identified in published sources</t>
        </is>
      </c>
      <c r="J236" s="4" t="inlineStr">
        <is>
          <t>General medical equipment (hospitals and clinics)</t>
        </is>
      </c>
      <c r="K236" s="4" t="inlineStr">
        <is>
          <t>北海道; Hokkaido</t>
        </is>
      </c>
      <c r="L236" s="4" t="inlineStr">
        <is>
          <t>Not found</t>
        </is>
      </c>
      <c r="M236" s="4" t="inlineStr">
        <is>
          <t>Not identified</t>
        </is>
      </c>
      <c r="N236" s="4" t="inlineStr">
        <is>
          <t>Not identified</t>
        </is>
      </c>
      <c r="O236" s="4" t="inlineStr">
        <is>
          <t>info@northerlymed.com</t>
        </is>
      </c>
      <c r="P236" s="4" t="inlineStr">
        <is>
          <t>Not confirmed</t>
        </is>
      </c>
      <c r="Q236" s="4" t="inlineStr">
        <is>
          <t>Not identified</t>
        </is>
      </c>
      <c r="R236" s="5" t="inlineStr">
        <is>
          <t>Unverified</t>
        </is>
      </c>
      <c r="S236" s="4" t="n">
        <v>18</v>
      </c>
      <c r="T236" s="10" t="inlineStr">
        <is>
          <t>C</t>
        </is>
      </c>
      <c r="U236" s="4" t="inlineStr">
        <is>
          <t>Regional general medical equipment dealer with hospital and clinic accounts; candidate sub dealer under a national MAH partner.</t>
        </is>
      </c>
      <c r="V236" s="4" t="inlineStr">
        <is>
          <t>Introduce CHISON as a future line through a national MAH partner; ask about their hospital and clinic coverage, service engineers and openness to non Japanese brands.</t>
        </is>
      </c>
      <c r="W236" s="4" t="inlineStr">
        <is>
          <t>N (not identified)</t>
        </is>
      </c>
      <c r="X236" s="7" t="inlineStr">
        <is>
          <t>https://baseconnect.in/companies/prefecture/9ebb3838-effc-47da-b634-994957a78319/keyword/89941b4e-2dd1-4848-8957-48af280a31e0</t>
        </is>
      </c>
      <c r="Y236" s="4" t="inlineStr">
        <is>
          <t>SonoEye P3 plus SonoAir 30 for GP and clinic accounts</t>
        </is>
      </c>
      <c r="Z236" s="4" t="inlineStr">
        <is>
          <t>2, 2, 3, 3, 3, 2, 3</t>
        </is>
      </c>
      <c r="AA236" s="4" t="inlineStr">
        <is>
          <t>Not found</t>
        </is>
      </c>
      <c r="AB236" s="4" t="inlineStr">
        <is>
          <t>Directory or search listing; not opened (direct site access blocked)</t>
        </is>
      </c>
      <c r="AC236" s="4" t="inlineStr">
        <is>
          <t>No expired licence or ended distribution agreement found</t>
        </is>
      </c>
      <c r="AD236" s="4" t="inlineStr">
        <is>
          <t>Not started</t>
        </is>
      </c>
      <c r="AE236" s="4" t="inlineStr">
        <is>
          <t>kumagai@northerlymed.com, kataoka@northerlymed.com</t>
        </is>
      </c>
      <c r="AF236" s="4" t="inlineStr">
        <is>
          <t>https://www.youtube.com/watch?v=L4_8iQwS810</t>
        </is>
      </c>
      <c r="AG236" s="4" t="inlineStr">
        <is>
          <t>Likely: indexed on company domain</t>
        </is>
      </c>
    </row>
    <row r="237">
      <c r="A237" s="4" t="n">
        <v>233</v>
      </c>
      <c r="B237" s="4" t="inlineStr">
        <is>
          <t>Glover</t>
        </is>
      </c>
      <c r="C237" s="4" t="inlineStr">
        <is>
          <t>グローバー</t>
        </is>
      </c>
      <c r="D237" s="4" t="inlineStr">
        <is>
          <t>Not retrieved (NTA lookup blocked in this session)</t>
        </is>
      </c>
      <c r="E237" s="4" t="inlineStr">
        <is>
          <t>宮城県</t>
        </is>
      </c>
      <c r="F237" s="4" t="inlineStr">
        <is>
          <t>Tohoku and Hokkaido</t>
        </is>
      </c>
      <c r="G237" s="4" t="inlineStr">
        <is>
          <t>https://growber.co.jp/</t>
        </is>
      </c>
      <c r="H237" s="4" t="inlineStr">
        <is>
          <t>No MAH found; device sales licence (高度管理医療機器等販売業) not confirmed</t>
        </is>
      </c>
      <c r="I237" s="4" t="inlineStr">
        <is>
          <t>Not identified in published sources</t>
        </is>
      </c>
      <c r="J237" s="4" t="inlineStr">
        <is>
          <t>General medical equipment (hospitals and clinics)</t>
        </is>
      </c>
      <c r="K237" s="4" t="inlineStr">
        <is>
          <t>宮城県 (regional; branch network not confirmed)</t>
        </is>
      </c>
      <c r="L237" s="4" t="inlineStr">
        <is>
          <t>Not found</t>
        </is>
      </c>
      <c r="M237" s="4" t="inlineStr">
        <is>
          <t>Not identified</t>
        </is>
      </c>
      <c r="N237" s="4" t="inlineStr">
        <is>
          <t>Not identified</t>
        </is>
      </c>
      <c r="O237" s="4" t="inlineStr">
        <is>
          <t>info@growber.co.jp</t>
        </is>
      </c>
      <c r="P237" s="4" t="inlineStr">
        <is>
          <t>Not confirmed</t>
        </is>
      </c>
      <c r="Q237" s="4" t="inlineStr">
        <is>
          <t>Not identified</t>
        </is>
      </c>
      <c r="R237" s="5" t="inlineStr">
        <is>
          <t>Unverified</t>
        </is>
      </c>
      <c r="S237" s="4" t="n">
        <v>18</v>
      </c>
      <c r="T237" s="10" t="inlineStr">
        <is>
          <t>C</t>
        </is>
      </c>
      <c r="U237" s="4" t="inlineStr">
        <is>
          <t>Regional general medical equipment dealer with hospital and clinic accounts; candidate sub dealer under a national MAH partner.</t>
        </is>
      </c>
      <c r="V237" s="4" t="inlineStr">
        <is>
          <t>Introduce CHISON as a future line through a national MAH partner; ask about their hospital and clinic coverage, service engineers and openness to non Japanese brands.</t>
        </is>
      </c>
      <c r="W237" s="4" t="inlineStr">
        <is>
          <t>N (not identified)</t>
        </is>
      </c>
      <c r="X237" s="7" t="inlineStr">
        <is>
          <t>https://baseconnect.in/companies/prefecture/3eff90d1-0bad-4fac-bce6-da9b939d7407/keyword/89941b4e-2dd1-4848-8957-48af280a31e0</t>
        </is>
      </c>
      <c r="Y237" s="4" t="inlineStr">
        <is>
          <t>SonoEye P3 plus SonoAir 30 for GP and clinic accounts</t>
        </is>
      </c>
      <c r="Z237" s="4" t="inlineStr">
        <is>
          <t>2, 2, 3, 3, 3, 2, 3</t>
        </is>
      </c>
      <c r="AA237" s="4" t="inlineStr">
        <is>
          <t>Not found</t>
        </is>
      </c>
      <c r="AB237" s="4" t="inlineStr">
        <is>
          <t>Directory or search listing; not opened (direct site access blocked)</t>
        </is>
      </c>
      <c r="AC237" s="4" t="inlineStr">
        <is>
          <t>No expired licence or ended distribution agreement found</t>
        </is>
      </c>
      <c r="AD237" s="4" t="inlineStr">
        <is>
          <t>Not started</t>
        </is>
      </c>
      <c r="AE237" s="4" t="inlineStr"/>
      <c r="AF237" s="4" t="inlineStr">
        <is>
          <t>https://growber.co.jp/company-info/</t>
        </is>
      </c>
      <c r="AG237" s="4" t="inlineStr">
        <is>
          <t>Verified: published on company website</t>
        </is>
      </c>
    </row>
    <row r="238">
      <c r="A238" s="4" t="n">
        <v>234</v>
      </c>
      <c r="B238" s="4" t="inlineStr">
        <is>
          <t>Aoki Kikaiten</t>
        </is>
      </c>
      <c r="C238" s="4" t="inlineStr">
        <is>
          <t>青木器械店</t>
        </is>
      </c>
      <c r="D238" s="4" t="inlineStr">
        <is>
          <t>Not retrieved (NTA lookup blocked in this session)</t>
        </is>
      </c>
      <c r="E238" s="4" t="inlineStr">
        <is>
          <t>宮城県</t>
        </is>
      </c>
      <c r="F238" s="4" t="inlineStr">
        <is>
          <t>Tohoku and Hokkaido</t>
        </is>
      </c>
      <c r="G238" s="4" t="inlineStr">
        <is>
          <t>http://www.aoki-med.co.jp/</t>
        </is>
      </c>
      <c r="H238" s="4" t="inlineStr">
        <is>
          <t>No MAH found; device sales licence (高度管理医療機器等販売業) not confirmed</t>
        </is>
      </c>
      <c r="I238" s="4" t="inlineStr">
        <is>
          <t>Not identified in published sources</t>
        </is>
      </c>
      <c r="J238" s="4" t="inlineStr">
        <is>
          <t>General medical equipment (hospitals and clinics)</t>
        </is>
      </c>
      <c r="K238" s="4" t="inlineStr">
        <is>
          <t>宮城県 (regional; branch network not confirmed)</t>
        </is>
      </c>
      <c r="L238" s="4" t="inlineStr">
        <is>
          <t>Not found</t>
        </is>
      </c>
      <c r="M238" s="4" t="inlineStr">
        <is>
          <t>Not identified</t>
        </is>
      </c>
      <c r="N238" s="4" t="inlineStr">
        <is>
          <t>Not identified</t>
        </is>
      </c>
      <c r="O238" s="4" t="inlineStr">
        <is>
          <t>honsha@aoki-med.co.jp</t>
        </is>
      </c>
      <c r="P238" s="4" t="inlineStr">
        <is>
          <t>Not confirmed</t>
        </is>
      </c>
      <c r="Q238" s="4" t="inlineStr">
        <is>
          <t>Not identified</t>
        </is>
      </c>
      <c r="R238" s="5" t="inlineStr">
        <is>
          <t>Unverified</t>
        </is>
      </c>
      <c r="S238" s="4" t="n">
        <v>18</v>
      </c>
      <c r="T238" s="10" t="inlineStr">
        <is>
          <t>C</t>
        </is>
      </c>
      <c r="U238" s="4" t="inlineStr">
        <is>
          <t>Regional general medical equipment dealer with hospital and clinic accounts; candidate sub dealer under a national MAH partner.</t>
        </is>
      </c>
      <c r="V238" s="4" t="inlineStr">
        <is>
          <t>Introduce CHISON as a future line through a national MAH partner; ask about their hospital and clinic coverage, service engineers and openness to non Japanese brands.</t>
        </is>
      </c>
      <c r="W238" s="4" t="inlineStr">
        <is>
          <t>N (not identified)</t>
        </is>
      </c>
      <c r="X238" s="7" t="inlineStr">
        <is>
          <t>https://baseconnect.in/companies/prefecture/3eff90d1-0bad-4fac-bce6-da9b939d7407/keyword/89941b4e-2dd1-4848-8957-48af280a31e0</t>
        </is>
      </c>
      <c r="Y238" s="4" t="inlineStr">
        <is>
          <t>SonoEye P3 plus SonoAir 30 for GP and clinic accounts</t>
        </is>
      </c>
      <c r="Z238" s="4" t="inlineStr">
        <is>
          <t>2, 2, 3, 3, 3, 2, 3</t>
        </is>
      </c>
      <c r="AA238" s="4" t="inlineStr">
        <is>
          <t>Not found</t>
        </is>
      </c>
      <c r="AB238" s="4" t="inlineStr">
        <is>
          <t>Recheck: no independent confirmation found; directory listing only</t>
        </is>
      </c>
      <c r="AC238" s="4" t="inlineStr">
        <is>
          <t>No expired licence or ended distribution agreement found</t>
        </is>
      </c>
      <c r="AD238" s="4" t="inlineStr">
        <is>
          <t>Not started</t>
        </is>
      </c>
      <c r="AE238" s="4" t="inlineStr"/>
      <c r="AF238" s="4" t="inlineStr">
        <is>
          <t>http://www.aoki-med.co.jp/toiawase.html</t>
        </is>
      </c>
      <c r="AG238" s="4" t="inlineStr">
        <is>
          <t>Verified: published on company website</t>
        </is>
      </c>
    </row>
    <row r="239">
      <c r="A239" s="4" t="n">
        <v>235</v>
      </c>
      <c r="B239" s="4" t="inlineStr">
        <is>
          <t>San ei (Miyagi)</t>
        </is>
      </c>
      <c r="C239" s="4" t="inlineStr">
        <is>
          <t>サンエイ</t>
        </is>
      </c>
      <c r="D239" s="4" t="inlineStr">
        <is>
          <t>Not retrieved (NTA lookup blocked in this session)</t>
        </is>
      </c>
      <c r="E239" s="4" t="inlineStr">
        <is>
          <t>宮城県</t>
        </is>
      </c>
      <c r="F239" s="4" t="inlineStr">
        <is>
          <t>Tohoku and Hokkaido</t>
        </is>
      </c>
      <c r="G239" s="4" t="inlineStr">
        <is>
          <t>https://www.san-ei-kk.co.jp/</t>
        </is>
      </c>
      <c r="H239" s="4" t="inlineStr">
        <is>
          <t>No MAH found; device sales licence (高度管理医療機器等販売業) not confirmed</t>
        </is>
      </c>
      <c r="I239" s="4" t="inlineStr">
        <is>
          <t>Not identified in published sources</t>
        </is>
      </c>
      <c r="J239" s="4" t="inlineStr">
        <is>
          <t>General medical equipment (hospitals and clinics)</t>
        </is>
      </c>
      <c r="K239" s="4" t="inlineStr">
        <is>
          <t>宮城県 (regional; branch network not confirmed)</t>
        </is>
      </c>
      <c r="L239" s="4" t="inlineStr">
        <is>
          <t>Not found</t>
        </is>
      </c>
      <c r="M239" s="4" t="inlineStr">
        <is>
          <t>Not identified</t>
        </is>
      </c>
      <c r="N239" s="4" t="inlineStr">
        <is>
          <t>Not identified</t>
        </is>
      </c>
      <c r="O239" s="4" t="inlineStr">
        <is>
          <t>yoshikazu_yonehana@san-ei-kk.co.jp</t>
        </is>
      </c>
      <c r="P239" s="4" t="inlineStr">
        <is>
          <t>Not confirmed</t>
        </is>
      </c>
      <c r="Q239" s="4" t="inlineStr">
        <is>
          <t>Not identified</t>
        </is>
      </c>
      <c r="R239" s="5" t="inlineStr">
        <is>
          <t>Unverified</t>
        </is>
      </c>
      <c r="S239" s="4" t="n">
        <v>18</v>
      </c>
      <c r="T239" s="10" t="inlineStr">
        <is>
          <t>C</t>
        </is>
      </c>
      <c r="U239" s="4" t="inlineStr">
        <is>
          <t>Regional general medical equipment dealer with hospital and clinic accounts; candidate sub dealer under a national MAH partner.</t>
        </is>
      </c>
      <c r="V239" s="4" t="inlineStr">
        <is>
          <t>Introduce CHISON as a future line through a national MAH partner; ask about their hospital and clinic coverage, service engineers and openness to non Japanese brands.</t>
        </is>
      </c>
      <c r="W239" s="4" t="inlineStr">
        <is>
          <t>N (not identified)</t>
        </is>
      </c>
      <c r="X239" s="7" t="inlineStr">
        <is>
          <t>https://baseconnect.in/companies/prefecture/3eff90d1-0bad-4fac-bce6-da9b939d7407/keyword/89941b4e-2dd1-4848-8957-48af280a31e0</t>
        </is>
      </c>
      <c r="Y239" s="4" t="inlineStr">
        <is>
          <t>SonoEye P3 plus SonoAir 30 for GP and clinic accounts</t>
        </is>
      </c>
      <c r="Z239" s="4" t="inlineStr">
        <is>
          <t>2, 2, 3, 3, 3, 2, 3</t>
        </is>
      </c>
      <c r="AA239" s="4" t="inlineStr">
        <is>
          <t>Not found</t>
        </is>
      </c>
      <c r="AB239" s="4" t="inlineStr">
        <is>
          <t>Directory or search listing; not opened (direct site access blocked)</t>
        </is>
      </c>
      <c r="AC239" s="4" t="inlineStr">
        <is>
          <t>No expired licence or ended distribution agreement found</t>
        </is>
      </c>
      <c r="AD239" s="4" t="inlineStr">
        <is>
          <t>Not started</t>
        </is>
      </c>
      <c r="AE239" s="4" t="inlineStr"/>
      <c r="AF239" s="4" t="inlineStr">
        <is>
          <t>https://kigyouomiai.com/archives/introduction/9607</t>
        </is>
      </c>
      <c r="AG239" s="4" t="inlineStr">
        <is>
          <t>Likely: indexed on company domain</t>
        </is>
      </c>
    </row>
    <row r="240">
      <c r="A240" s="4" t="n">
        <v>236</v>
      </c>
      <c r="B240" s="4" t="inlineStr">
        <is>
          <t>Medical Marucho</t>
        </is>
      </c>
      <c r="C240" s="4" t="inlineStr">
        <is>
          <t>メディカル丸丁</t>
        </is>
      </c>
      <c r="D240" s="4" t="inlineStr">
        <is>
          <t>Not retrieved (NTA lookup blocked in this session)</t>
        </is>
      </c>
      <c r="E240" s="4" t="inlineStr">
        <is>
          <t>宮城県</t>
        </is>
      </c>
      <c r="F240" s="4" t="inlineStr">
        <is>
          <t>Tohoku and Hokkaido</t>
        </is>
      </c>
      <c r="G240" s="4" t="inlineStr">
        <is>
          <t>Not confirmed (company site not opened; network policy blocked direct access)</t>
        </is>
      </c>
      <c r="H240" s="4" t="inlineStr">
        <is>
          <t>No MAH found; device sales licence (高度管理医療機器等販売業) not confirmed</t>
        </is>
      </c>
      <c r="I240" s="4" t="inlineStr">
        <is>
          <t>Not identified in published sources</t>
        </is>
      </c>
      <c r="J240" s="4" t="inlineStr">
        <is>
          <t>General medical equipment (hospitals and clinics)</t>
        </is>
      </c>
      <c r="K240" s="4" t="inlineStr">
        <is>
          <t>宮城県 (regional; branch network not confirmed)</t>
        </is>
      </c>
      <c r="L240" s="4" t="inlineStr">
        <is>
          <t>Not found</t>
        </is>
      </c>
      <c r="M240" s="4" t="inlineStr">
        <is>
          <t>Not identified</t>
        </is>
      </c>
      <c r="N240" s="4" t="inlineStr">
        <is>
          <t>Not identified</t>
        </is>
      </c>
      <c r="O240" s="4" t="inlineStr">
        <is>
          <t>Not published; use company inquiry form</t>
        </is>
      </c>
      <c r="P240" s="4" t="inlineStr">
        <is>
          <t>Not confirmed</t>
        </is>
      </c>
      <c r="Q240" s="4" t="inlineStr">
        <is>
          <t>Not identified</t>
        </is>
      </c>
      <c r="R240" s="5" t="inlineStr">
        <is>
          <t>Unverified</t>
        </is>
      </c>
      <c r="S240" s="4" t="n">
        <v>18</v>
      </c>
      <c r="T240" s="10" t="inlineStr">
        <is>
          <t>C</t>
        </is>
      </c>
      <c r="U240" s="4" t="inlineStr">
        <is>
          <t>Regional general medical equipment dealer with hospital and clinic accounts; candidate sub dealer under a national MAH partner.</t>
        </is>
      </c>
      <c r="V240" s="4" t="inlineStr">
        <is>
          <t>Introduce CHISON as a future line through a national MAH partner; ask about their hospital and clinic coverage, service engineers and openness to non Japanese brands.</t>
        </is>
      </c>
      <c r="W240" s="4" t="inlineStr">
        <is>
          <t>N (not identified)</t>
        </is>
      </c>
      <c r="X240" s="7" t="inlineStr">
        <is>
          <t>https://baseconnect.in/companies/prefecture/3eff90d1-0bad-4fac-bce6-da9b939d7407/keyword/89941b4e-2dd1-4848-8957-48af280a31e0</t>
        </is>
      </c>
      <c r="Y240" s="4" t="inlineStr">
        <is>
          <t>SonoEye P3 plus SonoAir 30 for GP and clinic accounts</t>
        </is>
      </c>
      <c r="Z240" s="4" t="inlineStr">
        <is>
          <t>2, 2, 3, 3, 3, 2, 3</t>
        </is>
      </c>
      <c r="AA240" s="4" t="inlineStr">
        <is>
          <t>Not found</t>
        </is>
      </c>
      <c r="AB240" s="4" t="inlineStr">
        <is>
          <t>Directory or search listing; not opened (direct site access blocked)</t>
        </is>
      </c>
      <c r="AC240" s="4" t="inlineStr">
        <is>
          <t>No expired licence or ended distribution agreement found</t>
        </is>
      </c>
      <c r="AD240" s="4" t="inlineStr">
        <is>
          <t>Not started</t>
        </is>
      </c>
      <c r="AE240" s="4" t="inlineStr"/>
      <c r="AF240" s="4" t="inlineStr"/>
      <c r="AG240" s="4" t="inlineStr">
        <is>
          <t>No email published and no verified website found</t>
        </is>
      </c>
    </row>
    <row r="241">
      <c r="A241" s="4" t="n">
        <v>237</v>
      </c>
      <c r="B241" s="4" t="inlineStr">
        <is>
          <t>Okazaki Iryo</t>
        </is>
      </c>
      <c r="C241" s="4" t="inlineStr">
        <is>
          <t>岡崎医療</t>
        </is>
      </c>
      <c r="D241" s="4" t="inlineStr">
        <is>
          <t>Not retrieved (NTA lookup blocked in this session)</t>
        </is>
      </c>
      <c r="E241" s="4" t="inlineStr">
        <is>
          <t>山形県</t>
        </is>
      </c>
      <c r="F241" s="4" t="inlineStr">
        <is>
          <t>Tohoku and Hokkaido</t>
        </is>
      </c>
      <c r="G241" s="4" t="inlineStr">
        <is>
          <t>https://www.okazaki-iryo.jp/</t>
        </is>
      </c>
      <c r="H241" s="4" t="inlineStr">
        <is>
          <t>No MAH found; device sales licence (高度管理医療機器等販売業) not confirmed</t>
        </is>
      </c>
      <c r="I241" s="4" t="inlineStr">
        <is>
          <t>Not identified in published sources</t>
        </is>
      </c>
      <c r="J241" s="4" t="inlineStr">
        <is>
          <t>General medical equipment (hospitals and clinics)</t>
        </is>
      </c>
      <c r="K241" s="4" t="inlineStr">
        <is>
          <t>山形県 (regional; branch network not confirmed)</t>
        </is>
      </c>
      <c r="L241" s="4" t="inlineStr">
        <is>
          <t>Not found</t>
        </is>
      </c>
      <c r="M241" s="4" t="inlineStr">
        <is>
          <t>Not identified</t>
        </is>
      </c>
      <c r="N241" s="4" t="inlineStr">
        <is>
          <t>Not identified</t>
        </is>
      </c>
      <c r="O241" s="4" t="inlineStr">
        <is>
          <t>Not published; use contact form</t>
        </is>
      </c>
      <c r="P241" s="4" t="inlineStr">
        <is>
          <t>Not confirmed</t>
        </is>
      </c>
      <c r="Q241" s="4" t="inlineStr">
        <is>
          <t>Not identified</t>
        </is>
      </c>
      <c r="R241" s="5" t="inlineStr">
        <is>
          <t>Likely</t>
        </is>
      </c>
      <c r="S241" s="4" t="n">
        <v>18</v>
      </c>
      <c r="T241" s="10" t="inlineStr">
        <is>
          <t>C</t>
        </is>
      </c>
      <c r="U241" s="4" t="inlineStr">
        <is>
          <t>Regional general medical equipment dealer with hospital and clinic accounts; candidate sub dealer under a national MAH partner.</t>
        </is>
      </c>
      <c r="V241" s="4" t="inlineStr">
        <is>
          <t>Introduce CHISON as a future line through a national MAH partner; ask about their hospital and clinic coverage, service engineers and openness to non Japanese brands.</t>
        </is>
      </c>
      <c r="W241" s="4" t="inlineStr">
        <is>
          <t>N (not identified)</t>
        </is>
      </c>
      <c r="X241" s="7" t="inlineStr">
        <is>
          <t>https://baseconnect.in/companies/prefecture/72122f8e-2e11-4641-9216-d1abc796b0cd/category/b2358a1c-c4c6-46f4-a0b1-dee3a1b30a0b</t>
        </is>
      </c>
      <c r="Y241" s="4" t="inlineStr">
        <is>
          <t>SonoEye P3 plus SonoAir 30 for GP and clinic accounts</t>
        </is>
      </c>
      <c r="Z241" s="4" t="inlineStr">
        <is>
          <t>2, 2, 3, 3, 3, 2, 3</t>
        </is>
      </c>
      <c r="AA241" s="4" t="inlineStr">
        <is>
          <t>Not found</t>
        </is>
      </c>
      <c r="AB241" s="4" t="inlineStr">
        <is>
          <t>Directory or search listing; not opened (direct site access blocked)</t>
        </is>
      </c>
      <c r="AC241" s="4" t="inlineStr">
        <is>
          <t>No expired licence or ended distribution agreement found</t>
        </is>
      </c>
      <c r="AD241" s="4" t="inlineStr">
        <is>
          <t>Not started</t>
        </is>
      </c>
      <c r="AE241" s="4" t="inlineStr"/>
      <c r="AF241" s="4" t="inlineStr">
        <is>
          <t>https://www.okazaki-iryo.jp/contact/</t>
        </is>
      </c>
      <c r="AG241" s="4" t="inlineStr">
        <is>
          <t>No email published; use the contact form (link in Email source)</t>
        </is>
      </c>
    </row>
    <row r="242">
      <c r="A242" s="4" t="n">
        <v>238</v>
      </c>
      <c r="B242" s="4" t="inlineStr">
        <is>
          <t>O Link</t>
        </is>
      </c>
      <c r="C242" s="4" t="inlineStr">
        <is>
          <t>オーリンク</t>
        </is>
      </c>
      <c r="D242" s="4" t="inlineStr">
        <is>
          <t>Not retrieved (NTA lookup blocked in this session)</t>
        </is>
      </c>
      <c r="E242" s="4" t="inlineStr">
        <is>
          <t>山形県</t>
        </is>
      </c>
      <c r="F242" s="4" t="inlineStr">
        <is>
          <t>Tohoku and Hokkaido</t>
        </is>
      </c>
      <c r="G242" s="4" t="inlineStr">
        <is>
          <t>https://www.o-link.jp/</t>
        </is>
      </c>
      <c r="H242" s="4" t="inlineStr">
        <is>
          <t>No MAH found; device sales licence (高度管理医療機器等販売業) not confirmed</t>
        </is>
      </c>
      <c r="I242" s="4" t="inlineStr">
        <is>
          <t>Not identified in published sources</t>
        </is>
      </c>
      <c r="J242" s="4" t="inlineStr">
        <is>
          <t>General medical equipment (hospitals and clinics)</t>
        </is>
      </c>
      <c r="K242" s="4" t="inlineStr">
        <is>
          <t>山形県 (regional; branch network not confirmed)</t>
        </is>
      </c>
      <c r="L242" s="4" t="inlineStr">
        <is>
          <t>Not found</t>
        </is>
      </c>
      <c r="M242" s="4" t="inlineStr">
        <is>
          <t>Not identified</t>
        </is>
      </c>
      <c r="N242" s="4" t="inlineStr">
        <is>
          <t>Not identified</t>
        </is>
      </c>
      <c r="O242" s="4" t="inlineStr">
        <is>
          <t>Not published; use contact form</t>
        </is>
      </c>
      <c r="P242" s="4" t="inlineStr">
        <is>
          <t>Not confirmed</t>
        </is>
      </c>
      <c r="Q242" s="4" t="inlineStr">
        <is>
          <t>Not identified</t>
        </is>
      </c>
      <c r="R242" s="5" t="inlineStr">
        <is>
          <t>Likely</t>
        </is>
      </c>
      <c r="S242" s="4" t="n">
        <v>18</v>
      </c>
      <c r="T242" s="10" t="inlineStr">
        <is>
          <t>C</t>
        </is>
      </c>
      <c r="U242" s="4" t="inlineStr">
        <is>
          <t>Regional general medical equipment dealer with hospital and clinic accounts; candidate sub dealer under a national MAH partner.</t>
        </is>
      </c>
      <c r="V242" s="4" t="inlineStr">
        <is>
          <t>Introduce CHISON as a future line through a national MAH partner; ask about their hospital and clinic coverage, service engineers and openness to non Japanese brands.</t>
        </is>
      </c>
      <c r="W242" s="4" t="inlineStr">
        <is>
          <t>N (not identified)</t>
        </is>
      </c>
      <c r="X242" s="7" t="inlineStr">
        <is>
          <t>https://baseconnect.in/companies/prefecture/72122f8e-2e11-4641-9216-d1abc796b0cd/category/b2358a1c-c4c6-46f4-a0b1-dee3a1b30a0b</t>
        </is>
      </c>
      <c r="Y242" s="4" t="inlineStr">
        <is>
          <t>SonoEye P3 plus SonoAir 30 for GP and clinic accounts</t>
        </is>
      </c>
      <c r="Z242" s="4" t="inlineStr">
        <is>
          <t>2, 2, 3, 3, 3, 2, 3</t>
        </is>
      </c>
      <c r="AA242" s="4" t="inlineStr">
        <is>
          <t>Not found</t>
        </is>
      </c>
      <c r="AB242" s="4" t="inlineStr">
        <is>
          <t>Directory or search listing; not opened (direct site access blocked)</t>
        </is>
      </c>
      <c r="AC242" s="4" t="inlineStr">
        <is>
          <t>No expired licence or ended distribution agreement found</t>
        </is>
      </c>
      <c r="AD242" s="4" t="inlineStr">
        <is>
          <t>Not started</t>
        </is>
      </c>
      <c r="AE242" s="4" t="inlineStr"/>
      <c r="AF242" s="4" t="inlineStr">
        <is>
          <t>https://www.o-link.jp/contact/</t>
        </is>
      </c>
      <c r="AG242" s="4" t="inlineStr">
        <is>
          <t>No email published; use the contact form (link in Email source)</t>
        </is>
      </c>
    </row>
    <row r="243">
      <c r="A243" s="4" t="n">
        <v>239</v>
      </c>
      <c r="B243" s="4" t="inlineStr">
        <is>
          <t>Talk (Yamagata)</t>
        </is>
      </c>
      <c r="C243" s="4" t="inlineStr">
        <is>
          <t>トーク</t>
        </is>
      </c>
      <c r="D243" s="4" t="inlineStr">
        <is>
          <t>Not retrieved (NTA lookup blocked in this session)</t>
        </is>
      </c>
      <c r="E243" s="4" t="inlineStr">
        <is>
          <t>山形県</t>
        </is>
      </c>
      <c r="F243" s="4" t="inlineStr">
        <is>
          <t>Tohoku and Hokkaido</t>
        </is>
      </c>
      <c r="G243" s="4" t="inlineStr">
        <is>
          <t>https://to-ku.jp/</t>
        </is>
      </c>
      <c r="H243" s="4" t="inlineStr">
        <is>
          <t>No MAH found; device sales licence (高度管理医療機器等販売業) not confirmed</t>
        </is>
      </c>
      <c r="I243" s="4" t="inlineStr">
        <is>
          <t>Not identified in published sources</t>
        </is>
      </c>
      <c r="J243" s="4" t="inlineStr">
        <is>
          <t>General medical equipment (hospitals and clinics)</t>
        </is>
      </c>
      <c r="K243" s="4" t="inlineStr">
        <is>
          <t>山形県 (regional; branch network not confirmed)</t>
        </is>
      </c>
      <c r="L243" s="4" t="inlineStr">
        <is>
          <t>Not found</t>
        </is>
      </c>
      <c r="M243" s="4" t="inlineStr">
        <is>
          <t>Not identified</t>
        </is>
      </c>
      <c r="N243" s="4" t="inlineStr">
        <is>
          <t>Not identified</t>
        </is>
      </c>
      <c r="O243" s="4" t="inlineStr">
        <is>
          <t>d-tokutake@to-ku.jp</t>
        </is>
      </c>
      <c r="P243" s="4" t="inlineStr">
        <is>
          <t>Not confirmed</t>
        </is>
      </c>
      <c r="Q243" s="4" t="inlineStr">
        <is>
          <t>Not identified</t>
        </is>
      </c>
      <c r="R243" s="5" t="inlineStr">
        <is>
          <t>Unverified</t>
        </is>
      </c>
      <c r="S243" s="4" t="n">
        <v>18</v>
      </c>
      <c r="T243" s="10" t="inlineStr">
        <is>
          <t>C</t>
        </is>
      </c>
      <c r="U243" s="4" t="inlineStr">
        <is>
          <t>Regional general medical equipment dealer with hospital and clinic accounts; candidate sub dealer under a national MAH partner.</t>
        </is>
      </c>
      <c r="V243" s="4" t="inlineStr">
        <is>
          <t>Introduce CHISON as a future line through a national MAH partner; ask about their hospital and clinic coverage, service engineers and openness to non Japanese brands.</t>
        </is>
      </c>
      <c r="W243" s="4" t="inlineStr">
        <is>
          <t>N (not identified)</t>
        </is>
      </c>
      <c r="X243" s="7" t="inlineStr">
        <is>
          <t>https://baseconnect.in/companies/prefecture/72122f8e-2e11-4641-9216-d1abc796b0cd/category/b2358a1c-c4c6-46f4-a0b1-dee3a1b30a0b</t>
        </is>
      </c>
      <c r="Y243" s="4" t="inlineStr">
        <is>
          <t>SonoEye P3 plus SonoAir 30 for GP and clinic accounts</t>
        </is>
      </c>
      <c r="Z243" s="4" t="inlineStr">
        <is>
          <t>2, 2, 3, 3, 3, 2, 3</t>
        </is>
      </c>
      <c r="AA243" s="4" t="inlineStr">
        <is>
          <t>Not found</t>
        </is>
      </c>
      <c r="AB243" s="4" t="inlineStr">
        <is>
          <t>Recheck: no independent confirmation found; directory listing only</t>
        </is>
      </c>
      <c r="AC243" s="4" t="inlineStr">
        <is>
          <t>No expired licence or ended distribution agreement found</t>
        </is>
      </c>
      <c r="AD243" s="4" t="inlineStr">
        <is>
          <t>Not started</t>
        </is>
      </c>
      <c r="AE243" s="4" t="inlineStr"/>
      <c r="AF243" s="4" t="inlineStr">
        <is>
          <t>https://to-ku.jp/information/recruit.html</t>
        </is>
      </c>
      <c r="AG243" s="4" t="inlineStr">
        <is>
          <t>Verified: published on company website</t>
        </is>
      </c>
    </row>
    <row r="244">
      <c r="A244" s="4" t="n">
        <v>240</v>
      </c>
      <c r="B244" s="4" t="inlineStr">
        <is>
          <t>Akita Ika Kikaiten</t>
        </is>
      </c>
      <c r="C244" s="4" t="inlineStr">
        <is>
          <t>秋田医科器械店</t>
        </is>
      </c>
      <c r="D244" s="4" t="inlineStr">
        <is>
          <t>Not retrieved (NTA lookup blocked in this session)</t>
        </is>
      </c>
      <c r="E244" s="4" t="inlineStr">
        <is>
          <t>秋田県</t>
        </is>
      </c>
      <c r="F244" s="4" t="inlineStr">
        <is>
          <t>Tohoku and Hokkaido</t>
        </is>
      </c>
      <c r="G244" s="4" t="inlineStr">
        <is>
          <t>http://www.akitaika.co.jp/</t>
        </is>
      </c>
      <c r="H244" s="4" t="inlineStr">
        <is>
          <t>No MAH found; device sales licence (高度管理医療機器等販売業) not confirmed</t>
        </is>
      </c>
      <c r="I244" s="4" t="inlineStr">
        <is>
          <t>Not identified in published sources</t>
        </is>
      </c>
      <c r="J244" s="4" t="inlineStr">
        <is>
          <t>General medical equipment (hospitals and clinics)</t>
        </is>
      </c>
      <c r="K244" s="4" t="inlineStr">
        <is>
          <t>秋田県 (regional; branch network not confirmed)</t>
        </is>
      </c>
      <c r="L244" s="4" t="inlineStr">
        <is>
          <t>Not found</t>
        </is>
      </c>
      <c r="M244" s="4" t="inlineStr">
        <is>
          <t>Not identified</t>
        </is>
      </c>
      <c r="N244" s="4" t="inlineStr">
        <is>
          <t>Not identified</t>
        </is>
      </c>
      <c r="O244" s="4" t="inlineStr">
        <is>
          <t>saga@akitaika.co.jp</t>
        </is>
      </c>
      <c r="P244" s="4" t="inlineStr">
        <is>
          <t>Not confirmed</t>
        </is>
      </c>
      <c r="Q244" s="4" t="inlineStr">
        <is>
          <t>Not identified</t>
        </is>
      </c>
      <c r="R244" s="5" t="inlineStr">
        <is>
          <t>Unverified</t>
        </is>
      </c>
      <c r="S244" s="4" t="n">
        <v>18</v>
      </c>
      <c r="T244" s="10" t="inlineStr">
        <is>
          <t>C</t>
        </is>
      </c>
      <c r="U244" s="4" t="inlineStr">
        <is>
          <t>Regional general medical equipment dealer with hospital and clinic accounts; candidate sub dealer under a national MAH partner.</t>
        </is>
      </c>
      <c r="V244" s="4" t="inlineStr">
        <is>
          <t>Introduce CHISON as a future line through a national MAH partner; ask about their hospital and clinic coverage, service engineers and openness to non Japanese brands.</t>
        </is>
      </c>
      <c r="W244" s="4" t="inlineStr">
        <is>
          <t>N (not identified)</t>
        </is>
      </c>
      <c r="X244" s="7" t="inlineStr">
        <is>
          <t>https://baseconnect.in/companies/prefecture/3ef7ac2a-ecbb-4477-acd1-e7d443e6b591/category/b2358a1c-c4c6-46f4-a0b1-dee3a1b30a0b</t>
        </is>
      </c>
      <c r="Y244" s="4" t="inlineStr">
        <is>
          <t>SonoEye P3 plus SonoAir 30 for GP and clinic accounts</t>
        </is>
      </c>
      <c r="Z244" s="4" t="inlineStr">
        <is>
          <t>2, 2, 3, 3, 3, 2, 3</t>
        </is>
      </c>
      <c r="AA244" s="4" t="inlineStr">
        <is>
          <t>Not found</t>
        </is>
      </c>
      <c r="AB244" s="4" t="inlineStr">
        <is>
          <t>Directory or search listing; not opened (direct site access blocked)</t>
        </is>
      </c>
      <c r="AC244" s="4" t="inlineStr">
        <is>
          <t>No expired licence or ended distribution agreement found</t>
        </is>
      </c>
      <c r="AD244" s="4" t="inlineStr">
        <is>
          <t>Not started</t>
        </is>
      </c>
      <c r="AE244" s="4" t="inlineStr"/>
      <c r="AF244" s="4" t="inlineStr">
        <is>
          <t>https://www.hellowork.mhlw.go.jp/kensaku/GECA110010.do?screenId=GECA110010&amp;action=dispDetailBtn&amp;kJNo=0501016427861&amp;kJKbn=1&amp;jGSHNo=WH7GFup99%2B%2BDyrzzFTyqqA%3D%3D&amp;fullPart=1&amp;iNFTeikyoRiyoDtiID=&amp;kSNo=&amp;newArrived=1&amp;tatZngy=&amp;shogaiKbn=0</t>
        </is>
      </c>
      <c r="AG244" s="4" t="inlineStr">
        <is>
          <t>Likely: indexed on company domain</t>
        </is>
      </c>
    </row>
    <row r="245">
      <c r="A245" s="4" t="n">
        <v>241</v>
      </c>
      <c r="B245" s="4" t="inlineStr">
        <is>
          <t>Akita Meisei Medical</t>
        </is>
      </c>
      <c r="C245" s="4" t="inlineStr">
        <is>
          <t>秋田明成メディカル</t>
        </is>
      </c>
      <c r="D245" s="4" t="inlineStr">
        <is>
          <t>Not retrieved (NTA lookup blocked in this session)</t>
        </is>
      </c>
      <c r="E245" s="4" t="inlineStr">
        <is>
          <t>秋田県</t>
        </is>
      </c>
      <c r="F245" s="4" t="inlineStr">
        <is>
          <t>Tohoku and Hokkaido</t>
        </is>
      </c>
      <c r="G245" s="4" t="inlineStr">
        <is>
          <t>https://www.akitameisei-medical.co.jp/</t>
        </is>
      </c>
      <c r="H245" s="4" t="inlineStr">
        <is>
          <t>No MAH found; device sales licence (高度管理医療機器等販売業) not confirmed</t>
        </is>
      </c>
      <c r="I245" s="4" t="inlineStr">
        <is>
          <t>Not identified in published sources</t>
        </is>
      </c>
      <c r="J245" s="4" t="inlineStr">
        <is>
          <t>General medical equipment (hospitals and clinics)</t>
        </is>
      </c>
      <c r="K245" s="4" t="inlineStr">
        <is>
          <t>秋田県 (regional; branch network not confirmed)</t>
        </is>
      </c>
      <c r="L245" s="4" t="inlineStr">
        <is>
          <t>Not found</t>
        </is>
      </c>
      <c r="M245" s="4" t="inlineStr">
        <is>
          <t>Not identified</t>
        </is>
      </c>
      <c r="N245" s="4" t="inlineStr">
        <is>
          <t>Not identified</t>
        </is>
      </c>
      <c r="O245" s="4" t="inlineStr">
        <is>
          <t>info@akitameisei-medical.co.jp</t>
        </is>
      </c>
      <c r="P245" s="4" t="inlineStr">
        <is>
          <t>Not confirmed</t>
        </is>
      </c>
      <c r="Q245" s="4" t="inlineStr">
        <is>
          <t>Not identified</t>
        </is>
      </c>
      <c r="R245" s="5" t="inlineStr">
        <is>
          <t>Unverified</t>
        </is>
      </c>
      <c r="S245" s="4" t="n">
        <v>18</v>
      </c>
      <c r="T245" s="10" t="inlineStr">
        <is>
          <t>C</t>
        </is>
      </c>
      <c r="U245" s="4" t="inlineStr">
        <is>
          <t>Regional general medical equipment dealer with hospital and clinic accounts; candidate sub dealer under a national MAH partner.</t>
        </is>
      </c>
      <c r="V245" s="4" t="inlineStr">
        <is>
          <t>Introduce CHISON as a future line through a national MAH partner; ask about their hospital and clinic coverage, service engineers and openness to non Japanese brands.</t>
        </is>
      </c>
      <c r="W245" s="4" t="inlineStr">
        <is>
          <t>N (not identified)</t>
        </is>
      </c>
      <c r="X245" s="7" t="inlineStr">
        <is>
          <t>https://baseconnect.in/companies/prefecture/3ef7ac2a-ecbb-4477-acd1-e7d443e6b591/category/b2358a1c-c4c6-46f4-a0b1-dee3a1b30a0b</t>
        </is>
      </c>
      <c r="Y245" s="4" t="inlineStr">
        <is>
          <t>SonoEye P3 plus SonoAir 30 for GP and clinic accounts</t>
        </is>
      </c>
      <c r="Z245" s="4" t="inlineStr">
        <is>
          <t>2, 2, 3, 3, 3, 2, 3</t>
        </is>
      </c>
      <c r="AA245" s="4" t="inlineStr">
        <is>
          <t>Not found</t>
        </is>
      </c>
      <c r="AB245" s="4" t="inlineStr">
        <is>
          <t>Directory or search listing; not opened (direct site access blocked)</t>
        </is>
      </c>
      <c r="AC245" s="4" t="inlineStr">
        <is>
          <t>No expired licence or ended distribution agreement found</t>
        </is>
      </c>
      <c r="AD245" s="4" t="inlineStr">
        <is>
          <t>Not started</t>
        </is>
      </c>
      <c r="AE245" s="4" t="inlineStr"/>
      <c r="AF245" s="4" t="inlineStr">
        <is>
          <t>https://www.akitameisei-medical.co.jp/contact.html</t>
        </is>
      </c>
      <c r="AG245" s="4" t="inlineStr">
        <is>
          <t>Verified: published on company website</t>
        </is>
      </c>
    </row>
    <row r="246">
      <c r="A246" s="4" t="n">
        <v>242</v>
      </c>
      <c r="B246" s="4" t="inlineStr">
        <is>
          <t>U Medical</t>
        </is>
      </c>
      <c r="C246" s="4" t="inlineStr">
        <is>
          <t>ユー・メディカル</t>
        </is>
      </c>
      <c r="D246" s="4" t="inlineStr">
        <is>
          <t>Not retrieved (NTA lookup blocked in this session)</t>
        </is>
      </c>
      <c r="E246" s="4" t="inlineStr">
        <is>
          <t>秋田県</t>
        </is>
      </c>
      <c r="F246" s="4" t="inlineStr">
        <is>
          <t>Tohoku and Hokkaido</t>
        </is>
      </c>
      <c r="G246" s="4" t="inlineStr">
        <is>
          <t>Not confirmed (company site not opened; network policy blocked direct access)</t>
        </is>
      </c>
      <c r="H246" s="4" t="inlineStr">
        <is>
          <t>No MAH found; device sales licence (高度管理医療機器等販売業) not confirmed</t>
        </is>
      </c>
      <c r="I246" s="4" t="inlineStr">
        <is>
          <t>Not identified in published sources</t>
        </is>
      </c>
      <c r="J246" s="4" t="inlineStr">
        <is>
          <t>General medical equipment (hospitals and clinics)</t>
        </is>
      </c>
      <c r="K246" s="4" t="inlineStr">
        <is>
          <t>秋田県 (regional; branch network not confirmed)</t>
        </is>
      </c>
      <c r="L246" s="4" t="inlineStr">
        <is>
          <t>Not found</t>
        </is>
      </c>
      <c r="M246" s="4" t="inlineStr">
        <is>
          <t>Not identified</t>
        </is>
      </c>
      <c r="N246" s="4" t="inlineStr">
        <is>
          <t>Not identified</t>
        </is>
      </c>
      <c r="O246" s="4" t="inlineStr">
        <is>
          <t>Not published; use company inquiry form</t>
        </is>
      </c>
      <c r="P246" s="4" t="inlineStr">
        <is>
          <t>Not confirmed</t>
        </is>
      </c>
      <c r="Q246" s="4" t="inlineStr">
        <is>
          <t>Not identified</t>
        </is>
      </c>
      <c r="R246" s="5" t="inlineStr">
        <is>
          <t>Unverified</t>
        </is>
      </c>
      <c r="S246" s="4" t="n">
        <v>18</v>
      </c>
      <c r="T246" s="10" t="inlineStr">
        <is>
          <t>C</t>
        </is>
      </c>
      <c r="U246" s="4" t="inlineStr">
        <is>
          <t>Regional general medical equipment dealer with hospital and clinic accounts; candidate sub dealer under a national MAH partner.</t>
        </is>
      </c>
      <c r="V246" s="4" t="inlineStr">
        <is>
          <t>Introduce CHISON as a future line through a national MAH partner; ask about their hospital and clinic coverage, service engineers and openness to non Japanese brands.</t>
        </is>
      </c>
      <c r="W246" s="4" t="inlineStr">
        <is>
          <t>N (not identified)</t>
        </is>
      </c>
      <c r="X246" s="7" t="inlineStr">
        <is>
          <t>https://baseconnect.in/companies/prefecture/3ef7ac2a-ecbb-4477-acd1-e7d443e6b591/category/b2358a1c-c4c6-46f4-a0b1-dee3a1b30a0b</t>
        </is>
      </c>
      <c r="Y246" s="4" t="inlineStr">
        <is>
          <t>SonoEye P3 plus SonoAir 30 for GP and clinic accounts</t>
        </is>
      </c>
      <c r="Z246" s="4" t="inlineStr">
        <is>
          <t>2, 2, 3, 3, 3, 2, 3</t>
        </is>
      </c>
      <c r="AA246" s="4" t="inlineStr">
        <is>
          <t>Not found</t>
        </is>
      </c>
      <c r="AB246" s="4" t="inlineStr">
        <is>
          <t>Recheck: no independent confirmation found; directory listing only</t>
        </is>
      </c>
      <c r="AC246" s="4" t="inlineStr">
        <is>
          <t>No expired licence or ended distribution agreement found</t>
        </is>
      </c>
      <c r="AD246" s="4" t="inlineStr">
        <is>
          <t>Not started</t>
        </is>
      </c>
      <c r="AE246" s="4" t="inlineStr"/>
      <c r="AF246" s="4" t="inlineStr"/>
      <c r="AG246" s="4" t="inlineStr">
        <is>
          <t>No email published and no verified website found</t>
        </is>
      </c>
    </row>
    <row r="247">
      <c r="A247" s="4" t="n">
        <v>243</v>
      </c>
      <c r="B247" s="4" t="inlineStr">
        <is>
          <t>Medical Produce</t>
        </is>
      </c>
      <c r="C247" s="4" t="inlineStr">
        <is>
          <t>メディカルプロデュース</t>
        </is>
      </c>
      <c r="D247" s="4" t="inlineStr">
        <is>
          <t>Not retrieved (NTA lookup blocked in this session)</t>
        </is>
      </c>
      <c r="E247" s="4" t="inlineStr">
        <is>
          <t>秋田県</t>
        </is>
      </c>
      <c r="F247" s="4" t="inlineStr">
        <is>
          <t>Tohoku and Hokkaido</t>
        </is>
      </c>
      <c r="G247" s="4" t="inlineStr">
        <is>
          <t>https://m-pro-dr.com/</t>
        </is>
      </c>
      <c r="H247" s="4" t="inlineStr">
        <is>
          <t>No MAH found; device sales licence (高度管理医療機器等販売業) not confirmed</t>
        </is>
      </c>
      <c r="I247" s="4" t="inlineStr">
        <is>
          <t>Not identified in published sources</t>
        </is>
      </c>
      <c r="J247" s="4" t="inlineStr">
        <is>
          <t>General medical equipment (hospitals and clinics)</t>
        </is>
      </c>
      <c r="K247" s="4" t="inlineStr">
        <is>
          <t>秋田県 (regional; branch network not confirmed)</t>
        </is>
      </c>
      <c r="L247" s="4" t="inlineStr">
        <is>
          <t>Not found</t>
        </is>
      </c>
      <c r="M247" s="4" t="inlineStr">
        <is>
          <t>Not identified</t>
        </is>
      </c>
      <c r="N247" s="4" t="inlineStr">
        <is>
          <t>Not identified</t>
        </is>
      </c>
      <c r="O247" s="4" t="inlineStr">
        <is>
          <t>info@m-pro-dr.com</t>
        </is>
      </c>
      <c r="P247" s="4" t="inlineStr">
        <is>
          <t>Not confirmed</t>
        </is>
      </c>
      <c r="Q247" s="4" t="inlineStr">
        <is>
          <t>Not identified</t>
        </is>
      </c>
      <c r="R247" s="5" t="inlineStr">
        <is>
          <t>Unverified</t>
        </is>
      </c>
      <c r="S247" s="4" t="n">
        <v>18</v>
      </c>
      <c r="T247" s="10" t="inlineStr">
        <is>
          <t>C</t>
        </is>
      </c>
      <c r="U247" s="4" t="inlineStr">
        <is>
          <t>Regional general medical equipment dealer with hospital and clinic accounts; candidate sub dealer under a national MAH partner.</t>
        </is>
      </c>
      <c r="V247" s="4" t="inlineStr">
        <is>
          <t>Introduce CHISON as a future line through a national MAH partner; ask about their hospital and clinic coverage, service engineers and openness to non Japanese brands.</t>
        </is>
      </c>
      <c r="W247" s="4" t="inlineStr">
        <is>
          <t>N (not identified)</t>
        </is>
      </c>
      <c r="X247" s="7" t="inlineStr">
        <is>
          <t>https://baseconnect.in/companies/prefecture/3ef7ac2a-ecbb-4477-acd1-e7d443e6b591/category/b2358a1c-c4c6-46f4-a0b1-dee3a1b30a0b</t>
        </is>
      </c>
      <c r="Y247" s="4" t="inlineStr">
        <is>
          <t>SonoEye P3 plus SonoAir 30 for GP and clinic accounts</t>
        </is>
      </c>
      <c r="Z247" s="4" t="inlineStr">
        <is>
          <t>2, 2, 3, 3, 3, 2, 3</t>
        </is>
      </c>
      <c r="AA247" s="4" t="inlineStr">
        <is>
          <t>Not found</t>
        </is>
      </c>
      <c r="AB247" s="4" t="inlineStr">
        <is>
          <t>Directory or search listing; not opened (direct site access blocked)</t>
        </is>
      </c>
      <c r="AC247" s="4" t="inlineStr">
        <is>
          <t>No expired licence or ended distribution agreement found</t>
        </is>
      </c>
      <c r="AD247" s="4" t="inlineStr">
        <is>
          <t>Not started</t>
        </is>
      </c>
      <c r="AE247" s="4" t="inlineStr"/>
      <c r="AF247" s="4" t="inlineStr">
        <is>
          <t>https://m-pro-dr.com/</t>
        </is>
      </c>
      <c r="AG247" s="4" t="inlineStr">
        <is>
          <t>Verified: published on company website</t>
        </is>
      </c>
    </row>
    <row r="248">
      <c r="A248" s="4" t="n">
        <v>244</v>
      </c>
      <c r="B248" s="4" t="inlineStr">
        <is>
          <t>Kaii Ika Kikai</t>
        </is>
      </c>
      <c r="C248" s="4" t="inlineStr">
        <is>
          <t>海井医科器械</t>
        </is>
      </c>
      <c r="D248" s="4" t="inlineStr">
        <is>
          <t>Not retrieved (NTA lookup blocked in this session)</t>
        </is>
      </c>
      <c r="E248" s="4" t="inlineStr">
        <is>
          <t>山口県</t>
        </is>
      </c>
      <c r="F248" s="4" t="inlineStr">
        <is>
          <t>Chugoku and Shikoku</t>
        </is>
      </c>
      <c r="G248" s="4" t="inlineStr">
        <is>
          <t>https://umii.co.jp/</t>
        </is>
      </c>
      <c r="H248" s="4" t="inlineStr">
        <is>
          <t>No MAH found; device sales licence (高度管理医療機器等販売業) not confirmed</t>
        </is>
      </c>
      <c r="I248" s="4" t="inlineStr">
        <is>
          <t>Not identified in published sources</t>
        </is>
      </c>
      <c r="J248" s="4" t="inlineStr">
        <is>
          <t>General medical equipment (hospitals and clinics)</t>
        </is>
      </c>
      <c r="K248" s="4" t="inlineStr">
        <is>
          <t>山口県 (regional; branch network not confirmed)</t>
        </is>
      </c>
      <c r="L248" s="4" t="inlineStr">
        <is>
          <t>Not found</t>
        </is>
      </c>
      <c r="M248" s="4" t="inlineStr">
        <is>
          <t>Not identified</t>
        </is>
      </c>
      <c r="N248" s="4" t="inlineStr">
        <is>
          <t>Not identified</t>
        </is>
      </c>
      <c r="O248" s="4" t="inlineStr">
        <is>
          <t>shinmachi@umii.co.jp</t>
        </is>
      </c>
      <c r="P248" s="4" t="inlineStr">
        <is>
          <t>Not confirmed</t>
        </is>
      </c>
      <c r="Q248" s="4" t="inlineStr">
        <is>
          <t>Not identified</t>
        </is>
      </c>
      <c r="R248" s="5" t="inlineStr">
        <is>
          <t>Unverified</t>
        </is>
      </c>
      <c r="S248" s="4" t="n">
        <v>18</v>
      </c>
      <c r="T248" s="10" t="inlineStr">
        <is>
          <t>C</t>
        </is>
      </c>
      <c r="U248" s="4" t="inlineStr">
        <is>
          <t>Regional general medical equipment dealer with hospital and clinic accounts; candidate sub dealer under a national MAH partner.</t>
        </is>
      </c>
      <c r="V248" s="4" t="inlineStr">
        <is>
          <t>Introduce CHISON as a future line through a national MAH partner; ask about their hospital and clinic coverage, service engineers and openness to non Japanese brands.</t>
        </is>
      </c>
      <c r="W248" s="4" t="inlineStr">
        <is>
          <t>N (not identified)</t>
        </is>
      </c>
      <c r="X248" s="7" t="inlineStr">
        <is>
          <t>https://baseconnect.in/companies/prefecture/a89155ac-9626-450f-9011-00a5b6529965/category/b2358a1c-c4c6-46f4-a0b1-dee3a1b30a0b</t>
        </is>
      </c>
      <c r="Y248" s="4" t="inlineStr">
        <is>
          <t>SonoEye P3 plus SonoAir 30 for GP and clinic accounts</t>
        </is>
      </c>
      <c r="Z248" s="4" t="inlineStr">
        <is>
          <t>2, 2, 3, 3, 3, 2, 3</t>
        </is>
      </c>
      <c r="AA248" s="4" t="inlineStr">
        <is>
          <t>Not found</t>
        </is>
      </c>
      <c r="AB248" s="4" t="inlineStr">
        <is>
          <t>Directory or search listing; not opened (direct site access blocked)</t>
        </is>
      </c>
      <c r="AC248" s="4" t="inlineStr">
        <is>
          <t>No expired licence or ended distribution agreement found</t>
        </is>
      </c>
      <c r="AD248" s="4" t="inlineStr">
        <is>
          <t>Not started</t>
        </is>
      </c>
      <c r="AE248" s="4" t="inlineStr">
        <is>
          <t>yamasaki@umii.co.jp</t>
        </is>
      </c>
      <c r="AF248" s="4" t="inlineStr">
        <is>
          <t>https://www.iryou.teikyouseido.mhlw.go.jp/znk-web/juminkanja/S2430/initialize?kikanCd=7347342183&amp;kikanKbn=5&amp;prefCd=34</t>
        </is>
      </c>
      <c r="AG248" s="4" t="inlineStr">
        <is>
          <t>Likely: indexed on company domain</t>
        </is>
      </c>
    </row>
    <row r="249">
      <c r="A249" s="4" t="n">
        <v>245</v>
      </c>
      <c r="B249" s="4" t="inlineStr">
        <is>
          <t>AMS (Ube)</t>
        </is>
      </c>
      <c r="C249" s="4" t="inlineStr">
        <is>
          <t>エー・エム・エス</t>
        </is>
      </c>
      <c r="D249" s="4" t="inlineStr">
        <is>
          <t>Not retrieved (NTA lookup blocked in this session)</t>
        </is>
      </c>
      <c r="E249" s="4" t="inlineStr">
        <is>
          <t>山口県</t>
        </is>
      </c>
      <c r="F249" s="4" t="inlineStr">
        <is>
          <t>Chugoku and Shikoku</t>
        </is>
      </c>
      <c r="G249" s="4" t="inlineStr">
        <is>
          <t>https://ams-jp.net/</t>
        </is>
      </c>
      <c r="H249" s="4" t="inlineStr">
        <is>
          <t>No MAH found; device sales licence (高度管理医療機器等販売業) not confirmed</t>
        </is>
      </c>
      <c r="I249" s="4" t="inlineStr">
        <is>
          <t>Not identified in published sources</t>
        </is>
      </c>
      <c r="J249" s="4" t="inlineStr">
        <is>
          <t>General medical equipment (hospitals and clinics)</t>
        </is>
      </c>
      <c r="K249" s="4" t="inlineStr">
        <is>
          <t>山口県 (regional; branch network not confirmed)</t>
        </is>
      </c>
      <c r="L249" s="4" t="inlineStr">
        <is>
          <t>Not found</t>
        </is>
      </c>
      <c r="M249" s="4" t="inlineStr">
        <is>
          <t>Not identified</t>
        </is>
      </c>
      <c r="N249" s="4" t="inlineStr">
        <is>
          <t>Not identified</t>
        </is>
      </c>
      <c r="O249" s="4" t="inlineStr">
        <is>
          <t>sumiya@ams-jp.net</t>
        </is>
      </c>
      <c r="P249" s="4" t="inlineStr">
        <is>
          <t>Not confirmed</t>
        </is>
      </c>
      <c r="Q249" s="4" t="inlineStr">
        <is>
          <t>Not identified</t>
        </is>
      </c>
      <c r="R249" s="5" t="inlineStr">
        <is>
          <t>Unverified</t>
        </is>
      </c>
      <c r="S249" s="4" t="n">
        <v>18</v>
      </c>
      <c r="T249" s="10" t="inlineStr">
        <is>
          <t>C</t>
        </is>
      </c>
      <c r="U249" s="4" t="inlineStr">
        <is>
          <t>Regional general medical equipment dealer with hospital and clinic accounts; candidate sub dealer under a national MAH partner.</t>
        </is>
      </c>
      <c r="V249" s="4" t="inlineStr">
        <is>
          <t>Introduce CHISON as a future line through a national MAH partner; ask about their hospital and clinic coverage, service engineers and openness to non Japanese brands.</t>
        </is>
      </c>
      <c r="W249" s="4" t="inlineStr">
        <is>
          <t>N (not identified)</t>
        </is>
      </c>
      <c r="X249" s="7" t="inlineStr">
        <is>
          <t>https://baseconnect.in/companies/prefecture/a89155ac-9626-450f-9011-00a5b6529965/category/b2358a1c-c4c6-46f4-a0b1-dee3a1b30a0b</t>
        </is>
      </c>
      <c r="Y249" s="4" t="inlineStr">
        <is>
          <t>SonoEye P3 plus SonoAir 30 for GP and clinic accounts</t>
        </is>
      </c>
      <c r="Z249" s="4" t="inlineStr">
        <is>
          <t>2, 2, 3, 3, 3, 2, 3</t>
        </is>
      </c>
      <c r="AA249" s="4" t="inlineStr">
        <is>
          <t>Not found</t>
        </is>
      </c>
      <c r="AB249" s="4" t="inlineStr">
        <is>
          <t>Directory or search listing; not opened (direct site access blocked)</t>
        </is>
      </c>
      <c r="AC249" s="4" t="inlineStr">
        <is>
          <t>No expired licence or ended distribution agreement found</t>
        </is>
      </c>
      <c r="AD249" s="4" t="inlineStr">
        <is>
          <t>Not started</t>
        </is>
      </c>
      <c r="AE249" s="4" t="inlineStr"/>
      <c r="AF249" s="4" t="inlineStr">
        <is>
          <t>https://www.city.kobe.lg.jp/a89323/063236965397.html</t>
        </is>
      </c>
      <c r="AG249" s="4" t="inlineStr">
        <is>
          <t>Likely: indexed on company domain</t>
        </is>
      </c>
    </row>
    <row r="250">
      <c r="A250" s="4" t="n">
        <v>246</v>
      </c>
      <c r="B250" s="4" t="inlineStr">
        <is>
          <t>Soyo Shoji</t>
        </is>
      </c>
      <c r="C250" s="4" t="inlineStr">
        <is>
          <t>桑陽商事</t>
        </is>
      </c>
      <c r="D250" s="4" t="inlineStr">
        <is>
          <t>Not retrieved (NTA lookup blocked in this session)</t>
        </is>
      </c>
      <c r="E250" s="4" t="inlineStr">
        <is>
          <t>山口県</t>
        </is>
      </c>
      <c r="F250" s="4" t="inlineStr">
        <is>
          <t>Chugoku and Shikoku</t>
        </is>
      </c>
      <c r="G250" s="4" t="inlineStr">
        <is>
          <t>Not confirmed (company site not opened; network policy blocked direct access)</t>
        </is>
      </c>
      <c r="H250" s="4" t="inlineStr">
        <is>
          <t>No MAH found; device sales licence (高度管理医療機器等販売業) not confirmed</t>
        </is>
      </c>
      <c r="I250" s="4" t="inlineStr">
        <is>
          <t>Not identified in published sources</t>
        </is>
      </c>
      <c r="J250" s="4" t="inlineStr">
        <is>
          <t>General medical equipment (hospitals and clinics)</t>
        </is>
      </c>
      <c r="K250" s="4" t="inlineStr">
        <is>
          <t>山口県 (regional; branch network not confirmed)</t>
        </is>
      </c>
      <c r="L250" s="4" t="inlineStr">
        <is>
          <t>Not found</t>
        </is>
      </c>
      <c r="M250" s="4" t="inlineStr">
        <is>
          <t>Not identified</t>
        </is>
      </c>
      <c r="N250" s="4" t="inlineStr">
        <is>
          <t>Not identified</t>
        </is>
      </c>
      <c r="O250" s="4" t="inlineStr">
        <is>
          <t>Not published; use company inquiry form</t>
        </is>
      </c>
      <c r="P250" s="4" t="inlineStr">
        <is>
          <t>Not confirmed</t>
        </is>
      </c>
      <c r="Q250" s="4" t="inlineStr">
        <is>
          <t>Not identified</t>
        </is>
      </c>
      <c r="R250" s="5" t="inlineStr">
        <is>
          <t>Unverified</t>
        </is>
      </c>
      <c r="S250" s="4" t="n">
        <v>18</v>
      </c>
      <c r="T250" s="10" t="inlineStr">
        <is>
          <t>C</t>
        </is>
      </c>
      <c r="U250" s="4" t="inlineStr">
        <is>
          <t>Regional general medical equipment dealer with hospital and clinic accounts; candidate sub dealer under a national MAH partner.</t>
        </is>
      </c>
      <c r="V250" s="4" t="inlineStr">
        <is>
          <t>Introduce CHISON as a future line through a national MAH partner; ask about their hospital and clinic coverage, service engineers and openness to non Japanese brands.</t>
        </is>
      </c>
      <c r="W250" s="4" t="inlineStr">
        <is>
          <t>N (not identified)</t>
        </is>
      </c>
      <c r="X250" s="7" t="inlineStr">
        <is>
          <t>https://baseconnect.in/companies/prefecture/a89155ac-9626-450f-9011-00a5b6529965/category/b2358a1c-c4c6-46f4-a0b1-dee3a1b30a0b</t>
        </is>
      </c>
      <c r="Y250" s="4" t="inlineStr">
        <is>
          <t>SonoEye P3 plus SonoAir 30 for GP and clinic accounts</t>
        </is>
      </c>
      <c r="Z250" s="4" t="inlineStr">
        <is>
          <t>2, 2, 3, 3, 3, 2, 3</t>
        </is>
      </c>
      <c r="AA250" s="4" t="inlineStr">
        <is>
          <t>Not found</t>
        </is>
      </c>
      <c r="AB250" s="4" t="inlineStr">
        <is>
          <t>Directory or search listing; not opened (direct site access blocked)</t>
        </is>
      </c>
      <c r="AC250" s="4" t="inlineStr">
        <is>
          <t>No expired licence or ended distribution agreement found</t>
        </is>
      </c>
      <c r="AD250" s="4" t="inlineStr">
        <is>
          <t>Not started</t>
        </is>
      </c>
      <c r="AE250" s="4" t="inlineStr"/>
      <c r="AF250" s="4" t="inlineStr"/>
      <c r="AG250" s="4" t="inlineStr">
        <is>
          <t>No email published and no verified website found</t>
        </is>
      </c>
    </row>
    <row r="251">
      <c r="A251" s="4" t="n">
        <v>247</v>
      </c>
      <c r="B251" s="4" t="inlineStr">
        <is>
          <t>Tsuboi Iryoki</t>
        </is>
      </c>
      <c r="C251" s="4" t="inlineStr">
        <is>
          <t>坪井医療器</t>
        </is>
      </c>
      <c r="D251" s="4" t="inlineStr">
        <is>
          <t>Not retrieved (NTA lookup blocked in this session)</t>
        </is>
      </c>
      <c r="E251" s="4" t="inlineStr">
        <is>
          <t>岡山県</t>
        </is>
      </c>
      <c r="F251" s="4" t="inlineStr">
        <is>
          <t>Chugoku and Shikoku</t>
        </is>
      </c>
      <c r="G251" s="4" t="inlineStr">
        <is>
          <t>Not confirmed (company site not opened; network policy blocked direct access)</t>
        </is>
      </c>
      <c r="H251" s="4" t="inlineStr">
        <is>
          <t>No MAH found; device sales licence (高度管理医療機器等販売業) not confirmed</t>
        </is>
      </c>
      <c r="I251" s="4" t="inlineStr">
        <is>
          <t>Not identified in published sources</t>
        </is>
      </c>
      <c r="J251" s="4" t="inlineStr">
        <is>
          <t>General medical equipment (hospitals and clinics)</t>
        </is>
      </c>
      <c r="K251" s="4" t="inlineStr">
        <is>
          <t>岡山県 (regional; branch network not confirmed)</t>
        </is>
      </c>
      <c r="L251" s="4" t="inlineStr">
        <is>
          <t>Not found</t>
        </is>
      </c>
      <c r="M251" s="4" t="inlineStr">
        <is>
          <t>Not identified</t>
        </is>
      </c>
      <c r="N251" s="4" t="inlineStr">
        <is>
          <t>Not identified</t>
        </is>
      </c>
      <c r="O251" s="4" t="inlineStr">
        <is>
          <t>Not published; use company inquiry form</t>
        </is>
      </c>
      <c r="P251" s="4" t="inlineStr">
        <is>
          <t>Not confirmed</t>
        </is>
      </c>
      <c r="Q251" s="4" t="inlineStr">
        <is>
          <t>Not identified</t>
        </is>
      </c>
      <c r="R251" s="5" t="inlineStr">
        <is>
          <t>Unverified</t>
        </is>
      </c>
      <c r="S251" s="4" t="n">
        <v>18</v>
      </c>
      <c r="T251" s="10" t="inlineStr">
        <is>
          <t>C</t>
        </is>
      </c>
      <c r="U251" s="4" t="inlineStr">
        <is>
          <t>Regional general medical equipment dealer with hospital and clinic accounts; candidate sub dealer under a national MAH partner.</t>
        </is>
      </c>
      <c r="V251" s="4" t="inlineStr">
        <is>
          <t>Introduce CHISON as a future line through a national MAH partner; ask about their hospital and clinic coverage, service engineers and openness to non Japanese brands.</t>
        </is>
      </c>
      <c r="W251" s="4" t="inlineStr">
        <is>
          <t>N (not identified)</t>
        </is>
      </c>
      <c r="X251" s="7" t="inlineStr">
        <is>
          <t>https://baseconnect.in/companies/prefecture/cd00efe9-63bc-49a2-846e-3cfd4bca7207/keyword/89941b4e-2dd1-4848-8957-48af280a31e0</t>
        </is>
      </c>
      <c r="Y251" s="4" t="inlineStr">
        <is>
          <t>SonoEye P3 plus SonoAir 30 for GP and clinic accounts</t>
        </is>
      </c>
      <c r="Z251" s="4" t="inlineStr">
        <is>
          <t>2, 2, 3, 3, 3, 2, 3</t>
        </is>
      </c>
      <c r="AA251" s="4" t="inlineStr">
        <is>
          <t>Not found</t>
        </is>
      </c>
      <c r="AB251" s="4" t="inlineStr">
        <is>
          <t>Directory or search listing; not opened (direct site access blocked)</t>
        </is>
      </c>
      <c r="AC251" s="4" t="inlineStr">
        <is>
          <t>No expired licence or ended distribution agreement found</t>
        </is>
      </c>
      <c r="AD251" s="4" t="inlineStr">
        <is>
          <t>Not started</t>
        </is>
      </c>
      <c r="AE251" s="4" t="inlineStr"/>
      <c r="AF251" s="4" t="inlineStr"/>
      <c r="AG251" s="4" t="inlineStr">
        <is>
          <t>No email published and no verified website found</t>
        </is>
      </c>
    </row>
    <row r="252">
      <c r="A252" s="4" t="n">
        <v>248</v>
      </c>
      <c r="B252" s="4" t="inlineStr">
        <is>
          <t>Kawakami Ika Kikai</t>
        </is>
      </c>
      <c r="C252" s="4" t="inlineStr">
        <is>
          <t>川上医科器械</t>
        </is>
      </c>
      <c r="D252" s="4" t="inlineStr">
        <is>
          <t>Not retrieved (NTA lookup blocked in this session)</t>
        </is>
      </c>
      <c r="E252" s="4" t="inlineStr">
        <is>
          <t>島根県</t>
        </is>
      </c>
      <c r="F252" s="4" t="inlineStr">
        <is>
          <t>Chugoku and Shikoku</t>
        </is>
      </c>
      <c r="G252" s="4" t="inlineStr">
        <is>
          <t>Not confirmed (company site not opened; network policy blocked direct access)</t>
        </is>
      </c>
      <c r="H252" s="4" t="inlineStr">
        <is>
          <t>No MAH found; device sales licence (高度管理医療機器等販売業) not confirmed</t>
        </is>
      </c>
      <c r="I252" s="4" t="inlineStr">
        <is>
          <t>Not identified in published sources</t>
        </is>
      </c>
      <c r="J252" s="4" t="inlineStr">
        <is>
          <t>General medical equipment (hospitals and clinics)</t>
        </is>
      </c>
      <c r="K252" s="4" t="inlineStr">
        <is>
          <t>島根県 (regional; branch network not confirmed)</t>
        </is>
      </c>
      <c r="L252" s="4" t="inlineStr">
        <is>
          <t>Not found</t>
        </is>
      </c>
      <c r="M252" s="4" t="inlineStr">
        <is>
          <t>Not identified</t>
        </is>
      </c>
      <c r="N252" s="4" t="inlineStr">
        <is>
          <t>Not identified</t>
        </is>
      </c>
      <c r="O252" s="4" t="inlineStr">
        <is>
          <t>Not published; use company inquiry form</t>
        </is>
      </c>
      <c r="P252" s="4" t="inlineStr">
        <is>
          <t>Not confirmed</t>
        </is>
      </c>
      <c r="Q252" s="4" t="inlineStr">
        <is>
          <t>Not identified</t>
        </is>
      </c>
      <c r="R252" s="5" t="inlineStr">
        <is>
          <t>Unverified</t>
        </is>
      </c>
      <c r="S252" s="4" t="n">
        <v>18</v>
      </c>
      <c r="T252" s="10" t="inlineStr">
        <is>
          <t>C</t>
        </is>
      </c>
      <c r="U252" s="4" t="inlineStr">
        <is>
          <t>Regional general medical equipment dealer with hospital and clinic accounts; candidate sub dealer under a national MAH partner.</t>
        </is>
      </c>
      <c r="V252" s="4" t="inlineStr">
        <is>
          <t>Introduce CHISON as a future line through a national MAH partner; ask about their hospital and clinic coverage, service engineers and openness to non Japanese brands.</t>
        </is>
      </c>
      <c r="W252" s="4" t="inlineStr">
        <is>
          <t>N (not identified)</t>
        </is>
      </c>
      <c r="X252" s="7" t="inlineStr">
        <is>
          <t>https://baseconnect.in/companies/prefecture/2466a71e-a675-4184-bf2b-a9d3122e4400/category/b2358a1c-c4c6-46f4-a0b1-dee3a1b30a0b</t>
        </is>
      </c>
      <c r="Y252" s="4" t="inlineStr">
        <is>
          <t>SonoEye P3 plus SonoAir 30 for GP and clinic accounts</t>
        </is>
      </c>
      <c r="Z252" s="4" t="inlineStr">
        <is>
          <t>2, 2, 3, 3, 3, 2, 3</t>
        </is>
      </c>
      <c r="AA252" s="4" t="inlineStr">
        <is>
          <t>Not found</t>
        </is>
      </c>
      <c r="AB252" s="4" t="inlineStr">
        <is>
          <t>Directory or search listing; not opened (direct site access blocked)</t>
        </is>
      </c>
      <c r="AC252" s="4" t="inlineStr">
        <is>
          <t>No expired licence or ended distribution agreement found</t>
        </is>
      </c>
      <c r="AD252" s="4" t="inlineStr">
        <is>
          <t>Not started</t>
        </is>
      </c>
      <c r="AE252" s="4" t="inlineStr"/>
      <c r="AF252" s="4" t="inlineStr"/>
      <c r="AG252" s="4" t="inlineStr">
        <is>
          <t>No email published and no verified website found</t>
        </is>
      </c>
    </row>
    <row r="253">
      <c r="A253" s="4" t="n">
        <v>249</v>
      </c>
      <c r="B253" s="4" t="inlineStr">
        <is>
          <t>Kono Ika Kikai</t>
        </is>
      </c>
      <c r="C253" s="4" t="inlineStr">
        <is>
          <t>河野医科器械</t>
        </is>
      </c>
      <c r="D253" s="4" t="inlineStr">
        <is>
          <t>Not retrieved (NTA lookup blocked in this session)</t>
        </is>
      </c>
      <c r="E253" s="4" t="inlineStr">
        <is>
          <t>徳島県</t>
        </is>
      </c>
      <c r="F253" s="4" t="inlineStr">
        <is>
          <t>Chugoku and Shikoku</t>
        </is>
      </c>
      <c r="G253" s="4" t="inlineStr">
        <is>
          <t>https://www.kohno-ika.com/</t>
        </is>
      </c>
      <c r="H253" s="4" t="inlineStr">
        <is>
          <t>No MAH found; device sales licence (高度管理医療機器等販売業) not confirmed</t>
        </is>
      </c>
      <c r="I253" s="4" t="inlineStr">
        <is>
          <t>Not identified in published sources</t>
        </is>
      </c>
      <c r="J253" s="4" t="inlineStr">
        <is>
          <t>General medical equipment (hospitals and clinics)</t>
        </is>
      </c>
      <c r="K253" s="4" t="inlineStr">
        <is>
          <t>徳島県 (regional; branch network not confirmed)</t>
        </is>
      </c>
      <c r="L253" s="4" t="inlineStr">
        <is>
          <t>Not found</t>
        </is>
      </c>
      <c r="M253" s="4" t="inlineStr">
        <is>
          <t>Not identified</t>
        </is>
      </c>
      <c r="N253" s="4" t="inlineStr">
        <is>
          <t>Not identified</t>
        </is>
      </c>
      <c r="O253" s="4" t="inlineStr">
        <is>
          <t>kohno-ika@kohno-ika.com</t>
        </is>
      </c>
      <c r="P253" s="4" t="inlineStr">
        <is>
          <t>Not confirmed</t>
        </is>
      </c>
      <c r="Q253" s="4" t="inlineStr">
        <is>
          <t>Not identified</t>
        </is>
      </c>
      <c r="R253" s="5" t="inlineStr">
        <is>
          <t>Unverified</t>
        </is>
      </c>
      <c r="S253" s="4" t="n">
        <v>18</v>
      </c>
      <c r="T253" s="10" t="inlineStr">
        <is>
          <t>C</t>
        </is>
      </c>
      <c r="U253" s="4" t="inlineStr">
        <is>
          <t>Regional general medical equipment dealer with hospital and clinic accounts; candidate sub dealer under a national MAH partner.</t>
        </is>
      </c>
      <c r="V253" s="4" t="inlineStr">
        <is>
          <t>Introduce CHISON as a future line through a national MAH partner; ask about their hospital and clinic coverage, service engineers and openness to non Japanese brands.</t>
        </is>
      </c>
      <c r="W253" s="4" t="inlineStr">
        <is>
          <t>N (not identified)</t>
        </is>
      </c>
      <c r="X253" s="7" t="inlineStr">
        <is>
          <t>https://baseconnect.in/companies/prefecture/22e3a90e-e956-4cce-bd1b-bdc8b44fc75f/category/b2358a1c-c4c6-46f4-a0b1-dee3a1b30a0b</t>
        </is>
      </c>
      <c r="Y253" s="4" t="inlineStr">
        <is>
          <t>SonoEye P3 plus SonoAir 30 for GP and clinic accounts</t>
        </is>
      </c>
      <c r="Z253" s="4" t="inlineStr">
        <is>
          <t>2, 2, 3, 3, 3, 2, 3</t>
        </is>
      </c>
      <c r="AA253" s="4" t="inlineStr">
        <is>
          <t>Not found</t>
        </is>
      </c>
      <c r="AB253" s="4" t="inlineStr">
        <is>
          <t>Directory or search listing; not opened (direct site access blocked)</t>
        </is>
      </c>
      <c r="AC253" s="4" t="inlineStr">
        <is>
          <t>No expired licence or ended distribution agreement found</t>
        </is>
      </c>
      <c r="AD253" s="4" t="inlineStr">
        <is>
          <t>Not started</t>
        </is>
      </c>
      <c r="AE253" s="4" t="inlineStr"/>
      <c r="AF253" s="4" t="inlineStr">
        <is>
          <t>https://www.kohno-ika.com/company/</t>
        </is>
      </c>
      <c r="AG253" s="4" t="inlineStr">
        <is>
          <t>Verified: published on company website</t>
        </is>
      </c>
    </row>
    <row r="254">
      <c r="A254" s="4" t="n">
        <v>250</v>
      </c>
      <c r="B254" s="4" t="inlineStr">
        <is>
          <t>Sanwa Ika Kikai</t>
        </is>
      </c>
      <c r="C254" s="4" t="inlineStr">
        <is>
          <t>三和医科器械</t>
        </is>
      </c>
      <c r="D254" s="4" t="inlineStr">
        <is>
          <t>Not retrieved (NTA lookup blocked in this session)</t>
        </is>
      </c>
      <c r="E254" s="4" t="inlineStr">
        <is>
          <t>愛媛県</t>
        </is>
      </c>
      <c r="F254" s="4" t="inlineStr">
        <is>
          <t>Chugoku and Shikoku</t>
        </is>
      </c>
      <c r="G254" s="4" t="inlineStr">
        <is>
          <t>https://sanwa-mi.com/</t>
        </is>
      </c>
      <c r="H254" s="4" t="inlineStr">
        <is>
          <t>No MAH found; device sales licence (高度管理医療機器等販売業) not confirmed</t>
        </is>
      </c>
      <c r="I254" s="4" t="inlineStr">
        <is>
          <t>Not identified in published sources</t>
        </is>
      </c>
      <c r="J254" s="4" t="inlineStr">
        <is>
          <t>General medical equipment (hospitals and clinics)</t>
        </is>
      </c>
      <c r="K254" s="4" t="inlineStr">
        <is>
          <t>愛媛県 (regional; branch network not confirmed)</t>
        </is>
      </c>
      <c r="L254" s="4" t="inlineStr">
        <is>
          <t>Not found</t>
        </is>
      </c>
      <c r="M254" s="4" t="inlineStr">
        <is>
          <t>Not identified</t>
        </is>
      </c>
      <c r="N254" s="4" t="inlineStr">
        <is>
          <t>Not identified</t>
        </is>
      </c>
      <c r="O254" s="4" t="inlineStr">
        <is>
          <t>info@sanwa-mi.com</t>
        </is>
      </c>
      <c r="P254" s="4" t="inlineStr">
        <is>
          <t>Not confirmed</t>
        </is>
      </c>
      <c r="Q254" s="4" t="inlineStr">
        <is>
          <t>Not identified</t>
        </is>
      </c>
      <c r="R254" s="5" t="inlineStr">
        <is>
          <t>Unverified</t>
        </is>
      </c>
      <c r="S254" s="4" t="n">
        <v>18</v>
      </c>
      <c r="T254" s="10" t="inlineStr">
        <is>
          <t>C</t>
        </is>
      </c>
      <c r="U254" s="4" t="inlineStr">
        <is>
          <t>Regional general medical equipment dealer with hospital and clinic accounts; candidate sub dealer under a national MAH partner.</t>
        </is>
      </c>
      <c r="V254" s="4" t="inlineStr">
        <is>
          <t>Introduce CHISON as a future line through a national MAH partner; ask about their hospital and clinic coverage, service engineers and openness to non Japanese brands.</t>
        </is>
      </c>
      <c r="W254" s="4" t="inlineStr">
        <is>
          <t>N (not identified)</t>
        </is>
      </c>
      <c r="X254" s="7" t="inlineStr">
        <is>
          <t>https://compalyze.co.jp/company/6500001015536 (reconfirm page)</t>
        </is>
      </c>
      <c r="Y254" s="4" t="inlineStr">
        <is>
          <t>SonoEye P3 plus SonoAir 30 for GP and clinic accounts</t>
        </is>
      </c>
      <c r="Z254" s="4" t="inlineStr">
        <is>
          <t>2, 2, 3, 3, 3, 2, 3</t>
        </is>
      </c>
      <c r="AA254" s="4" t="inlineStr">
        <is>
          <t>Not found</t>
        </is>
      </c>
      <c r="AB254" s="4" t="inlineStr">
        <is>
          <t>Directory or search listing; not opened (direct site access blocked)</t>
        </is>
      </c>
      <c r="AC254" s="4" t="inlineStr">
        <is>
          <t>No expired licence or ended distribution agreement found</t>
        </is>
      </c>
      <c r="AD254" s="4" t="inlineStr">
        <is>
          <t>Not started</t>
        </is>
      </c>
      <c r="AE254" s="4" t="inlineStr"/>
      <c r="AF254" s="4" t="inlineStr">
        <is>
          <t>https://www.facebook.com/sanwaikakikai/?locale=zh_CN</t>
        </is>
      </c>
      <c r="AG254" s="4" t="inlineStr">
        <is>
          <t>Likely: indexed on company domain</t>
        </is>
      </c>
    </row>
    <row r="255">
      <c r="A255" s="4" t="n">
        <v>251</v>
      </c>
      <c r="B255" s="4" t="inlineStr">
        <is>
          <t>Tokui Ika Kikaiten</t>
        </is>
      </c>
      <c r="C255" s="4" t="inlineStr">
        <is>
          <t>トクイ医科器械店</t>
        </is>
      </c>
      <c r="D255" s="4" t="inlineStr">
        <is>
          <t>Not retrieved (NTA lookup blocked in this session)</t>
        </is>
      </c>
      <c r="E255" s="4" t="inlineStr">
        <is>
          <t>愛媛県</t>
        </is>
      </c>
      <c r="F255" s="4" t="inlineStr">
        <is>
          <t>Chugoku and Shikoku</t>
        </is>
      </c>
      <c r="G255" s="4" t="inlineStr">
        <is>
          <t>Not confirmed (company site not opened; network policy blocked direct access)</t>
        </is>
      </c>
      <c r="H255" s="4" t="inlineStr">
        <is>
          <t>No MAH found; device sales licence (高度管理医療機器等販売業) not confirmed</t>
        </is>
      </c>
      <c r="I255" s="4" t="inlineStr">
        <is>
          <t>Not identified in published sources</t>
        </is>
      </c>
      <c r="J255" s="4" t="inlineStr">
        <is>
          <t>Surgery and OR</t>
        </is>
      </c>
      <c r="K255" s="4" t="inlineStr">
        <is>
          <t>愛媛県 (regional; branch network not confirmed)</t>
        </is>
      </c>
      <c r="L255" s="4" t="inlineStr">
        <is>
          <t>Not found</t>
        </is>
      </c>
      <c r="M255" s="4" t="inlineStr">
        <is>
          <t>Not identified</t>
        </is>
      </c>
      <c r="N255" s="4" t="inlineStr">
        <is>
          <t>Not identified</t>
        </is>
      </c>
      <c r="O255" s="4" t="inlineStr">
        <is>
          <t>Not published; use company inquiry form</t>
        </is>
      </c>
      <c r="P255" s="4" t="inlineStr">
        <is>
          <t>Not confirmed</t>
        </is>
      </c>
      <c r="Q255" s="4" t="inlineStr">
        <is>
          <t>Not identified</t>
        </is>
      </c>
      <c r="R255" s="5" t="inlineStr">
        <is>
          <t>Unverified</t>
        </is>
      </c>
      <c r="S255" s="4" t="n">
        <v>18</v>
      </c>
      <c r="T255" s="10" t="inlineStr">
        <is>
          <t>C</t>
        </is>
      </c>
      <c r="U255" s="4" t="inlineStr">
        <is>
          <t>Adjacent hospital department line (no ultrasound found), which is the best recruit profile for a point of care line.</t>
        </is>
      </c>
      <c r="V255" s="4" t="inlineStr">
        <is>
          <t>Introduce CHISON as a future line through a national MAH partner; ask about their hospital and clinic coverage, service engineers and openness to non Japanese brands.</t>
        </is>
      </c>
      <c r="W255" s="4" t="inlineStr">
        <is>
          <t>N (not identified)</t>
        </is>
      </c>
      <c r="X255" s="7" t="inlineStr">
        <is>
          <t>https://baseconnect.in/companies/prefecture/18e4d2f6-9b16-4488-931c-17ced3101b74/keyword/2eca165e-bd4a-4e2e-bc44-397492071b92</t>
        </is>
      </c>
      <c r="Y255" s="4" t="inlineStr">
        <is>
          <t>SonoTouch plus SonoEye P3 (nerve block, vascular access, peri operative)</t>
        </is>
      </c>
      <c r="Z255" s="4" t="inlineStr">
        <is>
          <t>2, 2, 3, 3, 3, 2, 3</t>
        </is>
      </c>
      <c r="AA255" s="4" t="inlineStr">
        <is>
          <t>Not found</t>
        </is>
      </c>
      <c r="AB255" s="4" t="inlineStr">
        <is>
          <t>Directory or search listing; not opened (direct site access blocked)</t>
        </is>
      </c>
      <c r="AC255" s="4" t="inlineStr">
        <is>
          <t>No expired licence or ended distribution agreement found</t>
        </is>
      </c>
      <c r="AD255" s="4" t="inlineStr">
        <is>
          <t>Not started</t>
        </is>
      </c>
      <c r="AE255" s="4" t="inlineStr"/>
      <c r="AF255" s="4" t="inlineStr"/>
      <c r="AG255" s="4" t="inlineStr">
        <is>
          <t>No email published and no verified website found</t>
        </is>
      </c>
    </row>
    <row r="256">
      <c r="A256" s="4" t="n">
        <v>252</v>
      </c>
      <c r="B256" s="4" t="inlineStr">
        <is>
          <t>Oji Ika Kikai</t>
        </is>
      </c>
      <c r="C256" s="4" t="inlineStr">
        <is>
          <t>尾路医科器械</t>
        </is>
      </c>
      <c r="D256" s="4" t="inlineStr">
        <is>
          <t>Not retrieved (NTA lookup blocked in this session)</t>
        </is>
      </c>
      <c r="E256" s="4" t="inlineStr">
        <is>
          <t>香川県</t>
        </is>
      </c>
      <c r="F256" s="4" t="inlineStr">
        <is>
          <t>Chugoku and Shikoku</t>
        </is>
      </c>
      <c r="G256" s="4" t="inlineStr">
        <is>
          <t>https://onomichi-ika.com/</t>
        </is>
      </c>
      <c r="H256" s="4" t="inlineStr">
        <is>
          <t>No MAH found; device sales licence (高度管理医療機器等販売業) not confirmed</t>
        </is>
      </c>
      <c r="I256" s="4" t="inlineStr">
        <is>
          <t>Not identified in published sources</t>
        </is>
      </c>
      <c r="J256" s="4" t="inlineStr">
        <is>
          <t>General medical equipment (hospitals and clinics)</t>
        </is>
      </c>
      <c r="K256" s="4" t="inlineStr">
        <is>
          <t>香川県 (regional; branch network not confirmed)</t>
        </is>
      </c>
      <c r="L256" s="4" t="inlineStr">
        <is>
          <t>Not found</t>
        </is>
      </c>
      <c r="M256" s="4" t="inlineStr">
        <is>
          <t>Not identified</t>
        </is>
      </c>
      <c r="N256" s="4" t="inlineStr">
        <is>
          <t>Not identified</t>
        </is>
      </c>
      <c r="O256" s="4" t="inlineStr">
        <is>
          <t>Not published; use contact form</t>
        </is>
      </c>
      <c r="P256" s="4" t="inlineStr">
        <is>
          <t>Not confirmed</t>
        </is>
      </c>
      <c r="Q256" s="4" t="inlineStr">
        <is>
          <t>Not identified</t>
        </is>
      </c>
      <c r="R256" s="5" t="inlineStr">
        <is>
          <t>Likely</t>
        </is>
      </c>
      <c r="S256" s="4" t="n">
        <v>18</v>
      </c>
      <c r="T256" s="10" t="inlineStr">
        <is>
          <t>C</t>
        </is>
      </c>
      <c r="U256" s="4" t="inlineStr">
        <is>
          <t>Regional general medical equipment dealer with hospital and clinic accounts; candidate sub dealer under a national MAH partner.</t>
        </is>
      </c>
      <c r="V256" s="4" t="inlineStr">
        <is>
          <t>Introduce CHISON as a future line through a national MAH partner; ask about their hospital and clinic coverage, service engineers and openness to non Japanese brands.</t>
        </is>
      </c>
      <c r="W256" s="4" t="inlineStr">
        <is>
          <t>N (not identified)</t>
        </is>
      </c>
      <c r="X256" s="7" t="inlineStr">
        <is>
          <t>https://baseconnect.in/companies/prefecture/de8c9062-e2c4-4731-9214-c2e07deaabfb/keyword/89941b4e-2dd1-4848-8957-48af280a31e0</t>
        </is>
      </c>
      <c r="Y256" s="4" t="inlineStr">
        <is>
          <t>SonoEye P3 plus SonoAir 30 for GP and clinic accounts</t>
        </is>
      </c>
      <c r="Z256" s="4" t="inlineStr">
        <is>
          <t>2, 2, 3, 3, 3, 2, 3</t>
        </is>
      </c>
      <c r="AA256" s="4" t="inlineStr">
        <is>
          <t>Not found</t>
        </is>
      </c>
      <c r="AB256" s="4" t="inlineStr">
        <is>
          <t>Directory or search listing; not opened (direct site access blocked)</t>
        </is>
      </c>
      <c r="AC256" s="4" t="inlineStr">
        <is>
          <t>No expired licence or ended distribution agreement found</t>
        </is>
      </c>
      <c r="AD256" s="4" t="inlineStr">
        <is>
          <t>Not started</t>
        </is>
      </c>
      <c r="AE256" s="4" t="inlineStr"/>
      <c r="AF256" s="4" t="inlineStr">
        <is>
          <t>https://onomichi-ika.com/contact/</t>
        </is>
      </c>
      <c r="AG256" s="4" t="inlineStr">
        <is>
          <t>No email published; use the contact form (link in Email source)</t>
        </is>
      </c>
    </row>
    <row r="257">
      <c r="A257" s="4" t="n">
        <v>253</v>
      </c>
      <c r="B257" s="4" t="inlineStr">
        <is>
          <t>Tottori Iryoki</t>
        </is>
      </c>
      <c r="C257" s="4" t="inlineStr">
        <is>
          <t>鳥取医療器</t>
        </is>
      </c>
      <c r="D257" s="4" t="inlineStr">
        <is>
          <t>Not retrieved (NTA lookup blocked in this session)</t>
        </is>
      </c>
      <c r="E257" s="4" t="inlineStr">
        <is>
          <t>鳥取県</t>
        </is>
      </c>
      <c r="F257" s="4" t="inlineStr">
        <is>
          <t>Chugoku and Shikoku</t>
        </is>
      </c>
      <c r="G257" s="4" t="inlineStr">
        <is>
          <t>https://t-iryoki.co.jp/</t>
        </is>
      </c>
      <c r="H257" s="4" t="inlineStr">
        <is>
          <t>No MAH found; device sales licence (高度管理医療機器等販売業) not confirmed</t>
        </is>
      </c>
      <c r="I257" s="4" t="inlineStr">
        <is>
          <t>Not identified in published sources</t>
        </is>
      </c>
      <c r="J257" s="4" t="inlineStr">
        <is>
          <t>General medical equipment (hospitals and clinics)</t>
        </is>
      </c>
      <c r="K257" s="4" t="inlineStr">
        <is>
          <t>鳥取県 (regional; branch network not confirmed)</t>
        </is>
      </c>
      <c r="L257" s="4" t="inlineStr">
        <is>
          <t>Not found</t>
        </is>
      </c>
      <c r="M257" s="4" t="inlineStr">
        <is>
          <t>Not identified</t>
        </is>
      </c>
      <c r="N257" s="4" t="inlineStr">
        <is>
          <t>Not identified</t>
        </is>
      </c>
      <c r="O257" s="4" t="inlineStr">
        <is>
          <t>welfare@t-iryoki.co.jp</t>
        </is>
      </c>
      <c r="P257" s="4" t="inlineStr">
        <is>
          <t>Not confirmed</t>
        </is>
      </c>
      <c r="Q257" s="4" t="inlineStr">
        <is>
          <t>Not identified</t>
        </is>
      </c>
      <c r="R257" s="5" t="inlineStr">
        <is>
          <t>Unverified</t>
        </is>
      </c>
      <c r="S257" s="4" t="n">
        <v>18</v>
      </c>
      <c r="T257" s="10" t="inlineStr">
        <is>
          <t>C</t>
        </is>
      </c>
      <c r="U257" s="4" t="inlineStr">
        <is>
          <t>Regional general medical equipment dealer with hospital and clinic accounts; candidate sub dealer under a national MAH partner.</t>
        </is>
      </c>
      <c r="V257" s="4" t="inlineStr">
        <is>
          <t>Introduce CHISON as a future line through a national MAH partner; ask about their hospital and clinic coverage, service engineers and openness to non Japanese brands.</t>
        </is>
      </c>
      <c r="W257" s="4" t="inlineStr">
        <is>
          <t>N (not identified)</t>
        </is>
      </c>
      <c r="X257" s="7" t="inlineStr">
        <is>
          <t>https://baseconnect.in/companies/prefecture/ed058ccb-0ba4-4479-9732-51a97cc73b5d/category/b2358a1c-c4c6-46f4-a0b1-dee3a1b30a0b</t>
        </is>
      </c>
      <c r="Y257" s="4" t="inlineStr">
        <is>
          <t>SonoEye P3 plus SonoAir 30 for GP and clinic accounts</t>
        </is>
      </c>
      <c r="Z257" s="4" t="inlineStr">
        <is>
          <t>2, 2, 3, 3, 3, 2, 3</t>
        </is>
      </c>
      <c r="AA257" s="4" t="inlineStr">
        <is>
          <t>Not found</t>
        </is>
      </c>
      <c r="AB257" s="4" t="inlineStr">
        <is>
          <t>Directory or search listing; not opened (direct site access blocked)</t>
        </is>
      </c>
      <c r="AC257" s="4" t="inlineStr">
        <is>
          <t>No expired licence or ended distribution agreement found</t>
        </is>
      </c>
      <c r="AD257" s="4" t="inlineStr">
        <is>
          <t>Not started</t>
        </is>
      </c>
      <c r="AE257" s="4" t="inlineStr"/>
      <c r="AF257" s="4" t="inlineStr">
        <is>
          <t>https://www.tottori-iryoki.com/</t>
        </is>
      </c>
      <c r="AG257" s="4" t="inlineStr">
        <is>
          <t>Likely: indexed on company domain</t>
        </is>
      </c>
    </row>
    <row r="258">
      <c r="A258" s="4" t="n">
        <v>254</v>
      </c>
      <c r="B258" s="4" t="inlineStr">
        <is>
          <t>Verda</t>
        </is>
      </c>
      <c r="C258" s="4" t="inlineStr">
        <is>
          <t>ベルダ</t>
        </is>
      </c>
      <c r="D258" s="4" t="inlineStr">
        <is>
          <t>Not retrieved (NTA lookup blocked in this session)</t>
        </is>
      </c>
      <c r="E258" s="4" t="inlineStr">
        <is>
          <t>千葉県</t>
        </is>
      </c>
      <c r="F258" s="4" t="inlineStr">
        <is>
          <t>Kanto</t>
        </is>
      </c>
      <c r="G258" s="4" t="inlineStr">
        <is>
          <t>http://verdad-co.jp/</t>
        </is>
      </c>
      <c r="H258" s="4" t="inlineStr">
        <is>
          <t>No MAH found; device sales licence (高度管理医療機器等販売業) not confirmed</t>
        </is>
      </c>
      <c r="I258" s="4" t="inlineStr">
        <is>
          <t>Not identified in published sources</t>
        </is>
      </c>
      <c r="J258" s="4" t="inlineStr">
        <is>
          <t>Dialysis</t>
        </is>
      </c>
      <c r="K258" s="4" t="inlineStr">
        <is>
          <t>千葉県 (regional; branch network not confirmed)</t>
        </is>
      </c>
      <c r="L258" s="4" t="inlineStr">
        <is>
          <t>Not found</t>
        </is>
      </c>
      <c r="M258" s="4" t="inlineStr">
        <is>
          <t>Not identified</t>
        </is>
      </c>
      <c r="N258" s="4" t="inlineStr">
        <is>
          <t>Not identified</t>
        </is>
      </c>
      <c r="O258" s="4" t="inlineStr">
        <is>
          <t>Not published; use contact form</t>
        </is>
      </c>
      <c r="P258" s="4" t="inlineStr">
        <is>
          <t>Not confirmed</t>
        </is>
      </c>
      <c r="Q258" s="4" t="inlineStr">
        <is>
          <t>Not identified</t>
        </is>
      </c>
      <c r="R258" s="5" t="inlineStr">
        <is>
          <t>Likely</t>
        </is>
      </c>
      <c r="S258" s="4" t="n">
        <v>17</v>
      </c>
      <c r="T258" s="10" t="inlineStr">
        <is>
          <t>C</t>
        </is>
      </c>
      <c r="U258" s="4" t="inlineStr">
        <is>
          <t>Regional general medical equipment dealer with hospital and clinic accounts; candidate sub dealer under a national MAH partner.</t>
        </is>
      </c>
      <c r="V258" s="4" t="inlineStr">
        <is>
          <t>Introduce CHISON as a future line through a national MAH partner; ask about their hospital and clinic coverage, service engineers and openness to non Japanese brands.</t>
        </is>
      </c>
      <c r="W258" s="4" t="inlineStr">
        <is>
          <t>N (not identified)</t>
        </is>
      </c>
      <c r="X258" s="7" t="inlineStr">
        <is>
          <t>https://baseconnect.in/companies/prefecture/3420045f-8609-4232-9407-75407ae4e6e8/category/b2358a1c-c4c6-46f4-a0b1-dee3a1b30a0b</t>
        </is>
      </c>
      <c r="Y258" s="4" t="inlineStr">
        <is>
          <t>SonoEye P3 for AV fistula and vascular access checks</t>
        </is>
      </c>
      <c r="Z258" s="4" t="inlineStr">
        <is>
          <t>2, 2, 3, 2, 3, 2, 3</t>
        </is>
      </c>
      <c r="AA258" s="4" t="inlineStr">
        <is>
          <t>Not found</t>
        </is>
      </c>
      <c r="AB258" s="4" t="inlineStr">
        <is>
          <t>Directory or search listing; not opened (direct site access blocked)</t>
        </is>
      </c>
      <c r="AC258" s="4" t="inlineStr">
        <is>
          <t>No expired licence or ended distribution agreement found</t>
        </is>
      </c>
      <c r="AD258" s="4" t="inlineStr">
        <is>
          <t>Not started</t>
        </is>
      </c>
      <c r="AE258" s="4" t="inlineStr"/>
      <c r="AF258" s="4" t="inlineStr">
        <is>
          <t>http://verdad-co.jp/contact/</t>
        </is>
      </c>
      <c r="AG258" s="4" t="inlineStr">
        <is>
          <t>No email published; use the contact form (link in Email source)</t>
        </is>
      </c>
    </row>
    <row r="259">
      <c r="A259" s="4" t="n">
        <v>255</v>
      </c>
      <c r="B259" s="4" t="inlineStr">
        <is>
          <t>Yutaka Shoji</t>
        </is>
      </c>
      <c r="C259" s="4" t="inlineStr">
        <is>
          <t>ユタカ商事</t>
        </is>
      </c>
      <c r="D259" s="4" t="inlineStr">
        <is>
          <t>Not retrieved (NTA lookup blocked in this session)</t>
        </is>
      </c>
      <c r="E259" s="4" t="inlineStr">
        <is>
          <t>千葉県</t>
        </is>
      </c>
      <c r="F259" s="4" t="inlineStr">
        <is>
          <t>Kanto</t>
        </is>
      </c>
      <c r="G259" s="4" t="inlineStr">
        <is>
          <t>https://www.yutakamed.co.jp/</t>
        </is>
      </c>
      <c r="H259" s="4" t="inlineStr">
        <is>
          <t>No MAH found; device sales licence (高度管理医療機器等販売業) not confirmed</t>
        </is>
      </c>
      <c r="I259" s="4" t="inlineStr">
        <is>
          <t>Not identified in published sources</t>
        </is>
      </c>
      <c r="J259" s="4" t="inlineStr">
        <is>
          <t>Orthopaedics and rehab</t>
        </is>
      </c>
      <c r="K259" s="4" t="inlineStr">
        <is>
          <t>千葉県 (regional; branch network not confirmed)</t>
        </is>
      </c>
      <c r="L259" s="4" t="inlineStr">
        <is>
          <t>Not found</t>
        </is>
      </c>
      <c r="M259" s="4" t="inlineStr">
        <is>
          <t>Not identified</t>
        </is>
      </c>
      <c r="N259" s="4" t="inlineStr">
        <is>
          <t>Not identified</t>
        </is>
      </c>
      <c r="O259" s="4" t="inlineStr">
        <is>
          <t>Not published; use contact form</t>
        </is>
      </c>
      <c r="P259" s="4" t="inlineStr">
        <is>
          <t>Not confirmed</t>
        </is>
      </c>
      <c r="Q259" s="4" t="inlineStr">
        <is>
          <t>Not identified</t>
        </is>
      </c>
      <c r="R259" s="5" t="inlineStr">
        <is>
          <t>Likely</t>
        </is>
      </c>
      <c r="S259" s="4" t="n">
        <v>17</v>
      </c>
      <c r="T259" s="10" t="inlineStr">
        <is>
          <t>C</t>
        </is>
      </c>
      <c r="U259" s="4" t="inlineStr">
        <is>
          <t>Regional general medical equipment dealer with hospital and clinic accounts; candidate sub dealer under a national MAH partner.</t>
        </is>
      </c>
      <c r="V259" s="4" t="inlineStr">
        <is>
          <t>Introduce CHISON as a future line through a national MAH partner; ask about their hospital and clinic coverage, service engineers and openness to non Japanese brands.</t>
        </is>
      </c>
      <c r="W259" s="4" t="inlineStr">
        <is>
          <t>N (not identified)</t>
        </is>
      </c>
      <c r="X259" s="7" t="inlineStr">
        <is>
          <t>https://baseconnect.in/companies/prefecture/3420045f-8609-4232-9407-75407ae4e6e8/category/b2358a1c-c4c6-46f4-a0b1-dee3a1b30a0b</t>
        </is>
      </c>
      <c r="Y259" s="4" t="inlineStr">
        <is>
          <t>SonoEye P5 high frequency linear for MSK and sports medicine</t>
        </is>
      </c>
      <c r="Z259" s="4" t="inlineStr">
        <is>
          <t>2, 2, 3, 2, 3, 2, 3</t>
        </is>
      </c>
      <c r="AA259" s="4" t="inlineStr">
        <is>
          <t>Not found</t>
        </is>
      </c>
      <c r="AB259" s="4" t="inlineStr">
        <is>
          <t>Directory or search listing; not opened (direct site access blocked)</t>
        </is>
      </c>
      <c r="AC259" s="4" t="inlineStr">
        <is>
          <t>No expired licence or ended distribution agreement found</t>
        </is>
      </c>
      <c r="AD259" s="4" t="inlineStr">
        <is>
          <t>Not started</t>
        </is>
      </c>
      <c r="AE259" s="4" t="inlineStr"/>
      <c r="AF259" s="4" t="inlineStr">
        <is>
          <t>https://www.yutakamed.co.jp/contact</t>
        </is>
      </c>
      <c r="AG259" s="4" t="inlineStr">
        <is>
          <t>No email published; use the contact form (link in Email source)</t>
        </is>
      </c>
    </row>
    <row r="260">
      <c r="A260" s="4" t="n">
        <v>256</v>
      </c>
      <c r="B260" s="4" t="inlineStr">
        <is>
          <t>Shiga Kikai</t>
        </is>
      </c>
      <c r="C260" s="4" t="inlineStr">
        <is>
          <t>志賀器械</t>
        </is>
      </c>
      <c r="D260" s="4" t="inlineStr">
        <is>
          <t>Not retrieved (NTA lookup blocked in this session)</t>
        </is>
      </c>
      <c r="E260" s="4" t="inlineStr">
        <is>
          <t>千葉県</t>
        </is>
      </c>
      <c r="F260" s="4" t="inlineStr">
        <is>
          <t>Kanto</t>
        </is>
      </c>
      <c r="G260" s="4" t="inlineStr">
        <is>
          <t>Not confirmed (company site not opened; network policy blocked direct access)</t>
        </is>
      </c>
      <c r="H260" s="4" t="inlineStr">
        <is>
          <t>No MAH found; device sales licence (高度管理医療機器等販売業) not confirmed</t>
        </is>
      </c>
      <c r="I260" s="4" t="inlineStr">
        <is>
          <t>Not identified in published sources</t>
        </is>
      </c>
      <c r="J260" s="4" t="inlineStr">
        <is>
          <t>General medical equipment (hospitals and clinics)</t>
        </is>
      </c>
      <c r="K260" s="4" t="inlineStr">
        <is>
          <t>千葉県 (regional; branch network not confirmed)</t>
        </is>
      </c>
      <c r="L260" s="4" t="inlineStr">
        <is>
          <t>Not found</t>
        </is>
      </c>
      <c r="M260" s="4" t="inlineStr">
        <is>
          <t>Not identified</t>
        </is>
      </c>
      <c r="N260" s="4" t="inlineStr">
        <is>
          <t>Not identified</t>
        </is>
      </c>
      <c r="O260" s="4" t="inlineStr">
        <is>
          <t>Not published; use company inquiry form</t>
        </is>
      </c>
      <c r="P260" s="4" t="inlineStr">
        <is>
          <t>Not confirmed</t>
        </is>
      </c>
      <c r="Q260" s="4" t="inlineStr">
        <is>
          <t>Not identified</t>
        </is>
      </c>
      <c r="R260" s="5" t="inlineStr">
        <is>
          <t>Unverified</t>
        </is>
      </c>
      <c r="S260" s="4" t="n">
        <v>17</v>
      </c>
      <c r="T260" s="10" t="inlineStr">
        <is>
          <t>C</t>
        </is>
      </c>
      <c r="U260" s="4" t="inlineStr">
        <is>
          <t>Regional general medical equipment dealer with hospital and clinic accounts; candidate sub dealer under a national MAH partner.</t>
        </is>
      </c>
      <c r="V260" s="4" t="inlineStr">
        <is>
          <t>Introduce CHISON as a future line through a national MAH partner; ask about their hospital and clinic coverage, service engineers and openness to non Japanese brands.</t>
        </is>
      </c>
      <c r="W260" s="4" t="inlineStr">
        <is>
          <t>N (not identified)</t>
        </is>
      </c>
      <c r="X260" s="7" t="inlineStr">
        <is>
          <t>https://baseconnect.in/companies/prefecture/3420045f-8609-4232-9407-75407ae4e6e8/category/b2358a1c-c4c6-46f4-a0b1-dee3a1b30a0b</t>
        </is>
      </c>
      <c r="Y260" s="4" t="inlineStr">
        <is>
          <t>SonoEye P3 plus SonoAir 30 for GP and clinic accounts</t>
        </is>
      </c>
      <c r="Z260" s="4" t="inlineStr">
        <is>
          <t>2, 2, 3, 2, 3, 2, 3</t>
        </is>
      </c>
      <c r="AA260" s="4" t="inlineStr">
        <is>
          <t>Not found</t>
        </is>
      </c>
      <c r="AB260" s="4" t="inlineStr">
        <is>
          <t>Recheck: no independent confirmation found; directory listing only</t>
        </is>
      </c>
      <c r="AC260" s="4" t="inlineStr">
        <is>
          <t>No expired licence or ended distribution agreement found</t>
        </is>
      </c>
      <c r="AD260" s="4" t="inlineStr">
        <is>
          <t>Not started</t>
        </is>
      </c>
      <c r="AE260" s="4" t="inlineStr"/>
      <c r="AF260" s="4" t="inlineStr"/>
      <c r="AG260" s="4" t="inlineStr">
        <is>
          <t>No email published and no verified website found</t>
        </is>
      </c>
    </row>
    <row r="261">
      <c r="A261" s="4" t="n">
        <v>257</v>
      </c>
      <c r="B261" s="4" t="inlineStr">
        <is>
          <t>Iwabuchi Yakuhin</t>
        </is>
      </c>
      <c r="C261" s="4" t="inlineStr">
        <is>
          <t>岩渕薬品</t>
        </is>
      </c>
      <c r="D261" s="4" t="inlineStr">
        <is>
          <t>Not retrieved (NTA lookup blocked in this session)</t>
        </is>
      </c>
      <c r="E261" s="4" t="inlineStr">
        <is>
          <t>千葉県</t>
        </is>
      </c>
      <c r="F261" s="4" t="inlineStr">
        <is>
          <t>Kanto</t>
        </is>
      </c>
      <c r="G261" s="4" t="inlineStr">
        <is>
          <t>https://www.iwabuchi-net.co.jp/</t>
        </is>
      </c>
      <c r="H261" s="4" t="inlineStr">
        <is>
          <t>No MAH found; device sales licence (高度管理医療機器等販売業) not confirmed</t>
        </is>
      </c>
      <c r="I261" s="4" t="inlineStr">
        <is>
          <t>Not identified in published sources</t>
        </is>
      </c>
      <c r="J261" s="4" t="inlineStr">
        <is>
          <t>Pharma distribution</t>
        </is>
      </c>
      <c r="K261" s="4" t="inlineStr">
        <is>
          <t>千葉県 (regional; branch network not confirmed)</t>
        </is>
      </c>
      <c r="L261" s="4" t="inlineStr">
        <is>
          <t>Not found</t>
        </is>
      </c>
      <c r="M261" s="4" t="inlineStr">
        <is>
          <t>Not identified</t>
        </is>
      </c>
      <c r="N261" s="4" t="inlineStr">
        <is>
          <t>Not identified</t>
        </is>
      </c>
      <c r="O261" s="4" t="inlineStr">
        <is>
          <t>soukei@iwabuchi-net.co.jp</t>
        </is>
      </c>
      <c r="P261" s="4" t="inlineStr">
        <is>
          <t>Not confirmed</t>
        </is>
      </c>
      <c r="Q261" s="4" t="inlineStr">
        <is>
          <t>Not identified</t>
        </is>
      </c>
      <c r="R261" s="5" t="inlineStr">
        <is>
          <t>Unverified</t>
        </is>
      </c>
      <c r="S261" s="4" t="n">
        <v>17</v>
      </c>
      <c r="T261" s="10" t="inlineStr">
        <is>
          <t>C</t>
        </is>
      </c>
      <c r="U261" s="4" t="inlineStr">
        <is>
          <t>Regional general medical equipment dealer with hospital and clinic accounts; candidate sub dealer under a national MAH partner.</t>
        </is>
      </c>
      <c r="V261" s="4" t="inlineStr">
        <is>
          <t>Introduce CHISON as a future line through a national MAH partner; ask about their hospital and clinic coverage, service engineers and openness to non Japanese brands.</t>
        </is>
      </c>
      <c r="W261" s="4" t="inlineStr">
        <is>
          <t>N (not identified)</t>
        </is>
      </c>
      <c r="X261" s="7" t="inlineStr">
        <is>
          <t>https://baseconnect.in/companies/prefecture/3420045f-8609-4232-9407-75407ae4e6e8/category/b2358a1c-c4c6-46f4-a0b1-dee3a1b30a0b</t>
        </is>
      </c>
      <c r="Y261" s="4" t="inlineStr">
        <is>
          <t>SonoEye P3 plus SonoAir 30 for GP and clinic accounts</t>
        </is>
      </c>
      <c r="Z261" s="4" t="inlineStr">
        <is>
          <t>2, 2, 3, 2, 3, 2, 3</t>
        </is>
      </c>
      <c r="AA261" s="4" t="inlineStr">
        <is>
          <t>Not found</t>
        </is>
      </c>
      <c r="AB261" s="4" t="inlineStr">
        <is>
          <t>Directory or search listing; not opened (direct site access blocked)</t>
        </is>
      </c>
      <c r="AC261" s="4" t="inlineStr">
        <is>
          <t>No expired licence or ended distribution agreement found</t>
        </is>
      </c>
      <c r="AD261" s="4" t="inlineStr">
        <is>
          <t>Not started</t>
        </is>
      </c>
      <c r="AE261" s="4" t="inlineStr">
        <is>
          <t>sasaki-s@iwabuchi-net.co.jp, kyujin@iwabuchi-net.co.jp</t>
        </is>
      </c>
      <c r="AF261" s="4" t="inlineStr">
        <is>
          <t>http://www.iwabuchi-net.co.jp/recruit/recruit/</t>
        </is>
      </c>
      <c r="AG261" s="4" t="inlineStr">
        <is>
          <t>Likely: indexed on company domain</t>
        </is>
      </c>
    </row>
    <row r="262">
      <c r="A262" s="4" t="n">
        <v>258</v>
      </c>
      <c r="B262" s="4" t="inlineStr">
        <is>
          <t>Yoshida Iryo Kikai</t>
        </is>
      </c>
      <c r="C262" s="4" t="inlineStr">
        <is>
          <t>吉田医療器械</t>
        </is>
      </c>
      <c r="D262" s="4" t="inlineStr">
        <is>
          <t>Not retrieved (NTA lookup blocked in this session)</t>
        </is>
      </c>
      <c r="E262" s="4" t="inlineStr">
        <is>
          <t>千葉県</t>
        </is>
      </c>
      <c r="F262" s="4" t="inlineStr">
        <is>
          <t>Kanto</t>
        </is>
      </c>
      <c r="G262" s="4" t="inlineStr">
        <is>
          <t>Not confirmed (company site not opened; network policy blocked direct access)</t>
        </is>
      </c>
      <c r="H262" s="4" t="inlineStr">
        <is>
          <t>No MAH found; device sales licence (高度管理医療機器等販売業) not confirmed</t>
        </is>
      </c>
      <c r="I262" s="4" t="inlineStr">
        <is>
          <t>Not identified in published sources</t>
        </is>
      </c>
      <c r="J262" s="4" t="inlineStr">
        <is>
          <t>General medical equipment (hospitals and clinics)</t>
        </is>
      </c>
      <c r="K262" s="4" t="inlineStr">
        <is>
          <t>千葉県 (regional; branch network not confirmed)</t>
        </is>
      </c>
      <c r="L262" s="4" t="inlineStr">
        <is>
          <t>Not found</t>
        </is>
      </c>
      <c r="M262" s="4" t="inlineStr">
        <is>
          <t>Not identified</t>
        </is>
      </c>
      <c r="N262" s="4" t="inlineStr">
        <is>
          <t>Not identified</t>
        </is>
      </c>
      <c r="O262" s="4" t="inlineStr">
        <is>
          <t>Not published; use company inquiry form</t>
        </is>
      </c>
      <c r="P262" s="4" t="inlineStr">
        <is>
          <t>Not confirmed</t>
        </is>
      </c>
      <c r="Q262" s="4" t="inlineStr">
        <is>
          <t>Not identified</t>
        </is>
      </c>
      <c r="R262" s="5" t="inlineStr">
        <is>
          <t>Unverified</t>
        </is>
      </c>
      <c r="S262" s="4" t="n">
        <v>17</v>
      </c>
      <c r="T262" s="10" t="inlineStr">
        <is>
          <t>C</t>
        </is>
      </c>
      <c r="U262" s="4" t="inlineStr">
        <is>
          <t>Regional general medical equipment dealer with hospital and clinic accounts; candidate sub dealer under a national MAH partner.</t>
        </is>
      </c>
      <c r="V262" s="4" t="inlineStr">
        <is>
          <t>Introduce CHISON as a future line through a national MAH partner; ask about their hospital and clinic coverage, service engineers and openness to non Japanese brands.</t>
        </is>
      </c>
      <c r="W262" s="4" t="inlineStr">
        <is>
          <t>N (not identified)</t>
        </is>
      </c>
      <c r="X262" s="7" t="inlineStr">
        <is>
          <t>https://baseconnect.in/companies/prefecture/3420045f-8609-4232-9407-75407ae4e6e8/keyword/89941b4e-2dd1-4848-8957-48af280a31e0</t>
        </is>
      </c>
      <c r="Y262" s="4" t="inlineStr">
        <is>
          <t>SonoEye P3 plus SonoAir 30 for GP and clinic accounts</t>
        </is>
      </c>
      <c r="Z262" s="4" t="inlineStr">
        <is>
          <t>2, 2, 3, 3, 2, 2, 3</t>
        </is>
      </c>
      <c r="AA262" s="4" t="inlineStr">
        <is>
          <t>Not found</t>
        </is>
      </c>
      <c r="AB262" s="4" t="inlineStr">
        <is>
          <t>Directory or search listing; not opened (direct site access blocked)</t>
        </is>
      </c>
      <c r="AC262" s="4" t="inlineStr">
        <is>
          <t>No expired licence or ended distribution agreement found</t>
        </is>
      </c>
      <c r="AD262" s="4" t="inlineStr">
        <is>
          <t>Not started</t>
        </is>
      </c>
      <c r="AE262" s="4" t="inlineStr"/>
      <c r="AF262" s="4" t="inlineStr"/>
      <c r="AG262" s="4" t="inlineStr">
        <is>
          <t>No email published and no verified website found</t>
        </is>
      </c>
    </row>
    <row r="263">
      <c r="A263" s="4" t="n">
        <v>259</v>
      </c>
      <c r="B263" s="4" t="inlineStr">
        <is>
          <t>MMC Center</t>
        </is>
      </c>
      <c r="C263" s="4" t="inlineStr">
        <is>
          <t>エムエムシーセンター</t>
        </is>
      </c>
      <c r="D263" s="4" t="inlineStr">
        <is>
          <t>Not retrieved (NTA lookup blocked in this session)</t>
        </is>
      </c>
      <c r="E263" s="4" t="inlineStr">
        <is>
          <t>千葉県</t>
        </is>
      </c>
      <c r="F263" s="4" t="inlineStr">
        <is>
          <t>Kanto</t>
        </is>
      </c>
      <c r="G263" s="4" t="inlineStr">
        <is>
          <t>Not confirmed (company site not opened; network policy blocked direct access)</t>
        </is>
      </c>
      <c r="H263" s="4" t="inlineStr">
        <is>
          <t>No MAH found; device sales licence (高度管理医療機器等販売業) not confirmed</t>
        </is>
      </c>
      <c r="I263" s="4" t="inlineStr">
        <is>
          <t>Not identified in published sources</t>
        </is>
      </c>
      <c r="J263" s="4" t="inlineStr">
        <is>
          <t>Emergency and disaster</t>
        </is>
      </c>
      <c r="K263" s="4" t="inlineStr">
        <is>
          <t>千葉県 (regional; branch network not confirmed)</t>
        </is>
      </c>
      <c r="L263" s="4" t="inlineStr">
        <is>
          <t>Not found</t>
        </is>
      </c>
      <c r="M263" s="4" t="inlineStr">
        <is>
          <t>Not identified</t>
        </is>
      </c>
      <c r="N263" s="4" t="inlineStr">
        <is>
          <t>Not identified</t>
        </is>
      </c>
      <c r="O263" s="4" t="inlineStr">
        <is>
          <t>Not published; use company inquiry form</t>
        </is>
      </c>
      <c r="P263" s="4" t="inlineStr">
        <is>
          <t>Not confirmed</t>
        </is>
      </c>
      <c r="Q263" s="4" t="inlineStr">
        <is>
          <t>Not identified</t>
        </is>
      </c>
      <c r="R263" s="5" t="inlineStr">
        <is>
          <t>Unverified</t>
        </is>
      </c>
      <c r="S263" s="4" t="n">
        <v>17</v>
      </c>
      <c r="T263" s="10" t="inlineStr">
        <is>
          <t>C</t>
        </is>
      </c>
      <c r="U263" s="4" t="inlineStr">
        <is>
          <t>Regional general medical equipment dealer with hospital and clinic accounts; candidate sub dealer under a national MAH partner.</t>
        </is>
      </c>
      <c r="V263" s="4" t="inlineStr">
        <is>
          <t>Introduce CHISON as a future line through a national MAH partner; ask about their hospital and clinic coverage, service engineers and openness to non Japanese brands.</t>
        </is>
      </c>
      <c r="W263" s="4" t="inlineStr">
        <is>
          <t>N (not identified)</t>
        </is>
      </c>
      <c r="X263" s="7" t="inlineStr">
        <is>
          <t>https://baseconnect.in/companies/prefecture/3420045f-8609-4232-9407-75407ae4e6e8/keyword/89941b4e-2dd1-4848-8957-48af280a31e0</t>
        </is>
      </c>
      <c r="Y263" s="4" t="inlineStr">
        <is>
          <t>SonoEye P3 for FAST, lung and vascular access (POCUS)</t>
        </is>
      </c>
      <c r="Z263" s="4" t="inlineStr">
        <is>
          <t>2, 2, 3, 2, 3, 2, 3</t>
        </is>
      </c>
      <c r="AA263" s="4" t="inlineStr">
        <is>
          <t>Not found</t>
        </is>
      </c>
      <c r="AB263" s="4" t="inlineStr">
        <is>
          <t>Directory or search listing; not opened (direct site access blocked)</t>
        </is>
      </c>
      <c r="AC263" s="4" t="inlineStr">
        <is>
          <t>No expired licence or ended distribution agreement found</t>
        </is>
      </c>
      <c r="AD263" s="4" t="inlineStr">
        <is>
          <t>Not started</t>
        </is>
      </c>
      <c r="AE263" s="4" t="inlineStr"/>
      <c r="AF263" s="4" t="inlineStr"/>
      <c r="AG263" s="4" t="inlineStr">
        <is>
          <t>No email published and no verified website found</t>
        </is>
      </c>
    </row>
    <row r="264">
      <c r="A264" s="4" t="n">
        <v>260</v>
      </c>
      <c r="B264" s="4" t="inlineStr">
        <is>
          <t>4S Medical</t>
        </is>
      </c>
      <c r="C264" s="4" t="inlineStr">
        <is>
          <t>フォーエスメディカル</t>
        </is>
      </c>
      <c r="D264" s="4" t="inlineStr">
        <is>
          <t>Not retrieved (NTA lookup blocked in this session)</t>
        </is>
      </c>
      <c r="E264" s="4" t="inlineStr">
        <is>
          <t>千葉県</t>
        </is>
      </c>
      <c r="F264" s="4" t="inlineStr">
        <is>
          <t>Kanto</t>
        </is>
      </c>
      <c r="G264" s="4" t="inlineStr">
        <is>
          <t>https://www.4sm.co.jp/</t>
        </is>
      </c>
      <c r="H264" s="4" t="inlineStr">
        <is>
          <t>No MAH found; device sales licence (高度管理医療機器等販売業) not confirmed</t>
        </is>
      </c>
      <c r="I264" s="4" t="inlineStr">
        <is>
          <t>Not identified in published sources</t>
        </is>
      </c>
      <c r="J264" s="4" t="inlineStr">
        <is>
          <t>Emergency and disaster, Orthopaedics and rehab</t>
        </is>
      </c>
      <c r="K264" s="4" t="inlineStr">
        <is>
          <t>千葉県 (regional; branch network not confirmed)</t>
        </is>
      </c>
      <c r="L264" s="4" t="inlineStr">
        <is>
          <t>Not found</t>
        </is>
      </c>
      <c r="M264" s="4" t="inlineStr">
        <is>
          <t>Not identified</t>
        </is>
      </c>
      <c r="N264" s="4" t="inlineStr">
        <is>
          <t>Not identified</t>
        </is>
      </c>
      <c r="O264" s="4" t="inlineStr">
        <is>
          <t>Not published; use company inquiry form</t>
        </is>
      </c>
      <c r="P264" s="4" t="inlineStr">
        <is>
          <t>Not confirmed</t>
        </is>
      </c>
      <c r="Q264" s="4" t="inlineStr">
        <is>
          <t>Not identified</t>
        </is>
      </c>
      <c r="R264" s="5" t="inlineStr">
        <is>
          <t>Company inquiry only</t>
        </is>
      </c>
      <c r="S264" s="4" t="n">
        <v>17</v>
      </c>
      <c r="T264" s="10" t="inlineStr">
        <is>
          <t>C</t>
        </is>
      </c>
      <c r="U264" s="4" t="inlineStr">
        <is>
          <t>Regional general medical equipment dealer with hospital and clinic accounts; candidate sub dealer under a national MAH partner.</t>
        </is>
      </c>
      <c r="V264" s="4" t="inlineStr">
        <is>
          <t>Introduce CHISON as a future line through a national MAH partner; ask about their hospital and clinic coverage, service engineers and openness to non Japanese brands.</t>
        </is>
      </c>
      <c r="W264" s="4" t="inlineStr">
        <is>
          <t>N (not identified)</t>
        </is>
      </c>
      <c r="X264" s="7" t="inlineStr">
        <is>
          <t>https://baseconnect.in/companies/prefecture/3420045f-8609-4232-9407-75407ae4e6e8/keyword/89941b4e-2dd1-4848-8957-48af280a31e0</t>
        </is>
      </c>
      <c r="Y264" s="4" t="inlineStr">
        <is>
          <t>SonoEye P3 for FAST, lung and vascular access (POCUS)</t>
        </is>
      </c>
      <c r="Z264" s="4" t="inlineStr">
        <is>
          <t>2, 2, 3, 2, 3, 2, 3</t>
        </is>
      </c>
      <c r="AA264" s="4" t="inlineStr">
        <is>
          <t>Not found</t>
        </is>
      </c>
      <c r="AB264" s="4" t="inlineStr">
        <is>
          <t>Directory or search listing; not opened (direct site access blocked)</t>
        </is>
      </c>
      <c r="AC264" s="4" t="inlineStr">
        <is>
          <t>No expired licence or ended distribution agreement found</t>
        </is>
      </c>
      <c r="AD264" s="4" t="inlineStr">
        <is>
          <t>Not started</t>
        </is>
      </c>
      <c r="AE264" s="4" t="inlineStr"/>
      <c r="AF264" s="4" t="inlineStr"/>
      <c r="AG264" s="4" t="inlineStr">
        <is>
          <t>No email published; website has no contact page link, phone first</t>
        </is>
      </c>
    </row>
    <row r="265">
      <c r="A265" s="4" t="n">
        <v>261</v>
      </c>
      <c r="B265" s="4" t="inlineStr">
        <is>
          <t>Arkpal</t>
        </is>
      </c>
      <c r="C265" s="4" t="inlineStr">
        <is>
          <t>アークパル</t>
        </is>
      </c>
      <c r="D265" s="4" t="inlineStr">
        <is>
          <t>Not retrieved (NTA lookup blocked in this session)</t>
        </is>
      </c>
      <c r="E265" s="4" t="inlineStr">
        <is>
          <t>千葉県</t>
        </is>
      </c>
      <c r="F265" s="4" t="inlineStr">
        <is>
          <t>Kanto</t>
        </is>
      </c>
      <c r="G265" s="4" t="inlineStr">
        <is>
          <t>http://arcpal.com/</t>
        </is>
      </c>
      <c r="H265" s="4" t="inlineStr">
        <is>
          <t>No MAH found; device sales licence (高度管理医療機器等販売業) not confirmed</t>
        </is>
      </c>
      <c r="I265" s="4" t="inlineStr">
        <is>
          <t>Not identified in published sources</t>
        </is>
      </c>
      <c r="J265" s="4" t="inlineStr">
        <is>
          <t>Dialysis</t>
        </is>
      </c>
      <c r="K265" s="4" t="inlineStr">
        <is>
          <t>千葉県 (regional; branch network not confirmed)</t>
        </is>
      </c>
      <c r="L265" s="4" t="inlineStr">
        <is>
          <t>Not found</t>
        </is>
      </c>
      <c r="M265" s="4" t="inlineStr">
        <is>
          <t>Not identified</t>
        </is>
      </c>
      <c r="N265" s="4" t="inlineStr">
        <is>
          <t>Not identified</t>
        </is>
      </c>
      <c r="O265" s="4" t="inlineStr">
        <is>
          <t>Not published; use contact form</t>
        </is>
      </c>
      <c r="P265" s="4" t="inlineStr">
        <is>
          <t>Not confirmed</t>
        </is>
      </c>
      <c r="Q265" s="4" t="inlineStr">
        <is>
          <t>Not identified</t>
        </is>
      </c>
      <c r="R265" s="5" t="inlineStr">
        <is>
          <t>Likely</t>
        </is>
      </c>
      <c r="S265" s="4" t="n">
        <v>17</v>
      </c>
      <c r="T265" s="10" t="inlineStr">
        <is>
          <t>C</t>
        </is>
      </c>
      <c r="U265" s="4" t="inlineStr">
        <is>
          <t>Regional general medical equipment dealer with hospital and clinic accounts; candidate sub dealer under a national MAH partner.</t>
        </is>
      </c>
      <c r="V265" s="4" t="inlineStr">
        <is>
          <t>Introduce CHISON as a future line through a national MAH partner; ask about their hospital and clinic coverage, service engineers and openness to non Japanese brands.</t>
        </is>
      </c>
      <c r="W265" s="4" t="inlineStr">
        <is>
          <t>N (not identified)</t>
        </is>
      </c>
      <c r="X265" s="7" t="inlineStr">
        <is>
          <t>https://baseconnect.in/companies/prefecture/3420045f-8609-4232-9407-75407ae4e6e8/keyword/89941b4e-2dd1-4848-8957-48af280a31e0</t>
        </is>
      </c>
      <c r="Y265" s="4" t="inlineStr">
        <is>
          <t>SonoEye P3 for AV fistula and vascular access checks</t>
        </is>
      </c>
      <c r="Z265" s="4" t="inlineStr">
        <is>
          <t>2, 2, 3, 2, 3, 2, 3</t>
        </is>
      </c>
      <c r="AA265" s="4" t="inlineStr">
        <is>
          <t>Not found</t>
        </is>
      </c>
      <c r="AB265" s="4" t="inlineStr">
        <is>
          <t>Directory or search listing; not opened (direct site access blocked)</t>
        </is>
      </c>
      <c r="AC265" s="4" t="inlineStr">
        <is>
          <t>No expired licence or ended distribution agreement found</t>
        </is>
      </c>
      <c r="AD265" s="4" t="inlineStr">
        <is>
          <t>Not started</t>
        </is>
      </c>
      <c r="AE265" s="4" t="inlineStr"/>
      <c r="AF265" s="4" t="inlineStr">
        <is>
          <t>http://arcpal.com/contact/</t>
        </is>
      </c>
      <c r="AG265" s="4" t="inlineStr">
        <is>
          <t>No email published; use the contact form (link in Email source)</t>
        </is>
      </c>
    </row>
    <row r="266">
      <c r="A266" s="4" t="n">
        <v>262</v>
      </c>
      <c r="B266" s="4" t="inlineStr">
        <is>
          <t>Cycrest</t>
        </is>
      </c>
      <c r="C266" s="4" t="inlineStr">
        <is>
          <t>サイクレスト</t>
        </is>
      </c>
      <c r="D266" s="4" t="inlineStr">
        <is>
          <t>Not retrieved (NTA lookup blocked in this session)</t>
        </is>
      </c>
      <c r="E266" s="4" t="inlineStr">
        <is>
          <t>埼玉県</t>
        </is>
      </c>
      <c r="F266" s="4" t="inlineStr">
        <is>
          <t>Kanto</t>
        </is>
      </c>
      <c r="G266" s="4" t="inlineStr">
        <is>
          <t>Not confirmed (company site not opened; network policy blocked direct access)</t>
        </is>
      </c>
      <c r="H266" s="4" t="inlineStr">
        <is>
          <t>No MAH found; device sales licence (高度管理医療機器等販売業) not confirmed</t>
        </is>
      </c>
      <c r="I266" s="4" t="inlineStr">
        <is>
          <t>Not identified in published sources</t>
        </is>
      </c>
      <c r="J266" s="4" t="inlineStr">
        <is>
          <t>General medical equipment (hospitals and clinics)</t>
        </is>
      </c>
      <c r="K266" s="4" t="inlineStr">
        <is>
          <t>埼玉県 (regional; branch network not confirmed)</t>
        </is>
      </c>
      <c r="L266" s="4" t="inlineStr">
        <is>
          <t>Not found</t>
        </is>
      </c>
      <c r="M266" s="4" t="inlineStr">
        <is>
          <t>Not identified</t>
        </is>
      </c>
      <c r="N266" s="4" t="inlineStr">
        <is>
          <t>Not identified</t>
        </is>
      </c>
      <c r="O266" s="4" t="inlineStr">
        <is>
          <t>Not published; use company inquiry form</t>
        </is>
      </c>
      <c r="P266" s="4" t="inlineStr">
        <is>
          <t>Not confirmed</t>
        </is>
      </c>
      <c r="Q266" s="4" t="inlineStr">
        <is>
          <t>Not identified</t>
        </is>
      </c>
      <c r="R266" s="5" t="inlineStr">
        <is>
          <t>Unverified</t>
        </is>
      </c>
      <c r="S266" s="4" t="n">
        <v>17</v>
      </c>
      <c r="T266" s="10" t="inlineStr">
        <is>
          <t>C</t>
        </is>
      </c>
      <c r="U266" s="4" t="inlineStr">
        <is>
          <t>Regional general medical equipment dealer with hospital and clinic accounts; candidate sub dealer under a national MAH partner.</t>
        </is>
      </c>
      <c r="V266" s="4" t="inlineStr">
        <is>
          <t>Introduce CHISON as a future line through a national MAH partner; ask about their hospital and clinic coverage, service engineers and openness to non Japanese brands.</t>
        </is>
      </c>
      <c r="W266" s="4" t="inlineStr">
        <is>
          <t>N (not identified)</t>
        </is>
      </c>
      <c r="X266" s="7" t="inlineStr">
        <is>
          <t>https://baseconnect.in/companies/prefecture/5b2e6d00-cfba-4d0b-850d-54757e4b4d7f/keyword/89941b4e-2dd1-4848-8957-48af280a31e0</t>
        </is>
      </c>
      <c r="Y266" s="4" t="inlineStr">
        <is>
          <t>SonoEye P3 plus SonoAir 30 for GP and clinic accounts</t>
        </is>
      </c>
      <c r="Z266" s="4" t="inlineStr">
        <is>
          <t>2, 2, 3, 2, 3, 2, 3</t>
        </is>
      </c>
      <c r="AA266" s="4" t="inlineStr">
        <is>
          <t>Not found</t>
        </is>
      </c>
      <c r="AB266" s="4" t="inlineStr">
        <is>
          <t>Directory or search listing; not opened (direct site access blocked)</t>
        </is>
      </c>
      <c r="AC266" s="4" t="inlineStr">
        <is>
          <t>No expired licence or ended distribution agreement found</t>
        </is>
      </c>
      <c r="AD266" s="4" t="inlineStr">
        <is>
          <t>Not started</t>
        </is>
      </c>
      <c r="AE266" s="4" t="inlineStr"/>
      <c r="AF266" s="4" t="inlineStr"/>
      <c r="AG266" s="4" t="inlineStr">
        <is>
          <t>No email published and no verified website found</t>
        </is>
      </c>
    </row>
    <row r="267">
      <c r="A267" s="4" t="n">
        <v>263</v>
      </c>
      <c r="B267" s="4" t="inlineStr">
        <is>
          <t>Nissei Medical</t>
        </is>
      </c>
      <c r="C267" s="4" t="inlineStr">
        <is>
          <t>日成メディカル</t>
        </is>
      </c>
      <c r="D267" s="4" t="inlineStr">
        <is>
          <t>Not retrieved (NTA lookup blocked in this session)</t>
        </is>
      </c>
      <c r="E267" s="4" t="inlineStr">
        <is>
          <t>栃木県</t>
        </is>
      </c>
      <c r="F267" s="4" t="inlineStr">
        <is>
          <t>Kanto</t>
        </is>
      </c>
      <c r="G267" s="4" t="inlineStr">
        <is>
          <t>https://www.nissei-m.co.jp/</t>
        </is>
      </c>
      <c r="H267" s="4" t="inlineStr">
        <is>
          <t>No MAH found; device sales licence (高度管理医療機器等販売業) not confirmed</t>
        </is>
      </c>
      <c r="I267" s="4" t="inlineStr">
        <is>
          <t>Not identified in published sources</t>
        </is>
      </c>
      <c r="J267" s="4" t="inlineStr">
        <is>
          <t>Dialysis</t>
        </is>
      </c>
      <c r="K267" s="4" t="inlineStr">
        <is>
          <t>栃木県 (regional; branch network not confirmed)</t>
        </is>
      </c>
      <c r="L267" s="4" t="inlineStr">
        <is>
          <t>Not found</t>
        </is>
      </c>
      <c r="M267" s="4" t="inlineStr">
        <is>
          <t>Not identified</t>
        </is>
      </c>
      <c r="N267" s="4" t="inlineStr">
        <is>
          <t>Not identified</t>
        </is>
      </c>
      <c r="O267" s="4" t="inlineStr">
        <is>
          <t>keieikanri@nissei-m.co.jp</t>
        </is>
      </c>
      <c r="P267" s="4" t="inlineStr">
        <is>
          <t>Not confirmed</t>
        </is>
      </c>
      <c r="Q267" s="4" t="inlineStr">
        <is>
          <t>Not identified</t>
        </is>
      </c>
      <c r="R267" s="5" t="inlineStr">
        <is>
          <t>Unverified</t>
        </is>
      </c>
      <c r="S267" s="4" t="n">
        <v>17</v>
      </c>
      <c r="T267" s="10" t="inlineStr">
        <is>
          <t>C</t>
        </is>
      </c>
      <c r="U267" s="4" t="inlineStr">
        <is>
          <t>Regional general medical equipment dealer with hospital and clinic accounts; candidate sub dealer under a national MAH partner.</t>
        </is>
      </c>
      <c r="V267" s="4" t="inlineStr">
        <is>
          <t>Introduce CHISON as a future line through a national MAH partner; ask about their hospital and clinic coverage, service engineers and openness to non Japanese brands.</t>
        </is>
      </c>
      <c r="W267" s="4" t="inlineStr">
        <is>
          <t>N (not identified)</t>
        </is>
      </c>
      <c r="X267" s="7" t="inlineStr">
        <is>
          <t>https://baseconnect.in/companies/prefecture/5d54c878-c20d-4f57-bb73-e021f2210d6c/keyword/14f3dcec-9cd5-4be5-84e1-ddccb7bd228c</t>
        </is>
      </c>
      <c r="Y267" s="4" t="inlineStr">
        <is>
          <t>SonoEye P3 for AV fistula and vascular access checks</t>
        </is>
      </c>
      <c r="Z267" s="4" t="inlineStr">
        <is>
          <t>2, 2, 3, 2, 3, 2, 3</t>
        </is>
      </c>
      <c r="AA267" s="4" t="inlineStr">
        <is>
          <t>Not found</t>
        </is>
      </c>
      <c r="AB267" s="4" t="inlineStr">
        <is>
          <t>Directory or search listing; not opened (direct site access blocked)</t>
        </is>
      </c>
      <c r="AC267" s="4" t="inlineStr">
        <is>
          <t>No expired licence or ended distribution agreement found</t>
        </is>
      </c>
      <c r="AD267" s="4" t="inlineStr">
        <is>
          <t>Not started</t>
        </is>
      </c>
      <c r="AE267" s="4" t="inlineStr"/>
      <c r="AF267" s="4" t="inlineStr">
        <is>
          <t>https://www.nissei-m.co.jp/</t>
        </is>
      </c>
      <c r="AG267" s="4" t="inlineStr">
        <is>
          <t>Verified: published on company website</t>
        </is>
      </c>
    </row>
    <row r="268">
      <c r="A268" s="4" t="n">
        <v>264</v>
      </c>
      <c r="B268" s="4" t="inlineStr">
        <is>
          <t>Gemco</t>
        </is>
      </c>
      <c r="C268" s="4" t="inlineStr">
        <is>
          <t>ジェムコ</t>
        </is>
      </c>
      <c r="D268" s="4" t="inlineStr">
        <is>
          <t>Not retrieved (NTA lookup blocked in this session)</t>
        </is>
      </c>
      <c r="E268" s="4" t="inlineStr">
        <is>
          <t>群馬県</t>
        </is>
      </c>
      <c r="F268" s="4" t="inlineStr">
        <is>
          <t>Kanto</t>
        </is>
      </c>
      <c r="G268" s="4" t="inlineStr">
        <is>
          <t>https://gemco.jp/</t>
        </is>
      </c>
      <c r="H268" s="4" t="inlineStr">
        <is>
          <t>No MAH found; device sales licence (高度管理医療機器等販売業) not confirmed</t>
        </is>
      </c>
      <c r="I268" s="4" t="inlineStr">
        <is>
          <t>Not identified in published sources</t>
        </is>
      </c>
      <c r="J268" s="4" t="inlineStr">
        <is>
          <t>Emergency and disaster</t>
        </is>
      </c>
      <c r="K268" s="4" t="inlineStr">
        <is>
          <t>群馬県 (regional; branch network not confirmed)</t>
        </is>
      </c>
      <c r="L268" s="4" t="inlineStr">
        <is>
          <t>Not found</t>
        </is>
      </c>
      <c r="M268" s="4" t="inlineStr">
        <is>
          <t>Not identified</t>
        </is>
      </c>
      <c r="N268" s="4" t="inlineStr">
        <is>
          <t>Not identified</t>
        </is>
      </c>
      <c r="O268" s="4" t="inlineStr">
        <is>
          <t>Not published; use company inquiry form</t>
        </is>
      </c>
      <c r="P268" s="4" t="inlineStr">
        <is>
          <t>Not confirmed</t>
        </is>
      </c>
      <c r="Q268" s="4" t="inlineStr">
        <is>
          <t>Not identified</t>
        </is>
      </c>
      <c r="R268" s="5" t="inlineStr">
        <is>
          <t>Company inquiry only</t>
        </is>
      </c>
      <c r="S268" s="4" t="n">
        <v>17</v>
      </c>
      <c r="T268" s="10" t="inlineStr">
        <is>
          <t>C</t>
        </is>
      </c>
      <c r="U268" s="4" t="inlineStr">
        <is>
          <t>Regional general medical equipment dealer with hospital and clinic accounts; candidate sub dealer under a national MAH partner.</t>
        </is>
      </c>
      <c r="V268" s="4" t="inlineStr">
        <is>
          <t>Introduce CHISON as a future line through a national MAH partner; ask about their hospital and clinic coverage, service engineers and openness to non Japanese brands.</t>
        </is>
      </c>
      <c r="W268" s="4" t="inlineStr">
        <is>
          <t>N (not identified)</t>
        </is>
      </c>
      <c r="X268" s="7" t="inlineStr">
        <is>
          <t>https://baseconnect.in/companies/prefecture/c59cfe5b-871c-44d1-8594-96d4a5882e4b/keyword/89941b4e-2dd1-4848-8957-48af280a31e0</t>
        </is>
      </c>
      <c r="Y268" s="4" t="inlineStr">
        <is>
          <t>SonoEye P3 for FAST, lung and vascular access (POCUS)</t>
        </is>
      </c>
      <c r="Z268" s="4" t="inlineStr">
        <is>
          <t>2, 2, 3, 2, 3, 2, 3</t>
        </is>
      </c>
      <c r="AA268" s="4" t="inlineStr">
        <is>
          <t>Not found</t>
        </is>
      </c>
      <c r="AB268" s="4" t="inlineStr">
        <is>
          <t>Directory or search listing; not opened (direct site access blocked)</t>
        </is>
      </c>
      <c r="AC268" s="4" t="inlineStr">
        <is>
          <t>No expired licence or ended distribution agreement found</t>
        </is>
      </c>
      <c r="AD268" s="4" t="inlineStr">
        <is>
          <t>Not started</t>
        </is>
      </c>
      <c r="AE268" s="4" t="inlineStr"/>
      <c r="AF268" s="4" t="inlineStr"/>
      <c r="AG268" s="4" t="inlineStr">
        <is>
          <t>No email published; website has no contact page link, phone first</t>
        </is>
      </c>
    </row>
    <row r="269">
      <c r="A269" s="4" t="n">
        <v>265</v>
      </c>
      <c r="B269" s="4" t="inlineStr">
        <is>
          <t>Maebashi Medical</t>
        </is>
      </c>
      <c r="C269" s="4" t="inlineStr">
        <is>
          <t>前橋メディカル</t>
        </is>
      </c>
      <c r="D269" s="4" t="inlineStr">
        <is>
          <t>Not retrieved (NTA lookup blocked in this session)</t>
        </is>
      </c>
      <c r="E269" s="4" t="inlineStr">
        <is>
          <t>群馬県</t>
        </is>
      </c>
      <c r="F269" s="4" t="inlineStr">
        <is>
          <t>Kanto</t>
        </is>
      </c>
      <c r="G269" s="4" t="inlineStr">
        <is>
          <t>Not confirmed (company site not opened; network policy blocked direct access)</t>
        </is>
      </c>
      <c r="H269" s="4" t="inlineStr">
        <is>
          <t>No MAH found; device sales licence (高度管理医療機器等販売業) not confirmed</t>
        </is>
      </c>
      <c r="I269" s="4" t="inlineStr">
        <is>
          <t>Not identified in published sources</t>
        </is>
      </c>
      <c r="J269" s="4" t="inlineStr">
        <is>
          <t>General medical equipment (hospitals and clinics)</t>
        </is>
      </c>
      <c r="K269" s="4" t="inlineStr">
        <is>
          <t>群馬県 (regional; branch network not confirmed)</t>
        </is>
      </c>
      <c r="L269" s="4" t="inlineStr">
        <is>
          <t>Not found</t>
        </is>
      </c>
      <c r="M269" s="4" t="inlineStr">
        <is>
          <t>Not identified</t>
        </is>
      </c>
      <c r="N269" s="4" t="inlineStr">
        <is>
          <t>Not identified</t>
        </is>
      </c>
      <c r="O269" s="4" t="inlineStr">
        <is>
          <t>Not published; use company inquiry form</t>
        </is>
      </c>
      <c r="P269" s="4" t="inlineStr">
        <is>
          <t>Not confirmed</t>
        </is>
      </c>
      <c r="Q269" s="4" t="inlineStr">
        <is>
          <t>Not identified</t>
        </is>
      </c>
      <c r="R269" s="5" t="inlineStr">
        <is>
          <t>Unverified</t>
        </is>
      </c>
      <c r="S269" s="4" t="n">
        <v>17</v>
      </c>
      <c r="T269" s="10" t="inlineStr">
        <is>
          <t>C</t>
        </is>
      </c>
      <c r="U269" s="4" t="inlineStr">
        <is>
          <t>Regional general medical equipment dealer with hospital and clinic accounts; candidate sub dealer under a national MAH partner.</t>
        </is>
      </c>
      <c r="V269" s="4" t="inlineStr">
        <is>
          <t>Introduce CHISON as a future line through a national MAH partner; ask about their hospital and clinic coverage, service engineers and openness to non Japanese brands.</t>
        </is>
      </c>
      <c r="W269" s="4" t="inlineStr">
        <is>
          <t>N (not identified)</t>
        </is>
      </c>
      <c r="X269" s="7" t="inlineStr">
        <is>
          <t>https://baseconnect.in/companies/prefecture/c59cfe5b-871c-44d1-8594-96d4a5882e4b/keyword/89941b4e-2dd1-4848-8957-48af280a31e0</t>
        </is>
      </c>
      <c r="Y269" s="4" t="inlineStr">
        <is>
          <t>SonoEye P3 plus SonoAir 30 for GP and clinic accounts</t>
        </is>
      </c>
      <c r="Z269" s="4" t="inlineStr">
        <is>
          <t>2, 2, 3, 2, 3, 2, 3</t>
        </is>
      </c>
      <c r="AA269" s="4" t="inlineStr">
        <is>
          <t>Not found</t>
        </is>
      </c>
      <c r="AB269" s="4" t="inlineStr">
        <is>
          <t>Directory or search listing; not opened (direct site access blocked)</t>
        </is>
      </c>
      <c r="AC269" s="4" t="inlineStr">
        <is>
          <t>No expired licence or ended distribution agreement found</t>
        </is>
      </c>
      <c r="AD269" s="4" t="inlineStr">
        <is>
          <t>Not started</t>
        </is>
      </c>
      <c r="AE269" s="4" t="inlineStr"/>
      <c r="AF269" s="4" t="inlineStr"/>
      <c r="AG269" s="4" t="inlineStr">
        <is>
          <t>No email published and no verified website found</t>
        </is>
      </c>
    </row>
    <row r="270">
      <c r="A270" s="4" t="n">
        <v>266</v>
      </c>
      <c r="B270" s="4" t="inlineStr">
        <is>
          <t>GMP Japan</t>
        </is>
      </c>
      <c r="C270" s="4" t="inlineStr">
        <is>
          <t>ジーエムピージャパン</t>
        </is>
      </c>
      <c r="D270" s="4" t="inlineStr">
        <is>
          <t>Not retrieved (NTA lookup blocked in this session)</t>
        </is>
      </c>
      <c r="E270" s="4" t="inlineStr">
        <is>
          <t>群馬県</t>
        </is>
      </c>
      <c r="F270" s="4" t="inlineStr">
        <is>
          <t>Kanto</t>
        </is>
      </c>
      <c r="G270" s="4" t="inlineStr">
        <is>
          <t>https://www.gmp-japan.com/</t>
        </is>
      </c>
      <c r="H270" s="4" t="inlineStr">
        <is>
          <t>No MAH found; device sales licence (高度管理医療機器等販売業) not confirmed</t>
        </is>
      </c>
      <c r="I270" s="4" t="inlineStr">
        <is>
          <t>Not identified in published sources</t>
        </is>
      </c>
      <c r="J270" s="4" t="inlineStr">
        <is>
          <t>General medical equipment (hospitals and clinics)</t>
        </is>
      </c>
      <c r="K270" s="4" t="inlineStr">
        <is>
          <t>群馬県 (regional; branch network not confirmed)</t>
        </is>
      </c>
      <c r="L270" s="4" t="inlineStr">
        <is>
          <t>Not found</t>
        </is>
      </c>
      <c r="M270" s="4" t="inlineStr">
        <is>
          <t>Not identified</t>
        </is>
      </c>
      <c r="N270" s="4" t="inlineStr">
        <is>
          <t>Not identified</t>
        </is>
      </c>
      <c r="O270" s="4" t="inlineStr">
        <is>
          <t>Not published; use contact form</t>
        </is>
      </c>
      <c r="P270" s="4" t="inlineStr">
        <is>
          <t>Not confirmed</t>
        </is>
      </c>
      <c r="Q270" s="4" t="inlineStr">
        <is>
          <t>Not identified</t>
        </is>
      </c>
      <c r="R270" s="5" t="inlineStr">
        <is>
          <t>Likely</t>
        </is>
      </c>
      <c r="S270" s="4" t="n">
        <v>17</v>
      </c>
      <c r="T270" s="10" t="inlineStr">
        <is>
          <t>C</t>
        </is>
      </c>
      <c r="U270" s="4" t="inlineStr">
        <is>
          <t>Regional general medical equipment dealer with hospital and clinic accounts; candidate sub dealer under a national MAH partner.</t>
        </is>
      </c>
      <c r="V270" s="4" t="inlineStr">
        <is>
          <t>Introduce CHISON as a future line through a national MAH partner; ask about their hospital and clinic coverage, service engineers and openness to non Japanese brands.</t>
        </is>
      </c>
      <c r="W270" s="4" t="inlineStr">
        <is>
          <t>N (not identified)</t>
        </is>
      </c>
      <c r="X270" s="7" t="inlineStr">
        <is>
          <t>https://biz-maps.com/s/cities/102016/m-inds/352</t>
        </is>
      </c>
      <c r="Y270" s="4" t="inlineStr">
        <is>
          <t>SonoEye P3 plus SonoAir 30 for GP and clinic accounts</t>
        </is>
      </c>
      <c r="Z270" s="4" t="inlineStr">
        <is>
          <t>2, 2, 3, 2, 3, 2, 3</t>
        </is>
      </c>
      <c r="AA270" s="4" t="inlineStr">
        <is>
          <t>Not found</t>
        </is>
      </c>
      <c r="AB270" s="4" t="inlineStr">
        <is>
          <t>Directory or search listing; not opened (direct site access blocked)</t>
        </is>
      </c>
      <c r="AC270" s="4" t="inlineStr">
        <is>
          <t>No expired licence or ended distribution agreement found</t>
        </is>
      </c>
      <c r="AD270" s="4" t="inlineStr">
        <is>
          <t>Not started</t>
        </is>
      </c>
      <c r="AE270" s="4" t="inlineStr"/>
      <c r="AF270" s="4" t="inlineStr">
        <is>
          <t>https://www.gmp-japan.com/contact</t>
        </is>
      </c>
      <c r="AG270" s="4" t="inlineStr">
        <is>
          <t>No email published; use the contact form (link in Email source)</t>
        </is>
      </c>
    </row>
    <row r="271">
      <c r="A271" s="4" t="n">
        <v>267</v>
      </c>
      <c r="B271" s="4" t="inlineStr">
        <is>
          <t>Aslo Medical</t>
        </is>
      </c>
      <c r="C271" s="4" t="inlineStr">
        <is>
          <t>アスロメディカル</t>
        </is>
      </c>
      <c r="D271" s="4" t="inlineStr">
        <is>
          <t>Not retrieved (NTA lookup blocked in this session)</t>
        </is>
      </c>
      <c r="E271" s="4" t="inlineStr">
        <is>
          <t>茨城県</t>
        </is>
      </c>
      <c r="F271" s="4" t="inlineStr">
        <is>
          <t>Kanto</t>
        </is>
      </c>
      <c r="G271" s="4" t="inlineStr">
        <is>
          <t>https://www.asromed.co.jp/</t>
        </is>
      </c>
      <c r="H271" s="4" t="inlineStr">
        <is>
          <t>No MAH found; device sales licence (高度管理医療機器等販売業) not confirmed</t>
        </is>
      </c>
      <c r="I271" s="4" t="inlineStr">
        <is>
          <t>Not identified in published sources</t>
        </is>
      </c>
      <c r="J271" s="4" t="inlineStr">
        <is>
          <t>Emergency and disaster, Orthopaedics and rehab, Surgery and OR</t>
        </is>
      </c>
      <c r="K271" s="4" t="inlineStr">
        <is>
          <t>茨城県 (regional; branch network not confirmed)</t>
        </is>
      </c>
      <c r="L271" s="4" t="inlineStr">
        <is>
          <t>Not found</t>
        </is>
      </c>
      <c r="M271" s="4" t="inlineStr">
        <is>
          <t>Not identified</t>
        </is>
      </c>
      <c r="N271" s="4" t="inlineStr">
        <is>
          <t>Not identified</t>
        </is>
      </c>
      <c r="O271" s="4" t="inlineStr">
        <is>
          <t>Not published; use contact form</t>
        </is>
      </c>
      <c r="P271" s="4" t="inlineStr">
        <is>
          <t>Not confirmed</t>
        </is>
      </c>
      <c r="Q271" s="4" t="inlineStr">
        <is>
          <t>Not identified</t>
        </is>
      </c>
      <c r="R271" s="5" t="inlineStr">
        <is>
          <t>Likely</t>
        </is>
      </c>
      <c r="S271" s="4" t="n">
        <v>17</v>
      </c>
      <c r="T271" s="10" t="inlineStr">
        <is>
          <t>C</t>
        </is>
      </c>
      <c r="U271" s="4" t="inlineStr">
        <is>
          <t>Adjacent hospital department line (no ultrasound found), which is the best recruit profile for a point of care line.</t>
        </is>
      </c>
      <c r="V271" s="4" t="inlineStr">
        <is>
          <t>Introduce CHISON as a future line through a national MAH partner; ask about their hospital and clinic coverage, service engineers and openness to non Japanese brands.</t>
        </is>
      </c>
      <c r="W271" s="4" t="inlineStr">
        <is>
          <t>N (not identified)</t>
        </is>
      </c>
      <c r="X271" s="7" t="inlineStr">
        <is>
          <t>https://baseconnect.in/companies/prefecture/d8203dea-91e2-41c3-a785-b80aa997273c/category/b2358a1c-c4c6-46f4-a0b1-dee3a1b30a0b</t>
        </is>
      </c>
      <c r="Y271" s="4" t="inlineStr">
        <is>
          <t>SonoTouch plus SonoEye P3 (nerve block, vascular access, peri operative)</t>
        </is>
      </c>
      <c r="Z271" s="4" t="inlineStr">
        <is>
          <t>2, 2, 3, 2, 3, 2, 3</t>
        </is>
      </c>
      <c r="AA271" s="4" t="inlineStr">
        <is>
          <t>Not found</t>
        </is>
      </c>
      <c r="AB271" s="4" t="inlineStr">
        <is>
          <t>Directory or search listing; not opened (direct site access blocked)</t>
        </is>
      </c>
      <c r="AC271" s="4" t="inlineStr">
        <is>
          <t>No expired licence or ended distribution agreement found</t>
        </is>
      </c>
      <c r="AD271" s="4" t="inlineStr">
        <is>
          <t>Not started</t>
        </is>
      </c>
      <c r="AE271" s="4" t="inlineStr"/>
      <c r="AF271" s="4" t="inlineStr">
        <is>
          <t>https://www.asromed.co.jp/contact/</t>
        </is>
      </c>
      <c r="AG271" s="4" t="inlineStr">
        <is>
          <t>No email published; use the contact form (link in Email source)</t>
        </is>
      </c>
    </row>
    <row r="272">
      <c r="A272" s="4" t="n">
        <v>268</v>
      </c>
      <c r="B272" s="4" t="inlineStr">
        <is>
          <t>Suzukaku Ika Kikaiten</t>
        </is>
      </c>
      <c r="C272" s="4" t="inlineStr">
        <is>
          <t>鈴角医科器械店</t>
        </is>
      </c>
      <c r="D272" s="4" t="inlineStr">
        <is>
          <t>Not retrieved (NTA lookup blocked in this session)</t>
        </is>
      </c>
      <c r="E272" s="4" t="inlineStr">
        <is>
          <t>茨城県</t>
        </is>
      </c>
      <c r="F272" s="4" t="inlineStr">
        <is>
          <t>Kanto</t>
        </is>
      </c>
      <c r="G272" s="4" t="inlineStr">
        <is>
          <t>Not confirmed (company site not opened; network policy blocked direct access)</t>
        </is>
      </c>
      <c r="H272" s="4" t="inlineStr">
        <is>
          <t>No MAH found; device sales licence (高度管理医療機器等販売業) not confirmed</t>
        </is>
      </c>
      <c r="I272" s="4" t="inlineStr">
        <is>
          <t>Not identified in published sources</t>
        </is>
      </c>
      <c r="J272" s="4" t="inlineStr">
        <is>
          <t>General medical equipment (hospitals and clinics)</t>
        </is>
      </c>
      <c r="K272" s="4" t="inlineStr">
        <is>
          <t>茨城県 (regional; branch network not confirmed)</t>
        </is>
      </c>
      <c r="L272" s="4" t="inlineStr">
        <is>
          <t>Not found</t>
        </is>
      </c>
      <c r="M272" s="4" t="inlineStr">
        <is>
          <t>Not identified</t>
        </is>
      </c>
      <c r="N272" s="4" t="inlineStr">
        <is>
          <t>Not identified</t>
        </is>
      </c>
      <c r="O272" s="4" t="inlineStr">
        <is>
          <t>Not published; use company inquiry form</t>
        </is>
      </c>
      <c r="P272" s="4" t="inlineStr">
        <is>
          <t>Not confirmed</t>
        </is>
      </c>
      <c r="Q272" s="4" t="inlineStr">
        <is>
          <t>Not identified</t>
        </is>
      </c>
      <c r="R272" s="5" t="inlineStr">
        <is>
          <t>Unverified</t>
        </is>
      </c>
      <c r="S272" s="4" t="n">
        <v>17</v>
      </c>
      <c r="T272" s="10" t="inlineStr">
        <is>
          <t>C</t>
        </is>
      </c>
      <c r="U272" s="4" t="inlineStr">
        <is>
          <t>Regional general medical equipment dealer with hospital and clinic accounts; candidate sub dealer under a national MAH partner.</t>
        </is>
      </c>
      <c r="V272" s="4" t="inlineStr">
        <is>
          <t>Introduce CHISON as a future line through a national MAH partner; ask about their hospital and clinic coverage, service engineers and openness to non Japanese brands.</t>
        </is>
      </c>
      <c r="W272" s="4" t="inlineStr">
        <is>
          <t>N (not identified)</t>
        </is>
      </c>
      <c r="X272" s="7" t="inlineStr">
        <is>
          <t>https://baseconnect.in/companies/prefecture/d8203dea-91e2-41c3-a785-b80aa997273c/category/b2358a1c-c4c6-46f4-a0b1-dee3a1b30a0b</t>
        </is>
      </c>
      <c r="Y272" s="4" t="inlineStr">
        <is>
          <t>SonoEye P3 plus SonoAir 30 for GP and clinic accounts</t>
        </is>
      </c>
      <c r="Z272" s="4" t="inlineStr">
        <is>
          <t>2, 2, 3, 2, 3, 2, 3</t>
        </is>
      </c>
      <c r="AA272" s="4" t="inlineStr">
        <is>
          <t>Not found</t>
        </is>
      </c>
      <c r="AB272" s="4" t="inlineStr">
        <is>
          <t>Directory or search listing; not opened (direct site access blocked)</t>
        </is>
      </c>
      <c r="AC272" s="4" t="inlineStr">
        <is>
          <t>No expired licence or ended distribution agreement found</t>
        </is>
      </c>
      <c r="AD272" s="4" t="inlineStr">
        <is>
          <t>Not started</t>
        </is>
      </c>
      <c r="AE272" s="4" t="inlineStr"/>
      <c r="AF272" s="4" t="inlineStr"/>
      <c r="AG272" s="4" t="inlineStr">
        <is>
          <t>No email published and no verified website found</t>
        </is>
      </c>
    </row>
    <row r="273">
      <c r="A273" s="4" t="n">
        <v>269</v>
      </c>
      <c r="B273" s="4" t="inlineStr">
        <is>
          <t>Nikko Ika Kikai</t>
        </is>
      </c>
      <c r="C273" s="4" t="inlineStr">
        <is>
          <t>日光医科器械</t>
        </is>
      </c>
      <c r="D273" s="4" t="inlineStr">
        <is>
          <t>Not retrieved (NTA lookup blocked in this session)</t>
        </is>
      </c>
      <c r="E273" s="4" t="inlineStr">
        <is>
          <t>大阪府</t>
        </is>
      </c>
      <c r="F273" s="4" t="inlineStr">
        <is>
          <t>Kansai</t>
        </is>
      </c>
      <c r="G273" s="4" t="inlineStr">
        <is>
          <t>https://www.nikkoika.com/</t>
        </is>
      </c>
      <c r="H273" s="4" t="inlineStr">
        <is>
          <t>No MAH found; device sales licence (高度管理医療機器等販売業) not confirmed</t>
        </is>
      </c>
      <c r="I273" s="4" t="inlineStr">
        <is>
          <t>Not identified in published sources</t>
        </is>
      </c>
      <c r="J273" s="4" t="inlineStr">
        <is>
          <t>Emergency and disaster, Orthopaedics and rehab, Surgery and OR</t>
        </is>
      </c>
      <c r="K273" s="4" t="inlineStr">
        <is>
          <t>大阪府 (regional; branch network not confirmed)</t>
        </is>
      </c>
      <c r="L273" s="4" t="inlineStr">
        <is>
          <t>Not found</t>
        </is>
      </c>
      <c r="M273" s="4" t="inlineStr">
        <is>
          <t>Not identified</t>
        </is>
      </c>
      <c r="N273" s="4" t="inlineStr">
        <is>
          <t>Not identified</t>
        </is>
      </c>
      <c r="O273" s="4" t="inlineStr">
        <is>
          <t>Not published; use contact form</t>
        </is>
      </c>
      <c r="P273" s="4" t="inlineStr">
        <is>
          <t>Not confirmed</t>
        </is>
      </c>
      <c r="Q273" s="4" t="inlineStr">
        <is>
          <t>Not identified</t>
        </is>
      </c>
      <c r="R273" s="5" t="inlineStr">
        <is>
          <t>Likely</t>
        </is>
      </c>
      <c r="S273" s="4" t="n">
        <v>17</v>
      </c>
      <c r="T273" s="10" t="inlineStr">
        <is>
          <t>C</t>
        </is>
      </c>
      <c r="U273" s="4" t="inlineStr">
        <is>
          <t>Adjacent hospital department line (no ultrasound found), which is the best recruit profile for a point of care line.</t>
        </is>
      </c>
      <c r="V273" s="4" t="inlineStr">
        <is>
          <t>Introduce CHISON as a future line through a national MAH partner; ask about their hospital and clinic coverage, service engineers and openness to non Japanese brands.</t>
        </is>
      </c>
      <c r="W273" s="4" t="inlineStr">
        <is>
          <t>N (not identified)</t>
        </is>
      </c>
      <c r="X273" s="7" t="inlineStr">
        <is>
          <t>https://baseconnect.in/companies/prefecture/d80b180e-5fd9-4082-8cdc-a510179a3475/keyword/89941b4e-2dd1-4848-8957-48af280a31e0</t>
        </is>
      </c>
      <c r="Y273" s="4" t="inlineStr">
        <is>
          <t>SonoTouch plus SonoEye P3 (nerve block, vascular access, peri operative)</t>
        </is>
      </c>
      <c r="Z273" s="4" t="inlineStr">
        <is>
          <t>2, 2, 3, 2, 3, 2, 3</t>
        </is>
      </c>
      <c r="AA273" s="4" t="inlineStr">
        <is>
          <t>Not found</t>
        </is>
      </c>
      <c r="AB273" s="4" t="inlineStr">
        <is>
          <t>Directory or search listing; not opened (direct site access blocked)</t>
        </is>
      </c>
      <c r="AC273" s="4" t="inlineStr">
        <is>
          <t>No expired licence or ended distribution agreement found</t>
        </is>
      </c>
      <c r="AD273" s="4" t="inlineStr">
        <is>
          <t>Not started</t>
        </is>
      </c>
      <c r="AE273" s="4" t="inlineStr"/>
      <c r="AF273" s="4" t="inlineStr">
        <is>
          <t>https://www.nikkoika.com/contact/</t>
        </is>
      </c>
      <c r="AG273" s="4" t="inlineStr">
        <is>
          <t>No email published; use the contact form (link in Email source)</t>
        </is>
      </c>
    </row>
    <row r="274">
      <c r="A274" s="4" t="n">
        <v>270</v>
      </c>
      <c r="B274" s="4" t="inlineStr">
        <is>
          <t>Nippon Medical Alliance</t>
        </is>
      </c>
      <c r="C274" s="4" t="inlineStr">
        <is>
          <t>日本メディカルアライアンス</t>
        </is>
      </c>
      <c r="D274" s="4" t="inlineStr">
        <is>
          <t>Not retrieved (NTA lookup blocked in this session)</t>
        </is>
      </c>
      <c r="E274" s="4" t="inlineStr">
        <is>
          <t>愛知県</t>
        </is>
      </c>
      <c r="F274" s="4" t="inlineStr">
        <is>
          <t>Chubu</t>
        </is>
      </c>
      <c r="G274" s="4" t="inlineStr">
        <is>
          <t>https://www.jma-c.jp/</t>
        </is>
      </c>
      <c r="H274" s="4" t="inlineStr">
        <is>
          <t>No MAH found; device sales licence (高度管理医療機器等販売業) not confirmed</t>
        </is>
      </c>
      <c r="I274" s="4" t="inlineStr">
        <is>
          <t>Not identified in published sources</t>
        </is>
      </c>
      <c r="J274" s="4" t="inlineStr">
        <is>
          <t>General medical equipment (hospitals and clinics)</t>
        </is>
      </c>
      <c r="K274" s="4" t="inlineStr">
        <is>
          <t>愛知県 (regional; branch network not confirmed)</t>
        </is>
      </c>
      <c r="L274" s="4" t="inlineStr">
        <is>
          <t>Not found</t>
        </is>
      </c>
      <c r="M274" s="4" t="inlineStr">
        <is>
          <t>Not identified</t>
        </is>
      </c>
      <c r="N274" s="4" t="inlineStr">
        <is>
          <t>Not identified</t>
        </is>
      </c>
      <c r="O274" s="4" t="inlineStr">
        <is>
          <t>Not published; use contact form</t>
        </is>
      </c>
      <c r="P274" s="4" t="inlineStr">
        <is>
          <t>Not confirmed</t>
        </is>
      </c>
      <c r="Q274" s="4" t="inlineStr">
        <is>
          <t>Not identified</t>
        </is>
      </c>
      <c r="R274" s="5" t="inlineStr">
        <is>
          <t>Likely</t>
        </is>
      </c>
      <c r="S274" s="4" t="n">
        <v>17</v>
      </c>
      <c r="T274" s="10" t="inlineStr">
        <is>
          <t>C</t>
        </is>
      </c>
      <c r="U274" s="4" t="inlineStr">
        <is>
          <t>Regional general medical equipment dealer with hospital and clinic accounts; candidate sub dealer under a national MAH partner.</t>
        </is>
      </c>
      <c r="V274" s="4" t="inlineStr">
        <is>
          <t>Introduce CHISON as a future line through a national MAH partner; ask about their hospital and clinic coverage, service engineers and openness to non Japanese brands.</t>
        </is>
      </c>
      <c r="W274" s="4" t="inlineStr">
        <is>
          <t>N (not identified)</t>
        </is>
      </c>
      <c r="X274" s="7" t="inlineStr">
        <is>
          <t>https://baseconnect.in/companies/prefecture/60622468-79bd-4eef-86f8-cb69d1ef09f0/category/b2358a1c-c4c6-46f4-a0b1-dee3a1b30a0b</t>
        </is>
      </c>
      <c r="Y274" s="4" t="inlineStr">
        <is>
          <t>SonoEye P3 plus SonoAir 30 for GP and clinic accounts</t>
        </is>
      </c>
      <c r="Z274" s="4" t="inlineStr">
        <is>
          <t>2, 2, 3, 2, 3, 2, 3</t>
        </is>
      </c>
      <c r="AA274" s="4" t="inlineStr">
        <is>
          <t>Not found</t>
        </is>
      </c>
      <c r="AB274" s="4" t="inlineStr">
        <is>
          <t>Directory or search listing; not opened (direct site access blocked)</t>
        </is>
      </c>
      <c r="AC274" s="4" t="inlineStr">
        <is>
          <t>No expired licence or ended distribution agreement found</t>
        </is>
      </c>
      <c r="AD274" s="4" t="inlineStr">
        <is>
          <t>Not started</t>
        </is>
      </c>
      <c r="AE274" s="4" t="inlineStr"/>
      <c r="AF274" s="4" t="inlineStr">
        <is>
          <t>https://www.jma-c.jp/contact.html</t>
        </is>
      </c>
      <c r="AG274" s="4" t="inlineStr">
        <is>
          <t>No email published; use the contact form (link in Email source)</t>
        </is>
      </c>
    </row>
    <row r="275">
      <c r="A275" s="4" t="n">
        <v>271</v>
      </c>
      <c r="B275" s="4" t="inlineStr">
        <is>
          <t>Medical Japan</t>
        </is>
      </c>
      <c r="C275" s="4" t="inlineStr">
        <is>
          <t>メディカルジャパン</t>
        </is>
      </c>
      <c r="D275" s="4" t="inlineStr">
        <is>
          <t>Not retrieved (NTA lookup blocked in this session)</t>
        </is>
      </c>
      <c r="E275" s="4" t="inlineStr">
        <is>
          <t>静岡県</t>
        </is>
      </c>
      <c r="F275" s="4" t="inlineStr">
        <is>
          <t>Chubu</t>
        </is>
      </c>
      <c r="G275" s="4" t="inlineStr">
        <is>
          <t>http://www.medicaljapan.biz/</t>
        </is>
      </c>
      <c r="H275" s="4" t="inlineStr">
        <is>
          <t>No MAH found; device sales licence (高度管理医療機器等販売業) not confirmed</t>
        </is>
      </c>
      <c r="I275" s="4" t="inlineStr">
        <is>
          <t>Not identified in published sources</t>
        </is>
      </c>
      <c r="J275" s="4" t="inlineStr">
        <is>
          <t>Welfare and care</t>
        </is>
      </c>
      <c r="K275" s="4" t="inlineStr">
        <is>
          <t>静岡県 (regional; branch network not confirmed)</t>
        </is>
      </c>
      <c r="L275" s="4" t="inlineStr">
        <is>
          <t>Not found</t>
        </is>
      </c>
      <c r="M275" s="4" t="inlineStr">
        <is>
          <t>Not identified</t>
        </is>
      </c>
      <c r="N275" s="4" t="inlineStr">
        <is>
          <t>Not identified</t>
        </is>
      </c>
      <c r="O275" s="4" t="inlineStr">
        <is>
          <t>Not published; use contact form</t>
        </is>
      </c>
      <c r="P275" s="4" t="inlineStr">
        <is>
          <t>Not confirmed</t>
        </is>
      </c>
      <c r="Q275" s="4" t="inlineStr">
        <is>
          <t>Not identified</t>
        </is>
      </c>
      <c r="R275" s="5" t="inlineStr">
        <is>
          <t>Likely</t>
        </is>
      </c>
      <c r="S275" s="4" t="n">
        <v>17</v>
      </c>
      <c r="T275" s="10" t="inlineStr">
        <is>
          <t>C</t>
        </is>
      </c>
      <c r="U275" s="4" t="inlineStr">
        <is>
          <t>Low fit: mainly welfare or care equipment; only for home care handheld use.</t>
        </is>
      </c>
      <c r="V275" s="4" t="inlineStr">
        <is>
          <t>Introduce CHISON as a future line through a national MAH partner; ask about their hospital and clinic coverage, service engineers and openness to non Japanese brands.</t>
        </is>
      </c>
      <c r="W275" s="4" t="inlineStr">
        <is>
          <t>N (not identified)</t>
        </is>
      </c>
      <c r="X275" s="7" t="inlineStr">
        <is>
          <t>https://baseconnect.in/companies/prefecture/ce8171a3-9c3a-4158-b1ce-74bbb8bad1e4/keyword/bacc2d48-54d0-4e67-94c7-df7c3cb3a34e</t>
        </is>
      </c>
      <c r="Y275" s="4" t="inlineStr">
        <is>
          <t>SonoEye P5 for home visit doctors (在宅医療)</t>
        </is>
      </c>
      <c r="Z275" s="4" t="inlineStr">
        <is>
          <t>2, 2, 3, 2, 3, 2, 3</t>
        </is>
      </c>
      <c r="AA275" s="4" t="inlineStr">
        <is>
          <t>Not found</t>
        </is>
      </c>
      <c r="AB275" s="4" t="inlineStr">
        <is>
          <t>Directory or search listing; not opened (direct site access blocked)</t>
        </is>
      </c>
      <c r="AC275" s="4" t="inlineStr">
        <is>
          <t>No expired licence or ended distribution agreement found</t>
        </is>
      </c>
      <c r="AD275" s="4" t="inlineStr">
        <is>
          <t>Not started</t>
        </is>
      </c>
      <c r="AE275" s="4" t="inlineStr"/>
      <c r="AF275" s="4" t="inlineStr">
        <is>
          <t>http://www.medicaljapan.biz/contactus/</t>
        </is>
      </c>
      <c r="AG275" s="4" t="inlineStr">
        <is>
          <t>No email published; use the contact form (link in Email source)</t>
        </is>
      </c>
    </row>
    <row r="276">
      <c r="A276" s="4" t="n">
        <v>272</v>
      </c>
      <c r="B276" s="4" t="inlineStr">
        <is>
          <t>Lifetech (Okinawa)</t>
        </is>
      </c>
      <c r="C276" s="4" t="inlineStr">
        <is>
          <t>ライフテック</t>
        </is>
      </c>
      <c r="D276" s="4" t="inlineStr">
        <is>
          <t>Not retrieved (NTA lookup blocked in this session)</t>
        </is>
      </c>
      <c r="E276" s="4" t="inlineStr">
        <is>
          <t>沖縄県</t>
        </is>
      </c>
      <c r="F276" s="4" t="inlineStr">
        <is>
          <t>Kyushu and Okinawa</t>
        </is>
      </c>
      <c r="G276" s="4" t="inlineStr">
        <is>
          <t>https://lifetec-ltd.com/</t>
        </is>
      </c>
      <c r="H276" s="4" t="inlineStr">
        <is>
          <t>No MAH found; device sales licence (高度管理医療機器等販売業) not confirmed</t>
        </is>
      </c>
      <c r="I276" s="4" t="inlineStr">
        <is>
          <t>Not identified in published sources</t>
        </is>
      </c>
      <c r="J276" s="4" t="inlineStr">
        <is>
          <t>General medical equipment (hospitals and clinics)</t>
        </is>
      </c>
      <c r="K276" s="4" t="inlineStr">
        <is>
          <t>沖縄県 (regional; branch network not confirmed)</t>
        </is>
      </c>
      <c r="L276" s="4" t="inlineStr">
        <is>
          <t>Not found</t>
        </is>
      </c>
      <c r="M276" s="4" t="inlineStr">
        <is>
          <t>Not identified</t>
        </is>
      </c>
      <c r="N276" s="4" t="inlineStr">
        <is>
          <t>Not identified</t>
        </is>
      </c>
      <c r="O276" s="4" t="inlineStr">
        <is>
          <t>Not published; use contact form</t>
        </is>
      </c>
      <c r="P276" s="4" t="inlineStr">
        <is>
          <t>Not confirmed</t>
        </is>
      </c>
      <c r="Q276" s="4" t="inlineStr">
        <is>
          <t>Not identified</t>
        </is>
      </c>
      <c r="R276" s="5" t="inlineStr">
        <is>
          <t>Likely</t>
        </is>
      </c>
      <c r="S276" s="4" t="n">
        <v>17</v>
      </c>
      <c r="T276" s="10" t="inlineStr">
        <is>
          <t>C</t>
        </is>
      </c>
      <c r="U276" s="4" t="inlineStr">
        <is>
          <t>Regional general medical equipment dealer with hospital and clinic accounts; candidate sub dealer under a national MAH partner.</t>
        </is>
      </c>
      <c r="V276" s="4" t="inlineStr">
        <is>
          <t>Introduce CHISON as a future line through a national MAH partner; ask about their hospital and clinic coverage, service engineers and openness to non Japanese brands.</t>
        </is>
      </c>
      <c r="W276" s="4" t="inlineStr">
        <is>
          <t>N (not identified)</t>
        </is>
      </c>
      <c r="X276" s="7" t="inlineStr">
        <is>
          <t>https://kyuren.jp/%E4%BC%9A%E5%93%A1%E7%B4%B9%E4%BB%8B/</t>
        </is>
      </c>
      <c r="Y276" s="4" t="inlineStr">
        <is>
          <t>SonoEye P3 plus SonoAir 30 for GP and clinic accounts</t>
        </is>
      </c>
      <c r="Z276" s="4" t="inlineStr">
        <is>
          <t>2, 2, 3, 3, 2, 2, 3</t>
        </is>
      </c>
      <c r="AA276" s="4" t="inlineStr">
        <is>
          <t>Not found</t>
        </is>
      </c>
      <c r="AB276" s="4" t="inlineStr">
        <is>
          <t>Directory or search listing; not opened (direct site access blocked)</t>
        </is>
      </c>
      <c r="AC276" s="4" t="inlineStr">
        <is>
          <t>No expired licence or ended distribution agreement found</t>
        </is>
      </c>
      <c r="AD276" s="4" t="inlineStr">
        <is>
          <t>Not started</t>
        </is>
      </c>
      <c r="AE276" s="4" t="inlineStr"/>
      <c r="AF276" s="4" t="inlineStr">
        <is>
          <t>https://lifetec-ltd.com/contact-us/</t>
        </is>
      </c>
      <c r="AG276" s="4" t="inlineStr">
        <is>
          <t>No email published; use the contact form (link in Email source)</t>
        </is>
      </c>
    </row>
    <row r="277">
      <c r="A277" s="4" t="n">
        <v>273</v>
      </c>
      <c r="B277" s="4" t="inlineStr">
        <is>
          <t>Medical Ikeda</t>
        </is>
      </c>
      <c r="C277" s="4" t="inlineStr">
        <is>
          <t>メディカル池田</t>
        </is>
      </c>
      <c r="D277" s="4" t="inlineStr">
        <is>
          <t>Not retrieved (NTA lookup blocked in this session)</t>
        </is>
      </c>
      <c r="E277" s="4" t="inlineStr">
        <is>
          <t>北海道</t>
        </is>
      </c>
      <c r="F277" s="4" t="inlineStr">
        <is>
          <t>Tohoku and Hokkaido</t>
        </is>
      </c>
      <c r="G277" s="4" t="inlineStr">
        <is>
          <t>Not confirmed (company site not opened; network policy blocked direct access)</t>
        </is>
      </c>
      <c r="H277" s="4" t="inlineStr">
        <is>
          <t>No MAH found; device sales licence (高度管理医療機器等販売業) not confirmed</t>
        </is>
      </c>
      <c r="I277" s="4" t="inlineStr">
        <is>
          <t>Not identified in published sources</t>
        </is>
      </c>
      <c r="J277" s="4" t="inlineStr">
        <is>
          <t>General medical equipment (hospitals and clinics)</t>
        </is>
      </c>
      <c r="K277" s="4" t="inlineStr">
        <is>
          <t>北海道; Hokkaido</t>
        </is>
      </c>
      <c r="L277" s="4" t="inlineStr">
        <is>
          <t>Not found</t>
        </is>
      </c>
      <c r="M277" s="4" t="inlineStr">
        <is>
          <t>Not identified</t>
        </is>
      </c>
      <c r="N277" s="4" t="inlineStr">
        <is>
          <t>Not identified</t>
        </is>
      </c>
      <c r="O277" s="4" t="inlineStr">
        <is>
          <t>Not published; use company inquiry form</t>
        </is>
      </c>
      <c r="P277" s="4" t="inlineStr">
        <is>
          <t>Not confirmed</t>
        </is>
      </c>
      <c r="Q277" s="4" t="inlineStr">
        <is>
          <t>Not identified</t>
        </is>
      </c>
      <c r="R277" s="5" t="inlineStr">
        <is>
          <t>Unverified</t>
        </is>
      </c>
      <c r="S277" s="4" t="n">
        <v>17</v>
      </c>
      <c r="T277" s="10" t="inlineStr">
        <is>
          <t>C</t>
        </is>
      </c>
      <c r="U277" s="4" t="inlineStr">
        <is>
          <t>Regional general medical equipment dealer with hospital and clinic accounts; candidate sub dealer under a national MAH partner.</t>
        </is>
      </c>
      <c r="V277" s="4" t="inlineStr">
        <is>
          <t>Introduce CHISON as a future line through a national MAH partner; ask about their hospital and clinic coverage, service engineers and openness to non Japanese brands.</t>
        </is>
      </c>
      <c r="W277" s="4" t="inlineStr">
        <is>
          <t>N (not identified)</t>
        </is>
      </c>
      <c r="X277" s="7" t="inlineStr">
        <is>
          <t>https://www.jahid.or.jp/pdf/meibo2025.pdf</t>
        </is>
      </c>
      <c r="Y277" s="4" t="inlineStr">
        <is>
          <t>SonoEye P3 plus SonoAir 30 for GP and clinic accounts</t>
        </is>
      </c>
      <c r="Z277" s="4" t="inlineStr">
        <is>
          <t>2, 2, 3, 3, 2, 2, 3</t>
        </is>
      </c>
      <c r="AA277" s="4" t="inlineStr">
        <is>
          <t>Not found</t>
        </is>
      </c>
      <c r="AB277" s="4" t="inlineStr">
        <is>
          <t>Directory or search listing; not opened (direct site access blocked)</t>
        </is>
      </c>
      <c r="AC277" s="4" t="inlineStr">
        <is>
          <t>No expired licence or ended distribution agreement found</t>
        </is>
      </c>
      <c r="AD277" s="4" t="inlineStr">
        <is>
          <t>Not started</t>
        </is>
      </c>
      <c r="AE277" s="4" t="inlineStr"/>
      <c r="AF277" s="4" t="inlineStr"/>
      <c r="AG277" s="4" t="inlineStr">
        <is>
          <t>No email published and no verified website found</t>
        </is>
      </c>
    </row>
    <row r="278">
      <c r="A278" s="4" t="n">
        <v>274</v>
      </c>
      <c r="B278" s="4" t="inlineStr">
        <is>
          <t>Medical Island</t>
        </is>
      </c>
      <c r="C278" s="4" t="inlineStr">
        <is>
          <t>メディカル・アイランド</t>
        </is>
      </c>
      <c r="D278" s="4" t="inlineStr">
        <is>
          <t>Not retrieved (NTA lookup blocked in this session)</t>
        </is>
      </c>
      <c r="E278" s="4" t="inlineStr">
        <is>
          <t>北海道</t>
        </is>
      </c>
      <c r="F278" s="4" t="inlineStr">
        <is>
          <t>Tohoku and Hokkaido</t>
        </is>
      </c>
      <c r="G278" s="4" t="inlineStr">
        <is>
          <t>Not confirmed (company site not opened; network policy blocked direct access)</t>
        </is>
      </c>
      <c r="H278" s="4" t="inlineStr">
        <is>
          <t>No MAH found; device sales licence (高度管理医療機器等販売業) not confirmed</t>
        </is>
      </c>
      <c r="I278" s="4" t="inlineStr">
        <is>
          <t>Not identified in published sources</t>
        </is>
      </c>
      <c r="J278" s="4" t="inlineStr">
        <is>
          <t>General medical equipment (hospitals and clinics)</t>
        </is>
      </c>
      <c r="K278" s="4" t="inlineStr">
        <is>
          <t>北海道; Hokkaido</t>
        </is>
      </c>
      <c r="L278" s="4" t="inlineStr">
        <is>
          <t>Not found</t>
        </is>
      </c>
      <c r="M278" s="4" t="inlineStr">
        <is>
          <t>Not identified</t>
        </is>
      </c>
      <c r="N278" s="4" t="inlineStr">
        <is>
          <t>Not identified</t>
        </is>
      </c>
      <c r="O278" s="4" t="inlineStr">
        <is>
          <t>Not published; use company inquiry form</t>
        </is>
      </c>
      <c r="P278" s="4" t="inlineStr">
        <is>
          <t>Not confirmed</t>
        </is>
      </c>
      <c r="Q278" s="4" t="inlineStr">
        <is>
          <t>Not identified</t>
        </is>
      </c>
      <c r="R278" s="5" t="inlineStr">
        <is>
          <t>Unverified</t>
        </is>
      </c>
      <c r="S278" s="4" t="n">
        <v>17</v>
      </c>
      <c r="T278" s="10" t="inlineStr">
        <is>
          <t>C</t>
        </is>
      </c>
      <c r="U278" s="4" t="inlineStr">
        <is>
          <t>Regional general medical equipment dealer with hospital and clinic accounts; candidate sub dealer under a national MAH partner.</t>
        </is>
      </c>
      <c r="V278" s="4" t="inlineStr">
        <is>
          <t>Introduce CHISON as a future line through a national MAH partner; ask about their hospital and clinic coverage, service engineers and openness to non Japanese brands.</t>
        </is>
      </c>
      <c r="W278" s="4" t="inlineStr">
        <is>
          <t>N (not identified)</t>
        </is>
      </c>
      <c r="X278" s="7" t="inlineStr">
        <is>
          <t>https://www.jahid.or.jp/pdf/meibo2025.pdf</t>
        </is>
      </c>
      <c r="Y278" s="4" t="inlineStr">
        <is>
          <t>SonoEye P3 plus SonoAir 30 for GP and clinic accounts</t>
        </is>
      </c>
      <c r="Z278" s="4" t="inlineStr">
        <is>
          <t>2, 2, 3, 3, 2, 2, 3</t>
        </is>
      </c>
      <c r="AA278" s="4" t="inlineStr">
        <is>
          <t>Not found</t>
        </is>
      </c>
      <c r="AB278" s="4" t="inlineStr">
        <is>
          <t>Recheck: no independent confirmation found; directory listing only</t>
        </is>
      </c>
      <c r="AC278" s="4" t="inlineStr">
        <is>
          <t>No expired licence or ended distribution agreement found</t>
        </is>
      </c>
      <c r="AD278" s="4" t="inlineStr">
        <is>
          <t>Not started</t>
        </is>
      </c>
      <c r="AE278" s="4" t="inlineStr"/>
      <c r="AF278" s="4" t="inlineStr"/>
      <c r="AG278" s="4" t="inlineStr">
        <is>
          <t>No email published and no verified website found</t>
        </is>
      </c>
    </row>
    <row r="279">
      <c r="A279" s="4" t="n">
        <v>275</v>
      </c>
      <c r="B279" s="4" t="inlineStr">
        <is>
          <t>Yu Corporation</t>
        </is>
      </c>
      <c r="C279" s="4" t="inlineStr">
        <is>
          <t>優コーポレーション</t>
        </is>
      </c>
      <c r="D279" s="4" t="inlineStr">
        <is>
          <t>Not retrieved (NTA lookup blocked in this session)</t>
        </is>
      </c>
      <c r="E279" s="4" t="inlineStr">
        <is>
          <t>北海道</t>
        </is>
      </c>
      <c r="F279" s="4" t="inlineStr">
        <is>
          <t>Tohoku and Hokkaido</t>
        </is>
      </c>
      <c r="G279" s="4" t="inlineStr">
        <is>
          <t>http://www.shoureikan.jp/</t>
        </is>
      </c>
      <c r="H279" s="4" t="inlineStr">
        <is>
          <t>No MAH found; device sales licence (高度管理医療機器等販売業) not confirmed</t>
        </is>
      </c>
      <c r="I279" s="4" t="inlineStr">
        <is>
          <t>Not identified in published sources</t>
        </is>
      </c>
      <c r="J279" s="4" t="inlineStr">
        <is>
          <t>General medical equipment (hospitals and clinics)</t>
        </is>
      </c>
      <c r="K279" s="4" t="inlineStr">
        <is>
          <t>北海道; Hokkaido</t>
        </is>
      </c>
      <c r="L279" s="4" t="inlineStr">
        <is>
          <t>Not found</t>
        </is>
      </c>
      <c r="M279" s="4" t="inlineStr">
        <is>
          <t>Not identified</t>
        </is>
      </c>
      <c r="N279" s="4" t="inlineStr">
        <is>
          <t>Not identified</t>
        </is>
      </c>
      <c r="O279" s="4" t="inlineStr">
        <is>
          <t>Not published; use contact form</t>
        </is>
      </c>
      <c r="P279" s="4" t="inlineStr">
        <is>
          <t>Not confirmed</t>
        </is>
      </c>
      <c r="Q279" s="4" t="inlineStr">
        <is>
          <t>Not identified</t>
        </is>
      </c>
      <c r="R279" s="5" t="inlineStr">
        <is>
          <t>Likely</t>
        </is>
      </c>
      <c r="S279" s="4" t="n">
        <v>17</v>
      </c>
      <c r="T279" s="10" t="inlineStr">
        <is>
          <t>C</t>
        </is>
      </c>
      <c r="U279" s="4" t="inlineStr">
        <is>
          <t>Regional general medical equipment dealer with hospital and clinic accounts; candidate sub dealer under a national MAH partner.</t>
        </is>
      </c>
      <c r="V279" s="4" t="inlineStr">
        <is>
          <t>Introduce CHISON as a future line through a national MAH partner; ask about their hospital and clinic coverage, service engineers and openness to non Japanese brands.</t>
        </is>
      </c>
      <c r="W279" s="4" t="inlineStr">
        <is>
          <t>N (not identified)</t>
        </is>
      </c>
      <c r="X279" s="7" t="inlineStr">
        <is>
          <t>https://baseconnect.in/companies/prefecture/9ebb3838-effc-47da-b634-994957a78319/keyword/89941b4e-2dd1-4848-8957-48af280a31e0</t>
        </is>
      </c>
      <c r="Y279" s="4" t="inlineStr">
        <is>
          <t>SonoEye P3 plus SonoAir 30 for GP and clinic accounts</t>
        </is>
      </c>
      <c r="Z279" s="4" t="inlineStr">
        <is>
          <t>2, 2, 3, 3, 2, 2, 3</t>
        </is>
      </c>
      <c r="AA279" s="4" t="inlineStr">
        <is>
          <t>Not found</t>
        </is>
      </c>
      <c r="AB279" s="4" t="inlineStr">
        <is>
          <t>Directory or search listing; not opened (direct site access blocked)</t>
        </is>
      </c>
      <c r="AC279" s="4" t="inlineStr">
        <is>
          <t>No expired licence or ended distribution agreement found</t>
        </is>
      </c>
      <c r="AD279" s="4" t="inlineStr">
        <is>
          <t>Not started</t>
        </is>
      </c>
      <c r="AE279" s="4" t="inlineStr"/>
      <c r="AF279" s="4" t="inlineStr">
        <is>
          <t>http://www.shoureikan.jp/shoureikan/contact.html</t>
        </is>
      </c>
      <c r="AG279" s="4" t="inlineStr">
        <is>
          <t>No email published; use the contact form (link in Email source)</t>
        </is>
      </c>
    </row>
    <row r="280">
      <c r="A280" s="4" t="n">
        <v>276</v>
      </c>
      <c r="B280" s="4" t="inlineStr">
        <is>
          <t>Actec</t>
        </is>
      </c>
      <c r="C280" s="4" t="inlineStr">
        <is>
          <t>アクテック</t>
        </is>
      </c>
      <c r="D280" s="4" t="inlineStr">
        <is>
          <t>Not retrieved (NTA lookup blocked in this session)</t>
        </is>
      </c>
      <c r="E280" s="4" t="inlineStr">
        <is>
          <t>北海道</t>
        </is>
      </c>
      <c r="F280" s="4" t="inlineStr">
        <is>
          <t>Tohoku and Hokkaido</t>
        </is>
      </c>
      <c r="G280" s="4" t="inlineStr">
        <is>
          <t>http://www.e-actec.co.jp/</t>
        </is>
      </c>
      <c r="H280" s="4" t="inlineStr">
        <is>
          <t>No MAH found; device sales licence (高度管理医療機器等販売業) not confirmed</t>
        </is>
      </c>
      <c r="I280" s="4" t="inlineStr">
        <is>
          <t>Not identified in published sources</t>
        </is>
      </c>
      <c r="J280" s="4" t="inlineStr">
        <is>
          <t>Welfare and care, Pharma distribution</t>
        </is>
      </c>
      <c r="K280" s="4" t="inlineStr">
        <is>
          <t>北海道 (regional; branch network not confirmed)</t>
        </is>
      </c>
      <c r="L280" s="4" t="inlineStr">
        <is>
          <t>Est 1964</t>
        </is>
      </c>
      <c r="M280" s="4" t="inlineStr">
        <is>
          <t>Not identified</t>
        </is>
      </c>
      <c r="N280" s="4" t="inlineStr">
        <is>
          <t>Not identified</t>
        </is>
      </c>
      <c r="O280" s="4" t="inlineStr">
        <is>
          <t>Not published; use contact form</t>
        </is>
      </c>
      <c r="P280" s="4" t="inlineStr">
        <is>
          <t>Not confirmed</t>
        </is>
      </c>
      <c r="Q280" s="4" t="inlineStr">
        <is>
          <t>Not identified</t>
        </is>
      </c>
      <c r="R280" s="8" t="inlineStr">
        <is>
          <t>Likely</t>
        </is>
      </c>
      <c r="S280" s="4" t="n">
        <v>17</v>
      </c>
      <c r="T280" s="10" t="inlineStr">
        <is>
          <t>C</t>
        </is>
      </c>
      <c r="U280" s="4" t="inlineStr">
        <is>
          <t>Low fit: mainly welfare or care equipment; only for home care handheld use.</t>
        </is>
      </c>
      <c r="V280" s="4" t="inlineStr">
        <is>
          <t>Introduce CHISON as a future line through a national MAH partner; ask about their hospital and clinic coverage, service engineers and openness to non Japanese brands.</t>
        </is>
      </c>
      <c r="W280" s="4" t="inlineStr">
        <is>
          <t>N (not identified)</t>
        </is>
      </c>
      <c r="X280" s="7" t="inlineStr">
        <is>
          <t>https://i.ansinkaigo.jp/shokai/home-care/welfare-equipment/121454 ; https://baseconnect.in/companies/prefecture/9ebb3838-effc-47da-b634-994957a78319/keyword/89941b4e-2dd1-4848-8957-48af280a31e0 ; https://compalyze.co.jp/company/4450002009734</t>
        </is>
      </c>
      <c r="Y280" s="4" t="inlineStr">
        <is>
          <t>SonoEye P5 for home visit doctors (在宅医療)</t>
        </is>
      </c>
      <c r="Z280" s="4" t="inlineStr">
        <is>
          <t>2, 2, 3, 2, 3, 2, 3</t>
        </is>
      </c>
      <c r="AA280" s="4" t="inlineStr">
        <is>
          <t>北海道札幌市豊平区美園2条3丁目2番25号</t>
        </is>
      </c>
      <c r="AB280" s="4" t="inlineStr">
        <is>
          <t>Verified in 10% recheck</t>
        </is>
      </c>
      <c r="AC280" s="4" t="inlineStr">
        <is>
          <t>No expired licence or ended distribution agreement found</t>
        </is>
      </c>
      <c r="AD280" s="4" t="inlineStr">
        <is>
          <t>Not started</t>
        </is>
      </c>
      <c r="AE280" s="4" t="inlineStr"/>
      <c r="AF280" s="4" t="inlineStr">
        <is>
          <t>http://www.e-actec.co.jp/site/contact/index.html</t>
        </is>
      </c>
      <c r="AG280" s="4" t="inlineStr">
        <is>
          <t>No email published; use the contact form (link in Email source)</t>
        </is>
      </c>
    </row>
    <row r="281">
      <c r="A281" s="4" t="n">
        <v>277</v>
      </c>
      <c r="B281" s="4" t="inlineStr">
        <is>
          <t>Yuto</t>
        </is>
      </c>
      <c r="C281" s="4" t="inlineStr">
        <is>
          <t>悠人</t>
        </is>
      </c>
      <c r="D281" s="4" t="inlineStr">
        <is>
          <t>Not retrieved (NTA lookup blocked in this session)</t>
        </is>
      </c>
      <c r="E281" s="4" t="inlineStr">
        <is>
          <t>北海道</t>
        </is>
      </c>
      <c r="F281" s="4" t="inlineStr">
        <is>
          <t>Tohoku and Hokkaido</t>
        </is>
      </c>
      <c r="G281" s="4" t="inlineStr">
        <is>
          <t>https://yu-to-japan.com/</t>
        </is>
      </c>
      <c r="H281" s="4" t="inlineStr">
        <is>
          <t>No MAH found; device sales licence (高度管理医療機器等販売業) not confirmed</t>
        </is>
      </c>
      <c r="I281" s="4" t="inlineStr">
        <is>
          <t>Not identified in published sources</t>
        </is>
      </c>
      <c r="J281" s="4" t="inlineStr">
        <is>
          <t>General medical equipment (hospitals and clinics)</t>
        </is>
      </c>
      <c r="K281" s="4" t="inlineStr">
        <is>
          <t>北海道 (regional; branch network not confirmed)</t>
        </is>
      </c>
      <c r="L281" s="4" t="inlineStr">
        <is>
          <t>Not found</t>
        </is>
      </c>
      <c r="M281" s="4" t="inlineStr">
        <is>
          <t>Not identified</t>
        </is>
      </c>
      <c r="N281" s="4" t="inlineStr">
        <is>
          <t>Not identified</t>
        </is>
      </c>
      <c r="O281" s="4" t="inlineStr">
        <is>
          <t>Not published; use company inquiry form</t>
        </is>
      </c>
      <c r="P281" s="4" t="inlineStr">
        <is>
          <t>Not confirmed</t>
        </is>
      </c>
      <c r="Q281" s="4" t="inlineStr">
        <is>
          <t>Not identified</t>
        </is>
      </c>
      <c r="R281" s="5" t="inlineStr">
        <is>
          <t>Company inquiry only</t>
        </is>
      </c>
      <c r="S281" s="4" t="n">
        <v>17</v>
      </c>
      <c r="T281" s="10" t="inlineStr">
        <is>
          <t>C</t>
        </is>
      </c>
      <c r="U281" s="4" t="inlineStr">
        <is>
          <t>Regional general medical equipment dealer with hospital and clinic accounts; candidate sub dealer under a national MAH partner.</t>
        </is>
      </c>
      <c r="V281" s="4" t="inlineStr">
        <is>
          <t>Introduce CHISON as a future line through a national MAH partner; ask about their hospital and clinic coverage, service engineers and openness to non Japanese brands.</t>
        </is>
      </c>
      <c r="W281" s="4" t="inlineStr">
        <is>
          <t>N (not identified)</t>
        </is>
      </c>
      <c r="X281" s="7" t="inlineStr">
        <is>
          <t>https://baseconnect.in/companies/prefecture/9ebb3838-effc-47da-b634-994957a78319/keyword/89941b4e-2dd1-4848-8957-48af280a31e0</t>
        </is>
      </c>
      <c r="Y281" s="4" t="inlineStr">
        <is>
          <t>SonoEye P3 plus SonoAir 30 for GP and clinic accounts</t>
        </is>
      </c>
      <c r="Z281" s="4" t="inlineStr">
        <is>
          <t>2, 2, 3, 3, 2, 2, 3</t>
        </is>
      </c>
      <c r="AA281" s="4" t="inlineStr">
        <is>
          <t>Not found</t>
        </is>
      </c>
      <c r="AB281" s="4" t="inlineStr">
        <is>
          <t>Directory or search listing; not opened (direct site access blocked)</t>
        </is>
      </c>
      <c r="AC281" s="4" t="inlineStr">
        <is>
          <t>No expired licence or ended distribution agreement found</t>
        </is>
      </c>
      <c r="AD281" s="4" t="inlineStr">
        <is>
          <t>Not started</t>
        </is>
      </c>
      <c r="AE281" s="4" t="inlineStr"/>
      <c r="AF281" s="4" t="inlineStr"/>
      <c r="AG281" s="4" t="inlineStr">
        <is>
          <t>No email published; website has no contact page link, phone first</t>
        </is>
      </c>
    </row>
    <row r="282">
      <c r="A282" s="4" t="n">
        <v>278</v>
      </c>
      <c r="B282" s="4" t="inlineStr">
        <is>
          <t>Toko Career Medical</t>
        </is>
      </c>
      <c r="C282" s="4" t="inlineStr">
        <is>
          <t>東光キヤリアメディカル</t>
        </is>
      </c>
      <c r="D282" s="4" t="inlineStr">
        <is>
          <t>Not retrieved (NTA lookup blocked in this session)</t>
        </is>
      </c>
      <c r="E282" s="4" t="inlineStr">
        <is>
          <t>北海道</t>
        </is>
      </c>
      <c r="F282" s="4" t="inlineStr">
        <is>
          <t>Tohoku and Hokkaido</t>
        </is>
      </c>
      <c r="G282" s="4" t="inlineStr">
        <is>
          <t>Not confirmed (company site not opened; network policy blocked direct access)</t>
        </is>
      </c>
      <c r="H282" s="4" t="inlineStr">
        <is>
          <t>No MAH found; device sales licence (高度管理医療機器等販売業) not confirmed</t>
        </is>
      </c>
      <c r="I282" s="4" t="inlineStr">
        <is>
          <t>Not identified in published sources</t>
        </is>
      </c>
      <c r="J282" s="4" t="inlineStr">
        <is>
          <t>General medical equipment (hospitals and clinics)</t>
        </is>
      </c>
      <c r="K282" s="4" t="inlineStr">
        <is>
          <t>北海道 (regional; branch network not confirmed)</t>
        </is>
      </c>
      <c r="L282" s="4" t="inlineStr">
        <is>
          <t>Not found</t>
        </is>
      </c>
      <c r="M282" s="4" t="inlineStr">
        <is>
          <t>Not identified</t>
        </is>
      </c>
      <c r="N282" s="4" t="inlineStr">
        <is>
          <t>Not identified</t>
        </is>
      </c>
      <c r="O282" s="4" t="inlineStr">
        <is>
          <t>Not published; use company inquiry form</t>
        </is>
      </c>
      <c r="P282" s="4" t="inlineStr">
        <is>
          <t>Not confirmed</t>
        </is>
      </c>
      <c r="Q282" s="4" t="inlineStr">
        <is>
          <t>Not identified</t>
        </is>
      </c>
      <c r="R282" s="5" t="inlineStr">
        <is>
          <t>Unverified</t>
        </is>
      </c>
      <c r="S282" s="4" t="n">
        <v>17</v>
      </c>
      <c r="T282" s="10" t="inlineStr">
        <is>
          <t>C</t>
        </is>
      </c>
      <c r="U282" s="4" t="inlineStr">
        <is>
          <t>Regional general medical equipment dealer with hospital and clinic accounts; candidate sub dealer under a national MAH partner.</t>
        </is>
      </c>
      <c r="V282" s="4" t="inlineStr">
        <is>
          <t>Introduce CHISON as a future line through a national MAH partner; ask about their hospital and clinic coverage, service engineers and openness to non Japanese brands.</t>
        </is>
      </c>
      <c r="W282" s="4" t="inlineStr">
        <is>
          <t>N (not identified)</t>
        </is>
      </c>
      <c r="X282" s="7" t="inlineStr">
        <is>
          <t>https://baseconnect.in/companies/prefecture/9ebb3838-effc-47da-b634-994957a78319/keyword/89941b4e-2dd1-4848-8957-48af280a31e0</t>
        </is>
      </c>
      <c r="Y282" s="4" t="inlineStr">
        <is>
          <t>SonoEye P3 plus SonoAir 30 for GP and clinic accounts</t>
        </is>
      </c>
      <c r="Z282" s="4" t="inlineStr">
        <is>
          <t>2, 2, 3, 3, 2, 2, 3</t>
        </is>
      </c>
      <c r="AA282" s="4" t="inlineStr">
        <is>
          <t>Not found</t>
        </is>
      </c>
      <c r="AB282" s="4" t="inlineStr">
        <is>
          <t>Directory or search listing; not opened (direct site access blocked)</t>
        </is>
      </c>
      <c r="AC282" s="4" t="inlineStr">
        <is>
          <t>No expired licence or ended distribution agreement found</t>
        </is>
      </c>
      <c r="AD282" s="4" t="inlineStr">
        <is>
          <t>Not started</t>
        </is>
      </c>
      <c r="AE282" s="4" t="inlineStr"/>
      <c r="AF282" s="4" t="inlineStr"/>
      <c r="AG282" s="4" t="inlineStr">
        <is>
          <t>No email published and no verified website found</t>
        </is>
      </c>
    </row>
    <row r="283">
      <c r="A283" s="4" t="n">
        <v>279</v>
      </c>
      <c r="B283" s="4" t="inlineStr">
        <is>
          <t>Sigma (Sendai)</t>
        </is>
      </c>
      <c r="C283" s="4" t="inlineStr">
        <is>
          <t>シグマ</t>
        </is>
      </c>
      <c r="D283" s="4" t="inlineStr">
        <is>
          <t>Not retrieved (NTA lookup blocked in this session)</t>
        </is>
      </c>
      <c r="E283" s="4" t="inlineStr">
        <is>
          <t>宮城県</t>
        </is>
      </c>
      <c r="F283" s="4" t="inlineStr">
        <is>
          <t>Tohoku and Hokkaido</t>
        </is>
      </c>
      <c r="G283" s="4" t="inlineStr">
        <is>
          <t>https://www.sigmainc.site/</t>
        </is>
      </c>
      <c r="H283" s="4" t="inlineStr">
        <is>
          <t>No MAH found; device sales licence (高度管理医療機器等販売業) not confirmed</t>
        </is>
      </c>
      <c r="I283" s="4" t="inlineStr">
        <is>
          <t>Not identified in published sources</t>
        </is>
      </c>
      <c r="J283" s="4" t="inlineStr">
        <is>
          <t>Pharma distribution</t>
        </is>
      </c>
      <c r="K283" s="4" t="inlineStr">
        <is>
          <t>宮城県 (regional; branch network not confirmed)</t>
        </is>
      </c>
      <c r="L283" s="4" t="inlineStr">
        <is>
          <t>Not found</t>
        </is>
      </c>
      <c r="M283" s="4" t="inlineStr">
        <is>
          <t>Not identified</t>
        </is>
      </c>
      <c r="N283" s="4" t="inlineStr">
        <is>
          <t>Not identified</t>
        </is>
      </c>
      <c r="O283" s="4" t="inlineStr">
        <is>
          <t>Not published; use contact form</t>
        </is>
      </c>
      <c r="P283" s="4" t="inlineStr">
        <is>
          <t>Not confirmed</t>
        </is>
      </c>
      <c r="Q283" s="4" t="inlineStr">
        <is>
          <t>Not identified</t>
        </is>
      </c>
      <c r="R283" s="5" t="inlineStr">
        <is>
          <t>Likely</t>
        </is>
      </c>
      <c r="S283" s="4" t="n">
        <v>17</v>
      </c>
      <c r="T283" s="10" t="inlineStr">
        <is>
          <t>C</t>
        </is>
      </c>
      <c r="U283" s="4" t="inlineStr">
        <is>
          <t>Regional general medical equipment dealer with hospital and clinic accounts; candidate sub dealer under a national MAH partner.</t>
        </is>
      </c>
      <c r="V283" s="4" t="inlineStr">
        <is>
          <t>Introduce CHISON as a future line through a national MAH partner; ask about their hospital and clinic coverage, service engineers and openness to non Japanese brands.</t>
        </is>
      </c>
      <c r="W283" s="4" t="inlineStr">
        <is>
          <t>N (not identified)</t>
        </is>
      </c>
      <c r="X283" s="7" t="inlineStr">
        <is>
          <t>https://baseconnect.in/companies/prefecture/3eff90d1-0bad-4fac-bce6-da9b939d7407/keyword/89941b4e-2dd1-4848-8957-48af280a31e0</t>
        </is>
      </c>
      <c r="Y283" s="4" t="inlineStr">
        <is>
          <t>SonoEye P3 plus SonoAir 30 for GP and clinic accounts</t>
        </is>
      </c>
      <c r="Z283" s="4" t="inlineStr">
        <is>
          <t>2, 2, 3, 2, 3, 2, 3</t>
        </is>
      </c>
      <c r="AA283" s="4" t="inlineStr">
        <is>
          <t>Not found</t>
        </is>
      </c>
      <c r="AB283" s="4" t="inlineStr">
        <is>
          <t>Directory or search listing; not opened (direct site access blocked)</t>
        </is>
      </c>
      <c r="AC283" s="4" t="inlineStr">
        <is>
          <t>No expired licence or ended distribution agreement found</t>
        </is>
      </c>
      <c r="AD283" s="4" t="inlineStr">
        <is>
          <t>Not started</t>
        </is>
      </c>
      <c r="AE283" s="4" t="inlineStr"/>
      <c r="AF283" s="4" t="inlineStr">
        <is>
          <t>https://www.sigmainc.site/contact.html</t>
        </is>
      </c>
      <c r="AG283" s="4" t="inlineStr">
        <is>
          <t>No email published; use the contact form (link in Email source)</t>
        </is>
      </c>
    </row>
    <row r="284">
      <c r="A284" s="4" t="n">
        <v>280</v>
      </c>
      <c r="B284" s="4" t="inlineStr">
        <is>
          <t>Merio</t>
        </is>
      </c>
      <c r="C284" s="4" t="inlineStr">
        <is>
          <t>メリオ</t>
        </is>
      </c>
      <c r="D284" s="4" t="inlineStr">
        <is>
          <t>Not retrieved (NTA lookup blocked in this session)</t>
        </is>
      </c>
      <c r="E284" s="4" t="inlineStr">
        <is>
          <t>岡山県</t>
        </is>
      </c>
      <c r="F284" s="4" t="inlineStr">
        <is>
          <t>Chugoku and Shikoku</t>
        </is>
      </c>
      <c r="G284" s="4" t="inlineStr">
        <is>
          <t>https://www.il-meglio.net/</t>
        </is>
      </c>
      <c r="H284" s="4" t="inlineStr">
        <is>
          <t>No MAH found; device sales licence (高度管理医療機器等販売業) not confirmed</t>
        </is>
      </c>
      <c r="I284" s="4" t="inlineStr">
        <is>
          <t>Not identified in published sources</t>
        </is>
      </c>
      <c r="J284" s="4" t="inlineStr">
        <is>
          <t>General medical equipment (hospitals and clinics)</t>
        </is>
      </c>
      <c r="K284" s="4" t="inlineStr">
        <is>
          <t>岡山県 (regional; branch network not confirmed)</t>
        </is>
      </c>
      <c r="L284" s="4" t="inlineStr">
        <is>
          <t>Not found</t>
        </is>
      </c>
      <c r="M284" s="4" t="inlineStr">
        <is>
          <t>Not identified</t>
        </is>
      </c>
      <c r="N284" s="4" t="inlineStr">
        <is>
          <t>Not identified</t>
        </is>
      </c>
      <c r="O284" s="4" t="inlineStr">
        <is>
          <t>Not published; use contact form</t>
        </is>
      </c>
      <c r="P284" s="4" t="inlineStr">
        <is>
          <t>Not confirmed</t>
        </is>
      </c>
      <c r="Q284" s="4" t="inlineStr">
        <is>
          <t>Not identified</t>
        </is>
      </c>
      <c r="R284" s="5" t="inlineStr">
        <is>
          <t>Likely</t>
        </is>
      </c>
      <c r="S284" s="4" t="n">
        <v>17</v>
      </c>
      <c r="T284" s="10" t="inlineStr">
        <is>
          <t>C</t>
        </is>
      </c>
      <c r="U284" s="4" t="inlineStr">
        <is>
          <t>Regional general medical equipment dealer with hospital and clinic accounts; candidate sub dealer under a national MAH partner.</t>
        </is>
      </c>
      <c r="V284" s="4" t="inlineStr">
        <is>
          <t>Introduce CHISON as a future line through a national MAH partner; ask about their hospital and clinic coverage, service engineers and openness to non Japanese brands.</t>
        </is>
      </c>
      <c r="W284" s="4" t="inlineStr">
        <is>
          <t>N (not identified)</t>
        </is>
      </c>
      <c r="X284" s="7" t="inlineStr">
        <is>
          <t>https://compalyze.co.jp/company/5260001006627 (reconfirm page)</t>
        </is>
      </c>
      <c r="Y284" s="4" t="inlineStr">
        <is>
          <t>SonoEye P3 plus SonoAir 30 for GP and clinic accounts</t>
        </is>
      </c>
      <c r="Z284" s="4" t="inlineStr">
        <is>
          <t>2, 2, 3, 2, 3, 2, 3</t>
        </is>
      </c>
      <c r="AA284" s="4" t="inlineStr">
        <is>
          <t>Not found</t>
        </is>
      </c>
      <c r="AB284" s="4" t="inlineStr">
        <is>
          <t>Directory or search listing; not opened (direct site access blocked)</t>
        </is>
      </c>
      <c r="AC284" s="4" t="inlineStr">
        <is>
          <t>No expired licence or ended distribution agreement found</t>
        </is>
      </c>
      <c r="AD284" s="4" t="inlineStr">
        <is>
          <t>Not started</t>
        </is>
      </c>
      <c r="AE284" s="4" t="inlineStr"/>
      <c r="AF284" s="4" t="inlineStr">
        <is>
          <t>https://www.il-meglio.net</t>
        </is>
      </c>
      <c r="AG284" s="4" t="inlineStr">
        <is>
          <t>No email published; use the contact form (link in Email source)</t>
        </is>
      </c>
    </row>
    <row r="285">
      <c r="A285" s="4" t="n">
        <v>281</v>
      </c>
      <c r="B285" s="4" t="inlineStr">
        <is>
          <t>Amic</t>
        </is>
      </c>
      <c r="C285" s="4" t="inlineStr">
        <is>
          <t>アミック</t>
        </is>
      </c>
      <c r="D285" s="4" t="inlineStr">
        <is>
          <t>Not retrieved (NTA lookup blocked in this session)</t>
        </is>
      </c>
      <c r="E285" s="4" t="inlineStr">
        <is>
          <t>岡山県</t>
        </is>
      </c>
      <c r="F285" s="4" t="inlineStr">
        <is>
          <t>Chugoku and Shikoku</t>
        </is>
      </c>
      <c r="G285" s="4" t="inlineStr">
        <is>
          <t>https://www.ammic.co.jp/</t>
        </is>
      </c>
      <c r="H285" s="4" t="inlineStr">
        <is>
          <t>No MAH found; device sales licence (高度管理医療機器等販売業) not confirmed</t>
        </is>
      </c>
      <c r="I285" s="4" t="inlineStr">
        <is>
          <t>Not identified in published sources</t>
        </is>
      </c>
      <c r="J285" s="4" t="inlineStr">
        <is>
          <t>Dialysis</t>
        </is>
      </c>
      <c r="K285" s="4" t="inlineStr">
        <is>
          <t>岡山県 (regional; branch network not confirmed)</t>
        </is>
      </c>
      <c r="L285" s="4" t="inlineStr">
        <is>
          <t>Not found</t>
        </is>
      </c>
      <c r="M285" s="4" t="inlineStr">
        <is>
          <t>Not identified</t>
        </is>
      </c>
      <c r="N285" s="4" t="inlineStr">
        <is>
          <t>Not identified</t>
        </is>
      </c>
      <c r="O285" s="4" t="inlineStr">
        <is>
          <t>Not published; use contact form</t>
        </is>
      </c>
      <c r="P285" s="4" t="inlineStr">
        <is>
          <t>Not confirmed</t>
        </is>
      </c>
      <c r="Q285" s="4" t="inlineStr">
        <is>
          <t>Not identified</t>
        </is>
      </c>
      <c r="R285" s="5" t="inlineStr">
        <is>
          <t>Likely</t>
        </is>
      </c>
      <c r="S285" s="4" t="n">
        <v>17</v>
      </c>
      <c r="T285" s="10" t="inlineStr">
        <is>
          <t>C</t>
        </is>
      </c>
      <c r="U285" s="4" t="inlineStr">
        <is>
          <t>Regional general medical equipment dealer with hospital and clinic accounts; candidate sub dealer under a national MAH partner.</t>
        </is>
      </c>
      <c r="V285" s="4" t="inlineStr">
        <is>
          <t>Introduce CHISON as a future line through a national MAH partner; ask about their hospital and clinic coverage, service engineers and openness to non Japanese brands.</t>
        </is>
      </c>
      <c r="W285" s="4" t="inlineStr">
        <is>
          <t>N (not identified)</t>
        </is>
      </c>
      <c r="X285" s="7" t="inlineStr">
        <is>
          <t>https://baseconnect.in/companies/prefecture/cd00efe9-63bc-49a2-846e-3cfd4bca7207/keyword/89941b4e-2dd1-4848-8957-48af280a31e0</t>
        </is>
      </c>
      <c r="Y285" s="4" t="inlineStr">
        <is>
          <t>SonoEye P3 for AV fistula and vascular access checks</t>
        </is>
      </c>
      <c r="Z285" s="4" t="inlineStr">
        <is>
          <t>2, 2, 3, 2, 3, 2, 3</t>
        </is>
      </c>
      <c r="AA285" s="4" t="inlineStr">
        <is>
          <t>Not found</t>
        </is>
      </c>
      <c r="AB285" s="4" t="inlineStr">
        <is>
          <t>Directory or search listing; not opened (direct site access blocked)</t>
        </is>
      </c>
      <c r="AC285" s="4" t="inlineStr">
        <is>
          <t>No expired licence or ended distribution agreement found</t>
        </is>
      </c>
      <c r="AD285" s="4" t="inlineStr">
        <is>
          <t>Not started</t>
        </is>
      </c>
      <c r="AE285" s="4" t="inlineStr"/>
      <c r="AF285" s="4" t="inlineStr">
        <is>
          <t>https://www.ammic.co.jp/contact.html</t>
        </is>
      </c>
      <c r="AG285" s="4" t="inlineStr">
        <is>
          <t>No email published; use the contact form (link in Email source)</t>
        </is>
      </c>
    </row>
    <row r="286">
      <c r="A286" s="4" t="n">
        <v>282</v>
      </c>
      <c r="B286" s="4" t="inlineStr">
        <is>
          <t>Akashi Ika Kikaiten</t>
        </is>
      </c>
      <c r="C286" s="4" t="inlineStr">
        <is>
          <t>明石医科器械店</t>
        </is>
      </c>
      <c r="D286" s="4" t="inlineStr">
        <is>
          <t>Not retrieved (NTA lookup blocked in this session)</t>
        </is>
      </c>
      <c r="E286" s="4" t="inlineStr">
        <is>
          <t>島根県</t>
        </is>
      </c>
      <c r="F286" s="4" t="inlineStr">
        <is>
          <t>Chugoku and Shikoku</t>
        </is>
      </c>
      <c r="G286" s="4" t="inlineStr">
        <is>
          <t>Not confirmed (company site not opened; network policy blocked direct access)</t>
        </is>
      </c>
      <c r="H286" s="4" t="inlineStr">
        <is>
          <t>No MAH found; device sales licence (高度管理医療機器等販売業) not confirmed</t>
        </is>
      </c>
      <c r="I286" s="4" t="inlineStr">
        <is>
          <t>Not identified in published sources</t>
        </is>
      </c>
      <c r="J286" s="4" t="inlineStr">
        <is>
          <t>General medical equipment (hospitals and clinics)</t>
        </is>
      </c>
      <c r="K286" s="4" t="inlineStr">
        <is>
          <t>島根県 (regional; branch network not confirmed)</t>
        </is>
      </c>
      <c r="L286" s="4" t="inlineStr">
        <is>
          <t>Not found</t>
        </is>
      </c>
      <c r="M286" s="4" t="inlineStr">
        <is>
          <t>Not identified</t>
        </is>
      </c>
      <c r="N286" s="4" t="inlineStr">
        <is>
          <t>Not identified</t>
        </is>
      </c>
      <c r="O286" s="4" t="inlineStr">
        <is>
          <t>Not published; use company inquiry form</t>
        </is>
      </c>
      <c r="P286" s="4" t="inlineStr">
        <is>
          <t>Not confirmed</t>
        </is>
      </c>
      <c r="Q286" s="4" t="inlineStr">
        <is>
          <t>Not identified</t>
        </is>
      </c>
      <c r="R286" s="5" t="inlineStr">
        <is>
          <t>Unverified</t>
        </is>
      </c>
      <c r="S286" s="4" t="n">
        <v>17</v>
      </c>
      <c r="T286" s="10" t="inlineStr">
        <is>
          <t>C</t>
        </is>
      </c>
      <c r="U286" s="4" t="inlineStr">
        <is>
          <t>Regional general medical equipment dealer with hospital and clinic accounts; candidate sub dealer under a national MAH partner.</t>
        </is>
      </c>
      <c r="V286" s="4" t="inlineStr">
        <is>
          <t>Introduce CHISON as a future line through a national MAH partner; ask about their hospital and clinic coverage, service engineers and openness to non Japanese brands.</t>
        </is>
      </c>
      <c r="W286" s="4" t="inlineStr">
        <is>
          <t>N (not identified)</t>
        </is>
      </c>
      <c r="X286" s="7" t="inlineStr">
        <is>
          <t>https://baseconnect.in/companies/prefecture/2466a71e-a675-4184-bf2b-a9d3122e4400/category/b2358a1c-c4c6-46f4-a0b1-dee3a1b30a0b</t>
        </is>
      </c>
      <c r="Y286" s="4" t="inlineStr">
        <is>
          <t>SonoEye P3 plus SonoAir 30 for GP and clinic accounts</t>
        </is>
      </c>
      <c r="Z286" s="4" t="inlineStr">
        <is>
          <t>2, 2, 3, 3, 2, 2, 3</t>
        </is>
      </c>
      <c r="AA286" s="4" t="inlineStr">
        <is>
          <t>Not found</t>
        </is>
      </c>
      <c r="AB286" s="4" t="inlineStr">
        <is>
          <t>Directory or search listing; not opened (direct site access blocked)</t>
        </is>
      </c>
      <c r="AC286" s="4" t="inlineStr">
        <is>
          <t>No expired licence or ended distribution agreement found</t>
        </is>
      </c>
      <c r="AD286" s="4" t="inlineStr">
        <is>
          <t>Not started</t>
        </is>
      </c>
      <c r="AE286" s="4" t="inlineStr"/>
      <c r="AF286" s="4" t="inlineStr"/>
      <c r="AG286" s="4" t="inlineStr">
        <is>
          <t>No email published and no verified website found</t>
        </is>
      </c>
    </row>
    <row r="287">
      <c r="A287" s="4" t="n">
        <v>283</v>
      </c>
      <c r="B287" s="4" t="inlineStr">
        <is>
          <t>Onomichi Iryoki</t>
        </is>
      </c>
      <c r="C287" s="4" t="inlineStr">
        <is>
          <t>尾道医療器</t>
        </is>
      </c>
      <c r="D287" s="4" t="inlineStr">
        <is>
          <t>Not retrieved (NTA lookup blocked in this session)</t>
        </is>
      </c>
      <c r="E287" s="4" t="inlineStr">
        <is>
          <t>広島県</t>
        </is>
      </c>
      <c r="F287" s="4" t="inlineStr">
        <is>
          <t>Chugoku and Shikoku</t>
        </is>
      </c>
      <c r="G287" s="4" t="inlineStr">
        <is>
          <t>https://onomichi-iryoki.co.jp/</t>
        </is>
      </c>
      <c r="H287" s="4" t="inlineStr">
        <is>
          <t>No MAH found; device sales licence (高度管理医療機器等販売業) not confirmed</t>
        </is>
      </c>
      <c r="I287" s="4" t="inlineStr">
        <is>
          <t>Not identified in published sources</t>
        </is>
      </c>
      <c r="J287" s="4" t="inlineStr">
        <is>
          <t>General medical equipment (hospitals and clinics)</t>
        </is>
      </c>
      <c r="K287" s="4" t="inlineStr">
        <is>
          <t>広島県 (regional; branch network not confirmed)</t>
        </is>
      </c>
      <c r="L287" s="4" t="inlineStr">
        <is>
          <t>Not found</t>
        </is>
      </c>
      <c r="M287" s="4" t="inlineStr">
        <is>
          <t>Not identified</t>
        </is>
      </c>
      <c r="N287" s="4" t="inlineStr">
        <is>
          <t>Not identified</t>
        </is>
      </c>
      <c r="O287" s="4" t="inlineStr">
        <is>
          <t>Not published; use contact form</t>
        </is>
      </c>
      <c r="P287" s="4" t="inlineStr">
        <is>
          <t>Not confirmed</t>
        </is>
      </c>
      <c r="Q287" s="4" t="inlineStr">
        <is>
          <t>Not identified</t>
        </is>
      </c>
      <c r="R287" s="5" t="inlineStr">
        <is>
          <t>Likely</t>
        </is>
      </c>
      <c r="S287" s="4" t="n">
        <v>17</v>
      </c>
      <c r="T287" s="10" t="inlineStr">
        <is>
          <t>C</t>
        </is>
      </c>
      <c r="U287" s="4" t="inlineStr">
        <is>
          <t>Regional general medical equipment dealer with hospital and clinic accounts; candidate sub dealer under a national MAH partner.</t>
        </is>
      </c>
      <c r="V287" s="4" t="inlineStr">
        <is>
          <t>Introduce CHISON as a future line through a national MAH partner; ask about their hospital and clinic coverage, service engineers and openness to non Japanese brands.</t>
        </is>
      </c>
      <c r="W287" s="4" t="inlineStr">
        <is>
          <t>N (not identified)</t>
        </is>
      </c>
      <c r="X287" s="7" t="inlineStr">
        <is>
          <t>https://baseconnect.in/companies/prefecture/3562c231-08e3-43af-8765-2077382c0c10/keyword/6afa1771-8d91-440c-86b0-ba8538b7bf9a</t>
        </is>
      </c>
      <c r="Y287" s="4" t="inlineStr">
        <is>
          <t>SonoEye P3 plus SonoAir 30 for GP and clinic accounts</t>
        </is>
      </c>
      <c r="Z287" s="4" t="inlineStr">
        <is>
          <t>2, 2, 3, 2, 3, 2, 3</t>
        </is>
      </c>
      <c r="AA287" s="4" t="inlineStr">
        <is>
          <t>Not found</t>
        </is>
      </c>
      <c r="AB287" s="4" t="inlineStr">
        <is>
          <t>Directory or search listing; not opened (direct site access blocked)</t>
        </is>
      </c>
      <c r="AC287" s="4" t="inlineStr">
        <is>
          <t>No expired licence or ended distribution agreement found</t>
        </is>
      </c>
      <c r="AD287" s="4" t="inlineStr">
        <is>
          <t>Not started</t>
        </is>
      </c>
      <c r="AE287" s="4" t="inlineStr"/>
      <c r="AF287" s="4" t="inlineStr">
        <is>
          <t>https://onomichi-iryoki.co.jp/?page_id=25</t>
        </is>
      </c>
      <c r="AG287" s="4" t="inlineStr">
        <is>
          <t>No email published; use the contact form (link in Email source)</t>
        </is>
      </c>
    </row>
    <row r="288">
      <c r="A288" s="4" t="n">
        <v>284</v>
      </c>
      <c r="B288" s="4" t="inlineStr">
        <is>
          <t>Sanas</t>
        </is>
      </c>
      <c r="C288" s="4" t="inlineStr">
        <is>
          <t>サナス</t>
        </is>
      </c>
      <c r="D288" s="4" t="inlineStr">
        <is>
          <t>Not retrieved (NTA lookup blocked in this session)</t>
        </is>
      </c>
      <c r="E288" s="4" t="inlineStr">
        <is>
          <t>徳島県</t>
        </is>
      </c>
      <c r="F288" s="4" t="inlineStr">
        <is>
          <t>Chugoku and Shikoku</t>
        </is>
      </c>
      <c r="G288" s="4" t="inlineStr">
        <is>
          <t>https://www.sunus.co.jp/</t>
        </is>
      </c>
      <c r="H288" s="4" t="inlineStr">
        <is>
          <t>No MAH found; device sales licence (高度管理医療機器等販売業) not confirmed</t>
        </is>
      </c>
      <c r="I288" s="4" t="inlineStr">
        <is>
          <t>Not identified in published sources</t>
        </is>
      </c>
      <c r="J288" s="4" t="inlineStr">
        <is>
          <t>Emergency and disaster, Dialysis</t>
        </is>
      </c>
      <c r="K288" s="4" t="inlineStr">
        <is>
          <t>徳島県 (regional; branch network not confirmed)</t>
        </is>
      </c>
      <c r="L288" s="4" t="inlineStr">
        <is>
          <t>Not found</t>
        </is>
      </c>
      <c r="M288" s="4" t="inlineStr">
        <is>
          <t>Not identified</t>
        </is>
      </c>
      <c r="N288" s="4" t="inlineStr">
        <is>
          <t>Not identified</t>
        </is>
      </c>
      <c r="O288" s="4" t="inlineStr">
        <is>
          <t>Not published; use contact form</t>
        </is>
      </c>
      <c r="P288" s="4" t="inlineStr">
        <is>
          <t>Not confirmed</t>
        </is>
      </c>
      <c r="Q288" s="4" t="inlineStr">
        <is>
          <t>Not identified</t>
        </is>
      </c>
      <c r="R288" s="5" t="inlineStr">
        <is>
          <t>Likely</t>
        </is>
      </c>
      <c r="S288" s="4" t="n">
        <v>17</v>
      </c>
      <c r="T288" s="10" t="inlineStr">
        <is>
          <t>C</t>
        </is>
      </c>
      <c r="U288" s="4" t="inlineStr">
        <is>
          <t>Regional general medical equipment dealer with hospital and clinic accounts; candidate sub dealer under a national MAH partner.</t>
        </is>
      </c>
      <c r="V288" s="4" t="inlineStr">
        <is>
          <t>Introduce CHISON as a future line through a national MAH partner; ask about their hospital and clinic coverage, service engineers and openness to non Japanese brands.</t>
        </is>
      </c>
      <c r="W288" s="4" t="inlineStr">
        <is>
          <t>N (not identified)</t>
        </is>
      </c>
      <c r="X288" s="7" t="inlineStr">
        <is>
          <t>https://baseconnect.in/companies/prefecture/22e3a90e-e956-4cce-bd1b-bdc8b44fc75f/category/b2358a1c-c4c6-46f4-a0b1-dee3a1b30a0b</t>
        </is>
      </c>
      <c r="Y288" s="4" t="inlineStr">
        <is>
          <t>SonoEye P3 for FAST, lung and vascular access (POCUS)</t>
        </is>
      </c>
      <c r="Z288" s="4" t="inlineStr">
        <is>
          <t>2, 2, 3, 2, 3, 2, 3</t>
        </is>
      </c>
      <c r="AA288" s="4" t="inlineStr">
        <is>
          <t>Not found</t>
        </is>
      </c>
      <c r="AB288" s="4" t="inlineStr">
        <is>
          <t>Directory or search listing; not opened (direct site access blocked)</t>
        </is>
      </c>
      <c r="AC288" s="4" t="inlineStr">
        <is>
          <t>No expired licence or ended distribution agreement found</t>
        </is>
      </c>
      <c r="AD288" s="4" t="inlineStr">
        <is>
          <t>Not started</t>
        </is>
      </c>
      <c r="AE288" s="4" t="inlineStr"/>
      <c r="AF288" s="4" t="inlineStr">
        <is>
          <t>https://www.sunus.co.jp/contact/</t>
        </is>
      </c>
      <c r="AG288" s="4" t="inlineStr">
        <is>
          <t>No email published; use the contact form (link in Email source)</t>
        </is>
      </c>
    </row>
    <row r="289">
      <c r="A289" s="4" t="n">
        <v>285</v>
      </c>
      <c r="B289" s="4" t="inlineStr">
        <is>
          <t>Matsuda Medical</t>
        </is>
      </c>
      <c r="C289" s="4" t="inlineStr">
        <is>
          <t>松田メディカル</t>
        </is>
      </c>
      <c r="D289" s="4" t="inlineStr">
        <is>
          <t>Not retrieved (NTA lookup blocked in this session)</t>
        </is>
      </c>
      <c r="E289" s="4" t="inlineStr">
        <is>
          <t>高知県</t>
        </is>
      </c>
      <c r="F289" s="4" t="inlineStr">
        <is>
          <t>Chugoku and Shikoku</t>
        </is>
      </c>
      <c r="G289" s="4" t="inlineStr">
        <is>
          <t>Not confirmed (company site not opened; network policy blocked direct access)</t>
        </is>
      </c>
      <c r="H289" s="4" t="inlineStr">
        <is>
          <t>No MAH found; device sales licence (高度管理医療機器等販売業) not confirmed</t>
        </is>
      </c>
      <c r="I289" s="4" t="inlineStr">
        <is>
          <t>Not identified in published sources</t>
        </is>
      </c>
      <c r="J289" s="4" t="inlineStr">
        <is>
          <t>General medical equipment (hospitals and clinics)</t>
        </is>
      </c>
      <c r="K289" s="4" t="inlineStr">
        <is>
          <t>高知県 (regional; branch network not confirmed)</t>
        </is>
      </c>
      <c r="L289" s="4" t="inlineStr">
        <is>
          <t>Not found</t>
        </is>
      </c>
      <c r="M289" s="4" t="inlineStr">
        <is>
          <t>Not identified</t>
        </is>
      </c>
      <c r="N289" s="4" t="inlineStr">
        <is>
          <t>Not identified</t>
        </is>
      </c>
      <c r="O289" s="4" t="inlineStr">
        <is>
          <t>Not published; use company inquiry form</t>
        </is>
      </c>
      <c r="P289" s="4" t="inlineStr">
        <is>
          <t>Not confirmed</t>
        </is>
      </c>
      <c r="Q289" s="4" t="inlineStr">
        <is>
          <t>Not identified</t>
        </is>
      </c>
      <c r="R289" s="5" t="inlineStr">
        <is>
          <t>Unverified</t>
        </is>
      </c>
      <c r="S289" s="4" t="n">
        <v>17</v>
      </c>
      <c r="T289" s="10" t="inlineStr">
        <is>
          <t>C</t>
        </is>
      </c>
      <c r="U289" s="4" t="inlineStr">
        <is>
          <t>Regional general medical equipment dealer with hospital and clinic accounts; candidate sub dealer under a national MAH partner.</t>
        </is>
      </c>
      <c r="V289" s="4" t="inlineStr">
        <is>
          <t>Introduce CHISON as a future line through a national MAH partner; ask about their hospital and clinic coverage, service engineers and openness to non Japanese brands.</t>
        </is>
      </c>
      <c r="W289" s="4" t="inlineStr">
        <is>
          <t>N (not identified)</t>
        </is>
      </c>
      <c r="X289" s="7" t="inlineStr">
        <is>
          <t>https://baseconnect.in/companies/prefecture/f533238c-06e6-46f9-9508-cbe03ad6754f/category/b2358a1c-c4c6-46f4-a0b1-dee3a1b30a0b</t>
        </is>
      </c>
      <c r="Y289" s="4" t="inlineStr">
        <is>
          <t>SonoEye P3 plus SonoAir 30 for GP and clinic accounts</t>
        </is>
      </c>
      <c r="Z289" s="4" t="inlineStr">
        <is>
          <t>2, 2, 3, 3, 2, 2, 3</t>
        </is>
      </c>
      <c r="AA289" s="4" t="inlineStr">
        <is>
          <t>Not found</t>
        </is>
      </c>
      <c r="AB289" s="4" t="inlineStr">
        <is>
          <t>Directory or search listing; not opened (direct site access blocked)</t>
        </is>
      </c>
      <c r="AC289" s="4" t="inlineStr">
        <is>
          <t>No expired licence or ended distribution agreement found</t>
        </is>
      </c>
      <c r="AD289" s="4" t="inlineStr">
        <is>
          <t>Not started</t>
        </is>
      </c>
      <c r="AE289" s="4" t="inlineStr"/>
      <c r="AF289" s="4" t="inlineStr"/>
      <c r="AG289" s="4" t="inlineStr">
        <is>
          <t>No email published and no verified website found</t>
        </is>
      </c>
    </row>
    <row r="290">
      <c r="A290" s="4" t="n">
        <v>286</v>
      </c>
      <c r="B290" s="4" t="inlineStr">
        <is>
          <t>Isobe Medical</t>
        </is>
      </c>
      <c r="C290" s="4" t="inlineStr">
        <is>
          <t>イソベメディカル</t>
        </is>
      </c>
      <c r="D290" s="4" t="inlineStr">
        <is>
          <t>Not retrieved (NTA lookup blocked in this session)</t>
        </is>
      </c>
      <c r="E290" s="4" t="inlineStr">
        <is>
          <t>埼玉県</t>
        </is>
      </c>
      <c r="F290" s="4" t="inlineStr">
        <is>
          <t>Kanto</t>
        </is>
      </c>
      <c r="G290" s="4" t="inlineStr">
        <is>
          <t>Not confirmed (company site not opened; network policy blocked direct access)</t>
        </is>
      </c>
      <c r="H290" s="4" t="inlineStr">
        <is>
          <t>No MAH found; device sales licence (高度管理医療機器等販売業) not confirmed</t>
        </is>
      </c>
      <c r="I290" s="4" t="inlineStr">
        <is>
          <t>Not identified in published sources</t>
        </is>
      </c>
      <c r="J290" s="4" t="inlineStr">
        <is>
          <t>Emergency and disaster, Orthopaedics and rehab</t>
        </is>
      </c>
      <c r="K290" s="4" t="inlineStr">
        <is>
          <t>埼玉県 (regional; branch network not confirmed)</t>
        </is>
      </c>
      <c r="L290" s="4" t="inlineStr">
        <is>
          <t>Not found</t>
        </is>
      </c>
      <c r="M290" s="4" t="inlineStr">
        <is>
          <t>Not identified</t>
        </is>
      </c>
      <c r="N290" s="4" t="inlineStr">
        <is>
          <t>Not identified</t>
        </is>
      </c>
      <c r="O290" s="4" t="inlineStr">
        <is>
          <t>Not published; use company inquiry form</t>
        </is>
      </c>
      <c r="P290" s="4" t="inlineStr">
        <is>
          <t>Not confirmed</t>
        </is>
      </c>
      <c r="Q290" s="4" t="inlineStr">
        <is>
          <t>Not identified</t>
        </is>
      </c>
      <c r="R290" s="5" t="inlineStr">
        <is>
          <t>Unverified</t>
        </is>
      </c>
      <c r="S290" s="4" t="n">
        <v>16</v>
      </c>
      <c r="T290" s="10" t="inlineStr">
        <is>
          <t>C</t>
        </is>
      </c>
      <c r="U290" s="4" t="inlineStr">
        <is>
          <t>Regional general medical equipment dealer with hospital and clinic accounts; candidate sub dealer under a national MAH partner.</t>
        </is>
      </c>
      <c r="V290" s="4" t="inlineStr">
        <is>
          <t>Introduce CHISON as a future line through a national MAH partner; ask about their hospital and clinic coverage, service engineers and openness to non Japanese brands.</t>
        </is>
      </c>
      <c r="W290" s="4" t="inlineStr">
        <is>
          <t>N (not identified)</t>
        </is>
      </c>
      <c r="X290" s="7" t="inlineStr">
        <is>
          <t>https://baseconnect.in/companies/prefecture/5b2e6d00-cfba-4d0b-850d-54757e4b4d7f/keyword/89941b4e-2dd1-4848-8957-48af280a31e0</t>
        </is>
      </c>
      <c r="Y290" s="4" t="inlineStr">
        <is>
          <t>SonoEye P3 for FAST, lung and vascular access (POCUS)</t>
        </is>
      </c>
      <c r="Z290" s="4" t="inlineStr">
        <is>
          <t>2, 2, 3, 2, 2, 2, 3</t>
        </is>
      </c>
      <c r="AA290" s="4" t="inlineStr">
        <is>
          <t>Not found</t>
        </is>
      </c>
      <c r="AB290" s="4" t="inlineStr">
        <is>
          <t>Directory or search listing; not opened (direct site access blocked)</t>
        </is>
      </c>
      <c r="AC290" s="4" t="inlineStr">
        <is>
          <t>No expired licence or ended distribution agreement found</t>
        </is>
      </c>
      <c r="AD290" s="4" t="inlineStr">
        <is>
          <t>Not started</t>
        </is>
      </c>
      <c r="AE290" s="4" t="inlineStr"/>
      <c r="AF290" s="4" t="inlineStr"/>
      <c r="AG290" s="4" t="inlineStr">
        <is>
          <t>No email published and no verified website found</t>
        </is>
      </c>
    </row>
    <row r="291">
      <c r="A291" s="4" t="n">
        <v>287</v>
      </c>
      <c r="B291" s="4" t="inlineStr">
        <is>
          <t>Mastre Medical</t>
        </is>
      </c>
      <c r="C291" s="4" t="inlineStr">
        <is>
          <t>マストレメディカル</t>
        </is>
      </c>
      <c r="D291" s="4" t="inlineStr">
        <is>
          <t>Not retrieved (NTA lookup blocked in this session)</t>
        </is>
      </c>
      <c r="E291" s="4" t="inlineStr">
        <is>
          <t>静岡県</t>
        </is>
      </c>
      <c r="F291" s="4" t="inlineStr">
        <is>
          <t>Chubu</t>
        </is>
      </c>
      <c r="G291" s="4" t="inlineStr">
        <is>
          <t>https://www.masutore.co.jp/</t>
        </is>
      </c>
      <c r="H291" s="4" t="inlineStr">
        <is>
          <t>No MAH found; device sales licence (高度管理医療機器等販売業) not confirmed</t>
        </is>
      </c>
      <c r="I291" s="4" t="inlineStr">
        <is>
          <t>Not identified in published sources</t>
        </is>
      </c>
      <c r="J291" s="4" t="inlineStr">
        <is>
          <t>Welfare and care</t>
        </is>
      </c>
      <c r="K291" s="4" t="inlineStr">
        <is>
          <t>静岡県 (regional; branch network not confirmed)</t>
        </is>
      </c>
      <c r="L291" s="4" t="inlineStr">
        <is>
          <t>Not found</t>
        </is>
      </c>
      <c r="M291" s="4" t="inlineStr">
        <is>
          <t>Not identified</t>
        </is>
      </c>
      <c r="N291" s="4" t="inlineStr">
        <is>
          <t>Not identified</t>
        </is>
      </c>
      <c r="O291" s="4" t="inlineStr">
        <is>
          <t>Not published; use contact form</t>
        </is>
      </c>
      <c r="P291" s="4" t="inlineStr">
        <is>
          <t>Not confirmed</t>
        </is>
      </c>
      <c r="Q291" s="4" t="inlineStr">
        <is>
          <t>Not identified</t>
        </is>
      </c>
      <c r="R291" s="5" t="inlineStr">
        <is>
          <t>Likely</t>
        </is>
      </c>
      <c r="S291" s="4" t="n">
        <v>16</v>
      </c>
      <c r="T291" s="10" t="inlineStr">
        <is>
          <t>C</t>
        </is>
      </c>
      <c r="U291" s="4" t="inlineStr">
        <is>
          <t>Low fit: mainly welfare or care equipment; only for home care handheld use.</t>
        </is>
      </c>
      <c r="V291" s="4" t="inlineStr">
        <is>
          <t>Introduce CHISON as a future line through a national MAH partner; ask about their hospital and clinic coverage, service engineers and openness to non Japanese brands.</t>
        </is>
      </c>
      <c r="W291" s="4" t="inlineStr">
        <is>
          <t>N (not identified)</t>
        </is>
      </c>
      <c r="X291" s="7" t="inlineStr">
        <is>
          <t>https://i.ansinkaigo.jp/shokai/home-care/welfare-equipment/132088</t>
        </is>
      </c>
      <c r="Y291" s="4" t="inlineStr">
        <is>
          <t>SonoEye P5 for home visit doctors (在宅医療)</t>
        </is>
      </c>
      <c r="Z291" s="4" t="inlineStr">
        <is>
          <t>2, 1, 3, 2, 3, 2, 3</t>
        </is>
      </c>
      <c r="AA291" s="4" t="inlineStr">
        <is>
          <t>Not found</t>
        </is>
      </c>
      <c r="AB291" s="4" t="inlineStr">
        <is>
          <t>Verified in 10% recheck. Correction: core business is welfare equipment, low fit</t>
        </is>
      </c>
      <c r="AC291" s="4" t="inlineStr">
        <is>
          <t>No expired licence or ended distribution agreement found</t>
        </is>
      </c>
      <c r="AD291" s="4" t="inlineStr">
        <is>
          <t>Not started</t>
        </is>
      </c>
      <c r="AE291" s="4" t="inlineStr"/>
      <c r="AF291" s="4" t="inlineStr">
        <is>
          <t>https://www.masutore.co.jp/cgi-bin/contact/form.cgi</t>
        </is>
      </c>
      <c r="AG291" s="4" t="inlineStr">
        <is>
          <t>No email published; use the contact form (link in Email source)</t>
        </is>
      </c>
    </row>
    <row r="292">
      <c r="A292" s="4" t="n">
        <v>288</v>
      </c>
      <c r="B292" s="4" t="inlineStr">
        <is>
          <t>PMS (Matsue)</t>
        </is>
      </c>
      <c r="C292" s="4" t="inlineStr">
        <is>
          <t>ピー・エム・エス</t>
        </is>
      </c>
      <c r="D292" s="4" t="inlineStr">
        <is>
          <t>Not retrieved (NTA lookup blocked in this session)</t>
        </is>
      </c>
      <c r="E292" s="4" t="inlineStr">
        <is>
          <t>島根県</t>
        </is>
      </c>
      <c r="F292" s="4" t="inlineStr">
        <is>
          <t>Chugoku and Shikoku</t>
        </is>
      </c>
      <c r="G292" s="4" t="inlineStr">
        <is>
          <t>http://pms-v.com/</t>
        </is>
      </c>
      <c r="H292" s="4" t="inlineStr">
        <is>
          <t>No MAH found; device sales licence (高度管理医療機器等販売業) not confirmed</t>
        </is>
      </c>
      <c r="I292" s="4" t="inlineStr">
        <is>
          <t>Not identified in published sources</t>
        </is>
      </c>
      <c r="J292" s="4" t="inlineStr">
        <is>
          <t>Welfare and care</t>
        </is>
      </c>
      <c r="K292" s="4" t="inlineStr">
        <is>
          <t>島根県; Matsue Izumo Yasugi</t>
        </is>
      </c>
      <c r="L292" s="4" t="inlineStr">
        <is>
          <t>Not found</t>
        </is>
      </c>
      <c r="M292" s="4" t="inlineStr">
        <is>
          <t>Not identified</t>
        </is>
      </c>
      <c r="N292" s="4" t="inlineStr">
        <is>
          <t>Not identified</t>
        </is>
      </c>
      <c r="O292" s="4" t="inlineStr">
        <is>
          <t>Not published; use contact form</t>
        </is>
      </c>
      <c r="P292" s="4" t="inlineStr">
        <is>
          <t>Not confirmed</t>
        </is>
      </c>
      <c r="Q292" s="4" t="inlineStr">
        <is>
          <t>Not identified</t>
        </is>
      </c>
      <c r="R292" s="5" t="inlineStr">
        <is>
          <t>Likely</t>
        </is>
      </c>
      <c r="S292" s="4" t="n">
        <v>16</v>
      </c>
      <c r="T292" s="10" t="inlineStr">
        <is>
          <t>C</t>
        </is>
      </c>
      <c r="U292" s="4" t="inlineStr">
        <is>
          <t>Low fit: mainly welfare or care equipment; only for home care handheld use.</t>
        </is>
      </c>
      <c r="V292" s="4" t="inlineStr">
        <is>
          <t>Introduce CHISON as a future line through a national MAH partner; ask about their hospital and clinic coverage, service engineers and openness to non Japanese brands.</t>
        </is>
      </c>
      <c r="W292" s="4" t="inlineStr">
        <is>
          <t>N (not identified)</t>
        </is>
      </c>
      <c r="X292" s="7" t="inlineStr">
        <is>
          <t>https://i.ansinkaigo.jp/shokai/home-care/welfare-equipment/130946 ; https://baseconnect.in/companies/prefecture/2466a71e-a675-4184-bf2b-a9d3122e4400/category/b2358a1c-c4c6-46f4-a0b1-dee3a1b30a0b</t>
        </is>
      </c>
      <c r="Y292" s="4" t="inlineStr">
        <is>
          <t>SonoEye P5 for home visit doctors (在宅医療)</t>
        </is>
      </c>
      <c r="Z292" s="4" t="inlineStr">
        <is>
          <t>2, 1, 3, 2, 3, 2, 3</t>
        </is>
      </c>
      <c r="AA292" s="4" t="inlineStr">
        <is>
          <t>Not found</t>
        </is>
      </c>
      <c r="AB292" s="4" t="inlineStr">
        <is>
          <t>Verified in 10% recheck. Correction: welfare equipment business, low fit</t>
        </is>
      </c>
      <c r="AC292" s="4" t="inlineStr">
        <is>
          <t>No expired licence or ended distribution agreement found</t>
        </is>
      </c>
      <c r="AD292" s="4" t="inlineStr">
        <is>
          <t>Not started</t>
        </is>
      </c>
      <c r="AE292" s="4" t="inlineStr"/>
      <c r="AF292" s="4" t="inlineStr">
        <is>
          <t>http://pms-v.com/contact/</t>
        </is>
      </c>
      <c r="AG292" s="4" t="inlineStr">
        <is>
          <t>No email published; use the contact form (link in Email source)</t>
        </is>
      </c>
    </row>
    <row r="293"/>
    <row r="294"/>
    <row r="295">
      <c r="B295" s="12" t="inlineStr">
        <is>
          <t>Counts by tier</t>
        </is>
      </c>
    </row>
    <row r="296">
      <c r="B296" s="13" t="inlineStr">
        <is>
          <t>Tier A</t>
        </is>
      </c>
      <c r="C296" s="13">
        <f>COUNTIF(T5:T292,"A")</f>
        <v/>
      </c>
    </row>
    <row r="297">
      <c r="B297" s="13" t="inlineStr">
        <is>
          <t>Tier B</t>
        </is>
      </c>
      <c r="C297" s="13">
        <f>COUNTIF(T5:T292,"B")</f>
        <v/>
      </c>
    </row>
    <row r="298">
      <c r="B298" s="13" t="inlineStr">
        <is>
          <t>Tier C</t>
        </is>
      </c>
      <c r="C298" s="13">
        <f>COUNTIF(T5:T292,"C")</f>
        <v/>
      </c>
    </row>
    <row r="299"/>
    <row r="300">
      <c r="B300" s="12" t="inlineStr">
        <is>
          <t>Counts by region vs quota</t>
        </is>
      </c>
      <c r="C300" s="14" t="inlineStr">
        <is>
          <t>Rows</t>
        </is>
      </c>
      <c r="D300" s="14" t="inlineStr">
        <is>
          <t>Minimum quota</t>
        </is>
      </c>
    </row>
    <row r="301">
      <c r="B301" s="13" t="inlineStr">
        <is>
          <t>Kanto</t>
        </is>
      </c>
      <c r="C301" s="13">
        <f>COUNTIF(F5:F292,"Kanto")</f>
        <v/>
      </c>
      <c r="D301" s="13" t="n">
        <v>75</v>
      </c>
    </row>
    <row r="302">
      <c r="B302" s="13" t="inlineStr">
        <is>
          <t>Kansai</t>
        </is>
      </c>
      <c r="C302" s="13">
        <f>COUNTIF(F5:F292,"Kansai")</f>
        <v/>
      </c>
      <c r="D302" s="13" t="n">
        <v>50</v>
      </c>
    </row>
    <row r="303">
      <c r="B303" s="13" t="inlineStr">
        <is>
          <t>Chubu</t>
        </is>
      </c>
      <c r="C303" s="13">
        <f>COUNTIF(F5:F292,"Chubu")</f>
        <v/>
      </c>
      <c r="D303" s="13" t="n">
        <v>38</v>
      </c>
    </row>
    <row r="304">
      <c r="B304" s="13" t="inlineStr">
        <is>
          <t>Kyushu and Okinawa</t>
        </is>
      </c>
      <c r="C304" s="13">
        <f>COUNTIF(F5:F292,"Kyushu and Okinawa")</f>
        <v/>
      </c>
      <c r="D304" s="13" t="n">
        <v>32</v>
      </c>
    </row>
    <row r="305">
      <c r="B305" s="13" t="inlineStr">
        <is>
          <t>Tohoku and Hokkaido</t>
        </is>
      </c>
      <c r="C305" s="13">
        <f>COUNTIF(F5:F292,"Tohoku and Hokkaido")</f>
        <v/>
      </c>
      <c r="D305" s="13" t="n">
        <v>30</v>
      </c>
    </row>
    <row r="306">
      <c r="B306" s="13" t="inlineStr">
        <is>
          <t>Chugoku and Shikoku</t>
        </is>
      </c>
      <c r="C306" s="13">
        <f>COUNTIF(F5:F292,"Chugoku and Shikoku")</f>
        <v/>
      </c>
      <c r="D306" s="13" t="n">
        <v>25</v>
      </c>
    </row>
    <row r="307"/>
    <row r="308">
      <c r="B308" s="12" t="inlineStr">
        <is>
          <t>Counts by contact confidence</t>
        </is>
      </c>
    </row>
    <row r="309">
      <c r="B309" s="13" t="inlineStr">
        <is>
          <t>Verified</t>
        </is>
      </c>
      <c r="C309" s="13">
        <f>COUNTIF(R5:R292,"Verified")</f>
        <v/>
      </c>
    </row>
    <row r="310">
      <c r="B310" s="13" t="inlineStr">
        <is>
          <t>Likely</t>
        </is>
      </c>
      <c r="C310" s="13">
        <f>COUNTIF(R5:R292,"Likely")</f>
        <v/>
      </c>
    </row>
    <row r="311">
      <c r="B311" s="13" t="inlineStr">
        <is>
          <t>Company inquiry only</t>
        </is>
      </c>
      <c r="C311" s="13">
        <f>COUNTIF(R5:R292,"Company inquiry only")</f>
        <v/>
      </c>
    </row>
    <row r="312">
      <c r="B312" s="13" t="inlineStr">
        <is>
          <t>Unverified</t>
        </is>
      </c>
      <c r="C312" s="13">
        <f>COUNTIF(R5:R292,"Unverified")</f>
        <v/>
      </c>
    </row>
    <row r="313">
      <c r="B313" s="14" t="inlineStr">
        <is>
          <t>Total rows</t>
        </is>
      </c>
      <c r="C313" s="14">
        <f>COUNTA(C5:C292)</f>
        <v/>
      </c>
    </row>
  </sheetData>
  <autoFilter ref="A4:AG292"/>
  <dataValidations count="1">
    <dataValidation sqref="AD5:AD292" showDropDown="0" showInputMessage="0" showErrorMessage="0" allowBlank="1" type="list">
      <formula1>"Not started,Contacted,Meeting booked,Meeting held,Evaluation placed,Quoted,Won,Declined,Parked"</formula1>
    </dataValidation>
  </dataValidations>
  <hyperlinks>
    <hyperlink xmlns:r="http://schemas.openxmlformats.org/officeDocument/2006/relationships" ref="X5" r:id="rId1"/>
    <hyperlink xmlns:r="http://schemas.openxmlformats.org/officeDocument/2006/relationships" ref="X6" r:id="rId2"/>
    <hyperlink xmlns:r="http://schemas.openxmlformats.org/officeDocument/2006/relationships" ref="X7" r:id="rId3"/>
    <hyperlink xmlns:r="http://schemas.openxmlformats.org/officeDocument/2006/relationships" ref="X8" r:id="rId4"/>
    <hyperlink xmlns:r="http://schemas.openxmlformats.org/officeDocument/2006/relationships" ref="X9" r:id="rId5"/>
    <hyperlink xmlns:r="http://schemas.openxmlformats.org/officeDocument/2006/relationships" ref="G10" r:id="rId6"/>
    <hyperlink xmlns:r="http://schemas.openxmlformats.org/officeDocument/2006/relationships" ref="X10" r:id="rId7"/>
    <hyperlink xmlns:r="http://schemas.openxmlformats.org/officeDocument/2006/relationships" ref="X11" r:id="rId8"/>
    <hyperlink xmlns:r="http://schemas.openxmlformats.org/officeDocument/2006/relationships" ref="X12" r:id="rId9"/>
    <hyperlink xmlns:r="http://schemas.openxmlformats.org/officeDocument/2006/relationships" ref="X13" r:id="rId10"/>
    <hyperlink xmlns:r="http://schemas.openxmlformats.org/officeDocument/2006/relationships" ref="X14" r:id="rId11"/>
    <hyperlink xmlns:r="http://schemas.openxmlformats.org/officeDocument/2006/relationships" ref="X15" r:id="rId12"/>
    <hyperlink xmlns:r="http://schemas.openxmlformats.org/officeDocument/2006/relationships" ref="X16" r:id="rId13"/>
    <hyperlink xmlns:r="http://schemas.openxmlformats.org/officeDocument/2006/relationships" ref="X17" r:id="rId14"/>
    <hyperlink xmlns:r="http://schemas.openxmlformats.org/officeDocument/2006/relationships" ref="X18" r:id="rId15"/>
    <hyperlink xmlns:r="http://schemas.openxmlformats.org/officeDocument/2006/relationships" ref="X19" r:id="rId16"/>
    <hyperlink xmlns:r="http://schemas.openxmlformats.org/officeDocument/2006/relationships" ref="G20" r:id="rId17"/>
    <hyperlink xmlns:r="http://schemas.openxmlformats.org/officeDocument/2006/relationships" ref="X20" r:id="rId18"/>
    <hyperlink xmlns:r="http://schemas.openxmlformats.org/officeDocument/2006/relationships" ref="X21" r:id="rId19"/>
    <hyperlink xmlns:r="http://schemas.openxmlformats.org/officeDocument/2006/relationships" ref="X22" r:id="rId20"/>
    <hyperlink xmlns:r="http://schemas.openxmlformats.org/officeDocument/2006/relationships" ref="X23" r:id="rId21"/>
    <hyperlink xmlns:r="http://schemas.openxmlformats.org/officeDocument/2006/relationships" ref="X24" r:id="rId22"/>
    <hyperlink xmlns:r="http://schemas.openxmlformats.org/officeDocument/2006/relationships" ref="X25" r:id="rId23"/>
    <hyperlink xmlns:r="http://schemas.openxmlformats.org/officeDocument/2006/relationships" ref="X26" r:id="rId24"/>
    <hyperlink xmlns:r="http://schemas.openxmlformats.org/officeDocument/2006/relationships" ref="X27" r:id="rId25"/>
    <hyperlink xmlns:r="http://schemas.openxmlformats.org/officeDocument/2006/relationships" ref="X28" r:id="rId26"/>
    <hyperlink xmlns:r="http://schemas.openxmlformats.org/officeDocument/2006/relationships" ref="X29" r:id="rId27"/>
    <hyperlink xmlns:r="http://schemas.openxmlformats.org/officeDocument/2006/relationships" ref="X30" r:id="rId28"/>
    <hyperlink xmlns:r="http://schemas.openxmlformats.org/officeDocument/2006/relationships" ref="X31" r:id="rId29"/>
    <hyperlink xmlns:r="http://schemas.openxmlformats.org/officeDocument/2006/relationships" ref="X32" r:id="rId30"/>
    <hyperlink xmlns:r="http://schemas.openxmlformats.org/officeDocument/2006/relationships" ref="X33" r:id="rId31"/>
    <hyperlink xmlns:r="http://schemas.openxmlformats.org/officeDocument/2006/relationships" ref="X34" r:id="rId32"/>
    <hyperlink xmlns:r="http://schemas.openxmlformats.org/officeDocument/2006/relationships" ref="X35" r:id="rId33"/>
    <hyperlink xmlns:r="http://schemas.openxmlformats.org/officeDocument/2006/relationships" ref="X36" r:id="rId34"/>
    <hyperlink xmlns:r="http://schemas.openxmlformats.org/officeDocument/2006/relationships" ref="X37" r:id="rId35"/>
    <hyperlink xmlns:r="http://schemas.openxmlformats.org/officeDocument/2006/relationships" ref="X38" r:id="rId36"/>
    <hyperlink xmlns:r="http://schemas.openxmlformats.org/officeDocument/2006/relationships" ref="X39" r:id="rId37"/>
    <hyperlink xmlns:r="http://schemas.openxmlformats.org/officeDocument/2006/relationships" ref="X40" r:id="rId38"/>
    <hyperlink xmlns:r="http://schemas.openxmlformats.org/officeDocument/2006/relationships" ref="X41" r:id="rId39"/>
    <hyperlink xmlns:r="http://schemas.openxmlformats.org/officeDocument/2006/relationships" ref="X42" r:id="rId40"/>
    <hyperlink xmlns:r="http://schemas.openxmlformats.org/officeDocument/2006/relationships" ref="X43" r:id="rId41"/>
    <hyperlink xmlns:r="http://schemas.openxmlformats.org/officeDocument/2006/relationships" ref="X44" r:id="rId42"/>
    <hyperlink xmlns:r="http://schemas.openxmlformats.org/officeDocument/2006/relationships" ref="X45" r:id="rId43"/>
    <hyperlink xmlns:r="http://schemas.openxmlformats.org/officeDocument/2006/relationships" ref="X46" r:id="rId44"/>
    <hyperlink xmlns:r="http://schemas.openxmlformats.org/officeDocument/2006/relationships" ref="X47" r:id="rId45"/>
    <hyperlink xmlns:r="http://schemas.openxmlformats.org/officeDocument/2006/relationships" ref="X48" r:id="rId46"/>
    <hyperlink xmlns:r="http://schemas.openxmlformats.org/officeDocument/2006/relationships" ref="X49" r:id="rId47"/>
    <hyperlink xmlns:r="http://schemas.openxmlformats.org/officeDocument/2006/relationships" ref="X50" r:id="rId48"/>
    <hyperlink xmlns:r="http://schemas.openxmlformats.org/officeDocument/2006/relationships" ref="X51" r:id="rId49"/>
    <hyperlink xmlns:r="http://schemas.openxmlformats.org/officeDocument/2006/relationships" ref="X52" r:id="rId50"/>
    <hyperlink xmlns:r="http://schemas.openxmlformats.org/officeDocument/2006/relationships" ref="X53" r:id="rId51"/>
    <hyperlink xmlns:r="http://schemas.openxmlformats.org/officeDocument/2006/relationships" ref="X54" r:id="rId52"/>
    <hyperlink xmlns:r="http://schemas.openxmlformats.org/officeDocument/2006/relationships" ref="X55" r:id="rId53"/>
    <hyperlink xmlns:r="http://schemas.openxmlformats.org/officeDocument/2006/relationships" ref="X56" r:id="rId54"/>
    <hyperlink xmlns:r="http://schemas.openxmlformats.org/officeDocument/2006/relationships" ref="X57" r:id="rId55"/>
    <hyperlink xmlns:r="http://schemas.openxmlformats.org/officeDocument/2006/relationships" ref="X58" r:id="rId56"/>
    <hyperlink xmlns:r="http://schemas.openxmlformats.org/officeDocument/2006/relationships" ref="X59" r:id="rId57"/>
    <hyperlink xmlns:r="http://schemas.openxmlformats.org/officeDocument/2006/relationships" ref="X60" r:id="rId58"/>
    <hyperlink xmlns:r="http://schemas.openxmlformats.org/officeDocument/2006/relationships" ref="X61" r:id="rId59"/>
    <hyperlink xmlns:r="http://schemas.openxmlformats.org/officeDocument/2006/relationships" ref="X62" r:id="rId60"/>
    <hyperlink xmlns:r="http://schemas.openxmlformats.org/officeDocument/2006/relationships" ref="X63" r:id="rId61"/>
    <hyperlink xmlns:r="http://schemas.openxmlformats.org/officeDocument/2006/relationships" ref="X64" r:id="rId62"/>
    <hyperlink xmlns:r="http://schemas.openxmlformats.org/officeDocument/2006/relationships" ref="X65" r:id="rId63"/>
    <hyperlink xmlns:r="http://schemas.openxmlformats.org/officeDocument/2006/relationships" ref="X66" r:id="rId64"/>
    <hyperlink xmlns:r="http://schemas.openxmlformats.org/officeDocument/2006/relationships" ref="X67" r:id="rId65"/>
    <hyperlink xmlns:r="http://schemas.openxmlformats.org/officeDocument/2006/relationships" ref="X68" r:id="rId66"/>
    <hyperlink xmlns:r="http://schemas.openxmlformats.org/officeDocument/2006/relationships" ref="X69" r:id="rId67"/>
    <hyperlink xmlns:r="http://schemas.openxmlformats.org/officeDocument/2006/relationships" ref="X70" r:id="rId68"/>
    <hyperlink xmlns:r="http://schemas.openxmlformats.org/officeDocument/2006/relationships" ref="X71" r:id="rId69"/>
    <hyperlink xmlns:r="http://schemas.openxmlformats.org/officeDocument/2006/relationships" ref="X72" r:id="rId70"/>
    <hyperlink xmlns:r="http://schemas.openxmlformats.org/officeDocument/2006/relationships" ref="X73" r:id="rId71"/>
    <hyperlink xmlns:r="http://schemas.openxmlformats.org/officeDocument/2006/relationships" ref="X74" r:id="rId72"/>
    <hyperlink xmlns:r="http://schemas.openxmlformats.org/officeDocument/2006/relationships" ref="X75" r:id="rId73"/>
    <hyperlink xmlns:r="http://schemas.openxmlformats.org/officeDocument/2006/relationships" ref="X76" r:id="rId74"/>
    <hyperlink xmlns:r="http://schemas.openxmlformats.org/officeDocument/2006/relationships" ref="X77" r:id="rId75"/>
    <hyperlink xmlns:r="http://schemas.openxmlformats.org/officeDocument/2006/relationships" ref="X78" r:id="rId76"/>
    <hyperlink xmlns:r="http://schemas.openxmlformats.org/officeDocument/2006/relationships" ref="X79" r:id="rId77"/>
    <hyperlink xmlns:r="http://schemas.openxmlformats.org/officeDocument/2006/relationships" ref="X80" r:id="rId78"/>
    <hyperlink xmlns:r="http://schemas.openxmlformats.org/officeDocument/2006/relationships" ref="X81" r:id="rId79"/>
    <hyperlink xmlns:r="http://schemas.openxmlformats.org/officeDocument/2006/relationships" ref="X82" r:id="rId80"/>
    <hyperlink xmlns:r="http://schemas.openxmlformats.org/officeDocument/2006/relationships" ref="X83" r:id="rId81"/>
    <hyperlink xmlns:r="http://schemas.openxmlformats.org/officeDocument/2006/relationships" ref="X84" r:id="rId82"/>
    <hyperlink xmlns:r="http://schemas.openxmlformats.org/officeDocument/2006/relationships" ref="X85" r:id="rId83"/>
    <hyperlink xmlns:r="http://schemas.openxmlformats.org/officeDocument/2006/relationships" ref="X86" r:id="rId84"/>
    <hyperlink xmlns:r="http://schemas.openxmlformats.org/officeDocument/2006/relationships" ref="X87" r:id="rId85"/>
    <hyperlink xmlns:r="http://schemas.openxmlformats.org/officeDocument/2006/relationships" ref="X88" r:id="rId86"/>
    <hyperlink xmlns:r="http://schemas.openxmlformats.org/officeDocument/2006/relationships" ref="X89" r:id="rId87"/>
    <hyperlink xmlns:r="http://schemas.openxmlformats.org/officeDocument/2006/relationships" ref="X90" r:id="rId88"/>
    <hyperlink xmlns:r="http://schemas.openxmlformats.org/officeDocument/2006/relationships" ref="X91" r:id="rId89"/>
    <hyperlink xmlns:r="http://schemas.openxmlformats.org/officeDocument/2006/relationships" ref="X92" r:id="rId90"/>
    <hyperlink xmlns:r="http://schemas.openxmlformats.org/officeDocument/2006/relationships" ref="X93" r:id="rId91"/>
    <hyperlink xmlns:r="http://schemas.openxmlformats.org/officeDocument/2006/relationships" ref="X94" r:id="rId92"/>
    <hyperlink xmlns:r="http://schemas.openxmlformats.org/officeDocument/2006/relationships" ref="X95" r:id="rId93"/>
    <hyperlink xmlns:r="http://schemas.openxmlformats.org/officeDocument/2006/relationships" ref="X96" r:id="rId94"/>
    <hyperlink xmlns:r="http://schemas.openxmlformats.org/officeDocument/2006/relationships" ref="X97" r:id="rId95"/>
    <hyperlink xmlns:r="http://schemas.openxmlformats.org/officeDocument/2006/relationships" ref="X98" r:id="rId96"/>
    <hyperlink xmlns:r="http://schemas.openxmlformats.org/officeDocument/2006/relationships" ref="X99" r:id="rId97"/>
    <hyperlink xmlns:r="http://schemas.openxmlformats.org/officeDocument/2006/relationships" ref="X100" r:id="rId98"/>
    <hyperlink xmlns:r="http://schemas.openxmlformats.org/officeDocument/2006/relationships" ref="X101" r:id="rId99"/>
    <hyperlink xmlns:r="http://schemas.openxmlformats.org/officeDocument/2006/relationships" ref="X102" r:id="rId100"/>
    <hyperlink xmlns:r="http://schemas.openxmlformats.org/officeDocument/2006/relationships" ref="X103" r:id="rId101"/>
    <hyperlink xmlns:r="http://schemas.openxmlformats.org/officeDocument/2006/relationships" ref="X104" r:id="rId102"/>
    <hyperlink xmlns:r="http://schemas.openxmlformats.org/officeDocument/2006/relationships" ref="X105" r:id="rId103"/>
    <hyperlink xmlns:r="http://schemas.openxmlformats.org/officeDocument/2006/relationships" ref="X106" r:id="rId104"/>
    <hyperlink xmlns:r="http://schemas.openxmlformats.org/officeDocument/2006/relationships" ref="X107" r:id="rId105"/>
    <hyperlink xmlns:r="http://schemas.openxmlformats.org/officeDocument/2006/relationships" ref="X108" r:id="rId106"/>
    <hyperlink xmlns:r="http://schemas.openxmlformats.org/officeDocument/2006/relationships" ref="X109" r:id="rId107"/>
    <hyperlink xmlns:r="http://schemas.openxmlformats.org/officeDocument/2006/relationships" ref="X110" r:id="rId108"/>
    <hyperlink xmlns:r="http://schemas.openxmlformats.org/officeDocument/2006/relationships" ref="X111" r:id="rId109"/>
    <hyperlink xmlns:r="http://schemas.openxmlformats.org/officeDocument/2006/relationships" ref="X112" r:id="rId110"/>
    <hyperlink xmlns:r="http://schemas.openxmlformats.org/officeDocument/2006/relationships" ref="X113" r:id="rId111"/>
    <hyperlink xmlns:r="http://schemas.openxmlformats.org/officeDocument/2006/relationships" ref="X114" r:id="rId112"/>
    <hyperlink xmlns:r="http://schemas.openxmlformats.org/officeDocument/2006/relationships" ref="X115" r:id="rId113"/>
    <hyperlink xmlns:r="http://schemas.openxmlformats.org/officeDocument/2006/relationships" ref="X116" r:id="rId114"/>
    <hyperlink xmlns:r="http://schemas.openxmlformats.org/officeDocument/2006/relationships" ref="X117" r:id="rId115"/>
    <hyperlink xmlns:r="http://schemas.openxmlformats.org/officeDocument/2006/relationships" ref="X118" r:id="rId116"/>
    <hyperlink xmlns:r="http://schemas.openxmlformats.org/officeDocument/2006/relationships" ref="X119" r:id="rId117"/>
    <hyperlink xmlns:r="http://schemas.openxmlformats.org/officeDocument/2006/relationships" ref="X120" r:id="rId118"/>
    <hyperlink xmlns:r="http://schemas.openxmlformats.org/officeDocument/2006/relationships" ref="X121" r:id="rId119"/>
    <hyperlink xmlns:r="http://schemas.openxmlformats.org/officeDocument/2006/relationships" ref="X122" r:id="rId120"/>
    <hyperlink xmlns:r="http://schemas.openxmlformats.org/officeDocument/2006/relationships" ref="X123" r:id="rId121"/>
    <hyperlink xmlns:r="http://schemas.openxmlformats.org/officeDocument/2006/relationships" ref="X124" r:id="rId122"/>
    <hyperlink xmlns:r="http://schemas.openxmlformats.org/officeDocument/2006/relationships" ref="X125" r:id="rId123"/>
    <hyperlink xmlns:r="http://schemas.openxmlformats.org/officeDocument/2006/relationships" ref="X126" r:id="rId124"/>
    <hyperlink xmlns:r="http://schemas.openxmlformats.org/officeDocument/2006/relationships" ref="X127" r:id="rId125"/>
    <hyperlink xmlns:r="http://schemas.openxmlformats.org/officeDocument/2006/relationships" ref="X128" r:id="rId126"/>
    <hyperlink xmlns:r="http://schemas.openxmlformats.org/officeDocument/2006/relationships" ref="X129" r:id="rId127"/>
    <hyperlink xmlns:r="http://schemas.openxmlformats.org/officeDocument/2006/relationships" ref="X130" r:id="rId128"/>
    <hyperlink xmlns:r="http://schemas.openxmlformats.org/officeDocument/2006/relationships" ref="X131" r:id="rId129"/>
    <hyperlink xmlns:r="http://schemas.openxmlformats.org/officeDocument/2006/relationships" ref="X132" r:id="rId130"/>
    <hyperlink xmlns:r="http://schemas.openxmlformats.org/officeDocument/2006/relationships" ref="X133" r:id="rId131"/>
    <hyperlink xmlns:r="http://schemas.openxmlformats.org/officeDocument/2006/relationships" ref="X134" r:id="rId132"/>
    <hyperlink xmlns:r="http://schemas.openxmlformats.org/officeDocument/2006/relationships" ref="X135" r:id="rId133"/>
    <hyperlink xmlns:r="http://schemas.openxmlformats.org/officeDocument/2006/relationships" ref="X136" r:id="rId134"/>
    <hyperlink xmlns:r="http://schemas.openxmlformats.org/officeDocument/2006/relationships" ref="X137" r:id="rId135"/>
    <hyperlink xmlns:r="http://schemas.openxmlformats.org/officeDocument/2006/relationships" ref="X138" r:id="rId136"/>
    <hyperlink xmlns:r="http://schemas.openxmlformats.org/officeDocument/2006/relationships" ref="X139" r:id="rId137"/>
    <hyperlink xmlns:r="http://schemas.openxmlformats.org/officeDocument/2006/relationships" ref="X140" r:id="rId138"/>
    <hyperlink xmlns:r="http://schemas.openxmlformats.org/officeDocument/2006/relationships" ref="X141" r:id="rId139"/>
    <hyperlink xmlns:r="http://schemas.openxmlformats.org/officeDocument/2006/relationships" ref="X142" r:id="rId140"/>
    <hyperlink xmlns:r="http://schemas.openxmlformats.org/officeDocument/2006/relationships" ref="X143" r:id="rId141"/>
    <hyperlink xmlns:r="http://schemas.openxmlformats.org/officeDocument/2006/relationships" ref="X144" r:id="rId142"/>
    <hyperlink xmlns:r="http://schemas.openxmlformats.org/officeDocument/2006/relationships" ref="X145" r:id="rId143"/>
    <hyperlink xmlns:r="http://schemas.openxmlformats.org/officeDocument/2006/relationships" ref="X146" r:id="rId144"/>
    <hyperlink xmlns:r="http://schemas.openxmlformats.org/officeDocument/2006/relationships" ref="X147" r:id="rId145"/>
    <hyperlink xmlns:r="http://schemas.openxmlformats.org/officeDocument/2006/relationships" ref="X148" r:id="rId146"/>
    <hyperlink xmlns:r="http://schemas.openxmlformats.org/officeDocument/2006/relationships" ref="X149" r:id="rId147"/>
    <hyperlink xmlns:r="http://schemas.openxmlformats.org/officeDocument/2006/relationships" ref="X150" r:id="rId148"/>
    <hyperlink xmlns:r="http://schemas.openxmlformats.org/officeDocument/2006/relationships" ref="X151" r:id="rId149"/>
    <hyperlink xmlns:r="http://schemas.openxmlformats.org/officeDocument/2006/relationships" ref="X152" r:id="rId150"/>
    <hyperlink xmlns:r="http://schemas.openxmlformats.org/officeDocument/2006/relationships" ref="X153" r:id="rId151"/>
    <hyperlink xmlns:r="http://schemas.openxmlformats.org/officeDocument/2006/relationships" ref="X154" r:id="rId152"/>
    <hyperlink xmlns:r="http://schemas.openxmlformats.org/officeDocument/2006/relationships" ref="X155" r:id="rId153"/>
    <hyperlink xmlns:r="http://schemas.openxmlformats.org/officeDocument/2006/relationships" ref="X156" r:id="rId154"/>
    <hyperlink xmlns:r="http://schemas.openxmlformats.org/officeDocument/2006/relationships" ref="X157" r:id="rId155"/>
    <hyperlink xmlns:r="http://schemas.openxmlformats.org/officeDocument/2006/relationships" ref="X158" r:id="rId156"/>
    <hyperlink xmlns:r="http://schemas.openxmlformats.org/officeDocument/2006/relationships" ref="X159" r:id="rId157"/>
    <hyperlink xmlns:r="http://schemas.openxmlformats.org/officeDocument/2006/relationships" ref="X160" r:id="rId158"/>
    <hyperlink xmlns:r="http://schemas.openxmlformats.org/officeDocument/2006/relationships" ref="X161" r:id="rId159"/>
    <hyperlink xmlns:r="http://schemas.openxmlformats.org/officeDocument/2006/relationships" ref="X162" r:id="rId160"/>
    <hyperlink xmlns:r="http://schemas.openxmlformats.org/officeDocument/2006/relationships" ref="X163" r:id="rId161"/>
    <hyperlink xmlns:r="http://schemas.openxmlformats.org/officeDocument/2006/relationships" ref="X164" r:id="rId162"/>
    <hyperlink xmlns:r="http://schemas.openxmlformats.org/officeDocument/2006/relationships" ref="X165" r:id="rId163"/>
    <hyperlink xmlns:r="http://schemas.openxmlformats.org/officeDocument/2006/relationships" ref="X166" r:id="rId164"/>
    <hyperlink xmlns:r="http://schemas.openxmlformats.org/officeDocument/2006/relationships" ref="X167" r:id="rId165"/>
    <hyperlink xmlns:r="http://schemas.openxmlformats.org/officeDocument/2006/relationships" ref="X168" r:id="rId166"/>
    <hyperlink xmlns:r="http://schemas.openxmlformats.org/officeDocument/2006/relationships" ref="X169" r:id="rId167"/>
    <hyperlink xmlns:r="http://schemas.openxmlformats.org/officeDocument/2006/relationships" ref="X170" r:id="rId168"/>
    <hyperlink xmlns:r="http://schemas.openxmlformats.org/officeDocument/2006/relationships" ref="X171" r:id="rId169"/>
    <hyperlink xmlns:r="http://schemas.openxmlformats.org/officeDocument/2006/relationships" ref="X172" r:id="rId170"/>
    <hyperlink xmlns:r="http://schemas.openxmlformats.org/officeDocument/2006/relationships" ref="X173" r:id="rId171"/>
    <hyperlink xmlns:r="http://schemas.openxmlformats.org/officeDocument/2006/relationships" ref="X174" r:id="rId172"/>
    <hyperlink xmlns:r="http://schemas.openxmlformats.org/officeDocument/2006/relationships" ref="X175" r:id="rId173"/>
    <hyperlink xmlns:r="http://schemas.openxmlformats.org/officeDocument/2006/relationships" ref="X176" r:id="rId174"/>
    <hyperlink xmlns:r="http://schemas.openxmlformats.org/officeDocument/2006/relationships" ref="X177" r:id="rId175"/>
    <hyperlink xmlns:r="http://schemas.openxmlformats.org/officeDocument/2006/relationships" ref="X178" r:id="rId176"/>
    <hyperlink xmlns:r="http://schemas.openxmlformats.org/officeDocument/2006/relationships" ref="X179" r:id="rId177"/>
    <hyperlink xmlns:r="http://schemas.openxmlformats.org/officeDocument/2006/relationships" ref="X180" r:id="rId178"/>
    <hyperlink xmlns:r="http://schemas.openxmlformats.org/officeDocument/2006/relationships" ref="X181" r:id="rId179"/>
    <hyperlink xmlns:r="http://schemas.openxmlformats.org/officeDocument/2006/relationships" ref="X182" r:id="rId180"/>
    <hyperlink xmlns:r="http://schemas.openxmlformats.org/officeDocument/2006/relationships" ref="X183" r:id="rId181"/>
    <hyperlink xmlns:r="http://schemas.openxmlformats.org/officeDocument/2006/relationships" ref="X184" r:id="rId182"/>
    <hyperlink xmlns:r="http://schemas.openxmlformats.org/officeDocument/2006/relationships" ref="X185" r:id="rId183"/>
    <hyperlink xmlns:r="http://schemas.openxmlformats.org/officeDocument/2006/relationships" ref="X186" r:id="rId184"/>
    <hyperlink xmlns:r="http://schemas.openxmlformats.org/officeDocument/2006/relationships" ref="X187" r:id="rId185"/>
    <hyperlink xmlns:r="http://schemas.openxmlformats.org/officeDocument/2006/relationships" ref="X188" r:id="rId186"/>
    <hyperlink xmlns:r="http://schemas.openxmlformats.org/officeDocument/2006/relationships" ref="X189" r:id="rId187"/>
    <hyperlink xmlns:r="http://schemas.openxmlformats.org/officeDocument/2006/relationships" ref="X190" r:id="rId188"/>
    <hyperlink xmlns:r="http://schemas.openxmlformats.org/officeDocument/2006/relationships" ref="X191" r:id="rId189"/>
    <hyperlink xmlns:r="http://schemas.openxmlformats.org/officeDocument/2006/relationships" ref="X192" r:id="rId190"/>
    <hyperlink xmlns:r="http://schemas.openxmlformats.org/officeDocument/2006/relationships" ref="X193" r:id="rId191"/>
    <hyperlink xmlns:r="http://schemas.openxmlformats.org/officeDocument/2006/relationships" ref="X194" r:id="rId192"/>
    <hyperlink xmlns:r="http://schemas.openxmlformats.org/officeDocument/2006/relationships" ref="X195" r:id="rId193"/>
    <hyperlink xmlns:r="http://schemas.openxmlformats.org/officeDocument/2006/relationships" ref="X196" r:id="rId194"/>
    <hyperlink xmlns:r="http://schemas.openxmlformats.org/officeDocument/2006/relationships" ref="X197" r:id="rId195"/>
    <hyperlink xmlns:r="http://schemas.openxmlformats.org/officeDocument/2006/relationships" ref="X198" r:id="rId196"/>
    <hyperlink xmlns:r="http://schemas.openxmlformats.org/officeDocument/2006/relationships" ref="X199" r:id="rId197"/>
    <hyperlink xmlns:r="http://schemas.openxmlformats.org/officeDocument/2006/relationships" ref="X200" r:id="rId198"/>
    <hyperlink xmlns:r="http://schemas.openxmlformats.org/officeDocument/2006/relationships" ref="X201" r:id="rId199"/>
    <hyperlink xmlns:r="http://schemas.openxmlformats.org/officeDocument/2006/relationships" ref="X202" r:id="rId200"/>
    <hyperlink xmlns:r="http://schemas.openxmlformats.org/officeDocument/2006/relationships" ref="X203" r:id="rId201"/>
    <hyperlink xmlns:r="http://schemas.openxmlformats.org/officeDocument/2006/relationships" ref="X204" r:id="rId202"/>
    <hyperlink xmlns:r="http://schemas.openxmlformats.org/officeDocument/2006/relationships" ref="X205" r:id="rId203"/>
    <hyperlink xmlns:r="http://schemas.openxmlformats.org/officeDocument/2006/relationships" ref="X206" r:id="rId204"/>
    <hyperlink xmlns:r="http://schemas.openxmlformats.org/officeDocument/2006/relationships" ref="X207" r:id="rId205"/>
    <hyperlink xmlns:r="http://schemas.openxmlformats.org/officeDocument/2006/relationships" ref="X208" r:id="rId206"/>
    <hyperlink xmlns:r="http://schemas.openxmlformats.org/officeDocument/2006/relationships" ref="X209" r:id="rId207"/>
    <hyperlink xmlns:r="http://schemas.openxmlformats.org/officeDocument/2006/relationships" ref="X210" r:id="rId208"/>
    <hyperlink xmlns:r="http://schemas.openxmlformats.org/officeDocument/2006/relationships" ref="X211" r:id="rId209"/>
    <hyperlink xmlns:r="http://schemas.openxmlformats.org/officeDocument/2006/relationships" ref="X212" r:id="rId210"/>
    <hyperlink xmlns:r="http://schemas.openxmlformats.org/officeDocument/2006/relationships" ref="X213" r:id="rId211"/>
    <hyperlink xmlns:r="http://schemas.openxmlformats.org/officeDocument/2006/relationships" ref="X214" r:id="rId212"/>
    <hyperlink xmlns:r="http://schemas.openxmlformats.org/officeDocument/2006/relationships" ref="X215" r:id="rId213"/>
    <hyperlink xmlns:r="http://schemas.openxmlformats.org/officeDocument/2006/relationships" ref="X216" r:id="rId214"/>
    <hyperlink xmlns:r="http://schemas.openxmlformats.org/officeDocument/2006/relationships" ref="X217" r:id="rId215"/>
    <hyperlink xmlns:r="http://schemas.openxmlformats.org/officeDocument/2006/relationships" ref="X218" r:id="rId216"/>
    <hyperlink xmlns:r="http://schemas.openxmlformats.org/officeDocument/2006/relationships" ref="X219" r:id="rId217"/>
    <hyperlink xmlns:r="http://schemas.openxmlformats.org/officeDocument/2006/relationships" ref="X220" r:id="rId218"/>
    <hyperlink xmlns:r="http://schemas.openxmlformats.org/officeDocument/2006/relationships" ref="X221" r:id="rId219"/>
    <hyperlink xmlns:r="http://schemas.openxmlformats.org/officeDocument/2006/relationships" ref="X222" r:id="rId220"/>
    <hyperlink xmlns:r="http://schemas.openxmlformats.org/officeDocument/2006/relationships" ref="X223" r:id="rId221"/>
    <hyperlink xmlns:r="http://schemas.openxmlformats.org/officeDocument/2006/relationships" ref="X224" r:id="rId222"/>
    <hyperlink xmlns:r="http://schemas.openxmlformats.org/officeDocument/2006/relationships" ref="X225" r:id="rId223"/>
    <hyperlink xmlns:r="http://schemas.openxmlformats.org/officeDocument/2006/relationships" ref="X226" r:id="rId224"/>
    <hyperlink xmlns:r="http://schemas.openxmlformats.org/officeDocument/2006/relationships" ref="X227" r:id="rId225"/>
    <hyperlink xmlns:r="http://schemas.openxmlformats.org/officeDocument/2006/relationships" ref="X228" r:id="rId226"/>
    <hyperlink xmlns:r="http://schemas.openxmlformats.org/officeDocument/2006/relationships" ref="X229" r:id="rId227"/>
    <hyperlink xmlns:r="http://schemas.openxmlformats.org/officeDocument/2006/relationships" ref="X230" r:id="rId228"/>
    <hyperlink xmlns:r="http://schemas.openxmlformats.org/officeDocument/2006/relationships" ref="X231" r:id="rId229"/>
    <hyperlink xmlns:r="http://schemas.openxmlformats.org/officeDocument/2006/relationships" ref="X232" r:id="rId230"/>
    <hyperlink xmlns:r="http://schemas.openxmlformats.org/officeDocument/2006/relationships" ref="X233" r:id="rId231"/>
    <hyperlink xmlns:r="http://schemas.openxmlformats.org/officeDocument/2006/relationships" ref="X234" r:id="rId232"/>
    <hyperlink xmlns:r="http://schemas.openxmlformats.org/officeDocument/2006/relationships" ref="X235" r:id="rId233"/>
    <hyperlink xmlns:r="http://schemas.openxmlformats.org/officeDocument/2006/relationships" ref="X236" r:id="rId234"/>
    <hyperlink xmlns:r="http://schemas.openxmlformats.org/officeDocument/2006/relationships" ref="X237" r:id="rId235"/>
    <hyperlink xmlns:r="http://schemas.openxmlformats.org/officeDocument/2006/relationships" ref="X238" r:id="rId236"/>
    <hyperlink xmlns:r="http://schemas.openxmlformats.org/officeDocument/2006/relationships" ref="X239" r:id="rId237"/>
    <hyperlink xmlns:r="http://schemas.openxmlformats.org/officeDocument/2006/relationships" ref="X240" r:id="rId238"/>
    <hyperlink xmlns:r="http://schemas.openxmlformats.org/officeDocument/2006/relationships" ref="X241" r:id="rId239"/>
    <hyperlink xmlns:r="http://schemas.openxmlformats.org/officeDocument/2006/relationships" ref="X242" r:id="rId240"/>
    <hyperlink xmlns:r="http://schemas.openxmlformats.org/officeDocument/2006/relationships" ref="X243" r:id="rId241"/>
    <hyperlink xmlns:r="http://schemas.openxmlformats.org/officeDocument/2006/relationships" ref="X244" r:id="rId242"/>
    <hyperlink xmlns:r="http://schemas.openxmlformats.org/officeDocument/2006/relationships" ref="X245" r:id="rId243"/>
    <hyperlink xmlns:r="http://schemas.openxmlformats.org/officeDocument/2006/relationships" ref="X246" r:id="rId244"/>
    <hyperlink xmlns:r="http://schemas.openxmlformats.org/officeDocument/2006/relationships" ref="X247" r:id="rId245"/>
    <hyperlink xmlns:r="http://schemas.openxmlformats.org/officeDocument/2006/relationships" ref="X248" r:id="rId246"/>
    <hyperlink xmlns:r="http://schemas.openxmlformats.org/officeDocument/2006/relationships" ref="X249" r:id="rId247"/>
    <hyperlink xmlns:r="http://schemas.openxmlformats.org/officeDocument/2006/relationships" ref="X250" r:id="rId248"/>
    <hyperlink xmlns:r="http://schemas.openxmlformats.org/officeDocument/2006/relationships" ref="X251" r:id="rId249"/>
    <hyperlink xmlns:r="http://schemas.openxmlformats.org/officeDocument/2006/relationships" ref="X252" r:id="rId250"/>
    <hyperlink xmlns:r="http://schemas.openxmlformats.org/officeDocument/2006/relationships" ref="X253" r:id="rId251"/>
    <hyperlink xmlns:r="http://schemas.openxmlformats.org/officeDocument/2006/relationships" ref="X254" r:id="rId252"/>
    <hyperlink xmlns:r="http://schemas.openxmlformats.org/officeDocument/2006/relationships" ref="X255" r:id="rId253"/>
    <hyperlink xmlns:r="http://schemas.openxmlformats.org/officeDocument/2006/relationships" ref="X256" r:id="rId254"/>
    <hyperlink xmlns:r="http://schemas.openxmlformats.org/officeDocument/2006/relationships" ref="X257" r:id="rId255"/>
    <hyperlink xmlns:r="http://schemas.openxmlformats.org/officeDocument/2006/relationships" ref="X258" r:id="rId256"/>
    <hyperlink xmlns:r="http://schemas.openxmlformats.org/officeDocument/2006/relationships" ref="X259" r:id="rId257"/>
    <hyperlink xmlns:r="http://schemas.openxmlformats.org/officeDocument/2006/relationships" ref="X260" r:id="rId258"/>
    <hyperlink xmlns:r="http://schemas.openxmlformats.org/officeDocument/2006/relationships" ref="X261" r:id="rId259"/>
    <hyperlink xmlns:r="http://schemas.openxmlformats.org/officeDocument/2006/relationships" ref="X262" r:id="rId260"/>
    <hyperlink xmlns:r="http://schemas.openxmlformats.org/officeDocument/2006/relationships" ref="X263" r:id="rId261"/>
    <hyperlink xmlns:r="http://schemas.openxmlformats.org/officeDocument/2006/relationships" ref="X264" r:id="rId262"/>
    <hyperlink xmlns:r="http://schemas.openxmlformats.org/officeDocument/2006/relationships" ref="X265" r:id="rId263"/>
    <hyperlink xmlns:r="http://schemas.openxmlformats.org/officeDocument/2006/relationships" ref="X266" r:id="rId264"/>
    <hyperlink xmlns:r="http://schemas.openxmlformats.org/officeDocument/2006/relationships" ref="X267" r:id="rId265"/>
    <hyperlink xmlns:r="http://schemas.openxmlformats.org/officeDocument/2006/relationships" ref="X268" r:id="rId266"/>
    <hyperlink xmlns:r="http://schemas.openxmlformats.org/officeDocument/2006/relationships" ref="X269" r:id="rId267"/>
    <hyperlink xmlns:r="http://schemas.openxmlformats.org/officeDocument/2006/relationships" ref="X270" r:id="rId268"/>
    <hyperlink xmlns:r="http://schemas.openxmlformats.org/officeDocument/2006/relationships" ref="X271" r:id="rId269"/>
    <hyperlink xmlns:r="http://schemas.openxmlformats.org/officeDocument/2006/relationships" ref="X272" r:id="rId270"/>
    <hyperlink xmlns:r="http://schemas.openxmlformats.org/officeDocument/2006/relationships" ref="X273" r:id="rId271"/>
    <hyperlink xmlns:r="http://schemas.openxmlformats.org/officeDocument/2006/relationships" ref="X274" r:id="rId272"/>
    <hyperlink xmlns:r="http://schemas.openxmlformats.org/officeDocument/2006/relationships" ref="X275" r:id="rId273"/>
    <hyperlink xmlns:r="http://schemas.openxmlformats.org/officeDocument/2006/relationships" ref="X276" r:id="rId274"/>
    <hyperlink xmlns:r="http://schemas.openxmlformats.org/officeDocument/2006/relationships" ref="X277" r:id="rId275"/>
    <hyperlink xmlns:r="http://schemas.openxmlformats.org/officeDocument/2006/relationships" ref="X278" r:id="rId276"/>
    <hyperlink xmlns:r="http://schemas.openxmlformats.org/officeDocument/2006/relationships" ref="X279" r:id="rId277"/>
    <hyperlink xmlns:r="http://schemas.openxmlformats.org/officeDocument/2006/relationships" ref="X280" r:id="rId278"/>
    <hyperlink xmlns:r="http://schemas.openxmlformats.org/officeDocument/2006/relationships" ref="X281" r:id="rId279"/>
    <hyperlink xmlns:r="http://schemas.openxmlformats.org/officeDocument/2006/relationships" ref="X282" r:id="rId280"/>
    <hyperlink xmlns:r="http://schemas.openxmlformats.org/officeDocument/2006/relationships" ref="X283" r:id="rId281"/>
    <hyperlink xmlns:r="http://schemas.openxmlformats.org/officeDocument/2006/relationships" ref="X284" r:id="rId282"/>
    <hyperlink xmlns:r="http://schemas.openxmlformats.org/officeDocument/2006/relationships" ref="X285" r:id="rId283"/>
    <hyperlink xmlns:r="http://schemas.openxmlformats.org/officeDocument/2006/relationships" ref="X286" r:id="rId284"/>
    <hyperlink xmlns:r="http://schemas.openxmlformats.org/officeDocument/2006/relationships" ref="X287" r:id="rId285"/>
    <hyperlink xmlns:r="http://schemas.openxmlformats.org/officeDocument/2006/relationships" ref="X288" r:id="rId286"/>
    <hyperlink xmlns:r="http://schemas.openxmlformats.org/officeDocument/2006/relationships" ref="X289" r:id="rId287"/>
    <hyperlink xmlns:r="http://schemas.openxmlformats.org/officeDocument/2006/relationships" ref="X290" r:id="rId288"/>
    <hyperlink xmlns:r="http://schemas.openxmlformats.org/officeDocument/2006/relationships" ref="X291" r:id="rId289"/>
    <hyperlink xmlns:r="http://schemas.openxmlformats.org/officeDocument/2006/relationships" ref="X292" r:id="rId29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6" customWidth="1" min="2" max="2"/>
    <col width="24" customWidth="1" min="3" max="3"/>
    <col width="11" customWidth="1" min="4" max="4"/>
    <col width="18" customWidth="1" min="5" max="5"/>
    <col width="9" customWidth="1" min="6" max="6"/>
    <col width="44" customWidth="1" min="7" max="7"/>
    <col width="30" customWidth="1" min="8" max="8"/>
    <col width="40" customWidth="1" min="9" max="9"/>
    <col width="60" customWidth="1" min="10" max="10"/>
    <col width="40" customWidth="1" min="11" max="11"/>
    <col width="60" customWidth="1" min="12" max="12"/>
    <col width="32" customWidth="1" min="13" max="13"/>
    <col width="32" customWidth="1" min="14" max="14"/>
  </cols>
  <sheetData>
    <row r="1">
      <c r="A1" s="1" t="inlineStr">
        <is>
          <t>Tier A Shortlist, sorted by fit score</t>
        </is>
      </c>
    </row>
    <row r="2">
      <c r="A2" s="2" t="inlineStr">
        <is>
          <t>Tier A = MAH confirmed or MAH implied by an import business, or a designated MAH (DMAH) service. Confirm the licence class on the 許可証 before any agreement.</t>
        </is>
      </c>
    </row>
    <row r="4">
      <c r="A4" s="3" t="inlineStr">
        <is>
          <t>Rank</t>
        </is>
      </c>
      <c r="B4" s="3" t="inlineStr">
        <is>
          <t>Company (English)</t>
        </is>
      </c>
      <c r="C4" s="3" t="inlineStr">
        <is>
          <t>Company (Japanese)</t>
        </is>
      </c>
      <c r="D4" s="3" t="inlineStr">
        <is>
          <t>HQ prefecture</t>
        </is>
      </c>
      <c r="E4" s="3" t="inlineStr">
        <is>
          <t>Region</t>
        </is>
      </c>
      <c r="F4" s="3" t="inlineStr">
        <is>
          <t>Fit score /35</t>
        </is>
      </c>
      <c r="G4" s="3" t="inlineStr">
        <is>
          <t>Licences held</t>
        </is>
      </c>
      <c r="H4" s="3" t="inlineStr">
        <is>
          <t>Segments served</t>
        </is>
      </c>
      <c r="I4" s="3" t="inlineStr">
        <is>
          <t>CHISON product to lead with</t>
        </is>
      </c>
      <c r="J4" s="3" t="inlineStr">
        <is>
          <t>Suggested opening angle</t>
        </is>
      </c>
      <c r="K4" s="3" t="inlineStr">
        <is>
          <t>Flags</t>
        </is>
      </c>
      <c r="L4" s="3" t="inlineStr">
        <is>
          <t>Source links</t>
        </is>
      </c>
      <c r="M4" s="3" t="inlineStr">
        <is>
          <t>Email</t>
        </is>
      </c>
      <c r="N4" s="3" t="inlineStr">
        <is>
          <t>Website</t>
        </is>
      </c>
    </row>
    <row r="5">
      <c r="A5" s="4" t="n">
        <v>1</v>
      </c>
      <c r="B5" s="4" t="inlineStr">
        <is>
          <t>Yuman Network</t>
        </is>
      </c>
      <c r="C5" s="4" t="inlineStr">
        <is>
          <t>ユーマンネットワーク</t>
        </is>
      </c>
      <c r="D5" s="4" t="inlineStr">
        <is>
          <t>東京都</t>
        </is>
      </c>
      <c r="E5" s="4" t="inlineStr">
        <is>
          <t>Kanto</t>
        </is>
      </c>
      <c r="F5" s="4" t="n">
        <v>27</v>
      </c>
      <c r="G5" s="4" t="inlineStr">
        <is>
          <t>MAH confirmed: PMDA listing shows it as 製造販売業者 for KOSMOS ultrasound</t>
        </is>
      </c>
      <c r="H5" s="4" t="inlineStr">
        <is>
          <t>Ultrasound</t>
        </is>
      </c>
      <c r="I5" s="4" t="inlineStr">
        <is>
          <t>SonoBook 9 and SonoMax 7 carts plus SonoGO (no head to head with their KOSMOS handheld)</t>
        </is>
      </c>
      <c r="J5"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K5" s="4" t="inlineStr">
        <is>
          <t>No expired licence or ended distribution agreement found</t>
        </is>
      </c>
      <c r="L5" s="7" t="inlineStr">
        <is>
          <t>https://www.pmda.go.jp/PmdaSearch/kikiDetail/GeneralList/221ABBZX00092000_A_01 ; https://pmda.go.jp PmdaSearch (KOSMOS Series 製造販売/有限会社ユーマンネットワーク)</t>
        </is>
      </c>
      <c r="M5" s="7" t="inlineStr">
        <is>
          <t>Not published; use company inquiry form</t>
        </is>
      </c>
      <c r="N5" s="7" t="inlineStr">
        <is>
          <t>Not confirmed (company site not opened; network policy blocked direct access)</t>
        </is>
      </c>
    </row>
    <row r="6">
      <c r="A6" s="4" t="n">
        <v>2</v>
      </c>
      <c r="B6" s="4" t="inlineStr">
        <is>
          <t>Toyo Medic</t>
        </is>
      </c>
      <c r="C6" s="4" t="inlineStr">
        <is>
          <t>東洋メディック</t>
        </is>
      </c>
      <c r="D6" s="4" t="inlineStr">
        <is>
          <t>東京都</t>
        </is>
      </c>
      <c r="E6" s="4" t="inlineStr">
        <is>
          <t>Kanto</t>
        </is>
      </c>
      <c r="F6" s="4" t="n">
        <v>26</v>
      </c>
      <c r="G6" s="4" t="inlineStr">
        <is>
          <t>MAH implied: Imports diagnostic and radiology devices as Japan general agent; 製造販売業 licence implied, confirm class</t>
        </is>
      </c>
      <c r="H6" s="4" t="inlineStr">
        <is>
          <t>Radiology and imaging</t>
        </is>
      </c>
      <c r="I6" s="4" t="inlineStr">
        <is>
          <t>SonoMax 7 plus SonoPort for radiology departments; SonoAir 70 portable</t>
        </is>
      </c>
      <c r="J6"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K6" s="4" t="inlineStr">
        <is>
          <t>Holding group overlap: same ITOCHU group as Century Medical (existing row 1). Ask which entity should own the conversation. No expired licence or ended distribution agreement found</t>
        </is>
      </c>
      <c r="L6" s="7" t="inlineStr">
        <is>
          <t>https://www.r-agent.com/company/05319/ ; https://mynavi-agent.jp/corpdetail/12673/</t>
        </is>
      </c>
      <c r="M6" s="7" t="inlineStr">
        <is>
          <t>kankyou@toyo-medic.co.jp</t>
        </is>
      </c>
      <c r="N6" s="7" t="inlineStr">
        <is>
          <t>https://www.toyo-medic.co.jp/</t>
        </is>
      </c>
    </row>
    <row r="7">
      <c r="A7" s="4" t="n">
        <v>3</v>
      </c>
      <c r="B7" s="4" t="inlineStr">
        <is>
          <t>ICST</t>
        </is>
      </c>
      <c r="C7" s="4" t="inlineStr">
        <is>
          <t>ICST</t>
        </is>
      </c>
      <c r="D7" s="4" t="inlineStr">
        <is>
          <t>埼玉県</t>
        </is>
      </c>
      <c r="E7" s="4" t="inlineStr">
        <is>
          <t>Kanto</t>
        </is>
      </c>
      <c r="F7" s="4" t="n">
        <v>24</v>
      </c>
      <c r="G7" s="4" t="inlineStr">
        <is>
          <t>MAH confirmed: Press release describes DMAH (選任製造販売業者) service for foreign makers</t>
        </is>
      </c>
      <c r="H7" s="4" t="inlineStr">
        <is>
          <t>General medical equipment (hospitals and clinics)</t>
        </is>
      </c>
      <c r="I7" s="4" t="inlineStr">
        <is>
          <t>Not a sales channel: DMAH partner for the CHISON Class II certification file</t>
        </is>
      </c>
      <c r="J7" s="4" t="inlineStr">
        <is>
          <t>Ask about DMAH service scope, fees and timeline for a Class II 汎用超音波画像診断装置 via a Registered Certification Body; share FDA clearance and QMS documents.</t>
        </is>
      </c>
      <c r="K7" s="4" t="inlineStr">
        <is>
          <t>No expired licence or ended distribution agreement found</t>
        </is>
      </c>
      <c r="L7" s="7" t="inlineStr">
        <is>
          <t>https://www.atpress.ne.jp/news/11004 ; https://baseconnect.in/companies/prefecture/5b2e6d00-cfba-4d0b-850d-54757e4b4d7f/category/b2358a1c-c4c6-46f4-a0b1-dee3a1b30a0b</t>
        </is>
      </c>
      <c r="M7" s="7" t="inlineStr">
        <is>
          <t>info@icst.jp</t>
        </is>
      </c>
      <c r="N7" s="7" t="inlineStr">
        <is>
          <t>https://icst.jp/</t>
        </is>
      </c>
    </row>
    <row r="8">
      <c r="A8" s="4" t="n">
        <v>4</v>
      </c>
      <c r="B8" s="4" t="inlineStr">
        <is>
          <t>Mizoue Project Japan</t>
        </is>
      </c>
      <c r="C8" s="4" t="inlineStr">
        <is>
          <t>MIZOUE PROJECT JAPAN</t>
        </is>
      </c>
      <c r="D8" s="4" t="inlineStr">
        <is>
          <t>広島県</t>
        </is>
      </c>
      <c r="E8" s="4" t="inlineStr">
        <is>
          <t>Chugoku and Shikoku</t>
        </is>
      </c>
      <c r="F8" s="4" t="n">
        <v>24</v>
      </c>
      <c r="G8" s="4" t="inlineStr">
        <is>
          <t>MAH confirmed: Hiroshima prefecture document states it holds a medical device 製造販売業 licence</t>
        </is>
      </c>
      <c r="H8" s="4" t="inlineStr">
        <is>
          <t>Ultrasound</t>
        </is>
      </c>
      <c r="I8" s="4" t="inlineStr">
        <is>
          <t>Cart and laptop tier (SonoBook 9, SonoMax 7) or OEM talk; avoid handheld overlap with WiZ</t>
        </is>
      </c>
      <c r="J8"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K8" s="4" t="inlineStr">
        <is>
          <t>No expired licence or ended distribution agreement found</t>
        </is>
      </c>
      <c r="L8" s="7" t="inlineStr">
        <is>
          <t>https://www.pref.hiroshima.lg.jp/uploaded/attachment/261374.pdf ; https://corporate.jp.sharp/news/171219-a.pdf</t>
        </is>
      </c>
      <c r="M8" s="7" t="inlineStr">
        <is>
          <t>toiawase@mizoueproject.com</t>
        </is>
      </c>
      <c r="N8" s="7" t="inlineStr">
        <is>
          <t>https://www.mizoueproject.com/</t>
        </is>
      </c>
    </row>
    <row r="9">
      <c r="A9" s="4" t="n">
        <v>5</v>
      </c>
      <c r="B9" s="4" t="inlineStr">
        <is>
          <t>Eastech</t>
        </is>
      </c>
      <c r="C9" s="4" t="inlineStr">
        <is>
          <t>イーステック</t>
        </is>
      </c>
      <c r="D9" s="4" t="inlineStr">
        <is>
          <t>東京都</t>
        </is>
      </c>
      <c r="E9" s="4" t="inlineStr">
        <is>
          <t>Kanto</t>
        </is>
      </c>
      <c r="F9" s="4" t="n">
        <v>23</v>
      </c>
      <c r="G9" s="4" t="inlineStr">
        <is>
          <t>MAH implied: Makes and wholesales ultrasound and mammography products; 製造販売業 licence implied</t>
        </is>
      </c>
      <c r="H9" s="4" t="inlineStr">
        <is>
          <t>Ultrasound, Radiology and imaging</t>
        </is>
      </c>
      <c r="I9" s="4" t="inlineStr">
        <is>
          <t>SonoGO and SonoAir 30/70 as a mid tier portable line; SonoEye P3 for POCUS</t>
        </is>
      </c>
      <c r="J9"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K9" s="4" t="inlineStr">
        <is>
          <t>No expired licence or ended distribution agreement found</t>
        </is>
      </c>
      <c r="L9" s="7" t="inlineStr">
        <is>
          <t>https://baseconnect.in/companies/prefecture/a30ebdff-361b-42be-8372-1b0d350f48a0/keyword/2517ed26-1f2b-4156-ab10-55a6dc901a56</t>
        </is>
      </c>
      <c r="M9" s="7" t="inlineStr">
        <is>
          <t>info@eastek.co.jp</t>
        </is>
      </c>
      <c r="N9" s="7" t="inlineStr">
        <is>
          <t>https://www.eastek.co.jp/</t>
        </is>
      </c>
    </row>
    <row r="10">
      <c r="A10" s="4" t="n">
        <v>6</v>
      </c>
      <c r="B10" s="4" t="inlineStr">
        <is>
          <t>MAGnet</t>
        </is>
      </c>
      <c r="C10" s="4" t="inlineStr">
        <is>
          <t>MAGnet</t>
        </is>
      </c>
      <c r="D10" s="4" t="inlineStr">
        <is>
          <t>東京都</t>
        </is>
      </c>
      <c r="E10" s="4" t="inlineStr">
        <is>
          <t>Kanto</t>
        </is>
      </c>
      <c r="F10" s="4" t="n">
        <v>23</v>
      </c>
      <c r="G10" s="4" t="inlineStr">
        <is>
          <t>MAH implied: Imports sleep and respiratory devices; licence implied</t>
        </is>
      </c>
      <c r="H10" s="4" t="inlineStr">
        <is>
          <t>Anaesthesia, ICU and respiratory, Sleep medicine</t>
        </is>
      </c>
      <c r="I10" s="4" t="inlineStr">
        <is>
          <t>SonoEye P3 for FAST, lung and vascular access (POCUS)</t>
        </is>
      </c>
      <c r="J10"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K10" s="4" t="inlineStr">
        <is>
          <t>No expired licence or ended distribution agreement found</t>
        </is>
      </c>
      <c r="L10" s="7" t="inlineStr">
        <is>
          <t>https://www.careercross.com/company/pdf-591894 ; https://baseconnect.in/companies/prefecture/a30ebdff-361b-42be-8372-1b0d350f48a0/keyword/93424367-66f3-4226-9851-da8b3b5ab067</t>
        </is>
      </c>
      <c r="M10" s="7" t="inlineStr">
        <is>
          <t>Not published; use contact form</t>
        </is>
      </c>
      <c r="N10" s="7" t="inlineStr">
        <is>
          <t>https://magnet-japan.net</t>
        </is>
      </c>
    </row>
    <row r="11">
      <c r="A11" s="4" t="n">
        <v>7</v>
      </c>
      <c r="B11" s="4" t="inlineStr">
        <is>
          <t>Euro Meditech</t>
        </is>
      </c>
      <c r="C11" s="4" t="inlineStr">
        <is>
          <t>ユーロメディテック</t>
        </is>
      </c>
      <c r="D11" s="4" t="inlineStr">
        <is>
          <t>東京都</t>
        </is>
      </c>
      <c r="E11" s="4" t="inlineStr">
        <is>
          <t>Kanto</t>
        </is>
      </c>
      <c r="F11" s="4" t="n">
        <v>22</v>
      </c>
      <c r="G11" s="4" t="inlineStr">
        <is>
          <t>MAH implied: Imports radiotherapy systems; 製造販売業 licence implied, confirm class</t>
        </is>
      </c>
      <c r="H11" s="4" t="inlineStr">
        <is>
          <t>Radiation oncology</t>
        </is>
      </c>
      <c r="I11" s="4" t="inlineStr">
        <is>
          <t>SonoMax 7 plus SonoPort for radiology departments; SonoAir 70 portable</t>
        </is>
      </c>
      <c r="J11"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K11" s="4" t="inlineStr">
        <is>
          <t>No expired licence or ended distribution agreement found</t>
        </is>
      </c>
      <c r="L11" s="7" t="inlineStr">
        <is>
          <t>https://mynavi-agent.jp/corpdetail/1161/ (search result set; reconfirm page)</t>
        </is>
      </c>
      <c r="M11" s="7" t="inlineStr">
        <is>
          <t>info@euro-meditec.co.jp</t>
        </is>
      </c>
      <c r="N11" s="7" t="inlineStr">
        <is>
          <t>https://www.euro-meditec.co.jp/</t>
        </is>
      </c>
    </row>
    <row r="12">
      <c r="A12" s="4" t="n">
        <v>8</v>
      </c>
      <c r="B12" s="4" t="inlineStr">
        <is>
          <t>MC Healthcare</t>
        </is>
      </c>
      <c r="C12" s="4" t="inlineStr">
        <is>
          <t>エム・シー・ヘルスケア</t>
        </is>
      </c>
      <c r="D12" s="4" t="inlineStr">
        <is>
          <t>東京都</t>
        </is>
      </c>
      <c r="E12" s="4" t="inlineStr">
        <is>
          <t>Kanto</t>
        </is>
      </c>
      <c r="F12" s="4" t="n">
        <v>22</v>
      </c>
      <c r="G12" s="4" t="inlineStr">
        <is>
          <t>MAH implied: Mitsubishi Corp group; imports and sells latest devices; licence implied</t>
        </is>
      </c>
      <c r="H12" s="4" t="inlineStr">
        <is>
          <t>Hospitals</t>
        </is>
      </c>
      <c r="I12" s="4" t="inlineStr">
        <is>
          <t>SonoEye P3 plus SonoAir 30 for GP and clinic accounts</t>
        </is>
      </c>
      <c r="J12"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K12" s="4" t="inlineStr">
        <is>
          <t>No expired licence or ended distribution agreement found</t>
        </is>
      </c>
      <c r="L12" s="7" t="inlineStr">
        <is>
          <t>https://directscout.recruit.co.jp/job_descriptions/7637910 (search result set; reconfirm page)</t>
        </is>
      </c>
      <c r="M12" s="7" t="inlineStr">
        <is>
          <t>Not published; use contact form</t>
        </is>
      </c>
      <c r="N12" s="7" t="inlineStr">
        <is>
          <t>https://mc-healthcare.co.jp/</t>
        </is>
      </c>
    </row>
    <row r="13">
      <c r="A13" s="4" t="n">
        <v>9</v>
      </c>
      <c r="B13" s="4" t="inlineStr">
        <is>
          <t>Unimedic</t>
        </is>
      </c>
      <c r="C13" s="4" t="inlineStr">
        <is>
          <t>ユニメディック</t>
        </is>
      </c>
      <c r="D13" s="4" t="inlineStr">
        <is>
          <t>大阪府</t>
        </is>
      </c>
      <c r="E13" s="4" t="inlineStr">
        <is>
          <t>Kansai</t>
        </is>
      </c>
      <c r="F13" s="4" t="n">
        <v>22</v>
      </c>
      <c r="G13" s="4" t="inlineStr">
        <is>
          <t>MAH implied: Imports surgical instruments; 製造販売業 licence implied</t>
        </is>
      </c>
      <c r="H13" s="4" t="inlineStr">
        <is>
          <t>Surgery and OR</t>
        </is>
      </c>
      <c r="I13" s="4" t="inlineStr">
        <is>
          <t>SonoTouch plus SonoEye P3 (nerve block, vascular access, peri operative)</t>
        </is>
      </c>
      <c r="J13"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K13" s="4" t="inlineStr">
        <is>
          <t>No expired licence or ended distribution agreement found</t>
        </is>
      </c>
      <c r="L13" s="7" t="inlineStr">
        <is>
          <t>https://baseconnect.in/companies/prefecture/d80b180e-5fd9-4082-8cdc-a510179a3475/keyword/89941b4e-2dd1-4848-8957-48af280a31e0</t>
        </is>
      </c>
      <c r="M13" s="7" t="inlineStr">
        <is>
          <t>inquiry@unimedic.co.jp</t>
        </is>
      </c>
      <c r="N13" s="7" t="inlineStr">
        <is>
          <t>https://unimedic.co.jp/</t>
        </is>
      </c>
    </row>
    <row r="14">
      <c r="A14" s="4" t="n">
        <v>10</v>
      </c>
      <c r="B14" s="4" t="inlineStr">
        <is>
          <t>IMI Co.</t>
        </is>
      </c>
      <c r="C14" s="4" t="inlineStr">
        <is>
          <t>アイ・エム・アイ</t>
        </is>
      </c>
      <c r="D14" s="4" t="inlineStr">
        <is>
          <t>埼玉県</t>
        </is>
      </c>
      <c r="E14" s="4" t="inlineStr">
        <is>
          <t>Kanto</t>
        </is>
      </c>
      <c r="F14" s="4" t="n">
        <v>21</v>
      </c>
      <c r="G14" s="4" t="inlineStr">
        <is>
          <t>MAH implied: Imports ventilators and monitoring; 製造販売業 licence implied</t>
        </is>
      </c>
      <c r="H14" s="4" t="inlineStr">
        <is>
          <t>Anaesthesia, ICU and respiratory, Surgery and OR</t>
        </is>
      </c>
      <c r="I14" s="4" t="inlineStr">
        <is>
          <t>SonoTouch plus SonoEye P3 (nerve block, vascular access, peri operative)</t>
        </is>
      </c>
      <c r="J14"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K14" s="4" t="inlineStr">
        <is>
          <t>No expired licence or ended distribution agreement found</t>
        </is>
      </c>
      <c r="L14" s="7" t="inlineStr">
        <is>
          <t>https://baseconnect.in/companies/prefecture/5b2e6d00-cfba-4d0b-850d-54757e4b4d7f/category/b2358a1c-c4c6-46f4-a0b1-dee3a1b30a0b</t>
        </is>
      </c>
      <c r="M14" s="7" t="inlineStr">
        <is>
          <t>Not published; use contact form</t>
        </is>
      </c>
      <c r="N14" s="7" t="inlineStr">
        <is>
          <t>https://www.imimed.co.jp/</t>
        </is>
      </c>
    </row>
    <row r="15">
      <c r="A15" s="4" t="n">
        <v>11</v>
      </c>
      <c r="B15" s="4" t="inlineStr">
        <is>
          <t>Toki Boeki (TKB Group)</t>
        </is>
      </c>
      <c r="C15" s="4" t="inlineStr">
        <is>
          <t>東機貿</t>
        </is>
      </c>
      <c r="D15" s="4" t="inlineStr">
        <is>
          <t>東京都</t>
        </is>
      </c>
      <c r="E15" s="4" t="inlineStr">
        <is>
          <t>Kanto</t>
        </is>
      </c>
      <c r="F15" s="4" t="n">
        <v>21</v>
      </c>
      <c r="G15" s="4" t="inlineStr">
        <is>
          <t>MAH implied: 70 year import house; 製造販売業 licence implied, confirm class</t>
        </is>
      </c>
      <c r="H15" s="4" t="inlineStr">
        <is>
          <t>General medical equipment (hospitals and clinics)</t>
        </is>
      </c>
      <c r="I15" s="4" t="inlineStr">
        <is>
          <t>SonoEye P3 plus SonoAir 30 for GP and clinic accounts</t>
        </is>
      </c>
      <c r="J15"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K15" s="4" t="inlineStr">
        <is>
          <t>No expired licence or ended distribution agreement found</t>
        </is>
      </c>
      <c r="L15" s="7" t="inlineStr">
        <is>
          <t>https://careerconnection.jp/review/82545/jobinfo/</t>
        </is>
      </c>
      <c r="M15" s="7" t="inlineStr">
        <is>
          <t>Not published; use contact form</t>
        </is>
      </c>
      <c r="N15" s="7" t="inlineStr">
        <is>
          <t>https://www.tokibo.co.jp/</t>
        </is>
      </c>
    </row>
    <row r="16">
      <c r="A16" s="4" t="n">
        <v>12</v>
      </c>
      <c r="B16" s="4" t="inlineStr">
        <is>
          <t>Total Medical Supply</t>
        </is>
      </c>
      <c r="C16" s="4" t="inlineStr">
        <is>
          <t>トータルメディカルサプライ</t>
        </is>
      </c>
      <c r="D16" s="4" t="inlineStr">
        <is>
          <t>兵庫県</t>
        </is>
      </c>
      <c r="E16" s="4" t="inlineStr">
        <is>
          <t>Kansai</t>
        </is>
      </c>
      <c r="F16" s="4" t="n">
        <v>21</v>
      </c>
      <c r="G16" s="4" t="inlineStr">
        <is>
          <t>MAH implied: Imports anaesthesia machines and ventilators; 製造販売業 licence implied</t>
        </is>
      </c>
      <c r="H16" s="4" t="inlineStr">
        <is>
          <t>Anaesthesia, ICU and respiratory</t>
        </is>
      </c>
      <c r="I16" s="4" t="inlineStr">
        <is>
          <t>SonoTouch plus SonoEye P3 (nerve block, vascular access, peri operative)</t>
        </is>
      </c>
      <c r="J16"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K16" s="4" t="inlineStr">
        <is>
          <t>No expired licence or ended distribution agreement found</t>
        </is>
      </c>
      <c r="L16" s="7" t="inlineStr">
        <is>
          <t>https://baseconnect.in/companies/prefecture/912d7b2d-41c2-4923-a5c1-6666f9834966/keyword/14f3dcec-9cd5-4be5-84e1-ddccb7bd228c</t>
        </is>
      </c>
      <c r="M16" s="7" t="inlineStr">
        <is>
          <t>Not published; use contact form</t>
        </is>
      </c>
      <c r="N16" s="7" t="inlineStr">
        <is>
          <t>http://www.totalms.jp/</t>
        </is>
      </c>
    </row>
    <row r="17">
      <c r="A17" s="4" t="n">
        <v>13</v>
      </c>
      <c r="B17" s="4" t="inlineStr">
        <is>
          <t>Medicon (Osaka)</t>
        </is>
      </c>
      <c r="C17" s="4" t="inlineStr">
        <is>
          <t>メディコン</t>
        </is>
      </c>
      <c r="D17" s="4" t="inlineStr">
        <is>
          <t>大阪府</t>
        </is>
      </c>
      <c r="E17" s="4" t="inlineStr">
        <is>
          <t>Kansai</t>
        </is>
      </c>
      <c r="F17" s="4" t="n">
        <v>21</v>
      </c>
      <c r="G17" s="4" t="inlineStr">
        <is>
          <t>MAH implied: Surgical device importer; 製造販売業 licence implied</t>
        </is>
      </c>
      <c r="H17" s="4" t="inlineStr">
        <is>
          <t>Surgery and OR</t>
        </is>
      </c>
      <c r="I17" s="4" t="inlineStr">
        <is>
          <t>SonoTouch plus SonoEye P3 (nerve block, vascular access, peri operative)</t>
        </is>
      </c>
      <c r="J17"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K17" s="4" t="inlineStr">
        <is>
          <t>No expired licence or ended distribution agreement found</t>
        </is>
      </c>
      <c r="L17" s="7" t="inlineStr">
        <is>
          <t>https://baseconnect.in/companies/prefecture/d80b180e-5fd9-4082-8cdc-a510179a3475/keyword/89941b4e-2dd1-4848-8957-48af280a31e0</t>
        </is>
      </c>
      <c r="M17" s="7" t="inlineStr">
        <is>
          <t>Not published; use company inquiry form</t>
        </is>
      </c>
      <c r="N17" s="7" t="inlineStr">
        <is>
          <t>https://www.info-cdcwatch.jp/customer/?m=CDCTop</t>
        </is>
      </c>
    </row>
    <row r="18">
      <c r="A18" s="4" t="n">
        <v>14</v>
      </c>
      <c r="B18" s="4" t="inlineStr">
        <is>
          <t>Heiwa Iryo Kikai</t>
        </is>
      </c>
      <c r="C18" s="4" t="inlineStr">
        <is>
          <t>平和医療器械</t>
        </is>
      </c>
      <c r="D18" s="4" t="inlineStr">
        <is>
          <t>山口県</t>
        </is>
      </c>
      <c r="E18" s="4" t="inlineStr">
        <is>
          <t>Chugoku and Shikoku</t>
        </is>
      </c>
      <c r="F18" s="4" t="n">
        <v>21</v>
      </c>
      <c r="G18" s="4" t="inlineStr">
        <is>
          <t>MAH implied: Imports surgical devices and does OEM manufacturing; 製造販売業 licence implied</t>
        </is>
      </c>
      <c r="H18" s="4" t="inlineStr">
        <is>
          <t>Surgery and OR</t>
        </is>
      </c>
      <c r="I18" s="4" t="inlineStr">
        <is>
          <t>SonoTouch plus SonoEye P3 (nerve block, vascular access, peri operative)</t>
        </is>
      </c>
      <c r="J18"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K18" s="4" t="inlineStr">
        <is>
          <t>No expired licence or ended distribution agreement found</t>
        </is>
      </c>
      <c r="L18" s="7" t="inlineStr">
        <is>
          <t>https://www.pref.yamaguchi.lg.jp/uploaded/attachment/60067.pdf</t>
        </is>
      </c>
      <c r="M18" s="7" t="inlineStr">
        <is>
          <t>info@heiwairyo.co.jp</t>
        </is>
      </c>
      <c r="N18" s="7" t="inlineStr">
        <is>
          <t>https://heiwairyo.co.jp/</t>
        </is>
      </c>
    </row>
    <row r="19">
      <c r="A19" s="4" t="n">
        <v>15</v>
      </c>
      <c r="B19" s="4" t="inlineStr">
        <is>
          <t>Meiyu</t>
        </is>
      </c>
      <c r="C19" s="4" t="inlineStr">
        <is>
          <t>名優</t>
        </is>
      </c>
      <c r="D19" s="4" t="inlineStr">
        <is>
          <t>千葉県</t>
        </is>
      </c>
      <c r="E19" s="4" t="inlineStr">
        <is>
          <t>Kanto</t>
        </is>
      </c>
      <c r="F19" s="4" t="n">
        <v>20</v>
      </c>
      <c r="G19" s="4" t="inlineStr">
        <is>
          <t>MAH implied: Imports ENT devices; 製造販売業 licence implied</t>
        </is>
      </c>
      <c r="H19" s="4" t="inlineStr">
        <is>
          <t>ENT</t>
        </is>
      </c>
      <c r="I19" s="4" t="inlineStr">
        <is>
          <t>SonoEye P5 for head and neck</t>
        </is>
      </c>
      <c r="J19"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K19" s="4" t="inlineStr">
        <is>
          <t>No expired licence or ended distribution agreement found</t>
        </is>
      </c>
      <c r="L19" s="7" t="inlineStr">
        <is>
          <t>https://baseconnect.in/companies/prefecture/3420045f-8609-4232-9407-75407ae4e6e8/keyword/89941b4e-2dd1-4848-8957-48af280a31e0</t>
        </is>
      </c>
      <c r="M19" s="7" t="inlineStr">
        <is>
          <t>Not published; use contact form</t>
        </is>
      </c>
      <c r="N19" s="7" t="inlineStr">
        <is>
          <t>https://meilleur.co.jp/</t>
        </is>
      </c>
    </row>
  </sheetData>
  <autoFilter ref="A4:L19"/>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22" customWidth="1" min="1" max="1"/>
    <col width="70" customWidth="1" min="2" max="2"/>
    <col width="9" customWidth="1" min="3" max="3"/>
    <col width="9" customWidth="1" min="4" max="4"/>
    <col width="9" customWidth="1" min="5" max="5"/>
    <col width="11" customWidth="1" min="6" max="6"/>
    <col width="13" customWidth="1" min="7" max="7"/>
    <col width="10" customWidth="1" min="8" max="8"/>
  </cols>
  <sheetData>
    <row r="1">
      <c r="A1" s="1" t="inlineStr">
        <is>
          <t>Rows per region against quota</t>
        </is>
      </c>
    </row>
    <row r="2">
      <c r="A2" s="2" t="inlineStr">
        <is>
          <t>Minimum quotas from the brief. Counts are live COUNTIF formulas on the Master List.</t>
        </is>
      </c>
    </row>
    <row r="4">
      <c r="A4" s="3" t="inlineStr">
        <is>
          <t>Region</t>
        </is>
      </c>
      <c r="B4" s="3" t="inlineStr">
        <is>
          <t>Prefectures covered</t>
        </is>
      </c>
      <c r="C4" s="3" t="inlineStr">
        <is>
          <t>Tier A</t>
        </is>
      </c>
      <c r="D4" s="3" t="inlineStr">
        <is>
          <t>Tier B</t>
        </is>
      </c>
      <c r="E4" s="3" t="inlineStr">
        <is>
          <t>Tier C</t>
        </is>
      </c>
      <c r="F4" s="3" t="inlineStr">
        <is>
          <t>Total rows</t>
        </is>
      </c>
      <c r="G4" s="3" t="inlineStr">
        <is>
          <t>Minimum quota</t>
        </is>
      </c>
      <c r="H4" s="3" t="inlineStr">
        <is>
          <t>Status</t>
        </is>
      </c>
    </row>
    <row r="5">
      <c r="A5" s="4" t="inlineStr">
        <is>
          <t>Kanto</t>
        </is>
      </c>
      <c r="B5" s="4" t="inlineStr">
        <is>
          <t>千葉県, 埼玉県, 東京都, 栃木県, 神奈川県, 群馬県, 茨城県</t>
        </is>
      </c>
      <c r="C5" s="4">
        <f>COUNTIFS('Master List'!F5:F292,"Kanto",'Master List'!T5:T292,"A")</f>
        <v/>
      </c>
      <c r="D5" s="4">
        <f>COUNTIFS('Master List'!F5:F292,"Kanto",'Master List'!T5:T292,"B")</f>
        <v/>
      </c>
      <c r="E5" s="4">
        <f>COUNTIFS('Master List'!F5:F292,"Kanto",'Master List'!T5:T292,"C")</f>
        <v/>
      </c>
      <c r="F5" s="4">
        <f>COUNTIF('Master List'!F5:F292,"Kanto")</f>
        <v/>
      </c>
      <c r="G5" s="4" t="n">
        <v>75</v>
      </c>
      <c r="H5" s="4" t="inlineStr">
        <is>
          <t>Met</t>
        </is>
      </c>
    </row>
    <row r="6">
      <c r="A6" s="4" t="inlineStr">
        <is>
          <t>Kansai</t>
        </is>
      </c>
      <c r="B6" s="4" t="inlineStr">
        <is>
          <t>京都府, 兵庫県, 和歌山県, 大阪府, 奈良県, 滋賀県</t>
        </is>
      </c>
      <c r="C6" s="4">
        <f>COUNTIFS('Master List'!F5:F292,"Kansai",'Master List'!T5:T292,"A")</f>
        <v/>
      </c>
      <c r="D6" s="4">
        <f>COUNTIFS('Master List'!F5:F292,"Kansai",'Master List'!T5:T292,"B")</f>
        <v/>
      </c>
      <c r="E6" s="4">
        <f>COUNTIFS('Master List'!F5:F292,"Kansai",'Master List'!T5:T292,"C")</f>
        <v/>
      </c>
      <c r="F6" s="4">
        <f>COUNTIF('Master List'!F5:F292,"Kansai")</f>
        <v/>
      </c>
      <c r="G6" s="4" t="n">
        <v>50</v>
      </c>
      <c r="H6" s="4" t="inlineStr">
        <is>
          <t>Met</t>
        </is>
      </c>
    </row>
    <row r="7">
      <c r="A7" s="4" t="inlineStr">
        <is>
          <t>Chubu</t>
        </is>
      </c>
      <c r="B7" s="4" t="inlineStr">
        <is>
          <t>三重県, 富山県, 岐阜県, 愛知県, 新潟県, 石川県, 福井県, 長野県, 静岡県</t>
        </is>
      </c>
      <c r="C7" s="4">
        <f>COUNTIFS('Master List'!F5:F292,"Chubu",'Master List'!T5:T292,"A")</f>
        <v/>
      </c>
      <c r="D7" s="4">
        <f>COUNTIFS('Master List'!F5:F292,"Chubu",'Master List'!T5:T292,"B")</f>
        <v/>
      </c>
      <c r="E7" s="4">
        <f>COUNTIFS('Master List'!F5:F292,"Chubu",'Master List'!T5:T292,"C")</f>
        <v/>
      </c>
      <c r="F7" s="4">
        <f>COUNTIF('Master List'!F5:F292,"Chubu")</f>
        <v/>
      </c>
      <c r="G7" s="4" t="n">
        <v>38</v>
      </c>
      <c r="H7" s="4" t="inlineStr">
        <is>
          <t>Met</t>
        </is>
      </c>
    </row>
    <row r="8">
      <c r="A8" s="4" t="inlineStr">
        <is>
          <t>Kyushu and Okinawa</t>
        </is>
      </c>
      <c r="B8" s="4" t="inlineStr">
        <is>
          <t>大分県, 宮崎県, 沖縄県, 熊本県, 福岡県, 長崎県, 鹿児島県</t>
        </is>
      </c>
      <c r="C8" s="4">
        <f>COUNTIFS('Master List'!F5:F292,"Kyushu and Okinawa",'Master List'!T5:T292,"A")</f>
        <v/>
      </c>
      <c r="D8" s="4">
        <f>COUNTIFS('Master List'!F5:F292,"Kyushu and Okinawa",'Master List'!T5:T292,"B")</f>
        <v/>
      </c>
      <c r="E8" s="4">
        <f>COUNTIFS('Master List'!F5:F292,"Kyushu and Okinawa",'Master List'!T5:T292,"C")</f>
        <v/>
      </c>
      <c r="F8" s="4">
        <f>COUNTIF('Master List'!F5:F292,"Kyushu and Okinawa")</f>
        <v/>
      </c>
      <c r="G8" s="4" t="n">
        <v>32</v>
      </c>
      <c r="H8" s="4" t="inlineStr">
        <is>
          <t>Met</t>
        </is>
      </c>
    </row>
    <row r="9">
      <c r="A9" s="4" t="inlineStr">
        <is>
          <t>Tohoku and Hokkaido</t>
        </is>
      </c>
      <c r="B9" s="4" t="inlineStr">
        <is>
          <t>北海道, 宮城県, 山形県, 岩手県, 福島県, 秋田県, 青森県</t>
        </is>
      </c>
      <c r="C9" s="4">
        <f>COUNTIFS('Master List'!F5:F292,"Tohoku and Hokkaido",'Master List'!T5:T292,"A")</f>
        <v/>
      </c>
      <c r="D9" s="4">
        <f>COUNTIFS('Master List'!F5:F292,"Tohoku and Hokkaido",'Master List'!T5:T292,"B")</f>
        <v/>
      </c>
      <c r="E9" s="4">
        <f>COUNTIFS('Master List'!F5:F292,"Tohoku and Hokkaido",'Master List'!T5:T292,"C")</f>
        <v/>
      </c>
      <c r="F9" s="4">
        <f>COUNTIF('Master List'!F5:F292,"Tohoku and Hokkaido")</f>
        <v/>
      </c>
      <c r="G9" s="4" t="n">
        <v>30</v>
      </c>
      <c r="H9" s="4" t="inlineStr">
        <is>
          <t>Met</t>
        </is>
      </c>
    </row>
    <row r="10">
      <c r="A10" s="4" t="inlineStr">
        <is>
          <t>Chugoku and Shikoku</t>
        </is>
      </c>
      <c r="B10" s="4" t="inlineStr">
        <is>
          <t>山口県, 岡山県, 島根県, 広島県, 徳島県, 愛媛県, 香川県, 高知県, 鳥取県</t>
        </is>
      </c>
      <c r="C10" s="4">
        <f>COUNTIFS('Master List'!F5:F292,"Chugoku and Shikoku",'Master List'!T5:T292,"A")</f>
        <v/>
      </c>
      <c r="D10" s="4">
        <f>COUNTIFS('Master List'!F5:F292,"Chugoku and Shikoku",'Master List'!T5:T292,"B")</f>
        <v/>
      </c>
      <c r="E10" s="4">
        <f>COUNTIFS('Master List'!F5:F292,"Chugoku and Shikoku",'Master List'!T5:T292,"C")</f>
        <v/>
      </c>
      <c r="F10" s="4">
        <f>COUNTIF('Master List'!F5:F292,"Chugoku and Shikoku")</f>
        <v/>
      </c>
      <c r="G10" s="4" t="n">
        <v>25</v>
      </c>
      <c r="H10" s="4" t="inlineStr">
        <is>
          <t>Met</t>
        </is>
      </c>
    </row>
    <row r="11">
      <c r="A11" s="15" t="inlineStr">
        <is>
          <t>Total</t>
        </is>
      </c>
      <c r="C11" s="15">
        <f>SUM(C5:C10)</f>
        <v/>
      </c>
      <c r="D11" s="15">
        <f>SUM(D5:D10)</f>
        <v/>
      </c>
      <c r="E11" s="15">
        <f>SUM(E5:E10)</f>
        <v/>
      </c>
      <c r="F11" s="15">
        <f>SUM(F5:F10)</f>
        <v/>
      </c>
      <c r="G11" s="15">
        <f>SUM(G5:G10)</f>
        <v/>
      </c>
    </row>
  </sheetData>
  <autoFilter ref="A4:H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26" customWidth="1" min="1" max="1"/>
    <col width="26" customWidth="1" min="2" max="2"/>
    <col width="24" customWidth="1" min="3" max="3"/>
    <col width="8" customWidth="1" min="4" max="4"/>
    <col width="10" customWidth="1" min="5" max="5"/>
    <col width="12" customWidth="1" min="6" max="6"/>
    <col width="50" customWidth="1" min="7" max="7"/>
    <col width="60" customWidth="1" min="8" max="8"/>
    <col width="40" customWidth="1" min="9" max="9"/>
  </cols>
  <sheetData>
    <row r="1">
      <c r="A1" s="1" t="inlineStr">
        <is>
          <t>Summary</t>
        </is>
      </c>
    </row>
    <row r="2">
      <c r="A2" s="2" t="inlineStr">
        <is>
          <t>Totals by tier and region, the top 15 to approach first, and what is not verified.</t>
        </is>
      </c>
    </row>
    <row r="4">
      <c r="A4" s="3" t="inlineStr">
        <is>
          <t>Region</t>
        </is>
      </c>
      <c r="B4" s="3" t="inlineStr">
        <is>
          <t>Tier A</t>
        </is>
      </c>
      <c r="C4" s="3" t="inlineStr">
        <is>
          <t>Tier B</t>
        </is>
      </c>
      <c r="D4" s="3" t="inlineStr">
        <is>
          <t>Tier C</t>
        </is>
      </c>
      <c r="E4" s="3" t="inlineStr">
        <is>
          <t>Total</t>
        </is>
      </c>
    </row>
    <row r="5">
      <c r="A5" s="4" t="inlineStr">
        <is>
          <t>Kanto</t>
        </is>
      </c>
      <c r="B5" s="4" t="n">
        <v>10</v>
      </c>
      <c r="C5" s="4" t="n">
        <v>21</v>
      </c>
      <c r="D5" s="4" t="n">
        <v>48</v>
      </c>
      <c r="E5" s="4" t="n">
        <v>79</v>
      </c>
    </row>
    <row r="6">
      <c r="A6" s="4" t="inlineStr">
        <is>
          <t>Kansai</t>
        </is>
      </c>
      <c r="B6" s="4" t="n">
        <v>3</v>
      </c>
      <c r="C6" s="4" t="n">
        <v>3</v>
      </c>
      <c r="D6" s="4" t="n">
        <v>46</v>
      </c>
      <c r="E6" s="4" t="n">
        <v>52</v>
      </c>
    </row>
    <row r="7">
      <c r="A7" s="4" t="inlineStr">
        <is>
          <t>Chubu</t>
        </is>
      </c>
      <c r="B7" s="4" t="n">
        <v>0</v>
      </c>
      <c r="C7" s="4" t="n">
        <v>7</v>
      </c>
      <c r="D7" s="4" t="n">
        <v>38</v>
      </c>
      <c r="E7" s="4" t="n">
        <v>45</v>
      </c>
    </row>
    <row r="8">
      <c r="A8" s="4" t="inlineStr">
        <is>
          <t>Kyushu and Okinawa</t>
        </is>
      </c>
      <c r="B8" s="4" t="n">
        <v>0</v>
      </c>
      <c r="C8" s="4" t="n">
        <v>3</v>
      </c>
      <c r="D8" s="4" t="n">
        <v>39</v>
      </c>
      <c r="E8" s="4" t="n">
        <v>42</v>
      </c>
    </row>
    <row r="9">
      <c r="A9" s="4" t="inlineStr">
        <is>
          <t>Tohoku and Hokkaido</t>
        </is>
      </c>
      <c r="B9" s="4" t="n">
        <v>0</v>
      </c>
      <c r="C9" s="4" t="n">
        <v>3</v>
      </c>
      <c r="D9" s="4" t="n">
        <v>37</v>
      </c>
      <c r="E9" s="4" t="n">
        <v>40</v>
      </c>
    </row>
    <row r="10">
      <c r="A10" s="4" t="inlineStr">
        <is>
          <t>Chugoku and Shikoku</t>
        </is>
      </c>
      <c r="B10" s="4" t="n">
        <v>2</v>
      </c>
      <c r="C10" s="4" t="n">
        <v>1</v>
      </c>
      <c r="D10" s="4" t="n">
        <v>27</v>
      </c>
      <c r="E10" s="4" t="n">
        <v>30</v>
      </c>
    </row>
    <row r="11">
      <c r="A11" s="4" t="inlineStr">
        <is>
          <t>All regions</t>
        </is>
      </c>
      <c r="B11" s="4" t="n">
        <v>15</v>
      </c>
      <c r="C11" s="4" t="n">
        <v>38</v>
      </c>
      <c r="D11" s="4" t="n">
        <v>235</v>
      </c>
      <c r="E11" s="4" t="n">
        <v>288</v>
      </c>
    </row>
    <row r="13">
      <c r="A13" s="12" t="inlineStr">
        <is>
          <t>Top 15 to approach first (highest fit score; ties broken by tier)</t>
        </is>
      </c>
    </row>
    <row r="14">
      <c r="A14" s="3" t="inlineStr">
        <is>
          <t>Rank</t>
        </is>
      </c>
      <c r="B14" s="3" t="inlineStr">
        <is>
          <t>Company (English)</t>
        </is>
      </c>
      <c r="C14" s="3" t="inlineStr">
        <is>
          <t>Company (Japanese)</t>
        </is>
      </c>
      <c r="D14" s="3" t="inlineStr">
        <is>
          <t>Tier</t>
        </is>
      </c>
      <c r="E14" s="3" t="inlineStr">
        <is>
          <t>Fit score /35</t>
        </is>
      </c>
      <c r="F14" s="3" t="inlineStr">
        <is>
          <t>HQ prefecture</t>
        </is>
      </c>
      <c r="G14" s="3" t="inlineStr">
        <is>
          <t>Why first</t>
        </is>
      </c>
      <c r="H14" s="3" t="inlineStr">
        <is>
          <t>Opening angle</t>
        </is>
      </c>
      <c r="I14" s="3" t="inlineStr">
        <is>
          <t>Lead product</t>
        </is>
      </c>
    </row>
    <row r="15">
      <c r="A15" s="4" t="n">
        <v>1</v>
      </c>
      <c r="B15" s="4" t="inlineStr">
        <is>
          <t>Yuman Network</t>
        </is>
      </c>
      <c r="C15" s="4" t="inlineStr">
        <is>
          <t>ユーマンネットワーク</t>
        </is>
      </c>
      <c r="D15" s="6" t="inlineStr">
        <is>
          <t>A</t>
        </is>
      </c>
      <c r="E15" s="4" t="n">
        <v>27</v>
      </c>
      <c r="F15" s="4" t="inlineStr">
        <is>
          <t>東京都</t>
        </is>
      </c>
      <c r="G15" s="4" t="inlineStr">
        <is>
          <t>Holds or very likely holds a 製造販売業 licence through its import business, which removes the biggest Japan entry barrier. Already in imaging, so ultrasound is a natural line extension.</t>
        </is>
      </c>
      <c r="H15"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I15" s="4" t="inlineStr">
        <is>
          <t>SonoBook 9 and SonoMax 7 carts plus SonoGO (no head to head with their KOSMOS handheld)</t>
        </is>
      </c>
    </row>
    <row r="16">
      <c r="A16" s="4" t="n">
        <v>2</v>
      </c>
      <c r="B16" s="4" t="inlineStr">
        <is>
          <t>Toyo Medic</t>
        </is>
      </c>
      <c r="C16" s="4" t="inlineStr">
        <is>
          <t>東洋メディック</t>
        </is>
      </c>
      <c r="D16" s="6" t="inlineStr">
        <is>
          <t>A</t>
        </is>
      </c>
      <c r="E16" s="4" t="n">
        <v>26</v>
      </c>
      <c r="F16" s="4" t="inlineStr">
        <is>
          <t>東京都</t>
        </is>
      </c>
      <c r="G16" s="4" t="inlineStr">
        <is>
          <t>Holds or very likely holds a 製造販売業 licence through its import business, which removes the biggest Japan entry barrier. Already in imaging, so ultrasound is a natural line extension.</t>
        </is>
      </c>
      <c r="H16"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I16" s="4" t="inlineStr">
        <is>
          <t>SonoMax 7 plus SonoPort for radiology departments; SonoAir 70 portable</t>
        </is>
      </c>
    </row>
    <row r="17">
      <c r="A17" s="4" t="n">
        <v>3</v>
      </c>
      <c r="B17" s="4" t="inlineStr">
        <is>
          <t>Nisshin Denshi Service</t>
        </is>
      </c>
      <c r="C17" s="4" t="inlineStr">
        <is>
          <t>日信電子サービス</t>
        </is>
      </c>
      <c r="D17" s="9" t="inlineStr">
        <is>
          <t>B</t>
        </is>
      </c>
      <c r="E17" s="4" t="n">
        <v>26</v>
      </c>
      <c r="F17" s="4" t="inlineStr">
        <is>
          <t>東京都</t>
        </is>
      </c>
      <c r="G17" s="4" t="inlineStr">
        <is>
          <t>Already sells or services ultrasound, so the team can demo and support from day one; needs a partner MAH.</t>
        </is>
      </c>
      <c r="H17" s="4" t="inlineStr">
        <is>
          <t>Ask which segments their current ultrasound line leaves uncovered (portable, POCUS, price sensitive clinics) and offer CHISON as the complementary mid tier.</t>
        </is>
      </c>
      <c r="I17" s="4" t="inlineStr">
        <is>
          <t>SonoGO and SonoAir 30/70 as a mid tier portable line; SonoEye P3 for POCUS</t>
        </is>
      </c>
    </row>
    <row r="18">
      <c r="A18" s="4" t="n">
        <v>4</v>
      </c>
      <c r="B18" s="4" t="inlineStr">
        <is>
          <t>K's Medical</t>
        </is>
      </c>
      <c r="C18" s="4" t="inlineStr">
        <is>
          <t>ケーズメディカル</t>
        </is>
      </c>
      <c r="D18" s="9" t="inlineStr">
        <is>
          <t>B</t>
        </is>
      </c>
      <c r="E18" s="4" t="n">
        <v>25</v>
      </c>
      <c r="F18" s="4" t="inlineStr">
        <is>
          <t>東京都</t>
        </is>
      </c>
      <c r="G18" s="4" t="inlineStr">
        <is>
          <t>Already sells or services ultrasound, so the team can demo and support from day one; needs a partner MAH.</t>
        </is>
      </c>
      <c r="H18" s="4" t="inlineStr">
        <is>
          <t>Ask which segments their current ultrasound line leaves uncovered (portable, POCUS, price sensitive clinics) and offer CHISON as the complementary mid tier.</t>
        </is>
      </c>
      <c r="I18" s="4" t="inlineStr">
        <is>
          <t>SonoGO and SonoAir 30/70 as a mid tier portable line; SonoEye P3 for POCUS</t>
        </is>
      </c>
    </row>
    <row r="19">
      <c r="A19" s="4" t="n">
        <v>5</v>
      </c>
      <c r="B19" s="4" t="inlineStr">
        <is>
          <t>ICST</t>
        </is>
      </c>
      <c r="C19" s="4" t="inlineStr">
        <is>
          <t>ICST</t>
        </is>
      </c>
      <c r="D19" s="6" t="inlineStr">
        <is>
          <t>A</t>
        </is>
      </c>
      <c r="E19" s="4" t="n">
        <v>24</v>
      </c>
      <c r="F19" s="4" t="inlineStr">
        <is>
          <t>埼玉県</t>
        </is>
      </c>
      <c r="G19" s="4" t="inlineStr">
        <is>
          <t>Offers DMAH (選任製造販売業者) service to foreign makers; can hold the CHISON certification so a dealer network can sell without its own MAH.</t>
        </is>
      </c>
      <c r="H19" s="4" t="inlineStr">
        <is>
          <t>Ask about DMAH service scope, fees and timeline for a Class II 汎用超音波画像診断装置 via a Registered Certification Body; share FDA clearance and QMS documents.</t>
        </is>
      </c>
      <c r="I19" s="4" t="inlineStr">
        <is>
          <t>Not a sales channel: DMAH partner for the CHISON Class II certification file</t>
        </is>
      </c>
    </row>
    <row r="20">
      <c r="A20" s="4" t="n">
        <v>6</v>
      </c>
      <c r="B20" s="4" t="inlineStr">
        <is>
          <t>Mizoue Project Japan</t>
        </is>
      </c>
      <c r="C20" s="4" t="inlineStr">
        <is>
          <t>MIZOUE PROJECT JAPAN</t>
        </is>
      </c>
      <c r="D20" s="6" t="inlineStr">
        <is>
          <t>A</t>
        </is>
      </c>
      <c r="E20" s="4" t="n">
        <v>24</v>
      </c>
      <c r="F20" s="4" t="inlineStr">
        <is>
          <t>広島県</t>
        </is>
      </c>
      <c r="G20" s="4" t="inlineStr">
        <is>
          <t>Holds or very likely holds a 製造販売業 licence through its import business, which removes the biggest Japan entry barrier. Already in imaging, so ultrasound is a natural line extension.</t>
        </is>
      </c>
      <c r="H20"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I20" s="4" t="inlineStr">
        <is>
          <t>Cart and laptop tier (SonoBook 9, SonoMax 7) or OEM talk; avoid handheld overlap with WiZ</t>
        </is>
      </c>
    </row>
    <row r="21">
      <c r="A21" s="4" t="n">
        <v>7</v>
      </c>
      <c r="B21" s="4" t="inlineStr">
        <is>
          <t>Umekawa Ika Kikaiten</t>
        </is>
      </c>
      <c r="C21" s="4" t="inlineStr">
        <is>
          <t>梅川医科器械店</t>
        </is>
      </c>
      <c r="D21" s="9" t="inlineStr">
        <is>
          <t>B</t>
        </is>
      </c>
      <c r="E21" s="4" t="n">
        <v>24</v>
      </c>
      <c r="F21" s="4" t="inlineStr">
        <is>
          <t>北海道</t>
        </is>
      </c>
      <c r="G21" s="4" t="inlineStr">
        <is>
          <t>Imaging dealer (X ray, CT, MRI or radiology) with the right hospital departments; ultrasound adds to the same buyers; needs a partner MAH.</t>
        </is>
      </c>
      <c r="H21" s="4" t="inlineStr">
        <is>
          <t>Position ultrasound as the add on for their existing radiology customers; ask whether they would sell under a partner MAH and run first demos.</t>
        </is>
      </c>
      <c r="I21" s="4" t="inlineStr">
        <is>
          <t>SonoMax 7 plus SonoPort for radiology departments; SonoAir 70 portable</t>
        </is>
      </c>
    </row>
    <row r="22">
      <c r="A22" s="4" t="n">
        <v>8</v>
      </c>
      <c r="B22" s="4" t="inlineStr">
        <is>
          <t>Eastech</t>
        </is>
      </c>
      <c r="C22" s="4" t="inlineStr">
        <is>
          <t>イーステック</t>
        </is>
      </c>
      <c r="D22" s="6" t="inlineStr">
        <is>
          <t>A</t>
        </is>
      </c>
      <c r="E22" s="4" t="n">
        <v>23</v>
      </c>
      <c r="F22" s="4" t="inlineStr">
        <is>
          <t>東京都</t>
        </is>
      </c>
      <c r="G22" s="4" t="inlineStr">
        <is>
          <t>Holds or very likely holds a 製造販売業 licence through its import business, which removes the biggest Japan entry barrier. Already in imaging, so ultrasound is a natural line extension.</t>
        </is>
      </c>
      <c r="H22"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I22" s="4" t="inlineStr">
        <is>
          <t>SonoGO and SonoAir 30/70 as a mid tier portable line; SonoEye P3 for POCUS</t>
        </is>
      </c>
    </row>
    <row r="23">
      <c r="A23" s="4" t="n">
        <v>9</v>
      </c>
      <c r="B23" s="4" t="inlineStr">
        <is>
          <t>MAGnet</t>
        </is>
      </c>
      <c r="C23" s="4" t="inlineStr">
        <is>
          <t>MAGnet</t>
        </is>
      </c>
      <c r="D23" s="6" t="inlineStr">
        <is>
          <t>A</t>
        </is>
      </c>
      <c r="E23" s="4" t="n">
        <v>23</v>
      </c>
      <c r="F23" s="4" t="inlineStr">
        <is>
          <t>東京都</t>
        </is>
      </c>
      <c r="G23" s="4" t="inlineStr">
        <is>
          <t>Holds or very likely holds a 製造販売業 licence through its import business, which removes the biggest Japan entry barrier. Imaging line not yet carried, so CHISON fills a gap rather than competing.</t>
        </is>
      </c>
      <c r="H23"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I23" s="4" t="inlineStr">
        <is>
          <t>SonoEye P3 for FAST, lung and vascular access (POCUS)</t>
        </is>
      </c>
    </row>
    <row r="24">
      <c r="A24" s="4" t="n">
        <v>10</v>
      </c>
      <c r="B24" s="4" t="inlineStr">
        <is>
          <t>Tamura Iryokiki Hanbai</t>
        </is>
      </c>
      <c r="C24" s="4" t="inlineStr">
        <is>
          <t>タムラ医療機器販売</t>
        </is>
      </c>
      <c r="D24" s="9" t="inlineStr">
        <is>
          <t>B</t>
        </is>
      </c>
      <c r="E24" s="4" t="n">
        <v>23</v>
      </c>
      <c r="F24" s="4" t="inlineStr">
        <is>
          <t>埼玉県</t>
        </is>
      </c>
      <c r="G24" s="4" t="inlineStr">
        <is>
          <t>Already sells or services ultrasound, so the team can demo and support from day one; needs a partner MAH.</t>
        </is>
      </c>
      <c r="H24" s="4" t="inlineStr">
        <is>
          <t>Ask which segments their current ultrasound line leaves uncovered (portable, POCUS, price sensitive clinics) and offer CHISON as the complementary mid tier.</t>
        </is>
      </c>
      <c r="I24" s="4" t="inlineStr">
        <is>
          <t>SonoGO and SonoAir 30/70 as a mid tier portable line; SonoEye P3 for POCUS</t>
        </is>
      </c>
    </row>
    <row r="25">
      <c r="A25" s="4" t="n">
        <v>11</v>
      </c>
      <c r="B25" s="4" t="inlineStr">
        <is>
          <t>Hokuriku Bio</t>
        </is>
      </c>
      <c r="C25" s="4" t="inlineStr">
        <is>
          <t>北陸バイオ</t>
        </is>
      </c>
      <c r="D25" s="10" t="inlineStr">
        <is>
          <t>C</t>
        </is>
      </c>
      <c r="E25" s="4" t="n">
        <v>23</v>
      </c>
      <c r="F25" s="4" t="inlineStr">
        <is>
          <t>富山県</t>
        </is>
      </c>
      <c r="G25" s="4" t="inlineStr">
        <is>
          <t>Regional general medical equipment dealer with hospital and clinic accounts; candidate sub dealer under a national MAH partner.</t>
        </is>
      </c>
      <c r="H25" s="4" t="inlineStr">
        <is>
          <t>Introduce CHISON as a future line through a national MAH partner; ask about their hospital and clinic coverage, service engineers and openness to non Japanese brands.</t>
        </is>
      </c>
      <c r="I25" s="4" t="inlineStr">
        <is>
          <t>SonoAir 30 plus SonoEye P3 as a clinic opening package</t>
        </is>
      </c>
    </row>
    <row r="26">
      <c r="A26" s="4" t="n">
        <v>12</v>
      </c>
      <c r="B26" s="4" t="inlineStr">
        <is>
          <t>Tohoku Iryo Kiki</t>
        </is>
      </c>
      <c r="C26" s="4" t="inlineStr">
        <is>
          <t>東北医療機器</t>
        </is>
      </c>
      <c r="D26" s="10" t="inlineStr">
        <is>
          <t>C</t>
        </is>
      </c>
      <c r="E26" s="4" t="n">
        <v>23</v>
      </c>
      <c r="F26" s="4" t="inlineStr">
        <is>
          <t>山形県</t>
        </is>
      </c>
      <c r="G26" s="4" t="inlineStr">
        <is>
          <t>Low fit: mainly welfare or care equipment; only for home care handheld use.</t>
        </is>
      </c>
      <c r="H26" s="4" t="inlineStr">
        <is>
          <t>Introduce CHISON as a future line through a national MAH partner; ask about their hospital and clinic coverage, service engineers and openness to non Japanese brands.</t>
        </is>
      </c>
      <c r="I26" s="4" t="inlineStr">
        <is>
          <t>SonoEye P3 plus SonoAir 30 for GP and clinic accounts</t>
        </is>
      </c>
    </row>
    <row r="27">
      <c r="A27" s="4" t="n">
        <v>13</v>
      </c>
      <c r="B27" s="4" t="inlineStr">
        <is>
          <t>Euro Meditech</t>
        </is>
      </c>
      <c r="C27" s="4" t="inlineStr">
        <is>
          <t>ユーロメディテック</t>
        </is>
      </c>
      <c r="D27" s="6" t="inlineStr">
        <is>
          <t>A</t>
        </is>
      </c>
      <c r="E27" s="4" t="n">
        <v>22</v>
      </c>
      <c r="F27" s="4" t="inlineStr">
        <is>
          <t>東京都</t>
        </is>
      </c>
      <c r="G27" s="4" t="inlineStr">
        <is>
          <t>Holds or very likely holds a 製造販売業 licence through its import business, which removes the biggest Japan entry barrier. Already in imaging, so ultrasound is a natural line extension.</t>
        </is>
      </c>
      <c r="H27"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I27" s="4" t="inlineStr">
        <is>
          <t>SonoMax 7 plus SonoPort for radiology departments; SonoAir 70 portable</t>
        </is>
      </c>
    </row>
    <row r="28">
      <c r="A28" s="4" t="n">
        <v>14</v>
      </c>
      <c r="B28" s="4" t="inlineStr">
        <is>
          <t>MC Healthcare</t>
        </is>
      </c>
      <c r="C28" s="4" t="inlineStr">
        <is>
          <t>エム・シー・ヘルスケア</t>
        </is>
      </c>
      <c r="D28" s="6" t="inlineStr">
        <is>
          <t>A</t>
        </is>
      </c>
      <c r="E28" s="4" t="n">
        <v>22</v>
      </c>
      <c r="F28" s="4" t="inlineStr">
        <is>
          <t>東京都</t>
        </is>
      </c>
      <c r="G28" s="4" t="inlineStr">
        <is>
          <t>Holds or very likely holds a 製造販売業 licence through its import business, which removes the biggest Japan entry barrier. Imaging line not yet carried, so CHISON fills a gap rather than competing.</t>
        </is>
      </c>
      <c r="H28"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I28" s="4" t="inlineStr">
        <is>
          <t>SonoEye P3 plus SonoAir 30 for GP and clinic accounts</t>
        </is>
      </c>
    </row>
    <row r="29">
      <c r="A29" s="4" t="n">
        <v>15</v>
      </c>
      <c r="B29" s="4" t="inlineStr">
        <is>
          <t>Unimedic</t>
        </is>
      </c>
      <c r="C29" s="4" t="inlineStr">
        <is>
          <t>ユニメディック</t>
        </is>
      </c>
      <c r="D29" s="6" t="inlineStr">
        <is>
          <t>A</t>
        </is>
      </c>
      <c r="E29" s="4" t="n">
        <v>22</v>
      </c>
      <c r="F29" s="4" t="inlineStr">
        <is>
          <t>大阪府</t>
        </is>
      </c>
      <c r="G29" s="4" t="inlineStr">
        <is>
          <t>Holds or very likely holds a 製造販売業 licence through its import business, which removes the biggest Japan entry barrier. Imaging line not yet carried, so CHISON fills a gap rather than competing.</t>
        </is>
      </c>
      <c r="H29"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I29" s="4" t="inlineStr">
        <is>
          <t>SonoTouch plus SonoEye P3 (nerve block, vascular access, peri operative)</t>
        </is>
      </c>
    </row>
    <row r="32" ht="48" customHeight="1">
      <c r="A32" s="16" t="inlineStr">
        <is>
          <t>REGULATORY GATE</t>
        </is>
      </c>
      <c r="B32" s="17" t="inlineStr">
        <is>
          <t>Japan is a dealer market behind PMDA. CHISON Class II 汎用超音波画像診断装置 needs third party certification by a Registered Certification Body, filed by a Japanese 製造販売業者 (MAH) or a designated MAH (選任製造販売業者). The brief left the CHISON Japan regulatory status blank, so this list assumes no Japanese certification yet. No price, quote or delivery date until the MAH route is agreed.</t>
        </is>
      </c>
    </row>
    <row r="33" ht="48" customHeight="1">
      <c r="A33" s="16" t="inlineStr">
        <is>
          <t>WHY TIER A FIRST</t>
        </is>
      </c>
      <c r="B33" s="17" t="inlineStr">
        <is>
          <t>Every Tier B and Tier C dealer needs a partner MAH before it can sell. Signing one Tier A or DMAH partner unlocks the rest of the list as sub dealers.</t>
        </is>
      </c>
    </row>
    <row r="34" ht="48" customHeight="1">
      <c r="A34" s="16" t="inlineStr">
        <is>
          <t>GROUP OVERLAPS</t>
        </is>
      </c>
      <c r="B34" s="17" t="inlineStr">
        <is>
          <t>Toyo Medic (ITOCHU) and Century Medical (ITOCHU, existing row 1); Mutoh affiliates (Okinawa, Nagasaki, Kagoshima Yokoo) and Mutoh (existing row 15); Wakita Shokai with Shinetsu Wakita and Hokuriku Wakita; Green Hospital Supply and Ship Healthcare (existing row 8). Ask which entity owns the conversation before approaching both.</t>
        </is>
      </c>
    </row>
    <row r="35" ht="48" customHeight="1">
      <c r="A35" s="16" t="inlineStr">
        <is>
          <t>CONTACTS</t>
        </is>
      </c>
      <c r="B35" s="17" t="inlineStr">
        <is>
          <t>No named decision maker is verified. One representative name (北医企画) comes from a company database. 282 rows are Unverified: phone, email and inquiry forms were not collected because direct website access was blocked by this session's network policy. Pull the main number or inquiry form from each company site before outreach.</t>
        </is>
      </c>
    </row>
    <row r="36" ht="48" customHeight="1">
      <c r="A36" s="16" t="inlineStr">
        <is>
          <t>法人番号</t>
        </is>
      </c>
      <c r="B36" s="17" t="inlineStr">
        <is>
          <t>Not retrieved for any row: houjin bangou.nta.go.jp was blocked in this session. Dedupe was done on the Japanese company name against this list and the existing Japan Dealers tab.</t>
        </is>
      </c>
    </row>
    <row r="37" ht="48" customHeight="1">
      <c r="A37" s="16" t="inlineStr">
        <is>
          <t>RECHECK</t>
        </is>
      </c>
      <c r="B37" s="17" t="inlineStr">
        <is>
          <t>A random 10% (29 rows) was rechecked against independent sources: 7 confirmed (2 of them with a location correction), 3 confirmed but downgraded as welfare equipment firms, 1 partly confirmed, 2 removed as misfits, 16 could not be confirmed beyond their directory listing and stay flagged. See the Verification Log tab.</t>
        </is>
      </c>
    </row>
    <row r="38" ht="48" customHeight="1">
      <c r="A38" s="16" t="inlineStr">
        <is>
          <t>SCORING</t>
        </is>
      </c>
      <c r="B38" s="17" t="inlineStr">
        <is>
          <t>Seven criteria scored 1 to 5 from published descriptions: regulatory capability, imaging and ultrasound experience, brand conflict (3 = unknown), clinic and hospital coverage, geographic reach, in house service, openness to non Japanese brands (3 = unknown). Treat scores as a sorting aid, not a verdict.</t>
        </is>
      </c>
    </row>
    <row r="39" ht="48" customHeight="1">
      <c r="A39" s="16" t="inlineStr">
        <is>
          <t>VET</t>
        </is>
      </c>
      <c r="B39" s="17" t="inlineStr">
        <is>
          <t>No row was found to serve veterinary practices. Vet only dealers were excluded and belong on the vet list.</t>
        </is>
      </c>
    </row>
  </sheetData>
  <mergeCells count="8">
    <mergeCell ref="B36:H36"/>
    <mergeCell ref="B32:H32"/>
    <mergeCell ref="B35:H35"/>
    <mergeCell ref="B39:H39"/>
    <mergeCell ref="B38:H38"/>
    <mergeCell ref="B33:H33"/>
    <mergeCell ref="B34:H34"/>
    <mergeCell ref="B37:H3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8"/>
  <sheetViews>
    <sheetView workbookViewId="0">
      <selection activeCell="A1" sqref="A1"/>
    </sheetView>
  </sheetViews>
  <sheetFormatPr baseColWidth="8" defaultRowHeight="15"/>
  <cols>
    <col width="100" customWidth="1" min="1" max="1"/>
    <col width="60" customWidth="1" min="2" max="2"/>
    <col width="12" customWidth="1" min="3" max="3"/>
  </cols>
  <sheetData>
    <row r="1">
      <c r="A1" s="1" t="inlineStr">
        <is>
          <t>Sources used</t>
        </is>
      </c>
    </row>
    <row r="2">
      <c r="A2" s="2" t="inlineStr">
        <is>
          <t>Every listing page, registry and company page that supplied a row. Accessed 10 Oct 2026 through web search; pages were not opened directly.</t>
        </is>
      </c>
    </row>
    <row r="4">
      <c r="A4" s="3" t="inlineStr">
        <is>
          <t>Source URL</t>
        </is>
      </c>
      <c r="B4" s="3" t="inlineStr">
        <is>
          <t>What it is</t>
        </is>
      </c>
      <c r="C4" s="3" t="inlineStr">
        <is>
          <t>Rows citing it</t>
        </is>
      </c>
    </row>
    <row r="5">
      <c r="A5" s="7" t="inlineStr">
        <is>
          <t>https://www.jahid.or.jp/pdf/meibo2025.pdf</t>
        </is>
      </c>
      <c r="B5" s="4" t="inlineStr">
        <is>
          <t>日本医療機器販売業協会 (JAHID) member roster, 1 Sep 2025</t>
        </is>
      </c>
      <c r="C5" s="4" t="n">
        <v>10</v>
      </c>
    </row>
    <row r="6">
      <c r="A6" s="7" t="inlineStr">
        <is>
          <t>https://www.jahid.or.jp/pdf/meibo2021.pdf</t>
        </is>
      </c>
      <c r="B6" s="4" t="inlineStr">
        <is>
          <t>JAHID member roster, 1 Sep 2021</t>
        </is>
      </c>
      <c r="C6" s="4" t="n">
        <v>1</v>
      </c>
    </row>
    <row r="7">
      <c r="A7" s="7" t="inlineStr">
        <is>
          <t>https://www.tahid.org/association/member.html</t>
        </is>
      </c>
      <c r="B7" s="4" t="inlineStr">
        <is>
          <t>Tokyo Association of Health Industry Distributors, member page (content not retrievable)</t>
        </is>
      </c>
      <c r="C7" s="4" t="n">
        <v>0</v>
      </c>
    </row>
    <row r="8">
      <c r="A8" s="7" t="inlineStr">
        <is>
          <t>https://www.osaka-iryokiki-kyokai.com/member_list/</t>
        </is>
      </c>
      <c r="B8" s="4" t="inlineStr">
        <is>
          <t>Osaka Medical Device Association roster</t>
        </is>
      </c>
      <c r="C8" s="4" t="n">
        <v>13</v>
      </c>
    </row>
    <row r="9">
      <c r="A9" s="7" t="inlineStr">
        <is>
          <t>https://kyuren.jp/%E4%BC%9A%E5%93%A1%E7%B4%B9%E4%BB%8B/</t>
        </is>
      </c>
      <c r="B9" s="4" t="inlineStr">
        <is>
          <t>Kyushu Federation of Medical Device Associations, prefecture member lists</t>
        </is>
      </c>
      <c r="C9" s="4" t="n">
        <v>17</v>
      </c>
    </row>
    <row r="10">
      <c r="A10" s="7" t="inlineStr">
        <is>
          <t>https://fukuokamea.com/%E4%BC%9A%E5%93%A1%E7%B4%B9%E4%BB%8B-2/</t>
        </is>
      </c>
      <c r="B10" s="4" t="inlineStr">
        <is>
          <t>Fukuoka Medical Device Association members</t>
        </is>
      </c>
      <c r="C10" s="4" t="n">
        <v>1</v>
      </c>
    </row>
    <row r="11">
      <c r="A11" s="7" t="inlineStr">
        <is>
          <t>https://www.pmda.go.jp/PmdaSearch/kikiDetail/GeneralList/221ABBZX00092000_A_01</t>
        </is>
      </c>
      <c r="B11" s="4" t="inlineStr">
        <is>
          <t>PMDA device search, 汎用超音波画像診断装置 list (MAH holders)</t>
        </is>
      </c>
      <c r="C11" s="4" t="n">
        <v>1</v>
      </c>
    </row>
    <row r="12">
      <c r="A12" s="7" t="inlineStr">
        <is>
          <t>https://www.pmda.go.jp/review-services/drug-reviews/about-reviews/devices/0026.html</t>
        </is>
      </c>
      <c r="B12" s="4" t="inlineStr">
        <is>
          <t>PMDA certified item list (認証品目リスト), for MAH holder lookups</t>
        </is>
      </c>
      <c r="C12" s="4" t="n">
        <v>0</v>
      </c>
    </row>
    <row r="13">
      <c r="A13" s="7" t="inlineStr">
        <is>
          <t>https://www.atpress.ne.jp/news/11004</t>
        </is>
      </c>
      <c r="B13" s="4" t="inlineStr">
        <is>
          <t>ICST and Emergo Japan DMAH alliance release</t>
        </is>
      </c>
      <c r="C13" s="4" t="n">
        <v>1</v>
      </c>
    </row>
    <row r="14">
      <c r="A14" s="7" t="inlineStr">
        <is>
          <t>https://www.shigyo.co.jp/post_topics/gaikokuseizouiryoukikiwonihondehannbaisurusainootoshiana/</t>
        </is>
      </c>
      <c r="B14" s="4" t="inlineStr">
        <is>
          <t>Background: foreign maker route and DMAH rules</t>
        </is>
      </c>
      <c r="C14" s="4" t="n">
        <v>0</v>
      </c>
    </row>
    <row r="15">
      <c r="A15" s="7" t="inlineStr">
        <is>
          <t>https://baseconnect.in/companies/prefecture/9ebb3838-effc-47da-b634-994957a78319/keyword/89941b4e-2dd1-4848-8957-48af280a31e0</t>
        </is>
      </c>
      <c r="B15" s="4" t="inlineStr">
        <is>
          <t>Baseconnect company directory page</t>
        </is>
      </c>
      <c r="C15" s="4" t="n">
        <v>13</v>
      </c>
    </row>
    <row r="16">
      <c r="A16" s="7" t="inlineStr">
        <is>
          <t>https://baseconnect.in/companies/prefecture/60622468-79bd-4eef-86f8-cb69d1ef09f0/category/b2358a1c-c4c6-46f4-a0b1-dee3a1b30a0b</t>
        </is>
      </c>
      <c r="B16" s="4" t="inlineStr">
        <is>
          <t>Baseconnect company directory page</t>
        </is>
      </c>
      <c r="C16" s="4" t="n">
        <v>12</v>
      </c>
    </row>
    <row r="17">
      <c r="A17" s="7" t="inlineStr">
        <is>
          <t>https://baseconnect.in/companies/prefecture/d80b180e-5fd9-4082-8cdc-a510179a3475/keyword/89941b4e-2dd1-4848-8957-48af280a31e0</t>
        </is>
      </c>
      <c r="B17" s="4" t="inlineStr">
        <is>
          <t>Baseconnect company directory page</t>
        </is>
      </c>
      <c r="C17" s="4" t="n">
        <v>11</v>
      </c>
    </row>
    <row r="18">
      <c r="A18" s="7" t="inlineStr">
        <is>
          <t>https://baseconnect.in/companies/prefecture/d8203dea-91e2-41c3-a785-b80aa997273c/category/b2358a1c-c4c6-46f4-a0b1-dee3a1b30a0b</t>
        </is>
      </c>
      <c r="B18" s="4" t="inlineStr">
        <is>
          <t>Baseconnect company directory page</t>
        </is>
      </c>
      <c r="C18" s="4" t="n">
        <v>10</v>
      </c>
    </row>
    <row r="19">
      <c r="A19" s="7" t="inlineStr">
        <is>
          <t>https://baseconnect.in/companies/prefecture/a30ebdff-361b-42be-8372-1b0d350f48a0/keyword/2517ed26-1f2b-4156-ab10-55a6dc901a56</t>
        </is>
      </c>
      <c r="B19" s="4" t="inlineStr">
        <is>
          <t>Baseconnect company directory page</t>
        </is>
      </c>
      <c r="C19" s="4" t="n">
        <v>9</v>
      </c>
    </row>
    <row r="20">
      <c r="A20" s="7" t="inlineStr">
        <is>
          <t>https://baseconnect.in/companies/prefecture/3420045f-8609-4232-9407-75407ae4e6e8/category/b2358a1c-c4c6-46f4-a0b1-dee3a1b30a0b</t>
        </is>
      </c>
      <c r="B20" s="4" t="inlineStr">
        <is>
          <t>Baseconnect company directory page</t>
        </is>
      </c>
      <c r="C20" s="4" t="n">
        <v>9</v>
      </c>
    </row>
    <row r="21">
      <c r="A21" s="7" t="inlineStr">
        <is>
          <t>https://baseconnect.in/companies/prefecture/63038c5a-e328-472b-b9cc-039738609ba7/keyword/14f3dcec-9cd5-4be5-84e1-ddccb7bd228c</t>
        </is>
      </c>
      <c r="B21" s="4" t="inlineStr">
        <is>
          <t>Baseconnect company directory page</t>
        </is>
      </c>
      <c r="C21" s="4" t="n">
        <v>9</v>
      </c>
    </row>
    <row r="22">
      <c r="A22" s="7" t="inlineStr">
        <is>
          <t>https://baseconnect.in/companies/prefecture/5b2e6d00-cfba-4d0b-850d-54757e4b4d7f/category/b2358a1c-c4c6-46f4-a0b1-dee3a1b30a0b</t>
        </is>
      </c>
      <c r="B22" s="4" t="inlineStr">
        <is>
          <t>Baseconnect company directory page</t>
        </is>
      </c>
      <c r="C22" s="4" t="n">
        <v>7</v>
      </c>
    </row>
    <row r="23">
      <c r="A23" s="7" t="inlineStr">
        <is>
          <t>https://baseconnect.in/companies/prefecture/3420045f-8609-4232-9407-75407ae4e6e8/keyword/89941b4e-2dd1-4848-8957-48af280a31e0</t>
        </is>
      </c>
      <c r="B23" s="4" t="inlineStr">
        <is>
          <t>Baseconnect company directory page</t>
        </is>
      </c>
      <c r="C23" s="4" t="n">
        <v>7</v>
      </c>
    </row>
    <row r="24">
      <c r="A24" s="7" t="inlineStr">
        <is>
          <t>https://baseconnect.in/companies/prefecture/39b58ff0-63fd-405f-8b8a-37c5443ce5c7/keyword/89941b4e-2dd1-4848-8957-48af280a31e0</t>
        </is>
      </c>
      <c r="B24" s="4" t="inlineStr">
        <is>
          <t>Baseconnect company directory page</t>
        </is>
      </c>
      <c r="C24" s="4" t="n">
        <v>7</v>
      </c>
    </row>
    <row r="25">
      <c r="A25" s="7" t="inlineStr">
        <is>
          <t>https://baseconnect.in/companies/prefecture/3eff90d1-0bad-4fac-bce6-da9b939d7407/keyword/89941b4e-2dd1-4848-8957-48af280a31e0</t>
        </is>
      </c>
      <c r="B25" s="4" t="inlineStr">
        <is>
          <t>Baseconnect company directory page</t>
        </is>
      </c>
      <c r="C25" s="4" t="n">
        <v>6</v>
      </c>
    </row>
    <row r="26">
      <c r="A26" s="7" t="inlineStr">
        <is>
          <t>https://baseconnect.in/companies/prefecture/47b312cd-84c4-4e89-951a-b56344bc774e/keyword/89941b4e-2dd1-4848-8957-48af280a31e0</t>
        </is>
      </c>
      <c r="B26" s="4" t="inlineStr">
        <is>
          <t>Baseconnect company directory page</t>
        </is>
      </c>
      <c r="C26" s="4" t="n">
        <v>6</v>
      </c>
    </row>
    <row r="27">
      <c r="A27" s="7" t="inlineStr">
        <is>
          <t>https://baseconnect.in/companies/prefecture/912d7b2d-41c2-4923-a5c1-6666f9834966/keyword/14f3dcec-9cd5-4be5-84e1-ddccb7bd228c</t>
        </is>
      </c>
      <c r="B27" s="4" t="inlineStr">
        <is>
          <t>Baseconnect company directory page</t>
        </is>
      </c>
      <c r="C27" s="4" t="n">
        <v>5</v>
      </c>
    </row>
    <row r="28">
      <c r="A28" s="7" t="inlineStr">
        <is>
          <t>https://baseconnect.in/companies/prefecture/5d54c878-c20d-4f57-bb73-e021f2210d6c/keyword/14f3dcec-9cd5-4be5-84e1-ddccb7bd228c</t>
        </is>
      </c>
      <c r="B28" s="4" t="inlineStr">
        <is>
          <t>Baseconnect company directory page</t>
        </is>
      </c>
      <c r="C28" s="4" t="n">
        <v>5</v>
      </c>
    </row>
    <row r="29">
      <c r="A29" s="7" t="inlineStr">
        <is>
          <t>https://baseconnect.in/companies/prefecture/c59cfe5b-871c-44d1-8594-96d4a5882e4b/keyword/89941b4e-2dd1-4848-8957-48af280a31e0</t>
        </is>
      </c>
      <c r="B29" s="4" t="inlineStr">
        <is>
          <t>Baseconnect company directory page</t>
        </is>
      </c>
      <c r="C29" s="4" t="n">
        <v>5</v>
      </c>
    </row>
    <row r="30">
      <c r="A30" s="7" t="inlineStr">
        <is>
          <t>https://baseconnect.in/companies/prefecture/ce8171a3-9c3a-4158-b1ce-74bbb8bad1e4/keyword/bacc2d48-54d0-4e67-94c7-df7c3cb3a34e</t>
        </is>
      </c>
      <c r="B30" s="4" t="inlineStr">
        <is>
          <t>Baseconnect company directory page</t>
        </is>
      </c>
      <c r="C30" s="4" t="n">
        <v>5</v>
      </c>
    </row>
    <row r="31">
      <c r="A31" s="7" t="inlineStr">
        <is>
          <t>https://baseconnect.in/companies/prefecture/96c84bbe-0dd4-4885-9333-4913e3f022c9/keyword/89941b4e-2dd1-4848-8957-48af280a31e0</t>
        </is>
      </c>
      <c r="B31" s="4" t="inlineStr">
        <is>
          <t>Baseconnect company directory page</t>
        </is>
      </c>
      <c r="C31" s="4" t="n">
        <v>5</v>
      </c>
    </row>
    <row r="32">
      <c r="A32" s="7" t="inlineStr">
        <is>
          <t>https://baseconnect.in/companies/prefecture/88d796cc-214f-4ebf-b294-ebcaa486f8a2/category/b2358a1c-c4c6-46f4-a0b1-dee3a1b30a0b</t>
        </is>
      </c>
      <c r="B32" s="4" t="inlineStr">
        <is>
          <t>Baseconnect company directory page</t>
        </is>
      </c>
      <c r="C32" s="4" t="n">
        <v>5</v>
      </c>
    </row>
    <row r="33">
      <c r="A33" s="7" t="inlineStr">
        <is>
          <t>https://baseconnect.in/companies/prefecture/9c059a11-e5ef-470d-a270-47022ad1f973/category/e8b4fb2e-8cf9-473d-be34-3f729e65fdf3</t>
        </is>
      </c>
      <c r="B33" s="4" t="inlineStr">
        <is>
          <t>Baseconnect company directory page</t>
        </is>
      </c>
      <c r="C33" s="4" t="n">
        <v>4</v>
      </c>
    </row>
    <row r="34">
      <c r="A34" s="7" t="inlineStr">
        <is>
          <t>https://baseconnect.in/companies/prefecture/4637ba90-383b-4656-8be1-ca34c7f7244f/keyword/89941b4e-2dd1-4848-8957-48af280a31e0</t>
        </is>
      </c>
      <c r="B34" s="4" t="inlineStr">
        <is>
          <t>Baseconnect company directory page</t>
        </is>
      </c>
      <c r="C34" s="4" t="n">
        <v>4</v>
      </c>
    </row>
    <row r="35">
      <c r="A35" s="7" t="inlineStr">
        <is>
          <t>https://baseconnect.in/companies/prefecture/31ffefed-1183-4eba-a6d9-4182a6136e50/keyword/89941b4e-2dd1-4848-8957-48af280a31e0</t>
        </is>
      </c>
      <c r="B35" s="4" t="inlineStr">
        <is>
          <t>Baseconnect company directory page</t>
        </is>
      </c>
      <c r="C35" s="4" t="n">
        <v>4</v>
      </c>
    </row>
    <row r="36">
      <c r="A36" s="7" t="inlineStr">
        <is>
          <t>https://baseconnect.in/companies/prefecture/72122f8e-2e11-4641-9216-d1abc796b0cd/category/b2358a1c-c4c6-46f4-a0b1-dee3a1b30a0b</t>
        </is>
      </c>
      <c r="B36" s="4" t="inlineStr">
        <is>
          <t>Baseconnect company directory page</t>
        </is>
      </c>
      <c r="C36" s="4" t="n">
        <v>4</v>
      </c>
    </row>
    <row r="37">
      <c r="A37" s="7" t="inlineStr">
        <is>
          <t>https://baseconnect.in/companies/prefecture/cd00efe9-63bc-49a2-846e-3cfd4bca7207/keyword/89941b4e-2dd1-4848-8957-48af280a31e0</t>
        </is>
      </c>
      <c r="B37" s="4" t="inlineStr">
        <is>
          <t>Baseconnect company directory page</t>
        </is>
      </c>
      <c r="C37" s="4" t="n">
        <v>4</v>
      </c>
    </row>
    <row r="38">
      <c r="A38" s="7" t="inlineStr">
        <is>
          <t>https://baseconnect.in/companies/prefecture/a89155ac-9626-450f-9011-00a5b6529965/category/b2358a1c-c4c6-46f4-a0b1-dee3a1b30a0b</t>
        </is>
      </c>
      <c r="B38" s="4" t="inlineStr">
        <is>
          <t>Baseconnect company directory page</t>
        </is>
      </c>
      <c r="C38" s="4" t="n">
        <v>4</v>
      </c>
    </row>
    <row r="39">
      <c r="A39" s="7" t="inlineStr">
        <is>
          <t>https://baseconnect.in/companies/prefecture/22e3a90e-e956-4cce-bd1b-bdc8b44fc75f/category/b2358a1c-c4c6-46f4-a0b1-dee3a1b30a0b</t>
        </is>
      </c>
      <c r="B39" s="4" t="inlineStr">
        <is>
          <t>Baseconnect company directory page</t>
        </is>
      </c>
      <c r="C39" s="4" t="n">
        <v>4</v>
      </c>
    </row>
    <row r="40">
      <c r="A40" s="7" t="inlineStr">
        <is>
          <t>https://baseconnect.in/companies/prefecture/3ef7ac2a-ecbb-4477-acd1-e7d443e6b591/category/b2358a1c-c4c6-46f4-a0b1-dee3a1b30a0b</t>
        </is>
      </c>
      <c r="B40" s="4" t="inlineStr">
        <is>
          <t>Baseconnect company directory page</t>
        </is>
      </c>
      <c r="C40" s="4" t="n">
        <v>4</v>
      </c>
    </row>
    <row r="41">
      <c r="A41" s="7" t="inlineStr">
        <is>
          <t>https://baseconnect.in/companies/prefecture/d80b180e-5fd9-4082-8cdc-a510179a3475/keyword/088a0bed-423d-48b9-a3af-b77d98e81383</t>
        </is>
      </c>
      <c r="B41" s="4" t="inlineStr">
        <is>
          <t>Baseconnect company directory page</t>
        </is>
      </c>
      <c r="C41" s="4" t="n">
        <v>3</v>
      </c>
    </row>
    <row r="42">
      <c r="A42" s="7" t="inlineStr">
        <is>
          <t>https://baseconnect.in/companies/prefecture/18e4d2f6-9b16-4488-931c-17ced3101b74/keyword/2eca165e-bd4a-4e2e-bc44-397492071b92</t>
        </is>
      </c>
      <c r="B42" s="4" t="inlineStr">
        <is>
          <t>Baseconnect company directory page</t>
        </is>
      </c>
      <c r="C42" s="4" t="n">
        <v>3</v>
      </c>
    </row>
    <row r="43">
      <c r="A43" s="7" t="inlineStr">
        <is>
          <t>https://baseconnect.in/companies/prefecture/0356fc34-b458-43d5-b209-feac5e7fd808/category/4334232a-592e-4ef1-96cc-df1557db8533</t>
        </is>
      </c>
      <c r="B43" s="4" t="inlineStr">
        <is>
          <t>Baseconnect company directory page</t>
        </is>
      </c>
      <c r="C43" s="4" t="n">
        <v>3</v>
      </c>
    </row>
    <row r="44">
      <c r="A44" s="7" t="inlineStr">
        <is>
          <t>https://baseconnect.in/companies/prefecture/1d5a2479-736c-41d9-98fe-d43b8d447ca4/keyword/89941b4e-2dd1-4848-8957-48af280a31e0</t>
        </is>
      </c>
      <c r="B44" s="4" t="inlineStr">
        <is>
          <t>Baseconnect company directory page</t>
        </is>
      </c>
      <c r="C44" s="4" t="n">
        <v>3</v>
      </c>
    </row>
    <row r="45">
      <c r="A45" s="7" t="inlineStr">
        <is>
          <t>https://baseconnect.in/companies/prefecture/3cf97f91-8b39-4cdb-981b-d035b0176b65/keyword/89941b4e-2dd1-4848-8957-48af280a31e0</t>
        </is>
      </c>
      <c r="B45" s="4" t="inlineStr">
        <is>
          <t>Baseconnect company directory page</t>
        </is>
      </c>
      <c r="C45" s="4" t="n">
        <v>3</v>
      </c>
    </row>
    <row r="46">
      <c r="A46" s="7" t="inlineStr">
        <is>
          <t>https://baseconnect.in/companies/prefecture/344720c8-49c6-4a45-94af-958496d86524/category/b2358a1c-c4c6-46f4-a0b1-dee3a1b30a0b</t>
        </is>
      </c>
      <c r="B46" s="4" t="inlineStr">
        <is>
          <t>Baseconnect company directory page</t>
        </is>
      </c>
      <c r="C46" s="4" t="n">
        <v>3</v>
      </c>
    </row>
    <row r="47">
      <c r="A47" s="7" t="inlineStr">
        <is>
          <t>https://baseconnect.in/companies/prefecture/2466a71e-a675-4184-bf2b-a9d3122e4400/category/b2358a1c-c4c6-46f4-a0b1-dee3a1b30a0b</t>
        </is>
      </c>
      <c r="B47" s="4" t="inlineStr">
        <is>
          <t>Baseconnect company directory page</t>
        </is>
      </c>
      <c r="C47" s="4" t="n">
        <v>3</v>
      </c>
    </row>
    <row r="48">
      <c r="A48" s="7" t="inlineStr">
        <is>
          <t>https://www2.jpx.co.jp/disc/26670/140120190403400264.pdf</t>
        </is>
      </c>
      <c r="B48" s="4" t="inlineStr">
        <is>
          <t>Company profile, job listing or public document</t>
        </is>
      </c>
      <c r="C48" s="4" t="n">
        <v>2</v>
      </c>
    </row>
    <row r="49">
      <c r="A49" s="7" t="inlineStr">
        <is>
          <t>https://compalyze.co.jp</t>
        </is>
      </c>
      <c r="B49" s="4" t="inlineStr">
        <is>
          <t>Company profile, job listing or public document</t>
        </is>
      </c>
      <c r="C49" s="4" t="n">
        <v>2</v>
      </c>
    </row>
    <row r="50">
      <c r="A50" s="7" t="inlineStr">
        <is>
          <t>https://baseconnect.in/companies/prefecture/9ed9a43b-c714-41d5-b91b-6b21041f1294/category/b2358a1c-c4c6-46f4-a0b1-dee3a1b30a0b</t>
        </is>
      </c>
      <c r="B50" s="4" t="inlineStr">
        <is>
          <t>Baseconnect company directory page</t>
        </is>
      </c>
      <c r="C50" s="4" t="n">
        <v>2</v>
      </c>
    </row>
    <row r="51">
      <c r="A51" s="7" t="inlineStr">
        <is>
          <t>https://directscout.recruit.co.jp/job_descriptions/8635481</t>
        </is>
      </c>
      <c r="B51" s="4" t="inlineStr">
        <is>
          <t>Company profile, job listing or public document</t>
        </is>
      </c>
      <c r="C51" s="4" t="n">
        <v>2</v>
      </c>
    </row>
    <row r="52">
      <c r="A52" s="7" t="inlineStr">
        <is>
          <t>https://baseconnect.in/companies/prefecture/de8c9062-e2c4-4731-9214-c2e07deaabfb/keyword/89941b4e-2dd1-4848-8957-48af280a31e0</t>
        </is>
      </c>
      <c r="B52" s="4" t="inlineStr">
        <is>
          <t>Baseconnect company directory page</t>
        </is>
      </c>
      <c r="C52" s="4" t="n">
        <v>2</v>
      </c>
    </row>
    <row r="53">
      <c r="A53" s="7" t="inlineStr">
        <is>
          <t>https://baseconnect.in/companies/keyword/a9b4f8d9-510e-403e-859d-c2d2fa9778be</t>
        </is>
      </c>
      <c r="B53" s="4" t="inlineStr">
        <is>
          <t>Baseconnect company directory page</t>
        </is>
      </c>
      <c r="C53" s="4" t="n">
        <v>2</v>
      </c>
    </row>
    <row r="54">
      <c r="A54" s="7" t="inlineStr">
        <is>
          <t>https://baseconnect.in/companies/prefecture/ba2490e4-a288-4266-8dd3-30b4ef28b3b2</t>
        </is>
      </c>
      <c r="B54" s="4" t="inlineStr">
        <is>
          <t>Baseconnect company directory page</t>
        </is>
      </c>
      <c r="C54" s="4" t="n">
        <v>2</v>
      </c>
    </row>
    <row r="55">
      <c r="A55" s="7" t="inlineStr">
        <is>
          <t>https://baseconnect.in/companies/prefecture/3562c231-08e3-43af-8765-2077382c0c10/keyword/6afa1771-8d91-440c-86b0-ba8538b7bf9a</t>
        </is>
      </c>
      <c r="B55" s="4" t="inlineStr">
        <is>
          <t>Baseconnect company directory page</t>
        </is>
      </c>
      <c r="C55" s="4" t="n">
        <v>2</v>
      </c>
    </row>
    <row r="56">
      <c r="A56" s="7" t="inlineStr">
        <is>
          <t>https://baseconnect.in/companies/prefecture/f533238c-06e6-46f9-9508-cbe03ad6754f/category/b2358a1c-c4c6-46f4-a0b1-dee3a1b30a0b</t>
        </is>
      </c>
      <c r="B56" s="4" t="inlineStr">
        <is>
          <t>Baseconnect company directory page</t>
        </is>
      </c>
      <c r="C56" s="4" t="n">
        <v>2</v>
      </c>
    </row>
    <row r="57">
      <c r="A57" s="7" t="inlineStr">
        <is>
          <t>https://www.osaka-iryokiki-kyokai.com/member_list/06.html</t>
        </is>
      </c>
      <c r="B57" s="4" t="inlineStr">
        <is>
          <t>Company profile, job listing or public document</t>
        </is>
      </c>
      <c r="C57" s="4" t="n">
        <v>2</v>
      </c>
    </row>
    <row r="58">
      <c r="A58" s="7" t="inlineStr">
        <is>
          <t>https://baseconnect.in/companies/prefecture/aed784f6-cd06-4f72-95d9-876e82d37385/keyword/89941b4e-2dd1-4848-8957-48af280a31e0</t>
        </is>
      </c>
      <c r="B58" s="4" t="inlineStr">
        <is>
          <t>Baseconnect company directory page</t>
        </is>
      </c>
      <c r="C58" s="4" t="n">
        <v>2</v>
      </c>
    </row>
    <row r="59">
      <c r="A59" s="7" t="inlineStr">
        <is>
          <t>https://baseconnect.in/companies/prefecture/082ceea9-0e2a-4911-900e-35c6f7c160b3/keyword/89941b4e-2dd1-4848-8957-48af280a31e0</t>
        </is>
      </c>
      <c r="B59" s="4" t="inlineStr">
        <is>
          <t>Baseconnect company directory page</t>
        </is>
      </c>
      <c r="C59" s="4" t="n">
        <v>2</v>
      </c>
    </row>
    <row r="60">
      <c r="A60" s="7" t="inlineStr">
        <is>
          <t>https://baseconnect.in/companies/prefecture/5b2e6d00-cfba-4d0b-850d-54757e4b4d7f/keyword/89941b4e-2dd1-4848-8957-48af280a31e0</t>
        </is>
      </c>
      <c r="B60" s="4" t="inlineStr">
        <is>
          <t>Baseconnect company directory page</t>
        </is>
      </c>
      <c r="C60" s="4" t="n">
        <v>2</v>
      </c>
    </row>
    <row r="61">
      <c r="A61" s="7" t="inlineStr">
        <is>
          <t>https://pmda.go.jp PmdaSearch</t>
        </is>
      </c>
      <c r="B61" s="4" t="inlineStr">
        <is>
          <t>Company profile, job listing or public document</t>
        </is>
      </c>
      <c r="C61" s="4" t="n">
        <v>1</v>
      </c>
    </row>
    <row r="62">
      <c r="A62" s="7" t="inlineStr">
        <is>
          <t>https://www.r-agent.com/company/05319/</t>
        </is>
      </c>
      <c r="B62" s="4" t="inlineStr">
        <is>
          <t>Company profile, job listing or public document</t>
        </is>
      </c>
      <c r="C62" s="4" t="n">
        <v>1</v>
      </c>
    </row>
    <row r="63">
      <c r="A63" s="7" t="inlineStr">
        <is>
          <t>https://mynavi-agent.jp/corpdetail/12673/</t>
        </is>
      </c>
      <c r="B63" s="4" t="inlineStr">
        <is>
          <t>Company profile, job listing or public document</t>
        </is>
      </c>
      <c r="C63" s="4" t="n">
        <v>1</v>
      </c>
    </row>
    <row r="64">
      <c r="A64" s="7" t="inlineStr">
        <is>
          <t>https://www.pref.hiroshima.lg.jp/uploaded/attachment/261374.pdf</t>
        </is>
      </c>
      <c r="B64" s="4" t="inlineStr">
        <is>
          <t>Company profile, job listing or public document</t>
        </is>
      </c>
      <c r="C64" s="4" t="n">
        <v>1</v>
      </c>
    </row>
    <row r="65">
      <c r="A65" s="7" t="inlineStr">
        <is>
          <t>https://corporate.jp.sharp/news/171219-a.pdf</t>
        </is>
      </c>
      <c r="B65" s="4" t="inlineStr">
        <is>
          <t>Company profile, job listing or public document</t>
        </is>
      </c>
      <c r="C65" s="4" t="n">
        <v>1</v>
      </c>
    </row>
    <row r="66">
      <c r="A66" s="7" t="inlineStr">
        <is>
          <t>https://www.careercross.com/company/pdf-591894</t>
        </is>
      </c>
      <c r="B66" s="4" t="inlineStr">
        <is>
          <t>Company profile, job listing or public document</t>
        </is>
      </c>
      <c r="C66" s="4" t="n">
        <v>1</v>
      </c>
    </row>
    <row r="67">
      <c r="A67" s="7" t="inlineStr">
        <is>
          <t>https://baseconnect.in/companies/prefecture/a30ebdff-361b-42be-8372-1b0d350f48a0/keyword/93424367-66f3-4226-9851-da8b3b5ab067</t>
        </is>
      </c>
      <c r="B67" s="4" t="inlineStr">
        <is>
          <t>Baseconnect company directory page</t>
        </is>
      </c>
      <c r="C67" s="4" t="n">
        <v>1</v>
      </c>
    </row>
    <row r="68">
      <c r="A68" s="7" t="inlineStr">
        <is>
          <t>https://mynavi-agent.jp/corpdetail/1161/</t>
        </is>
      </c>
      <c r="B68" s="4" t="inlineStr">
        <is>
          <t>Company profile, job listing or public document</t>
        </is>
      </c>
      <c r="C68" s="4" t="n">
        <v>1</v>
      </c>
    </row>
    <row r="69">
      <c r="A69" s="7" t="inlineStr">
        <is>
          <t>https://directscout.recruit.co.jp/job_descriptions/7637910</t>
        </is>
      </c>
      <c r="B69" s="4" t="inlineStr">
        <is>
          <t>Company profile, job listing or public document</t>
        </is>
      </c>
      <c r="C69" s="4" t="n">
        <v>1</v>
      </c>
    </row>
    <row r="70">
      <c r="A70" s="7" t="inlineStr">
        <is>
          <t>https://careerconnection.jp/review/82545/jobinfo/</t>
        </is>
      </c>
      <c r="B70" s="4" t="inlineStr">
        <is>
          <t>Company profile, job listing or public document</t>
        </is>
      </c>
      <c r="C70" s="4" t="n">
        <v>1</v>
      </c>
    </row>
    <row r="71">
      <c r="A71" s="7" t="inlineStr">
        <is>
          <t>https://www.pref.yamaguchi.lg.jp/uploaded/attachment/60067.pdf</t>
        </is>
      </c>
      <c r="B71" s="4" t="inlineStr">
        <is>
          <t>Company profile, job listing or public document</t>
        </is>
      </c>
      <c r="C71" s="4" t="n">
        <v>1</v>
      </c>
    </row>
    <row r="72">
      <c r="A72" s="7" t="inlineStr">
        <is>
          <t>https://www.pref.saitama.lg.jp/documents/236621/0220_nisshindenshiservice.pdf</t>
        </is>
      </c>
      <c r="B72" s="4" t="inlineStr">
        <is>
          <t>Company profile, job listing or public document</t>
        </is>
      </c>
      <c r="C72" s="4" t="n">
        <v>1</v>
      </c>
    </row>
    <row r="73">
      <c r="A73" s="7" t="inlineStr">
        <is>
          <t>https://careerconnection.jp/review/947/jobinfo/</t>
        </is>
      </c>
      <c r="B73" s="4" t="inlineStr">
        <is>
          <t>Company profile, job listing or public document</t>
        </is>
      </c>
      <c r="C73" s="4" t="n">
        <v>1</v>
      </c>
    </row>
    <row r="74">
      <c r="A74" s="7" t="inlineStr">
        <is>
          <t>https://compalyze.co.jp/company/3430001002008</t>
        </is>
      </c>
      <c r="B74" s="4" t="inlineStr">
        <is>
          <t>Company profile, job listing or public document</t>
        </is>
      </c>
      <c r="C74" s="4" t="n">
        <v>1</v>
      </c>
    </row>
    <row r="75">
      <c r="A75" s="7" t="inlineStr">
        <is>
          <t>https://compalyze.co.jp/company/6030001055134</t>
        </is>
      </c>
      <c r="B75" s="4" t="inlineStr">
        <is>
          <t>Company profile, job listing or public document</t>
        </is>
      </c>
      <c r="C75" s="4" t="n">
        <v>1</v>
      </c>
    </row>
    <row r="76">
      <c r="A76" s="7" t="inlineStr">
        <is>
          <t>https://www.r-agent.com/company/c7230/</t>
        </is>
      </c>
      <c r="B76" s="4" t="inlineStr">
        <is>
          <t>Company profile, job listing or public document</t>
        </is>
      </c>
      <c r="C76" s="4" t="n">
        <v>1</v>
      </c>
    </row>
    <row r="77">
      <c r="A77" s="7" t="inlineStr">
        <is>
          <t>https://kaigo.homes.co.jp/scare/ad11/area110201/cc13/</t>
        </is>
      </c>
      <c r="B77" s="4" t="inlineStr">
        <is>
          <t>Company profile, job listing or public document</t>
        </is>
      </c>
      <c r="C77" s="4" t="n">
        <v>1</v>
      </c>
    </row>
    <row r="78">
      <c r="A78" s="7" t="inlineStr">
        <is>
          <t>https://job.rikunabi.com/job_descriptions/4511bb0b2d226083</t>
        </is>
      </c>
      <c r="B78" s="4" t="inlineStr">
        <is>
          <t>Company profile, job listing or public document</t>
        </is>
      </c>
      <c r="C78" s="4" t="n">
        <v>1</v>
      </c>
    </row>
    <row r="79">
      <c r="A79" s="7" t="inlineStr">
        <is>
          <t>https://compalyze.co.jp/company/6500002004785</t>
        </is>
      </c>
      <c r="B79" s="4" t="inlineStr">
        <is>
          <t>Company profile, job listing or public document</t>
        </is>
      </c>
      <c r="C79" s="4" t="n">
        <v>1</v>
      </c>
    </row>
    <row r="80">
      <c r="A80" s="7" t="inlineStr">
        <is>
          <t>https://baseconnect.in/companies/prefecture/e010a2b6-a345-4a52-b350-1ca592e384b8/keyword/a68873de-8c54-4a2c-820f-e04c8b93064c</t>
        </is>
      </c>
      <c r="B80" s="4" t="inlineStr">
        <is>
          <t>Baseconnect company directory page</t>
        </is>
      </c>
      <c r="C80" s="4" t="n">
        <v>1</v>
      </c>
    </row>
    <row r="81">
      <c r="A81" s="7" t="inlineStr">
        <is>
          <t>https://compalyze.co.jp/company/8100001001277</t>
        </is>
      </c>
      <c r="B81" s="4" t="inlineStr">
        <is>
          <t>Company profile, job listing or public document</t>
        </is>
      </c>
      <c r="C81" s="4" t="n">
        <v>1</v>
      </c>
    </row>
    <row r="82">
      <c r="A82" s="7" t="inlineStr">
        <is>
          <t>https://atsoho.com/vendors/engineering/yamagata/4390001001418</t>
        </is>
      </c>
      <c r="B82" s="4" t="inlineStr">
        <is>
          <t>Company profile, job listing or public document</t>
        </is>
      </c>
      <c r="C82" s="4" t="n">
        <v>1</v>
      </c>
    </row>
    <row r="83">
      <c r="A83" s="7" t="inlineStr">
        <is>
          <t>https://baseconnect.in/companies/prefecture/a30ebdff-361b-42be-8372-1b0d350f48a0/keyword/89941b4e-2dd1-4848-8957-48af280a31e0</t>
        </is>
      </c>
      <c r="B83" s="4" t="inlineStr">
        <is>
          <t>Baseconnect company directory page</t>
        </is>
      </c>
      <c r="C83" s="4" t="n">
        <v>1</v>
      </c>
    </row>
    <row r="84">
      <c r="A84" s="7" t="inlineStr">
        <is>
          <t>https://www.openwork.jp/a0C1000000nInR1/job/</t>
        </is>
      </c>
      <c r="B84" s="4" t="inlineStr">
        <is>
          <t>Company profile, job listing or public document</t>
        </is>
      </c>
      <c r="C84" s="4" t="n">
        <v>1</v>
      </c>
    </row>
    <row r="85">
      <c r="A85" s="7" t="inlineStr">
        <is>
          <t>https://compalyze.co.jp/company/3130001011567</t>
        </is>
      </c>
      <c r="B85" s="4" t="inlineStr">
        <is>
          <t>Company profile, job listing or public document</t>
        </is>
      </c>
      <c r="C85" s="4" t="n">
        <v>1</v>
      </c>
    </row>
    <row r="86">
      <c r="A86" s="7" t="inlineStr">
        <is>
          <t>https://mynavi-agent.jp/corpdetail/25173/</t>
        </is>
      </c>
      <c r="B86" s="4" t="inlineStr">
        <is>
          <t>Company profile, job listing or public document</t>
        </is>
      </c>
      <c r="C86" s="4" t="n">
        <v>1</v>
      </c>
    </row>
    <row r="87">
      <c r="A87" s="7" t="inlineStr">
        <is>
          <t>https://directscout.recruit.co.jp/job_descriptions/6783118</t>
        </is>
      </c>
      <c r="B87" s="4" t="inlineStr">
        <is>
          <t>Company profile, job listing or public document</t>
        </is>
      </c>
      <c r="C87" s="4" t="n">
        <v>1</v>
      </c>
    </row>
    <row r="88">
      <c r="A88" s="7" t="inlineStr">
        <is>
          <t>https://compalyze.co.jp/company/8220001007064</t>
        </is>
      </c>
      <c r="B88" s="4" t="inlineStr">
        <is>
          <t>Company profile, job listing or public document</t>
        </is>
      </c>
      <c r="C88" s="4" t="n">
        <v>1</v>
      </c>
    </row>
    <row r="89">
      <c r="A89" s="7" t="inlineStr">
        <is>
          <t>https://salesnow.jp/db/companies/jcbhy5av98p6vedf</t>
        </is>
      </c>
      <c r="B89" s="4" t="inlineStr">
        <is>
          <t>Company profile, job listing or public document</t>
        </is>
      </c>
      <c r="C89" s="4" t="n">
        <v>1</v>
      </c>
    </row>
    <row r="90">
      <c r="A90" s="7" t="inlineStr">
        <is>
          <t>https://directscout.recruit.co.jp/job_descriptions/6579004</t>
        </is>
      </c>
      <c r="B90" s="4" t="inlineStr">
        <is>
          <t>Company profile, job listing or public document</t>
        </is>
      </c>
      <c r="C90" s="4" t="n">
        <v>1</v>
      </c>
    </row>
    <row r="91">
      <c r="A91" s="7" t="inlineStr">
        <is>
          <t>https://baseconnect.in/companies/prefecture/7e20a5b4-424c-4931-8b3e-970bc0da0dce/keyword/a68873de-8c54-4a2c-820f-e04c8b93064c</t>
        </is>
      </c>
      <c r="B91" s="4" t="inlineStr">
        <is>
          <t>Baseconnect company directory page</t>
        </is>
      </c>
      <c r="C91" s="4" t="n">
        <v>1</v>
      </c>
    </row>
    <row r="92">
      <c r="A92" s="7" t="inlineStr">
        <is>
          <t>https://baseconnect.in/companies/city/907fb3f8-31a8-4163-a276-005c0d2a920b</t>
        </is>
      </c>
      <c r="B92" s="4" t="inlineStr">
        <is>
          <t>Baseconnect company directory page</t>
        </is>
      </c>
      <c r="C92" s="4" t="n">
        <v>1</v>
      </c>
    </row>
    <row r="93">
      <c r="A93" s="7" t="inlineStr">
        <is>
          <t>https://www.pref.kyoto.jp/sangyo-sien/company/sannsyoudou.html</t>
        </is>
      </c>
      <c r="B93" s="4" t="inlineStr">
        <is>
          <t>Company profile, job listing or public document</t>
        </is>
      </c>
      <c r="C93" s="4" t="n">
        <v>1</v>
      </c>
    </row>
    <row r="94">
      <c r="A94" s="7" t="inlineStr">
        <is>
          <t>https://directscout.recruit.co.jp/job_descriptions/8733921</t>
        </is>
      </c>
      <c r="B94" s="4" t="inlineStr">
        <is>
          <t>Company profile, job listing or public document</t>
        </is>
      </c>
      <c r="C94" s="4" t="n">
        <v>1</v>
      </c>
    </row>
    <row r="95">
      <c r="A95" s="7" t="inlineStr">
        <is>
          <t>https://compalyze.co.jp/company/2340001001399</t>
        </is>
      </c>
      <c r="B95" s="4" t="inlineStr">
        <is>
          <t>Company profile, job listing or public document</t>
        </is>
      </c>
      <c r="C95" s="4" t="n">
        <v>1</v>
      </c>
    </row>
    <row r="96">
      <c r="A96" s="7" t="inlineStr">
        <is>
          <t>https://baseconnect.in/companies/prefecture/8de2e273-a5a8-45b9-8fc1-0fe6344d6843/keyword/14f3dcec-9cd5-4be5-84e1-ddccb7bd228c</t>
        </is>
      </c>
      <c r="B96" s="4" t="inlineStr">
        <is>
          <t>Baseconnect company directory page</t>
        </is>
      </c>
      <c r="C96" s="4" t="n">
        <v>1</v>
      </c>
    </row>
    <row r="97">
      <c r="A97" s="7" t="inlineStr">
        <is>
          <t>https://kaigo.homes.co.jp/scare/ad22/cc26/3/</t>
        </is>
      </c>
      <c r="B97" s="4" t="inlineStr">
        <is>
          <t>Company profile, job listing or public document</t>
        </is>
      </c>
      <c r="C97" s="4" t="n">
        <v>1</v>
      </c>
    </row>
    <row r="98">
      <c r="A98" s="7" t="inlineStr">
        <is>
          <t>https://baseconnect.in/companies/prefecture/b147f06d-09b9-4c4f-9e51-e7157354eec0/keyword/14f3dcec-9cd5-4be5-84e1-ddccb7bd228c</t>
        </is>
      </c>
      <c r="B98" s="4" t="inlineStr">
        <is>
          <t>Baseconnect company directory page</t>
        </is>
      </c>
      <c r="C98" s="4" t="n">
        <v>1</v>
      </c>
    </row>
    <row r="99">
      <c r="A99" s="7" t="inlineStr">
        <is>
          <t>https://data-max.co.jp/corpo_database/corpo/detail/4310001009518</t>
        </is>
      </c>
      <c r="B99" s="4" t="inlineStr">
        <is>
          <t>Company profile, job listing or public document</t>
        </is>
      </c>
      <c r="C99" s="4" t="n">
        <v>1</v>
      </c>
    </row>
    <row r="100">
      <c r="A100" s="7" t="inlineStr">
        <is>
          <t>https://salesnow.jp/db/companies/jcb3frp3wfstg2f9h</t>
        </is>
      </c>
      <c r="B100" s="4" t="inlineStr">
        <is>
          <t>Company profile, job listing or public document</t>
        </is>
      </c>
      <c r="C100" s="4" t="n">
        <v>1</v>
      </c>
    </row>
    <row r="101">
      <c r="A101" s="7" t="inlineStr">
        <is>
          <t>https://compalyze.co.jp/company/6500001015536</t>
        </is>
      </c>
      <c r="B101" s="4" t="inlineStr">
        <is>
          <t>Company profile, job listing or public document</t>
        </is>
      </c>
      <c r="C101" s="4" t="n">
        <v>1</v>
      </c>
    </row>
    <row r="102">
      <c r="A102" s="7" t="inlineStr">
        <is>
          <t>https://baseconnect.in/companies/prefecture/ed058ccb-0ba4-4479-9732-51a97cc73b5d/category/b2358a1c-c4c6-46f4-a0b1-dee3a1b30a0b</t>
        </is>
      </c>
      <c r="B102" s="4" t="inlineStr">
        <is>
          <t>Baseconnect company directory page</t>
        </is>
      </c>
      <c r="C102" s="4" t="n">
        <v>1</v>
      </c>
    </row>
    <row r="103">
      <c r="A103" s="7" t="inlineStr">
        <is>
          <t>https://biz-maps.com/s/cities/102016/m-inds/352</t>
        </is>
      </c>
      <c r="B103" s="4" t="inlineStr">
        <is>
          <t>Company profile, job listing or public document</t>
        </is>
      </c>
      <c r="C103" s="4" t="n">
        <v>1</v>
      </c>
    </row>
    <row r="104">
      <c r="A104" s="7" t="inlineStr">
        <is>
          <t>https://i.ansinkaigo.jp/shokai/home-care/welfare-equipment/121454</t>
        </is>
      </c>
      <c r="B104" s="4" t="inlineStr">
        <is>
          <t>Company profile, job listing or public document</t>
        </is>
      </c>
      <c r="C104" s="4" t="n">
        <v>1</v>
      </c>
    </row>
    <row r="105">
      <c r="A105" s="7" t="inlineStr">
        <is>
          <t>https://compalyze.co.jp/company/4450002009734</t>
        </is>
      </c>
      <c r="B105" s="4" t="inlineStr">
        <is>
          <t>Company profile, job listing or public document</t>
        </is>
      </c>
      <c r="C105" s="4" t="n">
        <v>1</v>
      </c>
    </row>
    <row r="106">
      <c r="A106" s="7" t="inlineStr">
        <is>
          <t>https://compalyze.co.jp/company/5260001006627</t>
        </is>
      </c>
      <c r="B106" s="4" t="inlineStr">
        <is>
          <t>Company profile, job listing or public document</t>
        </is>
      </c>
      <c r="C106" s="4" t="n">
        <v>1</v>
      </c>
    </row>
    <row r="107">
      <c r="A107" s="7" t="inlineStr">
        <is>
          <t>https://i.ansinkaigo.jp/shokai/home-care/welfare-equipment/132088</t>
        </is>
      </c>
      <c r="B107" s="4" t="inlineStr">
        <is>
          <t>Company profile, job listing or public document</t>
        </is>
      </c>
      <c r="C107" s="4" t="n">
        <v>1</v>
      </c>
    </row>
    <row r="108">
      <c r="A108" s="7" t="inlineStr">
        <is>
          <t>https://i.ansinkaigo.jp/shokai/home-care/welfare-equipment/130946</t>
        </is>
      </c>
      <c r="B108" s="4" t="inlineStr">
        <is>
          <t>Company profile, job listing or public document</t>
        </is>
      </c>
      <c r="C108" s="4" t="n">
        <v>1</v>
      </c>
    </row>
  </sheetData>
  <autoFilter ref="A4:C108"/>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19" r:id="rId15"/>
    <hyperlink xmlns:r="http://schemas.openxmlformats.org/officeDocument/2006/relationships" ref="A20" r:id="rId16"/>
    <hyperlink xmlns:r="http://schemas.openxmlformats.org/officeDocument/2006/relationships" ref="A21" r:id="rId17"/>
    <hyperlink xmlns:r="http://schemas.openxmlformats.org/officeDocument/2006/relationships" ref="A22" r:id="rId18"/>
    <hyperlink xmlns:r="http://schemas.openxmlformats.org/officeDocument/2006/relationships" ref="A23" r:id="rId19"/>
    <hyperlink xmlns:r="http://schemas.openxmlformats.org/officeDocument/2006/relationships" ref="A24" r:id="rId20"/>
    <hyperlink xmlns:r="http://schemas.openxmlformats.org/officeDocument/2006/relationships" ref="A25" r:id="rId21"/>
    <hyperlink xmlns:r="http://schemas.openxmlformats.org/officeDocument/2006/relationships" ref="A26" r:id="rId22"/>
    <hyperlink xmlns:r="http://schemas.openxmlformats.org/officeDocument/2006/relationships" ref="A27" r:id="rId23"/>
    <hyperlink xmlns:r="http://schemas.openxmlformats.org/officeDocument/2006/relationships" ref="A28" r:id="rId24"/>
    <hyperlink xmlns:r="http://schemas.openxmlformats.org/officeDocument/2006/relationships" ref="A29" r:id="rId25"/>
    <hyperlink xmlns:r="http://schemas.openxmlformats.org/officeDocument/2006/relationships" ref="A30" r:id="rId26"/>
    <hyperlink xmlns:r="http://schemas.openxmlformats.org/officeDocument/2006/relationships" ref="A31" r:id="rId27"/>
    <hyperlink xmlns:r="http://schemas.openxmlformats.org/officeDocument/2006/relationships" ref="A32" r:id="rId28"/>
    <hyperlink xmlns:r="http://schemas.openxmlformats.org/officeDocument/2006/relationships" ref="A33" r:id="rId29"/>
    <hyperlink xmlns:r="http://schemas.openxmlformats.org/officeDocument/2006/relationships" ref="A34" r:id="rId30"/>
    <hyperlink xmlns:r="http://schemas.openxmlformats.org/officeDocument/2006/relationships" ref="A35" r:id="rId31"/>
    <hyperlink xmlns:r="http://schemas.openxmlformats.org/officeDocument/2006/relationships" ref="A36" r:id="rId32"/>
    <hyperlink xmlns:r="http://schemas.openxmlformats.org/officeDocument/2006/relationships" ref="A37" r:id="rId33"/>
    <hyperlink xmlns:r="http://schemas.openxmlformats.org/officeDocument/2006/relationships" ref="A38" r:id="rId34"/>
    <hyperlink xmlns:r="http://schemas.openxmlformats.org/officeDocument/2006/relationships" ref="A39" r:id="rId35"/>
    <hyperlink xmlns:r="http://schemas.openxmlformats.org/officeDocument/2006/relationships" ref="A40" r:id="rId36"/>
    <hyperlink xmlns:r="http://schemas.openxmlformats.org/officeDocument/2006/relationships" ref="A41" r:id="rId37"/>
    <hyperlink xmlns:r="http://schemas.openxmlformats.org/officeDocument/2006/relationships" ref="A42" r:id="rId38"/>
    <hyperlink xmlns:r="http://schemas.openxmlformats.org/officeDocument/2006/relationships" ref="A43" r:id="rId39"/>
    <hyperlink xmlns:r="http://schemas.openxmlformats.org/officeDocument/2006/relationships" ref="A44" r:id="rId40"/>
    <hyperlink xmlns:r="http://schemas.openxmlformats.org/officeDocument/2006/relationships" ref="A45" r:id="rId41"/>
    <hyperlink xmlns:r="http://schemas.openxmlformats.org/officeDocument/2006/relationships" ref="A46" r:id="rId42"/>
    <hyperlink xmlns:r="http://schemas.openxmlformats.org/officeDocument/2006/relationships" ref="A47" r:id="rId43"/>
    <hyperlink xmlns:r="http://schemas.openxmlformats.org/officeDocument/2006/relationships" ref="A48" r:id="rId44"/>
    <hyperlink xmlns:r="http://schemas.openxmlformats.org/officeDocument/2006/relationships" ref="A49" r:id="rId45"/>
    <hyperlink xmlns:r="http://schemas.openxmlformats.org/officeDocument/2006/relationships" ref="A50" r:id="rId46"/>
    <hyperlink xmlns:r="http://schemas.openxmlformats.org/officeDocument/2006/relationships" ref="A51" r:id="rId47"/>
    <hyperlink xmlns:r="http://schemas.openxmlformats.org/officeDocument/2006/relationships" ref="A52" r:id="rId48"/>
    <hyperlink xmlns:r="http://schemas.openxmlformats.org/officeDocument/2006/relationships" ref="A53" r:id="rId49"/>
    <hyperlink xmlns:r="http://schemas.openxmlformats.org/officeDocument/2006/relationships" ref="A54" r:id="rId50"/>
    <hyperlink xmlns:r="http://schemas.openxmlformats.org/officeDocument/2006/relationships" ref="A55" r:id="rId51"/>
    <hyperlink xmlns:r="http://schemas.openxmlformats.org/officeDocument/2006/relationships" ref="A56" r:id="rId52"/>
    <hyperlink xmlns:r="http://schemas.openxmlformats.org/officeDocument/2006/relationships" ref="A57" r:id="rId53"/>
    <hyperlink xmlns:r="http://schemas.openxmlformats.org/officeDocument/2006/relationships" ref="A58" r:id="rId54"/>
    <hyperlink xmlns:r="http://schemas.openxmlformats.org/officeDocument/2006/relationships" ref="A59" r:id="rId55"/>
    <hyperlink xmlns:r="http://schemas.openxmlformats.org/officeDocument/2006/relationships" ref="A60" r:id="rId56"/>
    <hyperlink xmlns:r="http://schemas.openxmlformats.org/officeDocument/2006/relationships" ref="A61" r:id="rId57"/>
    <hyperlink xmlns:r="http://schemas.openxmlformats.org/officeDocument/2006/relationships" ref="A62" r:id="rId58"/>
    <hyperlink xmlns:r="http://schemas.openxmlformats.org/officeDocument/2006/relationships" ref="A63" r:id="rId59"/>
    <hyperlink xmlns:r="http://schemas.openxmlformats.org/officeDocument/2006/relationships" ref="A64" r:id="rId60"/>
    <hyperlink xmlns:r="http://schemas.openxmlformats.org/officeDocument/2006/relationships" ref="A65" r:id="rId61"/>
    <hyperlink xmlns:r="http://schemas.openxmlformats.org/officeDocument/2006/relationships" ref="A66" r:id="rId62"/>
    <hyperlink xmlns:r="http://schemas.openxmlformats.org/officeDocument/2006/relationships" ref="A67" r:id="rId63"/>
    <hyperlink xmlns:r="http://schemas.openxmlformats.org/officeDocument/2006/relationships" ref="A68" r:id="rId64"/>
    <hyperlink xmlns:r="http://schemas.openxmlformats.org/officeDocument/2006/relationships" ref="A69" r:id="rId65"/>
    <hyperlink xmlns:r="http://schemas.openxmlformats.org/officeDocument/2006/relationships" ref="A70" r:id="rId66"/>
    <hyperlink xmlns:r="http://schemas.openxmlformats.org/officeDocument/2006/relationships" ref="A71" r:id="rId67"/>
    <hyperlink xmlns:r="http://schemas.openxmlformats.org/officeDocument/2006/relationships" ref="A72" r:id="rId68"/>
    <hyperlink xmlns:r="http://schemas.openxmlformats.org/officeDocument/2006/relationships" ref="A73" r:id="rId69"/>
    <hyperlink xmlns:r="http://schemas.openxmlformats.org/officeDocument/2006/relationships" ref="A74" r:id="rId70"/>
    <hyperlink xmlns:r="http://schemas.openxmlformats.org/officeDocument/2006/relationships" ref="A75" r:id="rId71"/>
    <hyperlink xmlns:r="http://schemas.openxmlformats.org/officeDocument/2006/relationships" ref="A76" r:id="rId72"/>
    <hyperlink xmlns:r="http://schemas.openxmlformats.org/officeDocument/2006/relationships" ref="A77" r:id="rId73"/>
    <hyperlink xmlns:r="http://schemas.openxmlformats.org/officeDocument/2006/relationships" ref="A78" r:id="rId74"/>
    <hyperlink xmlns:r="http://schemas.openxmlformats.org/officeDocument/2006/relationships" ref="A79" r:id="rId75"/>
    <hyperlink xmlns:r="http://schemas.openxmlformats.org/officeDocument/2006/relationships" ref="A80" r:id="rId76"/>
    <hyperlink xmlns:r="http://schemas.openxmlformats.org/officeDocument/2006/relationships" ref="A81" r:id="rId77"/>
    <hyperlink xmlns:r="http://schemas.openxmlformats.org/officeDocument/2006/relationships" ref="A82" r:id="rId78"/>
    <hyperlink xmlns:r="http://schemas.openxmlformats.org/officeDocument/2006/relationships" ref="A83" r:id="rId79"/>
    <hyperlink xmlns:r="http://schemas.openxmlformats.org/officeDocument/2006/relationships" ref="A84" r:id="rId80"/>
    <hyperlink xmlns:r="http://schemas.openxmlformats.org/officeDocument/2006/relationships" ref="A85" r:id="rId81"/>
    <hyperlink xmlns:r="http://schemas.openxmlformats.org/officeDocument/2006/relationships" ref="A86" r:id="rId82"/>
    <hyperlink xmlns:r="http://schemas.openxmlformats.org/officeDocument/2006/relationships" ref="A87" r:id="rId83"/>
    <hyperlink xmlns:r="http://schemas.openxmlformats.org/officeDocument/2006/relationships" ref="A88" r:id="rId84"/>
    <hyperlink xmlns:r="http://schemas.openxmlformats.org/officeDocument/2006/relationships" ref="A89" r:id="rId85"/>
    <hyperlink xmlns:r="http://schemas.openxmlformats.org/officeDocument/2006/relationships" ref="A90" r:id="rId86"/>
    <hyperlink xmlns:r="http://schemas.openxmlformats.org/officeDocument/2006/relationships" ref="A91" r:id="rId87"/>
    <hyperlink xmlns:r="http://schemas.openxmlformats.org/officeDocument/2006/relationships" ref="A92" r:id="rId88"/>
    <hyperlink xmlns:r="http://schemas.openxmlformats.org/officeDocument/2006/relationships" ref="A93" r:id="rId89"/>
    <hyperlink xmlns:r="http://schemas.openxmlformats.org/officeDocument/2006/relationships" ref="A94" r:id="rId90"/>
    <hyperlink xmlns:r="http://schemas.openxmlformats.org/officeDocument/2006/relationships" ref="A95" r:id="rId91"/>
    <hyperlink xmlns:r="http://schemas.openxmlformats.org/officeDocument/2006/relationships" ref="A96" r:id="rId92"/>
    <hyperlink xmlns:r="http://schemas.openxmlformats.org/officeDocument/2006/relationships" ref="A97" r:id="rId93"/>
    <hyperlink xmlns:r="http://schemas.openxmlformats.org/officeDocument/2006/relationships" ref="A98" r:id="rId94"/>
    <hyperlink xmlns:r="http://schemas.openxmlformats.org/officeDocument/2006/relationships" ref="A99" r:id="rId95"/>
    <hyperlink xmlns:r="http://schemas.openxmlformats.org/officeDocument/2006/relationships" ref="A100" r:id="rId96"/>
    <hyperlink xmlns:r="http://schemas.openxmlformats.org/officeDocument/2006/relationships" ref="A101" r:id="rId97"/>
    <hyperlink xmlns:r="http://schemas.openxmlformats.org/officeDocument/2006/relationships" ref="A102" r:id="rId98"/>
    <hyperlink xmlns:r="http://schemas.openxmlformats.org/officeDocument/2006/relationships" ref="A103" r:id="rId99"/>
    <hyperlink xmlns:r="http://schemas.openxmlformats.org/officeDocument/2006/relationships" ref="A104" r:id="rId100"/>
    <hyperlink xmlns:r="http://schemas.openxmlformats.org/officeDocument/2006/relationships" ref="A105" r:id="rId101"/>
    <hyperlink xmlns:r="http://schemas.openxmlformats.org/officeDocument/2006/relationships" ref="A106" r:id="rId102"/>
    <hyperlink xmlns:r="http://schemas.openxmlformats.org/officeDocument/2006/relationships" ref="A107" r:id="rId103"/>
    <hyperlink xmlns:r="http://schemas.openxmlformats.org/officeDocument/2006/relationships" ref="A108" r:id="rId10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24" customWidth="1" min="1" max="1"/>
    <col width="24" customWidth="1" min="2" max="2"/>
    <col width="30" customWidth="1" min="3" max="3"/>
    <col width="22" customWidth="1" min="4" max="4"/>
    <col width="60" customWidth="1" min="5" max="5"/>
    <col width="70" customWidth="1" min="6" max="6"/>
  </cols>
  <sheetData>
    <row r="1">
      <c r="A1" s="1" t="inlineStr">
        <is>
          <t>Verification Log</t>
        </is>
      </c>
    </row>
    <row r="2">
      <c r="A2" s="2" t="inlineStr">
        <is>
          <t>10% random recheck (seed fixed) plus removals. Kept rows are never deleted for unconfirmed status; they are flagged.</t>
        </is>
      </c>
    </row>
    <row r="4">
      <c r="A4" s="3" t="inlineStr">
        <is>
          <t>Company (Japanese)</t>
        </is>
      </c>
      <c r="B4" s="3" t="inlineStr">
        <is>
          <t>Company (English)</t>
        </is>
      </c>
      <c r="C4" s="3" t="inlineStr">
        <is>
          <t>Check</t>
        </is>
      </c>
      <c r="D4" s="3" t="inlineStr">
        <is>
          <t>Outcome</t>
        </is>
      </c>
      <c r="E4" s="3" t="inlineStr">
        <is>
          <t>Action taken</t>
        </is>
      </c>
      <c r="F4" s="3" t="inlineStr">
        <is>
          <t>Evidence</t>
        </is>
      </c>
    </row>
    <row r="5">
      <c r="A5" s="4" t="inlineStr">
        <is>
          <t>東洋メディック</t>
        </is>
      </c>
      <c r="B5" s="4" t="inlineStr">
        <is>
          <t>Toyo Medic</t>
        </is>
      </c>
      <c r="C5" s="4" t="inlineStr">
        <is>
          <t>Random 10% recheck (29 of 291)</t>
        </is>
      </c>
      <c r="D5" s="4" t="inlineStr">
        <is>
          <t>Confirmed</t>
        </is>
      </c>
      <c r="E5" s="4" t="inlineStr">
        <is>
          <t>Enriched: ITOCHU subsidiary, branches, address; group overlap flag</t>
        </is>
      </c>
      <c r="F5" s="7" t="inlineStr">
        <is>
          <t>https://www.r-agent.com/company/05319/</t>
        </is>
      </c>
    </row>
    <row r="6">
      <c r="A6" s="4" t="inlineStr">
        <is>
          <t>テンユー</t>
        </is>
      </c>
      <c r="B6" s="4" t="inlineStr">
        <is>
          <t>Tenyu</t>
        </is>
      </c>
      <c r="C6" s="4" t="inlineStr">
        <is>
          <t>Random 10% recheck (29 of 291)</t>
        </is>
      </c>
      <c r="D6" s="4" t="inlineStr">
        <is>
          <t>Not confirmed</t>
        </is>
      </c>
      <c r="E6" s="4" t="inlineStr">
        <is>
          <t>Kept and flagged: directory listing only</t>
        </is>
      </c>
      <c r="F6" s="4" t="inlineStr">
        <is>
          <t>See row source</t>
        </is>
      </c>
    </row>
    <row r="7">
      <c r="A7" s="4" t="inlineStr">
        <is>
          <t>宮崎温仙堂商店</t>
        </is>
      </c>
      <c r="B7" s="4" t="inlineStr">
        <is>
          <t>Miyazaki Onsendo Shoten</t>
        </is>
      </c>
      <c r="C7" s="4" t="inlineStr">
        <is>
          <t>Random 10% recheck (29 of 291)</t>
        </is>
      </c>
      <c r="D7" s="4" t="inlineStr">
        <is>
          <t>Not confirmed</t>
        </is>
      </c>
      <c r="E7" s="4" t="inlineStr">
        <is>
          <t>Possible match 株式会社温仙堂 (Isahaya) noted on the row</t>
        </is>
      </c>
      <c r="F7" s="7" t="inlineStr">
        <is>
          <t>https://data-max.co.jp/corpo_database/corpo/detail/4310001009518</t>
        </is>
      </c>
    </row>
    <row r="8">
      <c r="A8" s="4" t="inlineStr">
        <is>
          <t>テクノミックス</t>
        </is>
      </c>
      <c r="B8" s="4" t="inlineStr">
        <is>
          <t>Technomix</t>
        </is>
      </c>
      <c r="C8" s="4" t="inlineStr">
        <is>
          <t>Random 10% recheck (29 of 291)</t>
        </is>
      </c>
      <c r="D8" s="4" t="inlineStr">
        <is>
          <t>Misfit</t>
        </is>
      </c>
      <c r="E8" s="4" t="inlineStr">
        <is>
          <t>REMOVED: prefecture list classifies it as dispensing pharmacy and care</t>
        </is>
      </c>
      <c r="F8" s="7" t="inlineStr">
        <is>
          <t>https://www.pref.miyazaki.lg.jp/documents/57538/57538_20241128084904-1.pdf</t>
        </is>
      </c>
    </row>
    <row r="9">
      <c r="A9" s="4" t="inlineStr">
        <is>
          <t>マストレメディカル</t>
        </is>
      </c>
      <c r="B9" s="4" t="inlineStr">
        <is>
          <t>Mastre Medical</t>
        </is>
      </c>
      <c r="C9" s="4" t="inlineStr">
        <is>
          <t>Random 10% recheck (29 of 291)</t>
        </is>
      </c>
      <c r="D9" s="4" t="inlineStr">
        <is>
          <t>Confirmed with correction</t>
        </is>
      </c>
      <c r="E9" s="4" t="inlineStr">
        <is>
          <t>Core business is welfare equipment; scores lowered</t>
        </is>
      </c>
      <c r="F9" s="7" t="inlineStr">
        <is>
          <t>https://i.ansinkaigo.jp/shokai/home-care/welfare-equipment/132088</t>
        </is>
      </c>
    </row>
    <row r="10">
      <c r="A10" s="4" t="inlineStr">
        <is>
          <t>志賀器械</t>
        </is>
      </c>
      <c r="B10" s="4" t="inlineStr">
        <is>
          <t>Shiga Kikai</t>
        </is>
      </c>
      <c r="C10" s="4" t="inlineStr">
        <is>
          <t>Random 10% recheck (29 of 291)</t>
        </is>
      </c>
      <c r="D10" s="4" t="inlineStr">
        <is>
          <t>Not confirmed</t>
        </is>
      </c>
      <c r="E10" s="4" t="inlineStr">
        <is>
          <t>Kept and flagged: directory listing only</t>
        </is>
      </c>
      <c r="F10" s="4" t="inlineStr">
        <is>
          <t>See row source</t>
        </is>
      </c>
    </row>
    <row r="11">
      <c r="A11" s="4" t="inlineStr">
        <is>
          <t>ピー・エム・エス</t>
        </is>
      </c>
      <c r="B11" s="4" t="inlineStr">
        <is>
          <t>PMS (Matsue)</t>
        </is>
      </c>
      <c r="C11" s="4" t="inlineStr">
        <is>
          <t>Random 10% recheck (29 of 291)</t>
        </is>
      </c>
      <c r="D11" s="4" t="inlineStr">
        <is>
          <t>Confirmed with correction</t>
        </is>
      </c>
      <c r="E11" s="4" t="inlineStr">
        <is>
          <t>Welfare equipment rental business; scores lowered</t>
        </is>
      </c>
      <c r="F11" s="7" t="inlineStr">
        <is>
          <t>https://i.ansinkaigo.jp/shokai/home-care/welfare-equipment/130946</t>
        </is>
      </c>
    </row>
    <row r="12">
      <c r="A12" s="4" t="inlineStr">
        <is>
          <t>青木器械店</t>
        </is>
      </c>
      <c r="B12" s="4" t="inlineStr">
        <is>
          <t>Aoki Kikaiten</t>
        </is>
      </c>
      <c r="C12" s="4" t="inlineStr">
        <is>
          <t>Random 10% recheck (29 of 291)</t>
        </is>
      </c>
      <c r="D12" s="4" t="inlineStr">
        <is>
          <t>Not confirmed</t>
        </is>
      </c>
      <c r="E12" s="4" t="inlineStr">
        <is>
          <t>Kept and flagged: directory listing only</t>
        </is>
      </c>
      <c r="F12" s="4" t="inlineStr">
        <is>
          <t>See row source</t>
        </is>
      </c>
    </row>
    <row r="13">
      <c r="A13" s="4" t="inlineStr">
        <is>
          <t>MAGnet</t>
        </is>
      </c>
      <c r="B13" s="4" t="inlineStr">
        <is>
          <t>MAGnet</t>
        </is>
      </c>
      <c r="C13" s="4" t="inlineStr">
        <is>
          <t>Random 10% recheck (29 of 291)</t>
        </is>
      </c>
      <c r="D13" s="4" t="inlineStr">
        <is>
          <t>Confirmed</t>
        </is>
      </c>
      <c r="E13" s="4" t="inlineStr">
        <is>
          <t>Enriched: sleep and respiratory focus, address, website; coverage score lowered</t>
        </is>
      </c>
      <c r="F13" s="7" t="inlineStr">
        <is>
          <t>https://www.careercross.com/company/pdf-591894</t>
        </is>
      </c>
    </row>
    <row r="14">
      <c r="A14" s="4" t="inlineStr">
        <is>
          <t>米満医療器</t>
        </is>
      </c>
      <c r="B14" s="4" t="inlineStr">
        <is>
          <t>Yonemitsu Iryoki</t>
        </is>
      </c>
      <c r="C14" s="4" t="inlineStr">
        <is>
          <t>Random 10% recheck (29 of 291)</t>
        </is>
      </c>
      <c r="D14" s="4" t="inlineStr">
        <is>
          <t>Not confirmed</t>
        </is>
      </c>
      <c r="E14" s="4" t="inlineStr">
        <is>
          <t>Kept and flagged: directory listing only</t>
        </is>
      </c>
      <c r="F14" s="4" t="inlineStr">
        <is>
          <t>See row source</t>
        </is>
      </c>
    </row>
    <row r="15">
      <c r="A15" s="4" t="inlineStr">
        <is>
          <t>ユー・メディカル</t>
        </is>
      </c>
      <c r="B15" s="4" t="inlineStr">
        <is>
          <t>U Medical</t>
        </is>
      </c>
      <c r="C15" s="4" t="inlineStr">
        <is>
          <t>Random 10% recheck (29 of 291)</t>
        </is>
      </c>
      <c r="D15" s="4" t="inlineStr">
        <is>
          <t>Not confirmed</t>
        </is>
      </c>
      <c r="E15" s="4" t="inlineStr">
        <is>
          <t>Kept and flagged: directory listing only</t>
        </is>
      </c>
      <c r="F15" s="4" t="inlineStr">
        <is>
          <t>See row source</t>
        </is>
      </c>
    </row>
    <row r="16">
      <c r="A16" s="4" t="inlineStr">
        <is>
          <t>大向医科精器</t>
        </is>
      </c>
      <c r="B16" s="4" t="inlineStr">
        <is>
          <t>Omukai Ika Seiki</t>
        </is>
      </c>
      <c r="C16" s="4" t="inlineStr">
        <is>
          <t>Random 10% recheck (29 of 291)</t>
        </is>
      </c>
      <c r="D16" s="4" t="inlineStr">
        <is>
          <t>Not confirmed</t>
        </is>
      </c>
      <c r="E16" s="4" t="inlineStr">
        <is>
          <t>Kept and flagged: directory listing only</t>
        </is>
      </c>
      <c r="F16" s="4" t="inlineStr">
        <is>
          <t>See row source</t>
        </is>
      </c>
    </row>
    <row r="17">
      <c r="A17" s="4" t="inlineStr">
        <is>
          <t>八郷医療器</t>
        </is>
      </c>
      <c r="B17" s="4" t="inlineStr">
        <is>
          <t>Yago Iryoki</t>
        </is>
      </c>
      <c r="C17" s="4" t="inlineStr">
        <is>
          <t>Random 10% recheck (29 of 291)</t>
        </is>
      </c>
      <c r="D17" s="4" t="inlineStr">
        <is>
          <t>Not confirmed</t>
        </is>
      </c>
      <c r="E17" s="4" t="inlineStr">
        <is>
          <t>Kept and flagged: directory listing only</t>
        </is>
      </c>
      <c r="F17" s="4" t="inlineStr">
        <is>
          <t>See row source</t>
        </is>
      </c>
    </row>
    <row r="18">
      <c r="A18" s="4" t="inlineStr">
        <is>
          <t>ヒラタニ</t>
        </is>
      </c>
      <c r="B18" s="4" t="inlineStr">
        <is>
          <t>Hiratani</t>
        </is>
      </c>
      <c r="C18" s="4" t="inlineStr">
        <is>
          <t>Random 10% recheck (29 of 291)</t>
        </is>
      </c>
      <c r="D18" s="4" t="inlineStr">
        <is>
          <t>Not confirmed</t>
        </is>
      </c>
      <c r="E18" s="4" t="inlineStr">
        <is>
          <t>Kept and flagged: directory listing only</t>
        </is>
      </c>
      <c r="F18" s="4" t="inlineStr">
        <is>
          <t>See row source</t>
        </is>
      </c>
    </row>
    <row r="19">
      <c r="A19" s="4" t="inlineStr">
        <is>
          <t>セントラルメディカル</t>
        </is>
      </c>
      <c r="B19" s="4" t="inlineStr">
        <is>
          <t>Central Medical</t>
        </is>
      </c>
      <c r="C19" s="4" t="inlineStr">
        <is>
          <t>Random 10% recheck (29 of 291)</t>
        </is>
      </c>
      <c r="D19" s="4" t="inlineStr">
        <is>
          <t>Not confirmed</t>
        </is>
      </c>
      <c r="E19" s="4" t="inlineStr">
        <is>
          <t>Kept and flagged: directory listing only</t>
        </is>
      </c>
      <c r="F19" s="4" t="inlineStr">
        <is>
          <t>See row source</t>
        </is>
      </c>
    </row>
    <row r="20">
      <c r="A20" s="4" t="inlineStr">
        <is>
          <t>富士放射線</t>
        </is>
      </c>
      <c r="B20" s="4" t="inlineStr">
        <is>
          <t>Fuji Hoshasen</t>
        </is>
      </c>
      <c r="C20" s="4" t="inlineStr">
        <is>
          <t>Random 10% recheck (29 of 291)</t>
        </is>
      </c>
      <c r="D20" s="4" t="inlineStr">
        <is>
          <t>Not confirmed</t>
        </is>
      </c>
      <c r="E20" s="4" t="inlineStr">
        <is>
          <t>Kept and flagged: directory listing only</t>
        </is>
      </c>
      <c r="F20" s="4" t="inlineStr">
        <is>
          <t>See row source</t>
        </is>
      </c>
    </row>
    <row r="21">
      <c r="A21" s="4" t="inlineStr">
        <is>
          <t>北医企画</t>
        </is>
      </c>
      <c r="B21" s="4" t="inlineStr">
        <is>
          <t>Hokui Kikaku</t>
        </is>
      </c>
      <c r="C21" s="4" t="inlineStr">
        <is>
          <t>Random 10% recheck (29 of 291)</t>
        </is>
      </c>
      <c r="D21" s="4" t="inlineStr">
        <is>
          <t>Confirmed with correction</t>
        </is>
      </c>
      <c r="E21" s="4" t="inlineStr">
        <is>
          <t>HQ is Sapporo Nishi ku, not Hakodate; representative name added from database</t>
        </is>
      </c>
      <c r="F21" s="7" t="inlineStr">
        <is>
          <t>https://salesnow.jp/db/companies/jcb3frp3wfstg2f9h</t>
        </is>
      </c>
    </row>
    <row r="22">
      <c r="A22" s="4" t="inlineStr">
        <is>
          <t>トーク</t>
        </is>
      </c>
      <c r="B22" s="4" t="inlineStr">
        <is>
          <t>Talk (Yamagata)</t>
        </is>
      </c>
      <c r="C22" s="4" t="inlineStr">
        <is>
          <t>Random 10% recheck (29 of 291)</t>
        </is>
      </c>
      <c r="D22" s="4" t="inlineStr">
        <is>
          <t>Not confirmed</t>
        </is>
      </c>
      <c r="E22" s="4" t="inlineStr">
        <is>
          <t>Kept and flagged: directory listing only</t>
        </is>
      </c>
      <c r="F22" s="4" t="inlineStr">
        <is>
          <t>See row source</t>
        </is>
      </c>
    </row>
    <row r="23">
      <c r="A23" s="4" t="inlineStr">
        <is>
          <t>沖縄ムトウ</t>
        </is>
      </c>
      <c r="B23" s="4" t="inlineStr">
        <is>
          <t>Okinawa Mutoh</t>
        </is>
      </c>
      <c r="C23" s="4" t="inlineStr">
        <is>
          <t>Random 10% recheck (29 of 291)</t>
        </is>
      </c>
      <c r="D23" s="4" t="inlineStr">
        <is>
          <t>Partly confirmed</t>
        </is>
      </c>
      <c r="E23" s="4" t="inlineStr">
        <is>
          <t>Mutoh recruits for Okinawa; separate entity not confirmed; group overlap flag added</t>
        </is>
      </c>
      <c r="F23" s="7" t="inlineStr">
        <is>
          <t>https://kyuren.jp/%E4%BC%9A%E5%93%A1%E7%B4%B9%E4%BB%8B/</t>
        </is>
      </c>
    </row>
    <row r="24">
      <c r="A24" s="4" t="inlineStr">
        <is>
          <t>石黒メディカルシステム</t>
        </is>
      </c>
      <c r="B24" s="4" t="inlineStr">
        <is>
          <t>Ishiguro Medical System</t>
        </is>
      </c>
      <c r="C24" s="4" t="inlineStr">
        <is>
          <t>Random 10% recheck (29 of 291)</t>
        </is>
      </c>
      <c r="D24" s="4" t="inlineStr">
        <is>
          <t>Confirmed</t>
        </is>
      </c>
      <c r="E24" s="4" t="inlineStr">
        <is>
          <t>Enriched: est 1946, clinic opening consulting</t>
        </is>
      </c>
      <c r="F24" s="7" t="inlineStr">
        <is>
          <t>https://www.openwork.jp/a0C1000000nInR1/job/</t>
        </is>
      </c>
    </row>
    <row r="25">
      <c r="A25" s="4" t="inlineStr">
        <is>
          <t>日信電子サービス</t>
        </is>
      </c>
      <c r="B25" s="4" t="inlineStr">
        <is>
          <t>Nisshin Denshi Service</t>
        </is>
      </c>
      <c r="C25" s="4" t="inlineStr">
        <is>
          <t>Random 10% recheck (29 of 291)</t>
        </is>
      </c>
      <c r="D25" s="4" t="inlineStr">
        <is>
          <t>Confirmed with correction</t>
        </is>
      </c>
      <c r="E25" s="4" t="inlineStr">
        <is>
          <t>Sells and services CT, MRI, PET and ultrasound; HQ is Tokyo Sumida, not Saitama; Tier B kept, scores raised</t>
        </is>
      </c>
      <c r="F25" s="7" t="inlineStr">
        <is>
          <t>https://www.pref.saitama.lg.jp/documents/236621/0220_nisshindenshiservice.pdf</t>
        </is>
      </c>
    </row>
    <row r="26">
      <c r="A26" s="4" t="inlineStr">
        <is>
          <t>アクテック</t>
        </is>
      </c>
      <c r="B26" s="4" t="inlineStr">
        <is>
          <t>Actec</t>
        </is>
      </c>
      <c r="C26" s="4" t="inlineStr">
        <is>
          <t>Random 10% recheck (29 of 291)</t>
        </is>
      </c>
      <c r="D26" s="4" t="inlineStr">
        <is>
          <t>Confirmed</t>
        </is>
      </c>
      <c r="E26" s="4" t="inlineStr">
        <is>
          <t>Enriched: Sapporo Toyohira, est 1964</t>
        </is>
      </c>
      <c r="F26" s="7" t="inlineStr">
        <is>
          <t>https://i.ansinkaigo.jp/shokai/home-care/welfare-equipment/121454</t>
        </is>
      </c>
    </row>
    <row r="27">
      <c r="A27" s="4" t="inlineStr">
        <is>
          <t>ケイアイ医科器械</t>
        </is>
      </c>
      <c r="B27" s="4" t="inlineStr">
        <is>
          <t>KI Ika Kikai</t>
        </is>
      </c>
      <c r="C27" s="4" t="inlineStr">
        <is>
          <t>Random 10% recheck (29 of 291)</t>
        </is>
      </c>
      <c r="D27" s="4" t="inlineStr">
        <is>
          <t>Not confirmed</t>
        </is>
      </c>
      <c r="E27" s="4" t="inlineStr">
        <is>
          <t>Kept and flagged: directory listing only</t>
        </is>
      </c>
      <c r="F27" s="4" t="inlineStr">
        <is>
          <t>See row source</t>
        </is>
      </c>
    </row>
    <row r="28">
      <c r="A28" s="4" t="inlineStr">
        <is>
          <t>エムズ</t>
        </is>
      </c>
      <c r="B28" s="4" t="inlineStr">
        <is>
          <t>M's (Gifu)</t>
        </is>
      </c>
      <c r="C28" s="4" t="inlineStr">
        <is>
          <t>Random 10% recheck (29 of 291)</t>
        </is>
      </c>
      <c r="D28" s="4" t="inlineStr">
        <is>
          <t>Not confirmed</t>
        </is>
      </c>
      <c r="E28" s="4" t="inlineStr">
        <is>
          <t>Kept and flagged: directory listing only</t>
        </is>
      </c>
      <c r="F28" s="4" t="inlineStr">
        <is>
          <t>See row source</t>
        </is>
      </c>
    </row>
    <row r="29">
      <c r="A29" s="4" t="inlineStr">
        <is>
          <t>アイシス</t>
        </is>
      </c>
      <c r="B29" s="4" t="inlineStr">
        <is>
          <t>Isis (Niigata)</t>
        </is>
      </c>
      <c r="C29" s="4" t="inlineStr">
        <is>
          <t>Random 10% recheck (29 of 291)</t>
        </is>
      </c>
      <c r="D29" s="4" t="inlineStr">
        <is>
          <t>Misfit</t>
        </is>
      </c>
      <c r="E29" s="4" t="inlineStr">
        <is>
          <t>REMOVED: the 株式会社アイシス found in Niigata is a software company</t>
        </is>
      </c>
      <c r="F29" s="7" t="inlineStr">
        <is>
          <t>https://www.pref.niigata.lg.jp/site/kigyonokoe/aisys.html</t>
        </is>
      </c>
    </row>
    <row r="30">
      <c r="A30" s="4" t="inlineStr">
        <is>
          <t>石川医療器</t>
        </is>
      </c>
      <c r="B30" s="4" t="inlineStr">
        <is>
          <t>Ishikawa Iryoki</t>
        </is>
      </c>
      <c r="C30" s="4" t="inlineStr">
        <is>
          <t>Random 10% recheck (29 of 291)</t>
        </is>
      </c>
      <c r="D30" s="4" t="inlineStr">
        <is>
          <t>Confirmed</t>
        </is>
      </c>
      <c r="E30" s="4" t="inlineStr">
        <is>
          <t>Enriched: 40+ year medical and care trading house</t>
        </is>
      </c>
      <c r="F30" s="7" t="inlineStr">
        <is>
          <t>https://baseconnect.in/companies/prefecture/4637ba90-383b-4656-8be1-ca34c7f7244f/keyword/89941b4e-2dd1-4848-8957-48af280a31e0</t>
        </is>
      </c>
    </row>
    <row r="31">
      <c r="A31" s="4" t="inlineStr">
        <is>
          <t>オオモリ</t>
        </is>
      </c>
      <c r="B31" s="4" t="inlineStr">
        <is>
          <t>Omori</t>
        </is>
      </c>
      <c r="C31" s="4" t="inlineStr">
        <is>
          <t>Random 10% recheck (29 of 291)</t>
        </is>
      </c>
      <c r="D31" s="4" t="inlineStr">
        <is>
          <t>Not confirmed</t>
        </is>
      </c>
      <c r="E31" s="4" t="inlineStr">
        <is>
          <t>Kept and flagged: directory listing only</t>
        </is>
      </c>
      <c r="F31" s="4" t="inlineStr">
        <is>
          <t>See row source</t>
        </is>
      </c>
    </row>
    <row r="32">
      <c r="A32" s="4" t="inlineStr">
        <is>
          <t>豊栄医科器械</t>
        </is>
      </c>
      <c r="B32" s="4" t="inlineStr">
        <is>
          <t>Hoei Ika Kikai</t>
        </is>
      </c>
      <c r="C32" s="4" t="inlineStr">
        <is>
          <t>Random 10% recheck (29 of 291)</t>
        </is>
      </c>
      <c r="D32" s="4" t="inlineStr">
        <is>
          <t>Confirmed with correction</t>
        </is>
      </c>
      <c r="E32" s="4" t="inlineStr">
        <is>
          <t>Only a welfare equipment listing found; scores lowered</t>
        </is>
      </c>
      <c r="F32" s="7" t="inlineStr">
        <is>
          <t>https://kaigo.homes.co.jp/scare/ad22/cc26/3/</t>
        </is>
      </c>
    </row>
    <row r="33">
      <c r="A33" s="4" t="inlineStr">
        <is>
          <t>メディカル・アイランド</t>
        </is>
      </c>
      <c r="B33" s="4" t="inlineStr">
        <is>
          <t>Medical Island</t>
        </is>
      </c>
      <c r="C33" s="4" t="inlineStr">
        <is>
          <t>Random 10% recheck (29 of 291)</t>
        </is>
      </c>
      <c r="D33" s="4" t="inlineStr">
        <is>
          <t>Not confirmed</t>
        </is>
      </c>
      <c r="E33" s="4" t="inlineStr">
        <is>
          <t>Kept and flagged: directory listing only</t>
        </is>
      </c>
      <c r="F33" s="4" t="inlineStr">
        <is>
          <t>See row source</t>
        </is>
      </c>
    </row>
    <row r="34">
      <c r="A34" s="4" t="inlineStr">
        <is>
          <t>カワニシ</t>
        </is>
      </c>
      <c r="B34" s="4" t="inlineStr"/>
      <c r="C34" s="4" t="inlineStr">
        <is>
          <t>Dedupe against existing Japan Dealers tab</t>
        </is>
      </c>
      <c r="D34" s="4" t="inlineStr">
        <is>
          <t>Duplicate</t>
        </is>
      </c>
      <c r="E34" s="4" t="inlineStr">
        <is>
          <t>REMOVED from this list</t>
        </is>
      </c>
      <c r="F34" s="4" t="inlineStr">
        <is>
          <t>Existing Japan Dealers row 14</t>
        </is>
      </c>
    </row>
    <row r="35">
      <c r="A35" s="4" t="inlineStr">
        <is>
          <t>メディス山陰</t>
        </is>
      </c>
      <c r="B35" s="4" t="inlineStr"/>
      <c r="C35" s="4" t="inlineStr">
        <is>
          <t>Dedupe against existing Japan Dealers tab</t>
        </is>
      </c>
      <c r="D35" s="4" t="inlineStr">
        <is>
          <t>Duplicate</t>
        </is>
      </c>
      <c r="E35" s="4" t="inlineStr">
        <is>
          <t>REMOVED from this list</t>
        </is>
      </c>
      <c r="F35" s="4" t="inlineStr">
        <is>
          <t>Existing Japan Dealers row 54 (株式会社メディス)</t>
        </is>
      </c>
    </row>
    <row r="36">
      <c r="A36" s="4" t="inlineStr">
        <is>
          <t>メディカルサービス高松</t>
        </is>
      </c>
      <c r="B36" s="4" t="inlineStr"/>
      <c r="C36" s="4" t="inlineStr">
        <is>
          <t>Dedupe against existing Japan Dealers tab</t>
        </is>
      </c>
      <c r="D36" s="4" t="inlineStr">
        <is>
          <t>Duplicate</t>
        </is>
      </c>
      <c r="E36" s="4" t="inlineStr">
        <is>
          <t>REMOVED from this list</t>
        </is>
      </c>
      <c r="F36" s="4" t="inlineStr">
        <is>
          <t>Existing Japan Dealers row 36 (株式会社メディカルサービス)</t>
        </is>
      </c>
    </row>
    <row r="37">
      <c r="A37" s="4" t="inlineStr">
        <is>
          <t>タナカ</t>
        </is>
      </c>
      <c r="B37" s="4" t="inlineStr"/>
      <c r="C37" s="4" t="inlineStr">
        <is>
          <t>Source traceability</t>
        </is>
      </c>
      <c r="D37" s="4" t="inlineStr">
        <is>
          <t>Dropped</t>
        </is>
      </c>
      <c r="E37" s="4" t="inlineStr">
        <is>
          <t>REMOVED from this list</t>
        </is>
      </c>
      <c r="F37" s="4" t="inlineStr">
        <is>
          <t>Low fit (science and food hygiene trading); source page could not be pinned to the company</t>
        </is>
      </c>
    </row>
    <row r="38">
      <c r="A38" s="4" t="inlineStr">
        <is>
          <t>中北薬品</t>
        </is>
      </c>
      <c r="B38" s="4" t="inlineStr"/>
      <c r="C38" s="4" t="inlineStr">
        <is>
          <t>Source traceability</t>
        </is>
      </c>
      <c r="D38" s="4" t="inlineStr">
        <is>
          <t>Dropped</t>
        </is>
      </c>
      <c r="E38" s="4" t="inlineStr">
        <is>
          <t>REMOVED from this list</t>
        </is>
      </c>
      <c r="F38" s="4" t="inlineStr">
        <is>
          <t>Pharma led wholesaler; device team not evidenced (exclusion rule); source page could not be pinned</t>
        </is>
      </c>
    </row>
    <row r="39">
      <c r="A39" s="4" t="inlineStr">
        <is>
          <t>北匠メディカル</t>
        </is>
      </c>
      <c r="B39" s="4" t="inlineStr"/>
      <c r="C39" s="4" t="inlineStr">
        <is>
          <t>Source traceability</t>
        </is>
      </c>
      <c r="D39" s="4" t="inlineStr">
        <is>
          <t>Dropped</t>
        </is>
      </c>
      <c r="E39" s="4" t="inlineStr">
        <is>
          <t>REMOVED from this list</t>
        </is>
      </c>
      <c r="F39" s="4" t="inlineStr">
        <is>
          <t>Very small (about 7 staff); source page could not be pinned</t>
        </is>
      </c>
    </row>
    <row r="40">
      <c r="A40" s="4" t="inlineStr">
        <is>
          <t>アペックス・インターナショナル新潟</t>
        </is>
      </c>
      <c r="B40" s="4" t="inlineStr"/>
      <c r="C40" s="4" t="inlineStr">
        <is>
          <t>Source traceability</t>
        </is>
      </c>
      <c r="D40" s="4" t="inlineStr">
        <is>
          <t>Dropped</t>
        </is>
      </c>
      <c r="E40" s="4" t="inlineStr">
        <is>
          <t>REMOVED from this list</t>
        </is>
      </c>
      <c r="F40" s="4" t="inlineStr">
        <is>
          <t>Two candidate profiles found, could not pin which is this company</t>
        </is>
      </c>
    </row>
  </sheetData>
  <autoFilter ref="A4:F40"/>
  <hyperlinks>
    <hyperlink xmlns:r="http://schemas.openxmlformats.org/officeDocument/2006/relationships" ref="F5" r:id="rId1"/>
    <hyperlink xmlns:r="http://schemas.openxmlformats.org/officeDocument/2006/relationships" ref="F7" r:id="rId2"/>
    <hyperlink xmlns:r="http://schemas.openxmlformats.org/officeDocument/2006/relationships" ref="F8" r:id="rId3"/>
    <hyperlink xmlns:r="http://schemas.openxmlformats.org/officeDocument/2006/relationships" ref="F9" r:id="rId4"/>
    <hyperlink xmlns:r="http://schemas.openxmlformats.org/officeDocument/2006/relationships" ref="F11" r:id="rId5"/>
    <hyperlink xmlns:r="http://schemas.openxmlformats.org/officeDocument/2006/relationships" ref="F13" r:id="rId6"/>
    <hyperlink xmlns:r="http://schemas.openxmlformats.org/officeDocument/2006/relationships" ref="F21" r:id="rId7"/>
    <hyperlink xmlns:r="http://schemas.openxmlformats.org/officeDocument/2006/relationships" ref="F23" r:id="rId8"/>
    <hyperlink xmlns:r="http://schemas.openxmlformats.org/officeDocument/2006/relationships" ref="F24" r:id="rId9"/>
    <hyperlink xmlns:r="http://schemas.openxmlformats.org/officeDocument/2006/relationships" ref="F25" r:id="rId10"/>
    <hyperlink xmlns:r="http://schemas.openxmlformats.org/officeDocument/2006/relationships" ref="F26" r:id="rId11"/>
    <hyperlink xmlns:r="http://schemas.openxmlformats.org/officeDocument/2006/relationships" ref="F29" r:id="rId12"/>
    <hyperlink xmlns:r="http://schemas.openxmlformats.org/officeDocument/2006/relationships" ref="F30" r:id="rId13"/>
    <hyperlink xmlns:r="http://schemas.openxmlformats.org/officeDocument/2006/relationships" ref="F32" r:id="rId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2026-10-10T07:01:09Z</dcterms:created>
  <dcterms:modified xmlns:dcterms="http://purl.org/dc/terms/" xmlns:xsi="http://www.w3.org/2001/XMLSchema-instance" xsi:type="dcterms:W3CDTF">2026-10-10T12:35:24Z</dcterms:modified>
</cp:coreProperties>
</file>